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Filing\Filing Documents\@@Prop Chg Amendment\Rate Template\"/>
    </mc:Choice>
  </mc:AlternateContent>
  <xr:revisionPtr revIDLastSave="0" documentId="13_ncr:1_{14BD4A4E-717E-4EDF-B3E8-EDD44D0EE353}" xr6:coauthVersionLast="47" xr6:coauthVersionMax="47" xr10:uidLastSave="{00000000-0000-0000-0000-000000000000}"/>
  <bookViews>
    <workbookView xWindow="16284" yWindow="-108" windowWidth="23256" windowHeight="12576"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References!$H$41:$I$42</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 i="34" l="1"/>
  <c r="I44" i="3" l="1"/>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I15" i="34" s="1"/>
  <c r="B48" i="1"/>
  <c r="I14" i="34" s="1"/>
  <c r="B47" i="1"/>
  <c r="I13" i="34" s="1"/>
  <c r="B46" i="1"/>
  <c r="I12" i="34" s="1"/>
  <c r="B45" i="1"/>
  <c r="B44" i="1"/>
  <c r="B43" i="1"/>
  <c r="G16" i="32" l="1"/>
  <c r="D30" i="34"/>
  <c r="C30" i="34"/>
  <c r="D34" i="34"/>
  <c r="C34" i="34"/>
  <c r="C28" i="34"/>
  <c r="D28" i="34"/>
  <c r="C32" i="34"/>
  <c r="D32" i="34"/>
  <c r="C31" i="34"/>
  <c r="D31" i="34"/>
  <c r="D29" i="34"/>
  <c r="C29" i="34"/>
  <c r="D33" i="34"/>
  <c r="C33" i="34"/>
  <c r="B34" i="1"/>
  <c r="B12" i="34"/>
  <c r="H12" i="34" s="1"/>
  <c r="C41" i="34"/>
  <c r="F28" i="34"/>
  <c r="B16" i="34"/>
  <c r="B45" i="34" s="1"/>
  <c r="C45" i="34"/>
  <c r="F32" i="34"/>
  <c r="H16" i="34"/>
  <c r="B35" i="1"/>
  <c r="E34" i="1" s="1"/>
  <c r="F29" i="34"/>
  <c r="H13" i="34"/>
  <c r="B13" i="34"/>
  <c r="C42" i="34"/>
  <c r="C46" i="34"/>
  <c r="B17" i="34"/>
  <c r="H17" i="34" s="1"/>
  <c r="E33" i="34" s="1"/>
  <c r="F33" i="34"/>
  <c r="B32" i="1"/>
  <c r="E31" i="1" s="1"/>
  <c r="C39" i="34"/>
  <c r="F26" i="34"/>
  <c r="B10" i="34"/>
  <c r="H10" i="34" s="1"/>
  <c r="B36" i="1"/>
  <c r="E35" i="1" s="1"/>
  <c r="C43" i="34"/>
  <c r="F30" i="34"/>
  <c r="H14" i="34"/>
  <c r="B14" i="34"/>
  <c r="C47" i="34"/>
  <c r="F34" i="34"/>
  <c r="B18" i="34"/>
  <c r="H18" i="34"/>
  <c r="B33"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B74" i="1"/>
  <c r="B75" i="1"/>
  <c r="B72" i="1"/>
  <c r="B70" i="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D38" i="34" s="1"/>
  <c r="H53" i="28"/>
  <c r="H30" i="28"/>
  <c r="G19" i="34" l="1"/>
  <c r="B48" i="34"/>
  <c r="D48" i="34" s="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2" i="34" l="1"/>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F9" i="34"/>
  <c r="I9" i="34" s="1"/>
  <c r="G40" i="29"/>
  <c r="C9" i="34"/>
  <c r="H63" i="49"/>
  <c r="D26" i="34"/>
  <c r="H63" i="28"/>
  <c r="D25" i="34"/>
  <c r="H67" i="55"/>
  <c r="H63" i="55" s="1"/>
  <c r="H67" i="52"/>
  <c r="H63" i="52" s="1"/>
  <c r="H66" i="49"/>
  <c r="H66" i="50"/>
  <c r="H67" i="56"/>
  <c r="H63" i="56" s="1"/>
  <c r="H67" i="54"/>
  <c r="H63" i="54" s="1"/>
  <c r="H66" i="54"/>
  <c r="C27" i="34" l="1"/>
  <c r="H68" i="50"/>
  <c r="E11" i="34" s="1"/>
  <c r="D9" i="34"/>
  <c r="D19" i="34" s="1"/>
  <c r="D35" i="34" s="1"/>
  <c r="F19" i="34"/>
  <c r="I22" i="59"/>
  <c r="I40" i="59"/>
  <c r="I22" i="29"/>
  <c r="I40" i="29"/>
  <c r="C26" i="34"/>
  <c r="H68" i="49"/>
  <c r="E10" i="34" s="1"/>
  <c r="I10" i="34" s="1"/>
  <c r="C11" i="34" l="1"/>
  <c r="I11"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<sst xmlns="http://schemas.openxmlformats.org/spreadsheetml/2006/main" count="3087" uniqueCount="759">
  <si>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</si>
  <si>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</si>
  <si>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</si>
  <si>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</si>
  <si>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</si>
  <si>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</si>
  <si>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</si>
  <si>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</si>
  <si>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</si>
  <si>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</si>
  <si>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</si>
  <si>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</si>
  <si>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</si>
  <si>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</si>
  <si>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</si>
  <si>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</si>
  <si>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</si>
  <si>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</si>
  <si>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</si>
  <si>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</si>
  <si>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</si>
  <si>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</si>
  <si>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</si>
  <si>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</si>
  <si>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</si>
  <si>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</si>
  <si>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</si>
  <si>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</si>
  <si>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</si>
  <si>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</si>
  <si>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</si>
  <si>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</si>
  <si>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</si>
  <si>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</si>
  <si>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</si>
  <si>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</si>
  <si>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</si>
  <si>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</si>
  <si>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</si>
  <si>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</si>
  <si>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</si>
  <si>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</si>
  <si>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</si>
  <si>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</si>
  <si>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</si>
  <si>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</si>
  <si>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</si>
  <si>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</si>
  <si>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</si>
  <si>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</si>
  <si>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</si>
  <si>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</si>
  <si>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</si>
  <si>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</si>
  <si>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</si>
  <si>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</si>
  <si>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</si>
  <si>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</si>
  <si>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</si>
  <si>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</si>
  <si>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</si>
  <si>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</si>
  <si>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</si>
  <si>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</si>
  <si>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</si>
  <si>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</si>
  <si>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</si>
  <si>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</si>
  <si>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</si>
  <si>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</si>
  <si>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</si>
  <si>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</si>
  <si>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</si>
  <si>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</si>
  <si>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</si>
  <si>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</si>
  <si>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</si>
  <si>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</si>
  <si>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</si>
  <si>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</si>
  <si>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</si>
  <si>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</si>
  <si>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</si>
  <si>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</si>
  <si>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</si>
  <si>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</si>
  <si>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</si>
  <si>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</si>
  <si>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</si>
  <si>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</si>
  <si>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</si>
  <si>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</si>
  <si>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</si>
  <si>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</si>
  <si>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</si>
  <si>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</si>
  <si>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</si>
  <si>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</si>
  <si>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</si>
  <si>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</si>
  <si>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</si>
  <si>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</si>
  <si>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</si>
  <si>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</si>
  <si>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</si>
  <si>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</si>
  <si>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</si>
  <si>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</si>
  <si>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</si>
  <si>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</si>
  <si>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</si>
  <si>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</si>
  <si>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</si>
  <si>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</si>
  <si>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</si>
  <si>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</si>
  <si>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</si>
  <si>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</si>
  <si>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</si>
  <si>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</si>
  <si>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</si>
  <si>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</si>
  <si>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</si>
  <si>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</si>
  <si>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</si>
  <si>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</si>
  <si>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</si>
  <si>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</si>
  <si>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</si>
  <si>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</si>
  <si>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</si>
  <si>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</si>
  <si>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</si>
  <si>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</si>
  <si>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</si>
  <si>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</si>
  <si>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</si>
  <si>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</si>
  <si>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</si>
  <si>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</si>
  <si>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</si>
  <si>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</si>
  <si>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</si>
  <si>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</si>
  <si>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</si>
  <si>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</si>
  <si>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</si>
  <si>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</si>
  <si>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</si>
  <si>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</si>
  <si>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</si>
  <si>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</si>
  <si>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</si>
  <si>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</si>
  <si>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</si>
  <si>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</si>
  <si>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</si>
  <si>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</si>
  <si>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</si>
  <si>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</si>
  <si>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</si>
  <si>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</si>
  <si>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</si>
  <si>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</si>
  <si>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</si>
  <si>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</si>
  <si>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</si>
  <si>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</si>
  <si>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</si>
  <si>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</si>
  <si>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</si>
  <si>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</si>
  <si>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</si>
  <si>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</si>
  <si>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</si>
  <si>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</si>
  <si>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</si>
  <si>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</si>
  <si>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</si>
  <si>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</si>
  <si>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</si>
  <si>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</si>
  <si>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</si>
  <si>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</si>
  <si>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</si>
  <si>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</si>
  <si>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</si>
  <si>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</si>
  <si>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</si>
  <si>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</si>
  <si>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</si>
  <si>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</si>
  <si>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</si>
  <si>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</si>
  <si>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</si>
  <si>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</si>
  <si>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</si>
  <si>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</si>
  <si>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</si>
  <si>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</si>
  <si>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</si>
  <si>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</si>
  <si>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</si>
  <si>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</si>
  <si>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</si>
  <si>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</si>
  <si>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</si>
  <si>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</si>
  <si>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</si>
  <si>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</si>
  <si>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</si>
  <si>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</si>
  <si>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</si>
  <si>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</si>
  <si>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</si>
  <si>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</si>
  <si>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</si>
  <si>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</si>
  <si>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</si>
  <si>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</si>
  <si>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</si>
  <si>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</si>
  <si>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</si>
  <si>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</si>
  <si>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</si>
  <si>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</si>
  <si>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</si>
  <si>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</si>
  <si>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</si>
  <si>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</si>
  <si>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</si>
  <si>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</si>
  <si>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</si>
  <si>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</si>
  <si>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</si>
  <si>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</si>
  <si>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</si>
  <si>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</si>
  <si>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</si>
  <si>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</si>
  <si>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</si>
  <si>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</si>
  <si>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</si>
  <si>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</si>
  <si>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</si>
  <si>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</si>
  <si>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</si>
  <si>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</si>
  <si>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</si>
  <si>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</si>
  <si>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</si>
  <si>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</si>
  <si>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</si>
  <si>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</si>
  <si>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</si>
  <si>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</si>
  <si>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</si>
  <si>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</si>
  <si>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</si>
  <si>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</si>
  <si>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</si>
  <si>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</si>
  <si>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</si>
  <si>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</si>
  <si>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</si>
  <si>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</si>
  <si>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</si>
  <si>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</si>
  <si>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</si>
  <si>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</si>
  <si>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</si>
  <si>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</si>
  <si>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</si>
  <si>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</si>
  <si>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</si>
  <si>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</si>
  <si>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</si>
  <si>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</si>
  <si>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</si>
  <si>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</si>
  <si>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</si>
  <si>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</si>
  <si>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</si>
  <si>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</si>
  <si>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</si>
  <si>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</si>
  <si>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</si>
  <si>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</si>
  <si>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</si>
  <si>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</si>
  <si>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</si>
  <si>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</si>
  <si>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</si>
  <si>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</si>
  <si>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</si>
  <si>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</si>
  <si>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</si>
  <si>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</si>
  <si>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</si>
  <si>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</si>
  <si>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</si>
  <si>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</si>
  <si>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</si>
  <si>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</si>
  <si>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</si>
  <si>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</si>
  <si>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</si>
  <si>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</si>
  <si>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</si>
  <si>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</si>
  <si>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</si>
  <si>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</si>
  <si>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</si>
  <si>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</si>
  <si>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</si>
  <si>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</si>
  <si>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</si>
  <si>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</si>
  <si>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</si>
  <si>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</si>
  <si>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</si>
  <si>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</si>
  <si>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</si>
  <si>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</si>
  <si>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</si>
  <si>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</si>
  <si>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</si>
  <si>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</si>
  <si>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</si>
  <si>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</si>
  <si>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</si>
  <si>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</si>
  <si>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</si>
  <si>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</si>
  <si>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</si>
  <si>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</si>
  <si>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</si>
  <si>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</si>
  <si>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</si>
  <si>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</si>
  <si>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</si>
  <si>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</si>
  <si>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</si>
  <si>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</si>
  <si>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</si>
  <si>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</si>
  <si>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</si>
  <si>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</si>
  <si>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</si>
  <si>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</si>
  <si>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</si>
  <si>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</si>
  <si>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</si>
  <si>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</si>
  <si>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</si>
  <si>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</si>
  <si>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</si>
  <si>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</si>
  <si>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</si>
  <si>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</si>
  <si>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</si>
  <si>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</si>
  <si>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</si>
  <si>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</si>
  <si>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</si>
  <si>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</si>
  <si>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</si>
  <si>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</si>
  <si>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</si>
  <si>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</si>
  <si>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</si>
  <si>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</si>
  <si>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</si>
  <si>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</si>
  <si>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</si>
  <si>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</si>
  <si>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</si>
  <si>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</si>
  <si>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</si>
  <si>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</si>
  <si>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</si>
  <si>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</si>
  <si>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</si>
  <si>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</si>
  <si>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</si>
  <si>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</si>
  <si>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</si>
  <si>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</si>
  <si>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</si>
  <si>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</si>
  <si>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</si>
  <si>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</si>
  <si>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</si>
  <si>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</si>
  <si>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</si>
  <si>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</si>
  <si>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</si>
  <si>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</si>
  <si>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</si>
  <si>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</si>
  <si>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</si>
  <si>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</si>
  <si>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</si>
  <si>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</si>
  <si>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</si>
  <si>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</si>
  <si>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</si>
  <si>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</si>
  <si>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</si>
  <si>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</si>
  <si>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</si>
  <si>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</si>
  <si>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</si>
  <si>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</si>
  <si>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</si>
  <si>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</si>
  <si>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</si>
  <si>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</si>
  <si>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</si>
  <si>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</si>
  <si>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</si>
  <si>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</si>
  <si>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</si>
  <si>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</si>
  <si>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</si>
  <si>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</si>
  <si>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</si>
  <si>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</si>
  <si>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</si>
  <si>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</si>
  <si>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</si>
  <si>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</si>
  <si>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</si>
  <si>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</si>
  <si>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</si>
  <si>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</si>
  <si>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</si>
  <si>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</si>
  <si>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</si>
  <si>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</si>
  <si>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</si>
  <si>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</si>
  <si>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</si>
  <si>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</si>
  <si>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</si>
  <si>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</si>
  <si>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</si>
  <si>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</si>
  <si>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</si>
  <si>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</si>
  <si>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</si>
  <si>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</si>
  <si>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</si>
  <si>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</si>
  <si>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</si>
  <si>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</si>
  <si>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</si>
  <si>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</si>
  <si>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</si>
  <si>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</si>
  <si>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</si>
  <si>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</si>
  <si>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</si>
  <si>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</si>
  <si>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</si>
  <si>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</si>
  <si>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</si>
  <si>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</si>
  <si>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</si>
  <si>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</si>
  <si>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</si>
  <si>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</si>
  <si>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</si>
  <si>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</si>
  <si>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</si>
  <si>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</si>
  <si>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</si>
  <si>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</si>
  <si>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</si>
  <si>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</si>
  <si>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</si>
  <si>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</si>
  <si>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</si>
  <si>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</si>
  <si>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</si>
  <si>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</si>
  <si>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</si>
  <si>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</si>
  <si>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</si>
  <si>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</si>
  <si>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</si>
  <si>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</si>
  <si>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</si>
  <si>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</si>
  <si>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</si>
  <si>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</si>
  <si>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</si>
  <si>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</si>
  <si>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</si>
  <si>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</si>
  <si>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</si>
  <si>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</si>
  <si>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</si>
  <si>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</si>
  <si>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</si>
  <si>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</si>
  <si>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</si>
  <si>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</si>
  <si>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</si>
  <si>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</si>
  <si>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</si>
  <si>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</si>
  <si>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</si>
  <si>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</si>
  <si>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</si>
  <si>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</si>
  <si>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</si>
  <si>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</si>
  <si>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</si>
  <si>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</si>
  <si>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</si>
  <si>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</si>
  <si>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</si>
  <si>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</si>
  <si>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</si>
  <si>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</si>
  <si>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</si>
  <si>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</si>
  <si>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</si>
  <si>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</si>
  <si>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</si>
  <si>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</si>
  <si>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</si>
  <si>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</si>
  <si>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</si>
  <si>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</si>
  <si>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</si>
  <si>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</si>
  <si>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</si>
  <si>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</si>
  <si>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</si>
  <si>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</si>
  <si>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</si>
  <si>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</si>
  <si>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</si>
  <si>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</si>
  <si>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</si>
  <si>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</si>
  <si>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</si>
  <si>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</si>
  <si>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</si>
  <si>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</si>
  <si>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</si>
  <si>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</si>
  <si>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</si>
  <si>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</si>
  <si>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</si>
  <si>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</si>
  <si>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</si>
  <si>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</si>
  <si>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</si>
  <si>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</si>
  <si>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</si>
  <si>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</si>
  <si>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</si>
  <si>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</si>
  <si>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</si>
  <si>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</si>
  <si>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</si>
  <si>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</si>
  <si>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</si>
  <si>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</si>
  <si>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</si>
  <si>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</si>
  <si>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</si>
  <si>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</si>
  <si>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</si>
  <si>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</si>
  <si>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</si>
  <si>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</si>
  <si>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</si>
  <si>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</si>
  <si>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</si>
  <si>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</si>
  <si>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</si>
  <si>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</si>
  <si>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</si>
  <si>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</si>
  <si>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</si>
  <si>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</si>
  <si>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</si>
  <si>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</si>
  <si>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</si>
  <si>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</si>
  <si>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</si>
  <si>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</si>
  <si>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</si>
  <si>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</si>
  <si>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</si>
  <si>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</si>
  <si>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</si>
  <si>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</si>
  <si>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</si>
  <si>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</si>
  <si>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</si>
  <si>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</si>
  <si>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</si>
  <si>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</si>
  <si>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</si>
  <si>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</si>
  <si>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</si>
  <si>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</si>
  <si>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</si>
  <si>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</si>
  <si>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</si>
  <si>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</si>
  <si>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</si>
  <si>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</si>
  <si>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</si>
  <si>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</si>
  <si>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</si>
  <si>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</si>
  <si>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</si>
  <si>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</si>
  <si>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</si>
  <si>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</si>
  <si>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</si>
  <si>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</si>
  <si>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</si>
  <si>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</si>
  <si>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</si>
  <si>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</si>
  <si>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</si>
  <si>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</si>
  <si>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</si>
  <si>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</si>
  <si>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</si>
  <si>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</si>
  <si>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</si>
  <si>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</si>
  <si>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</si>
  <si>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</si>
  <si>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</si>
  <si>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</si>
  <si>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</si>
  <si>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</si>
  <si>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</si>
  <si>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</si>
  <si>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</si>
  <si>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</si>
  <si>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</si>
  <si>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</si>
  <si>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</si>
  <si>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</si>
  <si>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</si>
  <si>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</si>
  <si>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</si>
  <si>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</si>
  <si>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</si>
  <si>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</si>
  <si>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</si>
  <si>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</si>
  <si>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</si>
  <si>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</si>
  <si>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</si>
  <si>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</si>
  <si>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</si>
  <si>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</si>
  <si>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</si>
  <si>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</si>
  <si>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</si>
  <si>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</si>
  <si>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</si>
  <si>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</si>
  <si>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</si>
  <si>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</si>
  <si>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</si>
  <si>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</si>
  <si>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</si>
  <si>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</si>
  <si>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</si>
  <si>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</si>
  <si>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</si>
  <si>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</si>
  <si>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</si>
  <si>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</si>
  <si>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</si>
  <si>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</si>
  <si>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</si>
  <si>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</si>
  <si>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</si>
  <si>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</si>
  <si>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</si>
  <si>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</si>
  <si>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</si>
  <si>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</si>
  <si>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</si>
  <si>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</si>
  <si>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</si>
  <si>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</si>
  <si>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</si>
  <si>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</si>
  <si>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</si>
  <si>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</si>
  <si>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</si>
  <si>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</si>
  <si>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</si>
  <si>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</si>
  <si>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</si>
  <si>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</si>
  <si>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</si>
  <si>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</si>
  <si>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</si>
  <si>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</si>
  <si>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</si>
  <si>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</si>
  <si>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</si>
  <si>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</si>
  <si>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</si>
  <si>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</si>
  <si>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</si>
  <si>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</si>
  <si>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</si>
  <si>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</si>
  <si>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</si>
  <si>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</si>
  <si>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</si>
  <si>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</si>
  <si>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</si>
  <si>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</si>
  <si>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</si>
  <si>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</si>
  <si>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</si>
  <si>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</si>
  <si>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</si>
  <si>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</si>
  <si>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</si>
  <si>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</si>
  <si>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</si>
  <si>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</si>
  <si>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</si>
  <si>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</si>
  <si>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</si>
  <si>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</si>
  <si>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</si>
  <si>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</si>
  <si>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</si>
  <si>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</si>
  <si>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</si>
  <si>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</si>
  <si>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</si>
  <si>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Nicole Pettis</t>
  </si>
  <si>
    <t>State Farm General Insurance Company</t>
  </si>
  <si>
    <t>Non-Tenant Homeowners</t>
  </si>
  <si>
    <t>Renters</t>
  </si>
  <si>
    <t>Condominium Unitowners</t>
  </si>
  <si>
    <t>December 2022</t>
  </si>
  <si>
    <t>2021</t>
  </si>
  <si>
    <t>tF7BsV3b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</si>
</sst>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100"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i/>
      <sz val="11"/>
      <color rgb="FF7F7F7F"/>
      <name val="Calibri"/>
      <family val="2"/>
      <scheme val="minor"/>
    </font>
    <font>
      <sz val="10"/>
      <color rgb="FF000000"/>
      <name val="Arial"/>
      <family val="2"/>
    </font>
    <font>
      <sz val="10"/>
      <color indexed="12"/>
      <name val="Arial"/>
      <family val="2"/>
    </font>
    <font>
      <sz val="10"/>
      <color theme="1"/>
      <name val="Tahoma"/>
      <family val="2"/>
    </font>
    <font>
      <sz val="8"/>
      <color theme="1"/>
      <name val="Arial"/>
      <family val="2"/>
    </font>
    <font>
      <b/>
      <sz val="18"/>
      <color theme="3"/>
      <name val="Cambria"/>
      <family val="2"/>
      <scheme val="major"/>
    </font>
    <font>
      <sz val="10"/>
      <color rgb="FF000000"/>
      <name val="MS Sans Serif"/>
      <family val="2"/>
    </font>
    <font>
      <sz val="10"/>
      <color indexed="12"/>
      <name val="Times New Roman"/>
      <family val="1"/>
    </font>
    <font>
      <sz val="10"/>
      <color theme="10"/>
      <name val="Arial"/>
      <family val="2"/>
    </font>
  </fonts>
  <fills count="41">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s>
  <borders count="106">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76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xf numFmtId="0" fontId="92" fillId="0" borderId="0"/>
    <xf numFmtId="0" fontId="97" fillId="0" borderId="0"/>
    <xf numFmtId="0" fontId="94" fillId="0" borderId="0"/>
    <xf numFmtId="0" fontId="6" fillId="0" borderId="0"/>
    <xf numFmtId="0" fontId="92" fillId="0" borderId="0"/>
    <xf numFmtId="0" fontId="92" fillId="0" borderId="0"/>
    <xf numFmtId="0" fontId="3" fillId="0" borderId="0"/>
    <xf numFmtId="0" fontId="3" fillId="0" borderId="0"/>
    <xf numFmtId="0" fontId="97" fillId="0" borderId="0"/>
    <xf numFmtId="0" fontId="6" fillId="0" borderId="0"/>
    <xf numFmtId="0" fontId="92" fillId="0" borderId="0"/>
    <xf numFmtId="0" fontId="92" fillId="0" borderId="0"/>
    <xf numFmtId="0" fontId="6" fillId="0" borderId="0"/>
    <xf numFmtId="0" fontId="97" fillId="0" borderId="0"/>
    <xf numFmtId="0" fontId="6" fillId="0" borderId="0"/>
    <xf numFmtId="0" fontId="6" fillId="0" borderId="0"/>
    <xf numFmtId="0" fontId="6" fillId="0" borderId="0"/>
    <xf numFmtId="0" fontId="6" fillId="0" borderId="0"/>
    <xf numFmtId="0" fontId="97" fillId="0" borderId="0"/>
    <xf numFmtId="0" fontId="97" fillId="0" borderId="0"/>
    <xf numFmtId="0" fontId="6" fillId="40" borderId="0"/>
    <xf numFmtId="0" fontId="6" fillId="0" borderId="0"/>
    <xf numFmtId="0" fontId="92" fillId="0" borderId="0"/>
    <xf numFmtId="0" fontId="92" fillId="0" borderId="0"/>
    <xf numFmtId="0" fontId="97" fillId="0" borderId="0"/>
    <xf numFmtId="0" fontId="97" fillId="0" borderId="0"/>
    <xf numFmtId="0" fontId="92" fillId="0" borderId="0"/>
    <xf numFmtId="0" fontId="92" fillId="0" borderId="0"/>
    <xf numFmtId="0" fontId="97" fillId="0" borderId="0"/>
    <xf numFmtId="0" fontId="97" fillId="0" borderId="0"/>
    <xf numFmtId="0" fontId="92" fillId="0" borderId="0"/>
    <xf numFmtId="0" fontId="92" fillId="0" borderId="0"/>
    <xf numFmtId="0" fontId="92" fillId="0" borderId="0"/>
    <xf numFmtId="0" fontId="6" fillId="35" borderId="0"/>
    <xf numFmtId="0" fontId="6" fillId="0" borderId="0"/>
    <xf numFmtId="0" fontId="6" fillId="0" borderId="0"/>
    <xf numFmtId="0" fontId="92" fillId="0" borderId="0"/>
    <xf numFmtId="0" fontId="6" fillId="0" borderId="0"/>
    <xf numFmtId="0" fontId="80" fillId="0" borderId="0"/>
    <xf numFmtId="0" fontId="6" fillId="0" borderId="0"/>
    <xf numFmtId="0" fontId="6" fillId="0" borderId="0"/>
    <xf numFmtId="0" fontId="92" fillId="0" borderId="0"/>
    <xf numFmtId="0" fontId="92" fillId="0" borderId="0"/>
    <xf numFmtId="0" fontId="97" fillId="0" borderId="0"/>
    <xf numFmtId="0" fontId="92" fillId="0" borderId="0"/>
    <xf numFmtId="0" fontId="6" fillId="0" borderId="0"/>
    <xf numFmtId="0" fontId="6" fillId="0" borderId="0"/>
    <xf numFmtId="0" fontId="6" fillId="0" borderId="0"/>
    <xf numFmtId="0" fontId="97" fillId="0" borderId="0"/>
    <xf numFmtId="0" fontId="80" fillId="0" borderId="0"/>
    <xf numFmtId="0" fontId="97" fillId="0" borderId="0"/>
    <xf numFmtId="0" fontId="92" fillId="0" borderId="0"/>
    <xf numFmtId="0" fontId="92" fillId="0" borderId="0"/>
    <xf numFmtId="0" fontId="6" fillId="38" borderId="0"/>
    <xf numFmtId="0" fontId="6" fillId="0" borderId="0"/>
    <xf numFmtId="0" fontId="6" fillId="0" borderId="0"/>
    <xf numFmtId="0" fontId="9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2" fillId="0" borderId="0"/>
    <xf numFmtId="0" fontId="92" fillId="0" borderId="0"/>
    <xf numFmtId="0" fontId="6" fillId="0" borderId="0"/>
    <xf numFmtId="0" fontId="6" fillId="0" borderId="0"/>
    <xf numFmtId="0" fontId="6" fillId="0" borderId="0"/>
    <xf numFmtId="0" fontId="92" fillId="0" borderId="0"/>
    <xf numFmtId="0" fontId="97" fillId="0" borderId="0"/>
    <xf numFmtId="0" fontId="6" fillId="0" borderId="0"/>
    <xf numFmtId="0" fontId="97" fillId="0" borderId="0"/>
    <xf numFmtId="0" fontId="97" fillId="0" borderId="0"/>
    <xf numFmtId="0" fontId="97" fillId="0" borderId="0"/>
    <xf numFmtId="0" fontId="97" fillId="0" borderId="0"/>
    <xf numFmtId="0" fontId="6" fillId="0" borderId="0"/>
    <xf numFmtId="0" fontId="6" fillId="0" borderId="0"/>
    <xf numFmtId="0" fontId="6" fillId="0" borderId="0"/>
    <xf numFmtId="0" fontId="80" fillId="0" borderId="0"/>
    <xf numFmtId="0" fontId="99" fillId="0" borderId="0"/>
    <xf numFmtId="0" fontId="6" fillId="0" borderId="0"/>
    <xf numFmtId="0" fontId="6" fillId="0" borderId="0"/>
    <xf numFmtId="0" fontId="97" fillId="0" borderId="0"/>
    <xf numFmtId="0" fontId="9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2" fillId="0" borderId="0"/>
    <xf numFmtId="0" fontId="6" fillId="0" borderId="0"/>
    <xf numFmtId="0" fontId="6" fillId="0" borderId="0"/>
    <xf numFmtId="0" fontId="97" fillId="0" borderId="0"/>
    <xf numFmtId="0" fontId="92" fillId="0" borderId="0"/>
    <xf numFmtId="0" fontId="92" fillId="0" borderId="0"/>
    <xf numFmtId="0" fontId="92"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101"/>
    <xf numFmtId="0" fontId="92" fillId="0" borderId="0"/>
    <xf numFmtId="0" fontId="92" fillId="0" borderId="0"/>
    <xf numFmtId="0" fontId="92" fillId="0" borderId="0"/>
    <xf numFmtId="0" fontId="6" fillId="0" borderId="0"/>
    <xf numFmtId="0" fontId="3" fillId="0" borderId="0"/>
    <xf numFmtId="0" fontId="6" fillId="0" borderId="0"/>
    <xf numFmtId="0" fontId="6" fillId="0" borderId="0"/>
    <xf numFmtId="0" fontId="3" fillId="0" borderId="0"/>
    <xf numFmtId="0" fontId="92" fillId="0" borderId="0"/>
    <xf numFmtId="0" fontId="92" fillId="0" borderId="0"/>
    <xf numFmtId="0" fontId="6" fillId="0" borderId="0"/>
    <xf numFmtId="0" fontId="6" fillId="0" borderId="0"/>
    <xf numFmtId="0" fontId="92" fillId="0" borderId="0"/>
    <xf numFmtId="0" fontId="92" fillId="0" borderId="0"/>
    <xf numFmtId="0" fontId="92" fillId="0" borderId="0"/>
    <xf numFmtId="0" fontId="97" fillId="0" borderId="0"/>
    <xf numFmtId="0" fontId="92" fillId="0" borderId="0"/>
    <xf numFmtId="0" fontId="92" fillId="0" borderId="0"/>
    <xf numFmtId="0" fontId="6" fillId="0" borderId="0"/>
    <xf numFmtId="0" fontId="6" fillId="0" borderId="0"/>
    <xf numFmtId="0" fontId="92" fillId="0" borderId="0"/>
    <xf numFmtId="0" fontId="92" fillId="0" borderId="0"/>
    <xf numFmtId="0" fontId="6" fillId="0" borderId="0"/>
    <xf numFmtId="0" fontId="6" fillId="0" borderId="0"/>
    <xf numFmtId="0" fontId="97" fillId="0" borderId="0"/>
    <xf numFmtId="0" fontId="80" fillId="0" borderId="0"/>
    <xf numFmtId="0" fontId="6" fillId="0" borderId="0"/>
    <xf numFmtId="0" fontId="6" fillId="0" borderId="0"/>
    <xf numFmtId="0" fontId="87" fillId="0" borderId="100"/>
    <xf numFmtId="0" fontId="97" fillId="0" borderId="0"/>
    <xf numFmtId="0" fontId="97" fillId="0" borderId="0"/>
    <xf numFmtId="0" fontId="92" fillId="0" borderId="0"/>
    <xf numFmtId="0" fontId="97" fillId="0" borderId="0"/>
    <xf numFmtId="0" fontId="92" fillId="0" borderId="0"/>
    <xf numFmtId="0" fontId="92" fillId="0" borderId="0"/>
    <xf numFmtId="0" fontId="6" fillId="0" borderId="0"/>
    <xf numFmtId="0" fontId="6" fillId="0" borderId="0"/>
    <xf numFmtId="0" fontId="6" fillId="32" borderId="0"/>
    <xf numFmtId="0" fontId="97" fillId="0" borderId="0"/>
    <xf numFmtId="0" fontId="97" fillId="0" borderId="0"/>
    <xf numFmtId="0" fontId="92" fillId="0" borderId="0"/>
    <xf numFmtId="0" fontId="6" fillId="0" borderId="0"/>
    <xf numFmtId="0" fontId="6" fillId="0" borderId="0"/>
    <xf numFmtId="0" fontId="92" fillId="0" borderId="0"/>
    <xf numFmtId="0" fontId="6" fillId="0" borderId="0"/>
    <xf numFmtId="0" fontId="6" fillId="0" borderId="0"/>
    <xf numFmtId="0" fontId="97" fillId="0" borderId="0"/>
    <xf numFmtId="0" fontId="97" fillId="0" borderId="0"/>
    <xf numFmtId="0" fontId="92" fillId="0" borderId="0"/>
    <xf numFmtId="0" fontId="92" fillId="0" borderId="0"/>
    <xf numFmtId="0" fontId="92" fillId="0" borderId="0"/>
    <xf numFmtId="0" fontId="92" fillId="0" borderId="0"/>
    <xf numFmtId="0" fontId="6" fillId="0" borderId="0"/>
    <xf numFmtId="0" fontId="6" fillId="0" borderId="0"/>
    <xf numFmtId="0" fontId="6" fillId="0" borderId="0"/>
    <xf numFmtId="0" fontId="6" fillId="0" borderId="0"/>
    <xf numFmtId="0" fontId="6" fillId="0" borderId="0"/>
    <xf numFmtId="0" fontId="6" fillId="0" borderId="0"/>
    <xf numFmtId="0" fontId="92" fillId="0" borderId="0"/>
    <xf numFmtId="0" fontId="92" fillId="0" borderId="0"/>
    <xf numFmtId="0" fontId="92" fillId="0" borderId="0"/>
    <xf numFmtId="0" fontId="97" fillId="0" borderId="0"/>
    <xf numFmtId="0" fontId="94" fillId="0" borderId="0"/>
    <xf numFmtId="0" fontId="92" fillId="0" borderId="0"/>
    <xf numFmtId="0" fontId="92" fillId="0" borderId="0"/>
    <xf numFmtId="0" fontId="92" fillId="0" borderId="0"/>
    <xf numFmtId="0" fontId="92" fillId="0" borderId="0"/>
    <xf numFmtId="0" fontId="92" fillId="0" borderId="0"/>
    <xf numFmtId="0" fontId="6" fillId="0" borderId="0"/>
    <xf numFmtId="0" fontId="6" fillId="0" borderId="0"/>
    <xf numFmtId="0" fontId="6" fillId="0" borderId="0"/>
    <xf numFmtId="0" fontId="92" fillId="0" borderId="0"/>
    <xf numFmtId="0" fontId="6" fillId="31" borderId="0"/>
    <xf numFmtId="0" fontId="97" fillId="0" borderId="0"/>
    <xf numFmtId="0" fontId="3" fillId="0" borderId="0"/>
    <xf numFmtId="0" fontId="6" fillId="0" borderId="0"/>
    <xf numFmtId="0" fontId="6" fillId="0" borderId="0"/>
    <xf numFmtId="0" fontId="6" fillId="0" borderId="0"/>
    <xf numFmtId="0" fontId="89" fillId="0" borderId="0"/>
    <xf numFmtId="0" fontId="6" fillId="0" borderId="0"/>
    <xf numFmtId="0" fontId="6" fillId="0" borderId="0"/>
    <xf numFmtId="0" fontId="48" fillId="0" borderId="0"/>
    <xf numFmtId="0" fontId="80" fillId="0" borderId="0"/>
    <xf numFmtId="0" fontId="97" fillId="0" borderId="0"/>
    <xf numFmtId="0" fontId="97" fillId="0" borderId="0"/>
    <xf numFmtId="0" fontId="92" fillId="0" borderId="0"/>
    <xf numFmtId="0" fontId="97" fillId="0" borderId="0"/>
    <xf numFmtId="0" fontId="97" fillId="0" borderId="0"/>
    <xf numFmtId="0" fontId="97" fillId="0" borderId="0"/>
    <xf numFmtId="0" fontId="92" fillId="0" borderId="0"/>
    <xf numFmtId="0" fontId="92" fillId="0" borderId="0"/>
    <xf numFmtId="0" fontId="80" fillId="0" borderId="0"/>
    <xf numFmtId="0" fontId="80" fillId="0" borderId="0"/>
    <xf numFmtId="0" fontId="6" fillId="30" borderId="0"/>
    <xf numFmtId="0" fontId="92" fillId="0" borderId="0"/>
    <xf numFmtId="0" fontId="92" fillId="0" borderId="0"/>
    <xf numFmtId="0" fontId="92" fillId="0" borderId="0"/>
    <xf numFmtId="0" fontId="92" fillId="0" borderId="0"/>
    <xf numFmtId="0" fontId="8" fillId="0" borderId="105"/>
    <xf numFmtId="0" fontId="92" fillId="0" borderId="0"/>
    <xf numFmtId="0" fontId="92" fillId="0" borderId="0"/>
    <xf numFmtId="0" fontId="94" fillId="0" borderId="0"/>
    <xf numFmtId="0" fontId="97" fillId="0" borderId="0"/>
    <xf numFmtId="0" fontId="92" fillId="0" borderId="0"/>
    <xf numFmtId="0" fontId="92" fillId="0" borderId="0"/>
    <xf numFmtId="0" fontId="95" fillId="0" borderId="0"/>
    <xf numFmtId="0" fontId="97" fillId="0" borderId="0"/>
    <xf numFmtId="0" fontId="97" fillId="0" borderId="0"/>
    <xf numFmtId="0" fontId="92" fillId="0" borderId="0"/>
    <xf numFmtId="0" fontId="92" fillId="0" borderId="0"/>
    <xf numFmtId="0" fontId="92" fillId="0" borderId="0"/>
    <xf numFmtId="0" fontId="6" fillId="0" borderId="0"/>
    <xf numFmtId="0" fontId="97" fillId="0" borderId="0"/>
    <xf numFmtId="0" fontId="92" fillId="0" borderId="0"/>
    <xf numFmtId="0" fontId="92" fillId="0" borderId="0"/>
    <xf numFmtId="0" fontId="97" fillId="0" borderId="0"/>
    <xf numFmtId="0" fontId="92" fillId="0" borderId="0"/>
    <xf numFmtId="0" fontId="6" fillId="0" borderId="0"/>
    <xf numFmtId="0" fontId="6" fillId="0" borderId="0"/>
    <xf numFmtId="0" fontId="92" fillId="0" borderId="0"/>
    <xf numFmtId="0" fontId="6" fillId="0" borderId="0"/>
    <xf numFmtId="0" fontId="92" fillId="0" borderId="0"/>
    <xf numFmtId="0" fontId="6" fillId="0" borderId="0"/>
    <xf numFmtId="0" fontId="6" fillId="0" borderId="0"/>
    <xf numFmtId="0" fontId="6" fillId="0" borderId="0"/>
    <xf numFmtId="0" fontId="6" fillId="36" borderId="0"/>
    <xf numFmtId="0" fontId="97" fillId="0" borderId="0"/>
    <xf numFmtId="0" fontId="97" fillId="0" borderId="0"/>
    <xf numFmtId="0" fontId="6" fillId="0" borderId="0"/>
    <xf numFmtId="0" fontId="6" fillId="0" borderId="0"/>
    <xf numFmtId="0" fontId="6" fillId="0" borderId="0"/>
    <xf numFmtId="0" fontId="6" fillId="0" borderId="0"/>
    <xf numFmtId="0" fontId="6" fillId="0" borderId="0"/>
    <xf numFmtId="0" fontId="6" fillId="0" borderId="0"/>
    <xf numFmtId="0" fontId="92" fillId="0" borderId="0"/>
    <xf numFmtId="0" fontId="3" fillId="0" borderId="0"/>
    <xf numFmtId="0" fontId="80" fillId="0" borderId="0"/>
    <xf numFmtId="0" fontId="92" fillId="0" borderId="0"/>
    <xf numFmtId="0" fontId="92" fillId="0" borderId="0"/>
    <xf numFmtId="0" fontId="3" fillId="0" borderId="0"/>
    <xf numFmtId="0" fontId="92" fillId="0" borderId="0"/>
    <xf numFmtId="0" fontId="6" fillId="0" borderId="0"/>
    <xf numFmtId="0" fontId="6" fillId="0" borderId="0"/>
    <xf numFmtId="0" fontId="92" fillId="0" borderId="0"/>
    <xf numFmtId="0" fontId="92" fillId="0" borderId="0"/>
    <xf numFmtId="0" fontId="92" fillId="0" borderId="0"/>
    <xf numFmtId="0" fontId="97" fillId="0" borderId="0"/>
    <xf numFmtId="0" fontId="92" fillId="0" borderId="0"/>
    <xf numFmtId="0" fontId="96" fillId="0" borderId="0"/>
    <xf numFmtId="0" fontId="92" fillId="0" borderId="0"/>
    <xf numFmtId="0" fontId="92" fillId="0" borderId="0"/>
    <xf numFmtId="0" fontId="92" fillId="0" borderId="0"/>
    <xf numFmtId="0" fontId="6" fillId="0" borderId="0"/>
    <xf numFmtId="0" fontId="6" fillId="0" borderId="0"/>
    <xf numFmtId="0" fontId="6" fillId="0" borderId="0"/>
    <xf numFmtId="0" fontId="6" fillId="0" borderId="0"/>
    <xf numFmtId="0" fontId="3" fillId="28" borderId="104"/>
    <xf numFmtId="0" fontId="6" fillId="0" borderId="0"/>
    <xf numFmtId="0" fontId="80" fillId="0" borderId="0"/>
    <xf numFmtId="0" fontId="97" fillId="0" borderId="0"/>
    <xf numFmtId="0" fontId="92" fillId="0" borderId="0"/>
    <xf numFmtId="0" fontId="9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7" fillId="0" borderId="0"/>
    <xf numFmtId="0" fontId="97" fillId="0" borderId="0"/>
    <xf numFmtId="0" fontId="92" fillId="0" borderId="0"/>
    <xf numFmtId="0" fontId="80" fillId="0" borderId="0"/>
    <xf numFmtId="0" fontId="80" fillId="0" borderId="0"/>
    <xf numFmtId="0" fontId="80" fillId="0" borderId="0"/>
    <xf numFmtId="0" fontId="92" fillId="0" borderId="0"/>
    <xf numFmtId="0" fontId="9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9" borderId="0"/>
    <xf numFmtId="0" fontId="6" fillId="0" borderId="0"/>
    <xf numFmtId="0" fontId="92" fillId="0" borderId="0"/>
    <xf numFmtId="0" fontId="92" fillId="0" borderId="0"/>
    <xf numFmtId="0" fontId="3" fillId="0" borderId="0"/>
    <xf numFmtId="0" fontId="97" fillId="0" borderId="0"/>
    <xf numFmtId="0" fontId="6" fillId="0" borderId="0"/>
    <xf numFmtId="0" fontId="6" fillId="0" borderId="0"/>
    <xf numFmtId="0" fontId="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7" fillId="0" borderId="0"/>
    <xf numFmtId="0" fontId="6" fillId="0" borderId="0"/>
    <xf numFmtId="0" fontId="6" fillId="0" borderId="0"/>
    <xf numFmtId="0" fontId="97" fillId="0" borderId="0"/>
    <xf numFmtId="0" fontId="9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8" fillId="0" borderId="0"/>
    <xf numFmtId="0" fontId="80" fillId="0" borderId="0"/>
    <xf numFmtId="0" fontId="6" fillId="0" borderId="0"/>
    <xf numFmtId="0" fontId="6" fillId="0" borderId="0"/>
    <xf numFmtId="0" fontId="6" fillId="29" borderId="0"/>
    <xf numFmtId="0" fontId="92" fillId="0" borderId="0"/>
    <xf numFmtId="0" fontId="6" fillId="0" borderId="0"/>
    <xf numFmtId="0" fontId="92" fillId="0" borderId="0"/>
    <xf numFmtId="0" fontId="92" fillId="0" borderId="0"/>
    <xf numFmtId="0" fontId="6" fillId="0" borderId="0"/>
    <xf numFmtId="0" fontId="6" fillId="0" borderId="0"/>
    <xf numFmtId="0" fontId="6" fillId="0" borderId="0"/>
    <xf numFmtId="0" fontId="6" fillId="0" borderId="0"/>
    <xf numFmtId="0" fontId="6" fillId="0" borderId="0"/>
    <xf numFmtId="0" fontId="92" fillId="0" borderId="0"/>
    <xf numFmtId="0" fontId="6" fillId="0" borderId="0"/>
    <xf numFmtId="0" fontId="80" fillId="0" borderId="0"/>
    <xf numFmtId="0" fontId="6" fillId="0" borderId="0"/>
    <xf numFmtId="0" fontId="6" fillId="0" borderId="0"/>
    <xf numFmtId="0" fontId="92" fillId="0" borderId="0"/>
    <xf numFmtId="0" fontId="6" fillId="0" borderId="0"/>
    <xf numFmtId="0" fontId="92" fillId="0" borderId="0"/>
    <xf numFmtId="0" fontId="92" fillId="0" borderId="0"/>
    <xf numFmtId="0" fontId="92" fillId="0" borderId="0"/>
    <xf numFmtId="0" fontId="92" fillId="0" borderId="0"/>
    <xf numFmtId="0" fontId="6" fillId="0" borderId="0"/>
    <xf numFmtId="0" fontId="92" fillId="0" borderId="0"/>
    <xf numFmtId="0" fontId="6" fillId="0" borderId="0"/>
    <xf numFmtId="0" fontId="6" fillId="0" borderId="0"/>
    <xf numFmtId="0" fontId="6" fillId="0" borderId="0"/>
    <xf numFmtId="0" fontId="97" fillId="0" borderId="0"/>
    <xf numFmtId="0" fontId="6" fillId="0" borderId="0"/>
    <xf numFmtId="0" fontId="97" fillId="0" borderId="0"/>
    <xf numFmtId="0" fontId="6" fillId="0" borderId="0"/>
    <xf numFmtId="0" fontId="80" fillId="0" borderId="0"/>
    <xf numFmtId="0" fontId="80" fillId="0" borderId="0"/>
    <xf numFmtId="0" fontId="6" fillId="0" borderId="0"/>
    <xf numFmtId="0" fontId="6" fillId="0" borderId="0"/>
    <xf numFmtId="0" fontId="6" fillId="0" borderId="0"/>
    <xf numFmtId="0" fontId="6" fillId="0" borderId="0"/>
    <xf numFmtId="0" fontId="6" fillId="0" borderId="0"/>
    <xf numFmtId="0" fontId="97" fillId="0" borderId="0"/>
    <xf numFmtId="0" fontId="92" fillId="0" borderId="0"/>
    <xf numFmtId="0" fontId="92" fillId="0" borderId="0"/>
    <xf numFmtId="0" fontId="97" fillId="0" borderId="0"/>
    <xf numFmtId="0" fontId="97" fillId="0" borderId="0"/>
    <xf numFmtId="0" fontId="92" fillId="0" borderId="0"/>
    <xf numFmtId="0" fontId="97" fillId="0" borderId="0"/>
    <xf numFmtId="0" fontId="92" fillId="0" borderId="0"/>
    <xf numFmtId="0" fontId="6" fillId="0" borderId="0"/>
    <xf numFmtId="0" fontId="6" fillId="0" borderId="0"/>
    <xf numFmtId="0" fontId="97" fillId="0" borderId="0"/>
    <xf numFmtId="0" fontId="97" fillId="0" borderId="0"/>
    <xf numFmtId="0" fontId="97" fillId="0" borderId="0"/>
    <xf numFmtId="0" fontId="97" fillId="0" borderId="0"/>
    <xf numFmtId="0" fontId="92" fillId="0" borderId="0"/>
    <xf numFmtId="0" fontId="6" fillId="0" borderId="0"/>
    <xf numFmtId="0" fontId="92" fillId="0" borderId="0"/>
    <xf numFmtId="0" fontId="98" fillId="0" borderId="0"/>
    <xf numFmtId="0" fontId="93" fillId="0" borderId="0"/>
    <xf numFmtId="0" fontId="92" fillId="0" borderId="0"/>
    <xf numFmtId="0" fontId="6" fillId="0" borderId="0"/>
    <xf numFmtId="0" fontId="6" fillId="0" borderId="0"/>
    <xf numFmtId="0" fontId="6" fillId="0" borderId="0"/>
    <xf numFmtId="0" fontId="6" fillId="0" borderId="0"/>
    <xf numFmtId="0" fontId="6" fillId="0" borderId="0"/>
    <xf numFmtId="0" fontId="97" fillId="0" borderId="0"/>
    <xf numFmtId="0" fontId="97" fillId="0" borderId="0"/>
    <xf numFmtId="0" fontId="92" fillId="0" borderId="0"/>
    <xf numFmtId="0" fontId="97" fillId="0" borderId="0"/>
    <xf numFmtId="0" fontId="6" fillId="0" borderId="0"/>
    <xf numFmtId="0" fontId="97" fillId="0" borderId="0"/>
    <xf numFmtId="0" fontId="92" fillId="0" borderId="0"/>
    <xf numFmtId="0" fontId="92" fillId="0" borderId="0"/>
    <xf numFmtId="0" fontId="6" fillId="0" borderId="0"/>
    <xf numFmtId="0" fontId="97" fillId="0" borderId="0"/>
    <xf numFmtId="0" fontId="92" fillId="0" borderId="0"/>
    <xf numFmtId="0" fontId="97" fillId="0" borderId="0"/>
    <xf numFmtId="0" fontId="97" fillId="0" borderId="0"/>
    <xf numFmtId="0" fontId="97" fillId="0" borderId="0"/>
    <xf numFmtId="0" fontId="92" fillId="0" borderId="0"/>
    <xf numFmtId="0" fontId="92" fillId="0" borderId="0"/>
    <xf numFmtId="0" fontId="92" fillId="0" borderId="0"/>
    <xf numFmtId="0" fontId="92" fillId="0" borderId="0"/>
    <xf numFmtId="0" fontId="92" fillId="0" borderId="0"/>
    <xf numFmtId="0" fontId="6" fillId="0" borderId="0"/>
    <xf numFmtId="0" fontId="6" fillId="0" borderId="0"/>
    <xf numFmtId="0" fontId="6" fillId="0" borderId="0"/>
    <xf numFmtId="0" fontId="9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2" fillId="0" borderId="0"/>
    <xf numFmtId="0" fontId="6" fillId="0" borderId="0"/>
    <xf numFmtId="0" fontId="6" fillId="0" borderId="0"/>
    <xf numFmtId="0" fontId="92" fillId="0" borderId="0"/>
    <xf numFmtId="0" fontId="97" fillId="0" borderId="0"/>
    <xf numFmtId="0" fontId="92" fillId="0" borderId="0"/>
    <xf numFmtId="0" fontId="6" fillId="0" borderId="0"/>
    <xf numFmtId="0" fontId="6" fillId="0" borderId="0"/>
    <xf numFmtId="0" fontId="92" fillId="0" borderId="0"/>
    <xf numFmtId="0" fontId="6" fillId="0" borderId="0"/>
    <xf numFmtId="0" fontId="6" fillId="0" borderId="0"/>
    <xf numFmtId="0" fontId="92" fillId="0" borderId="0"/>
    <xf numFmtId="0" fontId="92" fillId="0" borderId="0"/>
    <xf numFmtId="0" fontId="92" fillId="0" borderId="0"/>
    <xf numFmtId="0" fontId="92" fillId="0" borderId="0"/>
    <xf numFmtId="0" fontId="97" fillId="0" borderId="0"/>
    <xf numFmtId="0" fontId="97" fillId="0" borderId="0"/>
    <xf numFmtId="0" fontId="92" fillId="0" borderId="0"/>
    <xf numFmtId="0" fontId="97" fillId="0" borderId="0"/>
    <xf numFmtId="0" fontId="92" fillId="0" borderId="0"/>
    <xf numFmtId="0" fontId="97" fillId="0" borderId="0"/>
    <xf numFmtId="0" fontId="3" fillId="28" borderId="104"/>
    <xf numFmtId="0" fontId="92" fillId="0" borderId="0"/>
    <xf numFmtId="0" fontId="92" fillId="0" borderId="0"/>
    <xf numFmtId="0" fontId="92" fillId="0" borderId="0"/>
    <xf numFmtId="0" fontId="6" fillId="37" borderId="0"/>
    <xf numFmtId="0" fontId="6" fillId="0" borderId="0"/>
    <xf numFmtId="0" fontId="97" fillId="0" borderId="0"/>
    <xf numFmtId="0" fontId="97" fillId="0" borderId="0"/>
    <xf numFmtId="0" fontId="97" fillId="0" borderId="0"/>
    <xf numFmtId="0" fontId="97" fillId="0" borderId="0"/>
    <xf numFmtId="0" fontId="6" fillId="0" borderId="0"/>
    <xf numFmtId="0" fontId="6" fillId="0" borderId="0"/>
    <xf numFmtId="0" fontId="6" fillId="0" borderId="0"/>
    <xf numFmtId="0" fontId="6" fillId="0" borderId="0"/>
    <xf numFmtId="0" fontId="6" fillId="0" borderId="0"/>
    <xf numFmtId="0" fontId="6" fillId="0" borderId="0"/>
    <xf numFmtId="0" fontId="91" fillId="0" borderId="0"/>
    <xf numFmtId="0" fontId="6" fillId="0" borderId="0"/>
    <xf numFmtId="0" fontId="80" fillId="0" borderId="0"/>
    <xf numFmtId="0" fontId="6" fillId="0" borderId="0"/>
    <xf numFmtId="0" fontId="6" fillId="0" borderId="0"/>
    <xf numFmtId="0" fontId="6" fillId="0" borderId="0"/>
    <xf numFmtId="0" fontId="6" fillId="0" borderId="0"/>
    <xf numFmtId="0" fontId="6" fillId="0" borderId="0"/>
    <xf numFmtId="0" fontId="3" fillId="0" borderId="0"/>
    <xf numFmtId="0" fontId="3" fillId="0" borderId="0"/>
    <xf numFmtId="0" fontId="6" fillId="0" borderId="0"/>
    <xf numFmtId="0" fontId="6" fillId="0" borderId="0"/>
    <xf numFmtId="0" fontId="6" fillId="0" borderId="0"/>
    <xf numFmtId="0" fontId="6" fillId="0" borderId="0"/>
    <xf numFmtId="0" fontId="92" fillId="0" borderId="0"/>
    <xf numFmtId="0" fontId="92" fillId="0" borderId="0"/>
    <xf numFmtId="0" fontId="6" fillId="0" borderId="0"/>
    <xf numFmtId="0" fontId="80" fillId="0" borderId="0"/>
    <xf numFmtId="0" fontId="6" fillId="0" borderId="0"/>
    <xf numFmtId="0" fontId="6" fillId="0" borderId="0"/>
    <xf numFmtId="0" fontId="92" fillId="0" borderId="0"/>
    <xf numFmtId="0" fontId="6" fillId="0" borderId="0"/>
    <xf numFmtId="0" fontId="6" fillId="0" borderId="0"/>
    <xf numFmtId="0" fontId="6" fillId="0" borderId="0"/>
    <xf numFmtId="0" fontId="6" fillId="0" borderId="0"/>
    <xf numFmtId="0" fontId="6" fillId="0" borderId="0"/>
    <xf numFmtId="0" fontId="97" fillId="0" borderId="0"/>
    <xf numFmtId="0" fontId="3" fillId="0" borderId="0"/>
    <xf numFmtId="0" fontId="6" fillId="0" borderId="0"/>
    <xf numFmtId="0" fontId="6" fillId="0" borderId="0"/>
    <xf numFmtId="0" fontId="92" fillId="0" borderId="0"/>
    <xf numFmtId="0" fontId="6" fillId="0" borderId="0"/>
    <xf numFmtId="0" fontId="6" fillId="0" borderId="0"/>
    <xf numFmtId="0" fontId="6" fillId="0" borderId="0"/>
    <xf numFmtId="0" fontId="92" fillId="0" borderId="0"/>
    <xf numFmtId="0" fontId="6" fillId="0" borderId="0"/>
    <xf numFmtId="0" fontId="6" fillId="0" borderId="0"/>
    <xf numFmtId="0" fontId="97" fillId="0" borderId="0"/>
    <xf numFmtId="0" fontId="6" fillId="0" borderId="0"/>
    <xf numFmtId="0" fontId="6" fillId="0" borderId="0"/>
    <xf numFmtId="0" fontId="97" fillId="0" borderId="0"/>
    <xf numFmtId="0" fontId="6" fillId="0" borderId="0"/>
    <xf numFmtId="0" fontId="6" fillId="0" borderId="0"/>
    <xf numFmtId="0" fontId="6" fillId="0" borderId="0"/>
    <xf numFmtId="0" fontId="6" fillId="0" borderId="0"/>
    <xf numFmtId="0" fontId="97" fillId="0" borderId="0"/>
    <xf numFmtId="0" fontId="97" fillId="0" borderId="0"/>
    <xf numFmtId="0" fontId="6" fillId="0" borderId="0"/>
    <xf numFmtId="0" fontId="6" fillId="0" borderId="0"/>
    <xf numFmtId="0" fontId="97" fillId="0" borderId="0"/>
    <xf numFmtId="0" fontId="97" fillId="0" borderId="0"/>
    <xf numFmtId="0" fontId="97" fillId="0" borderId="0"/>
    <xf numFmtId="0" fontId="92" fillId="0" borderId="0"/>
    <xf numFmtId="0" fontId="6" fillId="0" borderId="0"/>
    <xf numFmtId="0" fontId="6" fillId="0" borderId="0"/>
    <xf numFmtId="0" fontId="92" fillId="0" borderId="0"/>
    <xf numFmtId="0" fontId="6" fillId="0" borderId="0"/>
    <xf numFmtId="0" fontId="80" fillId="0" borderId="0"/>
    <xf numFmtId="0" fontId="6" fillId="0" borderId="0"/>
    <xf numFmtId="0" fontId="6" fillId="0" borderId="0"/>
    <xf numFmtId="0" fontId="97" fillId="0" borderId="0"/>
    <xf numFmtId="0" fontId="92" fillId="0" borderId="0"/>
    <xf numFmtId="0" fontId="6" fillId="0" borderId="0"/>
    <xf numFmtId="0" fontId="6" fillId="0" borderId="0"/>
    <xf numFmtId="0" fontId="93" fillId="0" borderId="0"/>
    <xf numFmtId="0" fontId="99" fillId="0" borderId="0"/>
    <xf numFmtId="0" fontId="6" fillId="0" borderId="0"/>
    <xf numFmtId="0" fontId="6" fillId="0" borderId="0"/>
    <xf numFmtId="0" fontId="6" fillId="0" borderId="0"/>
    <xf numFmtId="0" fontId="6" fillId="0" borderId="0"/>
    <xf numFmtId="0" fontId="89" fillId="0" borderId="102"/>
    <xf numFmtId="0" fontId="6" fillId="0" borderId="0"/>
    <xf numFmtId="0" fontId="6" fillId="0" borderId="0"/>
    <xf numFmtId="0" fontId="92" fillId="0" borderId="0"/>
    <xf numFmtId="0" fontId="92" fillId="0" borderId="0"/>
    <xf numFmtId="0" fontId="6" fillId="0" borderId="0"/>
    <xf numFmtId="0" fontId="6" fillId="0" borderId="0"/>
    <xf numFmtId="0" fontId="6" fillId="0" borderId="0"/>
    <xf numFmtId="0" fontId="6" fillId="0" borderId="0"/>
    <xf numFmtId="0" fontId="6" fillId="0" borderId="0"/>
    <xf numFmtId="0" fontId="6" fillId="0" borderId="0"/>
    <xf numFmtId="0" fontId="97" fillId="0" borderId="0"/>
    <xf numFmtId="0" fontId="6" fillId="0" borderId="0"/>
    <xf numFmtId="0" fontId="6" fillId="0" borderId="0"/>
    <xf numFmtId="0" fontId="6" fillId="0" borderId="0"/>
    <xf numFmtId="0" fontId="92" fillId="0" borderId="0"/>
    <xf numFmtId="0" fontId="92" fillId="0" borderId="0"/>
    <xf numFmtId="0" fontId="97" fillId="0" borderId="0"/>
    <xf numFmtId="0" fontId="6" fillId="0" borderId="0"/>
    <xf numFmtId="0" fontId="6" fillId="0" borderId="0"/>
    <xf numFmtId="0" fontId="97" fillId="0" borderId="0"/>
    <xf numFmtId="0" fontId="92" fillId="0" borderId="0"/>
    <xf numFmtId="0" fontId="6" fillId="0" borderId="0"/>
    <xf numFmtId="0" fontId="95" fillId="0" borderId="0"/>
    <xf numFmtId="0" fontId="6" fillId="0" borderId="0"/>
    <xf numFmtId="0" fontId="6" fillId="0" borderId="0"/>
    <xf numFmtId="0" fontId="6" fillId="0" borderId="0"/>
    <xf numFmtId="0" fontId="92" fillId="0" borderId="0"/>
    <xf numFmtId="0" fontId="6" fillId="0" borderId="0"/>
    <xf numFmtId="0" fontId="6" fillId="0" borderId="0"/>
    <xf numFmtId="0" fontId="6" fillId="0" borderId="0"/>
    <xf numFmtId="0" fontId="6" fillId="28" borderId="104"/>
    <xf numFmtId="0" fontId="3" fillId="28" borderId="104"/>
    <xf numFmtId="0" fontId="6" fillId="28" borderId="104"/>
    <xf numFmtId="0" fontId="6" fillId="0" borderId="0"/>
    <xf numFmtId="0" fontId="6" fillId="0" borderId="0"/>
    <xf numFmtId="0" fontId="92" fillId="0" borderId="0"/>
    <xf numFmtId="0" fontId="6" fillId="0" borderId="0"/>
    <xf numFmtId="0" fontId="92" fillId="0" borderId="0"/>
    <xf numFmtId="0" fontId="92" fillId="0" borderId="0"/>
    <xf numFmtId="0" fontId="92" fillId="0" borderId="0"/>
    <xf numFmtId="0" fontId="6" fillId="0" borderId="0"/>
    <xf numFmtId="0" fontId="6" fillId="0" borderId="0"/>
    <xf numFmtId="0" fontId="97" fillId="0" borderId="0"/>
    <xf numFmtId="0" fontId="92" fillId="0" borderId="0"/>
    <xf numFmtId="0" fontId="92" fillId="0" borderId="0"/>
    <xf numFmtId="0" fontId="92" fillId="0" borderId="0"/>
    <xf numFmtId="0" fontId="97" fillId="0" borderId="0"/>
    <xf numFmtId="0" fontId="97" fillId="0" borderId="0"/>
    <xf numFmtId="0" fontId="94" fillId="0" borderId="0"/>
    <xf numFmtId="0" fontId="97" fillId="0" borderId="0"/>
    <xf numFmtId="0" fontId="97" fillId="0" borderId="0"/>
    <xf numFmtId="0" fontId="6" fillId="0" borderId="0"/>
    <xf numFmtId="0" fontId="6" fillId="0" borderId="0"/>
    <xf numFmtId="0" fontId="6" fillId="0" borderId="0"/>
    <xf numFmtId="0" fontId="92" fillId="0" borderId="0"/>
    <xf numFmtId="0" fontId="92" fillId="0" borderId="0"/>
    <xf numFmtId="0" fontId="3" fillId="0" borderId="0"/>
    <xf numFmtId="0" fontId="3" fillId="0" borderId="0"/>
    <xf numFmtId="0" fontId="97" fillId="0" borderId="0"/>
    <xf numFmtId="0" fontId="92" fillId="0" borderId="0"/>
    <xf numFmtId="0" fontId="92" fillId="0" borderId="0"/>
    <xf numFmtId="0" fontId="92" fillId="0" borderId="0"/>
    <xf numFmtId="0" fontId="6" fillId="0" borderId="0"/>
    <xf numFmtId="0" fontId="6" fillId="0" borderId="0"/>
    <xf numFmtId="0" fontId="6" fillId="0" borderId="0"/>
    <xf numFmtId="0" fontId="6" fillId="0" borderId="0"/>
    <xf numFmtId="0" fontId="6" fillId="0" borderId="0"/>
    <xf numFmtId="0" fontId="6" fillId="0" borderId="0"/>
    <xf numFmtId="0" fontId="90" fillId="0" borderId="103"/>
    <xf numFmtId="0" fontId="97" fillId="0" borderId="0"/>
    <xf numFmtId="0" fontId="97" fillId="0" borderId="0"/>
    <xf numFmtId="0" fontId="6" fillId="0" borderId="0"/>
    <xf numFmtId="0" fontId="6" fillId="0" borderId="0"/>
    <xf numFmtId="0" fontId="97" fillId="0" borderId="0"/>
    <xf numFmtId="0" fontId="6" fillId="0" borderId="0"/>
    <xf numFmtId="0" fontId="6" fillId="0" borderId="0"/>
    <xf numFmtId="0" fontId="6" fillId="0" borderId="0"/>
    <xf numFmtId="0" fontId="6" fillId="0" borderId="0"/>
    <xf numFmtId="0" fontId="92" fillId="0" borderId="0"/>
    <xf numFmtId="0" fontId="6" fillId="0" borderId="0"/>
    <xf numFmtId="0" fontId="92" fillId="0" borderId="0"/>
    <xf numFmtId="0" fontId="92" fillId="0" borderId="0"/>
    <xf numFmtId="0" fontId="92" fillId="0" borderId="0"/>
    <xf numFmtId="0" fontId="92" fillId="0" borderId="0"/>
    <xf numFmtId="0" fontId="92" fillId="0" borderId="0"/>
    <xf numFmtId="0" fontId="92" fillId="0" borderId="0"/>
    <xf numFmtId="0" fontId="6" fillId="34" borderId="0"/>
    <xf numFmtId="0" fontId="97" fillId="0" borderId="0"/>
    <xf numFmtId="0" fontId="6" fillId="0" borderId="0"/>
    <xf numFmtId="0" fontId="6" fillId="0" borderId="0"/>
    <xf numFmtId="0" fontId="97" fillId="0" borderId="0"/>
    <xf numFmtId="0" fontId="97" fillId="0" borderId="0"/>
    <xf numFmtId="0" fontId="97" fillId="0" borderId="0"/>
    <xf numFmtId="0" fontId="6" fillId="33" borderId="0"/>
    <xf numFmtId="0" fontId="97" fillId="0" borderId="0"/>
    <xf numFmtId="0" fontId="80" fillId="0" borderId="0"/>
    <xf numFmtId="0" fontId="92" fillId="0" borderId="0"/>
    <xf numFmtId="0" fontId="92" fillId="0" borderId="0"/>
    <xf numFmtId="0" fontId="92" fillId="0" borderId="0"/>
    <xf numFmtId="0" fontId="6" fillId="0" borderId="0"/>
    <xf numFmtId="0" fontId="6" fillId="0" borderId="0"/>
    <xf numFmtId="0" fontId="97" fillId="0" borderId="0"/>
    <xf numFmtId="0" fontId="6" fillId="0" borderId="0"/>
    <xf numFmtId="0" fontId="97" fillId="0" borderId="0"/>
    <xf numFmtId="0" fontId="6" fillId="0" borderId="0"/>
    <xf numFmtId="0" fontId="92" fillId="0" borderId="0"/>
    <xf numFmtId="43" fontId="5" fillId="0" borderId="0"/>
    <xf numFmtId="0" fontId="71" fillId="0" borderId="0"/>
    <xf numFmtId="43" fontId="71" fillId="0" borderId="0" applyFont="0" applyFill="0" applyBorder="0" applyAlignment="0" applyProtection="0"/>
    <xf numFmtId="43" fontId="71" fillId="0" borderId="0" applyFont="0" applyFill="0" applyBorder="0" applyAlignment="0" applyProtection="0"/>
    <xf numFmtId="0" fontId="6" fillId="0" borderId="0"/>
    <xf numFmtId="9" fontId="71" fillId="0" borderId="0" applyFont="0" applyFill="0" applyBorder="0" applyAlignment="0" applyProtection="0"/>
    <xf numFmtId="9" fontId="71" fillId="0" borderId="0" applyFont="0" applyFill="0" applyBorder="0" applyAlignment="0" applyProtection="0"/>
  </cellStyleXfs>
  <cellXfs count="659">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761">
    <cellStyle name="20% - Accent1 2" xfId="9" xr:uid="{00000000-0005-0000-0000-000000000000}"/>
    <cellStyle name="20% - Accent1 2 2" xfId="444" xr:uid="{27A75122-4969-4C33-B438-044C0FC9F5B4}"/>
    <cellStyle name="20% - Accent1 3" xfId="8" xr:uid="{00000000-0005-0000-0000-000001000000}"/>
    <cellStyle name="20% - Accent2 2" xfId="11" xr:uid="{00000000-0005-0000-0000-000002000000}"/>
    <cellStyle name="20% - Accent2 2 2" xfId="294" xr:uid="{FB9734AD-A80E-466B-8803-79CB1CF885FF}"/>
    <cellStyle name="20% - Accent2 3" xfId="10" xr:uid="{00000000-0005-0000-0000-000003000000}"/>
    <cellStyle name="20% - Accent3 2" xfId="13" xr:uid="{00000000-0005-0000-0000-000004000000}"/>
    <cellStyle name="20% - Accent3 2 2" xfId="741" xr:uid="{C3944B43-1F43-4C91-A170-3DD12E535AC4}"/>
    <cellStyle name="20% - Accent3 3" xfId="12" xr:uid="{00000000-0005-0000-0000-000005000000}"/>
    <cellStyle name="20% - Accent4 2" xfId="15" xr:uid="{00000000-0005-0000-0000-000006000000}"/>
    <cellStyle name="20% - Accent4 2 2" xfId="144" xr:uid="{9443AB01-709F-4493-892F-B2BD22EA5179}"/>
    <cellStyle name="20% - Accent4 3" xfId="14" xr:uid="{00000000-0005-0000-0000-000007000000}"/>
    <cellStyle name="20% - Accent5 2" xfId="17" xr:uid="{00000000-0005-0000-0000-000008000000}"/>
    <cellStyle name="20% - Accent5 2 2" xfId="565" xr:uid="{15D44BBD-26D8-4188-A8B4-44AD7B3BAB15}"/>
    <cellStyle name="20% - Accent5 3" xfId="16" xr:uid="{00000000-0005-0000-0000-000009000000}"/>
    <cellStyle name="20% - Accent6 2" xfId="19" xr:uid="{00000000-0005-0000-0000-00000A000000}"/>
    <cellStyle name="20% - Accent6 2 2" xfId="405" xr:uid="{0649D86B-DE9F-4544-ACC8-FF387D825F8B}"/>
    <cellStyle name="20% - Accent6 3" xfId="18" xr:uid="{00000000-0005-0000-0000-00000B000000}"/>
    <cellStyle name="40% - Accent1 2" xfId="21" xr:uid="{00000000-0005-0000-0000-00000C000000}"/>
    <cellStyle name="40% - Accent1 2 2" xfId="315" xr:uid="{6D5DA42B-FEC5-4188-93E0-0C9AAE9CC21F}"/>
    <cellStyle name="40% - Accent1 3" xfId="20" xr:uid="{00000000-0005-0000-0000-00000D000000}"/>
    <cellStyle name="40% - Accent2 2" xfId="23" xr:uid="{00000000-0005-0000-0000-00000E000000}"/>
    <cellStyle name="40% - Accent2 2 2" xfId="259" xr:uid="{CB9745B7-88A9-4CB5-8F62-86866DA0077A}"/>
    <cellStyle name="40% - Accent2 3" xfId="22" xr:uid="{00000000-0005-0000-0000-00000F000000}"/>
    <cellStyle name="40% - Accent3 2" xfId="25" xr:uid="{00000000-0005-0000-0000-000010000000}"/>
    <cellStyle name="40% - Accent3 2 2" xfId="734" xr:uid="{72D0C0BE-BCF2-4ADF-8C17-D7B539FF96FB}"/>
    <cellStyle name="40% - Accent3 3" xfId="24" xr:uid="{00000000-0005-0000-0000-000011000000}"/>
    <cellStyle name="40% - Accent4 2" xfId="27" xr:uid="{00000000-0005-0000-0000-000012000000}"/>
    <cellStyle name="40% - Accent4 2 2" xfId="347" xr:uid="{7DF7C27B-687C-4B53-B80E-95EE47D7753B}"/>
    <cellStyle name="40% - Accent4 3" xfId="26" xr:uid="{00000000-0005-0000-0000-000013000000}"/>
    <cellStyle name="40% - Accent5 2" xfId="29" xr:uid="{00000000-0005-0000-0000-000014000000}"/>
    <cellStyle name="40% - Accent5 2 2" xfId="164" xr:uid="{D736C310-B7EE-4FCE-AB23-74B0155632CB}"/>
    <cellStyle name="40% - Accent5 3" xfId="28" xr:uid="{00000000-0005-0000-0000-000015000000}"/>
    <cellStyle name="40% - Accent6 2" xfId="31" xr:uid="{00000000-0005-0000-0000-000016000000}"/>
    <cellStyle name="40% - Accent6 2 2" xfId="131" xr:uid="{82C6F5C7-9BF3-4C1B-9AA0-87E3AA0DB183}"/>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10" xfId="753" xr:uid="{5B066C36-5271-4BBB-9119-12E736F0A633}"/>
    <cellStyle name="Comma 10 2" xfId="474" xr:uid="{5E38F296-8100-4B2D-9370-2446C94B9225}"/>
    <cellStyle name="Comma 10 3" xfId="475" xr:uid="{2133C7E4-AA37-412F-B623-D6D26A1FC37C}"/>
    <cellStyle name="Comma 11" xfId="112" xr:uid="{701D3361-DCC7-4CFD-9E8F-D7638AB3A2B6}"/>
    <cellStyle name="Comma 11 2" xfId="273" xr:uid="{F86E0F3C-F7D8-4D60-A1C0-6A63210D8473}"/>
    <cellStyle name="Comma 11 3" xfId="272" xr:uid="{8F93663C-014A-4F14-8499-E032F4D9F9DC}"/>
    <cellStyle name="Comma 12" xfId="113" xr:uid="{13AAFA24-01A3-4C51-8036-111596167C77}"/>
    <cellStyle name="Comma 13" xfId="114" xr:uid="{8AF6087F-A859-4EFA-8F15-145ED30237E4}"/>
    <cellStyle name="Comma 14" xfId="754" xr:uid="{D5066AA9-BF78-42D1-B2E2-EC77DA082F57}"/>
    <cellStyle name="Comma 15" xfId="756" xr:uid="{180C0070-C596-4F49-9508-8E278CC6D22D}"/>
    <cellStyle name="Comma 2" xfId="7" xr:uid="{00000000-0005-0000-0000-000028000000}"/>
    <cellStyle name="Comma 2 2" xfId="47" xr:uid="{00000000-0005-0000-0000-000029000000}"/>
    <cellStyle name="Comma 2 2 2" xfId="208" xr:uid="{B49FC09E-B2B7-4F2B-9472-CC7224085C8E}"/>
    <cellStyle name="Comma 2 2 3" xfId="209" xr:uid="{AA62A885-8098-4B8B-B9AE-F86C7B064E5F}"/>
    <cellStyle name="Comma 2 2 4" xfId="545" xr:uid="{43A28775-E2DB-48A8-B461-8A7E5AAC0EAC}"/>
    <cellStyle name="Comma 2 3" xfId="84" xr:uid="{00000000-0005-0000-0000-00002A000000}"/>
    <cellStyle name="Comma 2 3 2" xfId="392" xr:uid="{8C9E75F2-9B47-4DD6-9E1F-5BAC2A4ECF83}"/>
    <cellStyle name="Comma 2 3 2 2" xfId="330" xr:uid="{82BB945E-6C97-496A-A5C6-D10AD5EDCC30}"/>
    <cellStyle name="Comma 2 3 2 2 2" xfId="651" xr:uid="{2A04AF63-BE46-421A-BA64-DEA629CAADEE}"/>
    <cellStyle name="Comma 2 3 2 3" xfId="329" xr:uid="{36F51DEA-E179-4463-8AC2-23C9F867C8F7}"/>
    <cellStyle name="Comma 2 3 2 4" xfId="328" xr:uid="{9E561EAA-8467-49D2-BFB7-8010092F201A}"/>
    <cellStyle name="Comma 2 3 3" xfId="391" xr:uid="{C937D5A0-58C6-40D3-A66D-DE0AD5F44231}"/>
    <cellStyle name="Comma 2 3 3 2" xfId="139" xr:uid="{59115F4E-F252-47E1-B5F7-4931F0BD88F4}"/>
    <cellStyle name="Comma 2 3 3 3" xfId="140" xr:uid="{368B362D-BC12-46D9-90EB-BDEB54924E20}"/>
    <cellStyle name="Comma 2 3 4" xfId="393" xr:uid="{A85DB13A-5924-46DD-8B52-DE5DBDE60005}"/>
    <cellStyle name="Comma 2 3 5" xfId="548" xr:uid="{0BC8C264-431F-45A2-91EF-90353B9072FE}"/>
    <cellStyle name="Comma 2 4" xfId="738" xr:uid="{4500795D-34B4-4697-A5AB-084271CAD553}"/>
    <cellStyle name="Comma 2 4 2" xfId="348" xr:uid="{85F6D34B-B8E4-426F-B9C2-D36FB1D3F7EE}"/>
    <cellStyle name="Comma 2 4 3" xfId="349" xr:uid="{BD056925-84FE-4A7B-8E6E-8AC7C8B0C9BA}"/>
    <cellStyle name="Comma 2 5" xfId="560" xr:uid="{50068272-81D0-4F25-8BFC-71C7C2A3FB38}"/>
    <cellStyle name="Comma 2 5 2" xfId="551" xr:uid="{54EC6456-5A75-4228-B680-0E5DE2809EB3}"/>
    <cellStyle name="Comma 2 6" xfId="726" xr:uid="{6E932248-6D48-41A5-B6D6-39208841854F}"/>
    <cellStyle name="Comma 2 7" xfId="757" xr:uid="{45B9D7DD-2E00-4FC0-94AB-8A82FACFF1F3}"/>
    <cellStyle name="Comma 2 8" xfId="708" xr:uid="{9CBDFA83-0BED-4E95-A181-8DD79AD8EBCE}"/>
    <cellStyle name="Comma 3" xfId="48" xr:uid="{00000000-0005-0000-0000-00002B000000}"/>
    <cellStyle name="Comma 3 10" xfId="709" xr:uid="{F2AC588D-0000-45FC-A8B1-504CD7C84F42}"/>
    <cellStyle name="Comma 3 2" xfId="91" xr:uid="{00000000-0005-0000-0000-00002C000000}"/>
    <cellStyle name="Comma 3 2 2" xfId="95" xr:uid="{00000000-0005-0000-0000-00002D000000}"/>
    <cellStyle name="Comma 3 2 2 2" xfId="331" xr:uid="{0FF1C3B4-34C7-4814-8F65-BA31E2300BEB}"/>
    <cellStyle name="Comma 3 2 2 3" xfId="153" xr:uid="{C79A64BE-A179-4D09-8D40-4845B55800D8}"/>
    <cellStyle name="Comma 3 2 3" xfId="152" xr:uid="{F457237E-A360-4C50-8981-8DD6CB9A2B20}"/>
    <cellStyle name="Comma 3 2 3 2" xfId="143" xr:uid="{618ACD01-4D50-43BA-8BE0-6E92FB675AF2}"/>
    <cellStyle name="Comma 3 2 3 2 2" xfId="121" xr:uid="{BD66EE00-3329-4BCB-8811-D248AD272B36}"/>
    <cellStyle name="Comma 3 2 3 2 3" xfId="122" xr:uid="{37A15FC3-92B8-41E0-9C77-39FCF4EDCAEB}"/>
    <cellStyle name="Comma 3 2 3 3" xfId="262" xr:uid="{CD76191D-16FC-4408-AB94-AEAD062F57FA}"/>
    <cellStyle name="Comma 3 2 4" xfId="155" xr:uid="{B8A1FE0D-39C7-4324-AA98-1F0ABE6F44FC}"/>
    <cellStyle name="Comma 3 2 5" xfId="235" xr:uid="{788BD159-DFD1-4215-9A49-36ED3DC6FE2D}"/>
    <cellStyle name="Comma 3 3" xfId="96" xr:uid="{00000000-0005-0000-0000-00002E000000}"/>
    <cellStyle name="Comma 3 3 2" xfId="383" xr:uid="{CB6E9CEF-5701-4035-B493-3E6406A602A3}"/>
    <cellStyle name="Comma 3 3 3" xfId="234" xr:uid="{AF0D2524-BDD1-4D3A-B079-2C4E922551A0}"/>
    <cellStyle name="Comma 3 4" xfId="239" xr:uid="{B109D6D0-4316-4BA4-9D16-2D502C91BB86}"/>
    <cellStyle name="Comma 3 4 2" xfId="271" xr:uid="{76A72C82-45FC-49E2-973D-F732BC5A2EFD}"/>
    <cellStyle name="Comma 3 4 3" xfId="270" xr:uid="{6B54034F-1F71-4574-9C12-404BDB55EFD5}"/>
    <cellStyle name="Comma 3 5" xfId="238" xr:uid="{AB0C06A9-F3C6-4772-9CDC-47BB7FC176A1}"/>
    <cellStyle name="Comma 3 6" xfId="237" xr:uid="{F5D8DE55-B1A5-41DA-9646-6BC3EC42FFAF}"/>
    <cellStyle name="Comma 3 7" xfId="236" xr:uid="{E002B2D0-5395-48EF-8333-21EE3B3FBB9B}"/>
    <cellStyle name="Comma 3 8" xfId="243" xr:uid="{B5442580-A0AF-4DF8-9185-103C3A9C15EE}"/>
    <cellStyle name="Comma 3 9" xfId="242" xr:uid="{92006E1C-6A61-4211-9F6F-C4AED90B954C}"/>
    <cellStyle name="Comma 4" xfId="49" xr:uid="{00000000-0005-0000-0000-00002F000000}"/>
    <cellStyle name="Comma 4 2" xfId="50" xr:uid="{00000000-0005-0000-0000-000030000000}"/>
    <cellStyle name="Comma 4 2 2" xfId="555" xr:uid="{9ECACEE2-1C91-499B-AE41-92DC63110809}"/>
    <cellStyle name="Comma 4 2 3" xfId="556" xr:uid="{211A080A-2C84-48D8-951D-599F6B318010}"/>
    <cellStyle name="Comma 4 2 4" xfId="308" xr:uid="{2EA8B070-7A4D-48DD-9053-CC8212AE3927}"/>
    <cellStyle name="Comma 4 3" xfId="97" xr:uid="{00000000-0005-0000-0000-000031000000}"/>
    <cellStyle name="Comma 4 3 2" xfId="136" xr:uid="{7D909ACF-66D4-45B3-AA7B-44BD2D5E3BF4}"/>
    <cellStyle name="Comma 4 3 3" xfId="135" xr:uid="{72309D9F-0B59-442A-AE5C-9409EFE0EB4D}"/>
    <cellStyle name="Comma 4 3 4" xfId="309" xr:uid="{1073C009-29E1-41ED-B41E-65F8A43FC336}"/>
    <cellStyle name="Comma 4 4" xfId="304" xr:uid="{645D1676-9B9B-41A1-A424-2735FC2499F2}"/>
    <cellStyle name="Comma 4 4 2" xfId="456" xr:uid="{62BD9BEB-A5FF-4ED3-9CBE-33158760EC19}"/>
    <cellStyle name="Comma 4 5" xfId="305" xr:uid="{11D6955A-AFCF-4C15-9FCD-FD964CEC3825}"/>
    <cellStyle name="Comma 4 6" xfId="306" xr:uid="{F19F6B16-D889-4E45-A1DE-D6316DCF595F}"/>
    <cellStyle name="Comma 4 7" xfId="706" xr:uid="{8F723DEA-7425-4AA0-BC79-47FD922515FE}"/>
    <cellStyle name="Comma 5" xfId="83" xr:uid="{00000000-0005-0000-0000-000032000000}"/>
    <cellStyle name="Comma 5 2" xfId="93" xr:uid="{00000000-0005-0000-0000-000033000000}"/>
    <cellStyle name="Comma 5 2 2" xfId="372" xr:uid="{D62A3FB2-F6A3-4F75-A9B6-199A97BDD675}"/>
    <cellStyle name="Comma 5 2 3" xfId="638" xr:uid="{9C94990B-691E-4C24-A3C6-E4C97E1B2ED7}"/>
    <cellStyle name="Comma 5 3" xfId="634" xr:uid="{A0DF01BD-172B-4770-9DBB-FE654AF6B7A9}"/>
    <cellStyle name="Comma 5 3 2" xfId="190" xr:uid="{B9A4B7A7-C0A2-45F5-AFF4-59CD85A43C88}"/>
    <cellStyle name="Comma 5 4" xfId="134" xr:uid="{345D6203-F6FC-4735-86E7-034B7FD2F5E9}"/>
    <cellStyle name="Comma 5 5" xfId="707" xr:uid="{1778D7A3-55A7-481F-BD64-47248672272D}"/>
    <cellStyle name="Comma 6" xfId="704" xr:uid="{BAB31676-F8FF-42A7-9C07-BE55C57C52E1}"/>
    <cellStyle name="Comma 6 2" xfId="585" xr:uid="{B08DFA5D-CAAD-4B60-AF74-39D1CCC0E29B}"/>
    <cellStyle name="Comma 6 2 2" xfId="228" xr:uid="{32B514DE-A7C5-4FAC-9B9B-AB3CE273500F}"/>
    <cellStyle name="Comma 6 2 3" xfId="229" xr:uid="{7A7BD0F4-E807-44DA-8B7C-5570C8E5A441}"/>
    <cellStyle name="Comma 6 2 4" xfId="226" xr:uid="{00F158E6-5DF5-4AC1-B863-B65CB2D0476C}"/>
    <cellStyle name="Comma 6 2 5" xfId="227" xr:uid="{3AF7EC11-C518-45DF-AF9B-9F8166AD94FA}"/>
    <cellStyle name="Comma 6 3" xfId="586" xr:uid="{0EB670AF-A96F-4D4C-B185-22B9CE280F6E}"/>
    <cellStyle name="Comma 6 3 2" xfId="409" xr:uid="{FDC7DFDA-33A1-4A98-9E4E-D9ED78ED233E}"/>
    <cellStyle name="Comma 6 4" xfId="417" xr:uid="{F756DB18-DB98-4849-ACA0-8ADD6E6D761B}"/>
    <cellStyle name="Comma 6 4 2" xfId="607" xr:uid="{6A5E0A9E-2D36-4FD5-939A-956910CF0A9C}"/>
    <cellStyle name="Comma 6 5" xfId="584" xr:uid="{35ED0AD8-7117-46DC-A5CB-FDDF126EE792}"/>
    <cellStyle name="Comma 6 6" xfId="582" xr:uid="{BFC69A81-0105-4600-8783-1728254B90FD}"/>
    <cellStyle name="Comma 7" xfId="705" xr:uid="{DAD2994E-F583-482B-A45B-F2A512ED3A9F}"/>
    <cellStyle name="Comma 7 2" xfId="116" xr:uid="{40E3E109-1BE1-4A46-9828-54C1FF742D4A}"/>
    <cellStyle name="Comma 7 2 2" xfId="285" xr:uid="{17B4C398-84DE-4E30-9438-A2D8AD45787F}"/>
    <cellStyle name="Comma 7 3" xfId="115" xr:uid="{2F65C1C7-123E-4E51-A4D0-F98D34587D9C}"/>
    <cellStyle name="Comma 7 3 2" xfId="730" xr:uid="{0EFFC4FB-E9FA-4240-A845-05F3DFC0DCC3}"/>
    <cellStyle name="Comma 7 3 2 2" xfId="321" xr:uid="{64782F00-9755-4CA4-865B-504DAA8C33FA}"/>
    <cellStyle name="Comma 7 3 2 3" xfId="322" xr:uid="{A0DD7073-DB4B-423B-A42A-CB66BEC3EEF5}"/>
    <cellStyle name="Comma 7 3 3" xfId="731" xr:uid="{48A2098C-4203-480A-B332-4BBB4065563E}"/>
    <cellStyle name="Comma 7 4" xfId="120" xr:uid="{A3539F83-E412-4D39-9F97-34C2582C19E3}"/>
    <cellStyle name="Comma 7 5" xfId="118" xr:uid="{3903A98E-B3DD-4BE8-88CF-A1EBEA6FC54C}"/>
    <cellStyle name="Comma 7 6" xfId="117" xr:uid="{27263065-C052-4005-94B1-239BC2859DDF}"/>
    <cellStyle name="Comma 7 7" xfId="299" xr:uid="{4B1ACB7F-B225-4CA2-935F-C5BEB8059102}"/>
    <cellStyle name="Comma 8" xfId="702" xr:uid="{19D04598-D79E-4A40-B444-BBC94D642DDC}"/>
    <cellStyle name="Comma 8 2" xfId="733" xr:uid="{9C891F4F-D5AC-4666-B66D-C451C9778855}"/>
    <cellStyle name="Comma 9" xfId="703" xr:uid="{4BB6DF83-264B-47DF-BE38-27817AF5E60E}"/>
    <cellStyle name="Comma 9 2" xfId="287" xr:uid="{BDC2428B-CCF0-46F1-A477-D9D8ADF2D14D}"/>
    <cellStyle name="Comma 9 2 2" xfId="687" xr:uid="{BF72A425-3F63-4659-AC71-3E82A37D3D9F}"/>
    <cellStyle name="Comma 9 2 3" xfId="686" xr:uid="{C2DC4D42-F372-4277-AE48-09C633B42F61}"/>
    <cellStyle name="Comma 9 3" xfId="286" xr:uid="{AF3E98E5-EC91-473F-BDF5-9BAA077D646D}"/>
    <cellStyle name="Currency 2" xfId="52" xr:uid="{00000000-0005-0000-0000-000034000000}"/>
    <cellStyle name="Currency 2 2" xfId="86" xr:uid="{00000000-0005-0000-0000-000035000000}"/>
    <cellStyle name="Currency 2 2 2" xfId="253" xr:uid="{B67BC3B9-F105-4F28-8741-7CE7FF1D5818}"/>
    <cellStyle name="Currency 2 2 3" xfId="319" xr:uid="{8FC18DB6-1E4F-4148-8F2C-8A5AB56AA212}"/>
    <cellStyle name="Currency 2 3" xfId="318" xr:uid="{F260D6DA-EB16-416B-9379-0EBFA5F8C014}"/>
    <cellStyle name="Currency 2 3 2" xfId="447" xr:uid="{78AA95E8-F33A-40A3-870B-C6E79E9173A1}"/>
    <cellStyle name="Currency 2 3 2 2" xfId="454" xr:uid="{EE4A26BA-0B9D-42F1-B3AE-531E9FF49742}"/>
    <cellStyle name="Currency 2 3 3" xfId="448" xr:uid="{CC639C31-B527-4F5B-A44E-8CFE8D14E36D}"/>
    <cellStyle name="Currency 2 3 3 2" xfId="289" xr:uid="{DF9974C0-861F-409C-8636-739CC59581F1}"/>
    <cellStyle name="Currency 2 3 3 3" xfId="288" xr:uid="{D9A900D4-ABD5-4724-B86B-C577ECA377DF}"/>
    <cellStyle name="Currency 2 3 4" xfId="445" xr:uid="{7368BDC2-A2BE-47FE-B8CF-96F3B6792278}"/>
    <cellStyle name="Currency 2 4" xfId="317" xr:uid="{9BD8C24F-29C0-43C1-8858-E5D1294FC700}"/>
    <cellStyle name="Currency 2 4 2" xfId="335" xr:uid="{C7F5D81F-EC43-4035-BB62-4F6BC9ED5984}"/>
    <cellStyle name="Currency 2 5" xfId="316" xr:uid="{A5046F11-2080-497C-BA4E-BABDFCCF449A}"/>
    <cellStyle name="Currency 2 6" xfId="415" xr:uid="{BCA814AA-2C22-4053-8140-D03E959F9933}"/>
    <cellStyle name="Currency 3" xfId="53" xr:uid="{00000000-0005-0000-0000-000036000000}"/>
    <cellStyle name="Currency 3 2" xfId="523" xr:uid="{D79F4F7D-814B-464D-8C0E-223C711AB107}"/>
    <cellStyle name="Currency 3 2 2" xfId="692" xr:uid="{0466C394-A127-431F-834A-D26880270322}"/>
    <cellStyle name="Currency 3 2 3" xfId="693" xr:uid="{55FA7E2A-524E-4814-80F6-07B41ACF0C80}"/>
    <cellStyle name="Currency 3 3" xfId="524" xr:uid="{C09C7918-94D9-4B4C-BF58-42828947D5F1}"/>
    <cellStyle name="Currency 3 4" xfId="521" xr:uid="{D3753E2D-1249-4EEC-BB33-13674DCB4F78}"/>
    <cellStyle name="Currency 3 5" xfId="522" xr:uid="{AEDB6899-499C-4E14-A5EE-3CEF08BF1FC2}"/>
    <cellStyle name="Currency 3 6" xfId="414" xr:uid="{36AA1BEE-2965-42EE-8562-44EE6CA7AA26}"/>
    <cellStyle name="Currency 4" xfId="54" xr:uid="{00000000-0005-0000-0000-000037000000}"/>
    <cellStyle name="Currency 4 2" xfId="55" xr:uid="{00000000-0005-0000-0000-000038000000}"/>
    <cellStyle name="Currency 4 2 2" xfId="597" xr:uid="{28BE528E-C0C1-42B0-AB9F-62D6FF47CCBB}"/>
    <cellStyle name="Currency 4 2 3" xfId="553" xr:uid="{B3928E1B-7F6F-4A74-94A2-135583B2F076}"/>
    <cellStyle name="Currency 4 3" xfId="552" xr:uid="{46733E0D-939E-4826-8D23-36A91BB1A580}"/>
    <cellStyle name="Currency 4 3 2" xfId="137" xr:uid="{4DC43061-98F2-4532-856B-5CD8F3AB1F36}"/>
    <cellStyle name="Currency 4 3 2 2" xfId="461" xr:uid="{6A856262-3229-4BF9-B01F-38AEB8A16FAE}"/>
    <cellStyle name="Currency 4 3 2 3" xfId="462" xr:uid="{28F9D0FF-7737-4610-BCD2-61EA8471C8D7}"/>
    <cellStyle name="Currency 4 3 3" xfId="138" xr:uid="{E3E05E81-D00F-48F4-9E85-352AB415EFE4}"/>
    <cellStyle name="Currency 4 4" xfId="554" xr:uid="{14D805E1-4D87-4340-9908-BF9900997A9D}"/>
    <cellStyle name="Currency 4 5" xfId="419" xr:uid="{8B1EBAD8-AE79-4D88-9BD8-4A45221AFB95}"/>
    <cellStyle name="Currency 5" xfId="51" xr:uid="{00000000-0005-0000-0000-000039000000}"/>
    <cellStyle name="Currency 5 2" xfId="94" xr:uid="{00000000-0005-0000-0000-00003A000000}"/>
    <cellStyle name="Currency 5 2 2" xfId="133" xr:uid="{1AAD7B84-7A47-4165-ACDF-807B13A25023}"/>
    <cellStyle name="Currency 5 3" xfId="418" xr:uid="{EDA4AB39-86E5-4699-B771-E564B255D96D}"/>
    <cellStyle name="Currency 6" xfId="85" xr:uid="{00000000-0005-0000-0000-00003B000000}"/>
    <cellStyle name="Explanatory Text 2" xfId="56" xr:uid="{00000000-0005-0000-0000-00003C000000}"/>
    <cellStyle name="Explanatory Text 2 2" xfId="577" xr:uid="{724B1A01-F837-4180-86B6-4BD880594A7B}"/>
    <cellStyle name="Good 2" xfId="57" xr:uid="{00000000-0005-0000-0000-00003D000000}"/>
    <cellStyle name="Heading 1 2" xfId="58" xr:uid="{00000000-0005-0000-0000-00003E000000}"/>
    <cellStyle name="Heading 1 2 2" xfId="250" xr:uid="{F2ABE9F2-4A13-4D86-A793-DB586F817CDB}"/>
    <cellStyle name="Heading 2 2" xfId="59" xr:uid="{00000000-0005-0000-0000-00003F000000}"/>
    <cellStyle name="Heading 2 2 2" xfId="221" xr:uid="{2C4FE0CB-7649-4F69-B5E8-3D00D8B50086}"/>
    <cellStyle name="Heading 3 2" xfId="60" xr:uid="{00000000-0005-0000-0000-000040000000}"/>
    <cellStyle name="Heading 3 2 2" xfId="647" xr:uid="{2AE5F4A1-853F-491F-924C-2E49A97BB8BD}"/>
    <cellStyle name="Heading 4 2" xfId="61" xr:uid="{00000000-0005-0000-0000-000041000000}"/>
    <cellStyle name="Heading 4 2 2" xfId="300" xr:uid="{3177781F-A3BB-41CF-9811-FF265E8AB4E4}"/>
    <cellStyle name="Hyperlink" xfId="1" builtinId="8"/>
    <cellStyle name="Hyperlink 2" xfId="499" xr:uid="{8C11AC83-EA39-4DE4-B02F-99860FA19A5D}"/>
    <cellStyle name="Hyperlink 2 2" xfId="642" xr:uid="{683E3D11-4E69-4557-B578-E4E5173451EA}"/>
    <cellStyle name="Hyperlink 2 2 2" xfId="191" xr:uid="{D45CEF4C-8D74-4724-A6D8-4857062D26FB}"/>
    <cellStyle name="Hyperlink 2 3" xfId="641" xr:uid="{9F619AE2-8382-4859-8579-D0D8A6296640}"/>
    <cellStyle name="Hyperlink 3" xfId="498" xr:uid="{E57BB59D-A641-4AD9-BC59-62A3C137361D}"/>
    <cellStyle name="Hyperlink 3 2" xfId="440" xr:uid="{5BEC66D1-D22A-4C09-B1E3-6A320940E606}"/>
    <cellStyle name="Input 2" xfId="62" xr:uid="{00000000-0005-0000-0000-000043000000}"/>
    <cellStyle name="Linked Cell 2" xfId="63" xr:uid="{00000000-0005-0000-0000-000044000000}"/>
    <cellStyle name="Linked Cell 2 2" xfId="716" xr:uid="{A5695D79-EE7B-45BD-842B-FE60AFF1782A}"/>
    <cellStyle name="Neutral 2" xfId="64" xr:uid="{00000000-0005-0000-0000-000045000000}"/>
    <cellStyle name="Normal" xfId="0" builtinId="0"/>
    <cellStyle name="Normal 10" xfId="98" xr:uid="{00000000-0005-0000-0000-000047000000}"/>
    <cellStyle name="Normal 10 2" xfId="526" xr:uid="{DF834BBA-A57D-4090-9E36-24EAF4F4F16F}"/>
    <cellStyle name="Normal 10 2 2" xfId="657" xr:uid="{11682A84-6983-4FF9-98AD-7B687BB2D2D6}"/>
    <cellStyle name="Normal 10 2 3" xfId="656" xr:uid="{3B64FC81-ED9B-46CD-B5B3-EC03147B0536}"/>
    <cellStyle name="Normal 10 3" xfId="525" xr:uid="{172EF28B-EC86-475D-86C4-E9507E951910}"/>
    <cellStyle name="Normal 10 3 2" xfId="437" xr:uid="{52A7E3E8-4862-4882-BD1A-23FE0E281526}"/>
    <cellStyle name="Normal 10 3 3" xfId="438" xr:uid="{1EA4BF0C-68B7-4FB1-87C4-70E211103B44}"/>
    <cellStyle name="Normal 10 4" xfId="606" xr:uid="{D86E1F06-DD91-4A83-B5A3-FC7CAE2DB824}"/>
    <cellStyle name="Normal 11" xfId="99" xr:uid="{00000000-0005-0000-0000-000048000000}"/>
    <cellStyle name="Normal 11 2" xfId="363" xr:uid="{8442AA9E-C327-4038-BF38-0A75768CE143}"/>
    <cellStyle name="Normal 11 2 2" xfId="546" xr:uid="{761DD310-63F2-4D96-86CE-A95B9E833E8C}"/>
    <cellStyle name="Normal 11 2 3" xfId="547" xr:uid="{C60E2C2D-69E3-4FAA-B0E3-E95987DD78A4}"/>
    <cellStyle name="Normal 11 3" xfId="364" xr:uid="{DD2B4793-5F2E-474A-9166-47B953898679}"/>
    <cellStyle name="Normal 11 3 2" xfId="128" xr:uid="{FF0C1C40-E7F6-45B0-B18D-A89AD5EC13C5}"/>
    <cellStyle name="Normal 11 3 3" xfId="127" xr:uid="{2ACCF938-989D-4885-8DAC-FC399A8BAE35}"/>
    <cellStyle name="Normal 11 4" xfId="605" xr:uid="{D4CC38DC-4BE6-40BF-A13C-75BB9EAEFE73}"/>
    <cellStyle name="Normal 12" xfId="100" xr:uid="{00000000-0005-0000-0000-000049000000}"/>
    <cellStyle name="Normal 12 2" xfId="176" xr:uid="{3B97384E-86D6-4127-9F7E-AC3135FB9F40}"/>
    <cellStyle name="Normal 12 2 2" xfId="282" xr:uid="{4B196B56-E96D-4113-A81C-7CA7E909BD15}"/>
    <cellStyle name="Normal 12 2 2 2" xfId="500" xr:uid="{D3272F5D-76D8-4EE2-AAAA-51EA4C9FE0F6}"/>
    <cellStyle name="Normal 12 2 2 2 2" xfId="341" xr:uid="{7ADCB032-A623-477C-943C-DC2A11E27852}"/>
    <cellStyle name="Normal 12 2 2 3" xfId="281" xr:uid="{B02C56AD-083A-4318-AFDC-2E4519D04D06}"/>
    <cellStyle name="Normal 12 2 2 3 2" xfId="482" xr:uid="{FB4A3467-64D5-4FDB-AB77-391F927E55C9}"/>
    <cellStyle name="Normal 12 2 2 3 3" xfId="483" xr:uid="{26581604-1C44-470F-B855-90209B8DA9FE}"/>
    <cellStyle name="Normal 12 2 2 4" xfId="280" xr:uid="{F8ED8277-C3A1-49CD-8870-B2601A44487D}"/>
    <cellStyle name="Normal 12 2 3" xfId="497" xr:uid="{FC5C6483-588E-4418-80CE-7E478544FB20}"/>
    <cellStyle name="Normal 12 2 3 2" xfId="147" xr:uid="{FD67ED00-7907-4274-BB76-4DCC57B28D8B}"/>
    <cellStyle name="Normal 12 2 4" xfId="488" xr:uid="{9F5A79A0-1E59-49B7-A463-B8C499E7A9FD}"/>
    <cellStyle name="Normal 12 3" xfId="175" xr:uid="{51C2C900-D457-42F1-8E9D-1CA2E21F6118}"/>
    <cellStyle name="Normal 12 3 2" xfId="557" xr:uid="{8F9489D8-C55F-40A9-A73B-D31CCD236373}"/>
    <cellStyle name="Normal 13" xfId="101" xr:uid="{00000000-0005-0000-0000-00004A000000}"/>
    <cellStyle name="Normal 14" xfId="111" xr:uid="{0325B761-159B-4AF5-9B20-520D2A8B2E0B}"/>
    <cellStyle name="Normal 15" xfId="608" xr:uid="{C281D8B2-8B11-4584-AB75-617BABBC0600}"/>
    <cellStyle name="Normal 15 2" xfId="219" xr:uid="{0EF19394-289A-49D2-8707-EA38FFCD2004}"/>
    <cellStyle name="Normal 15 2 2" xfId="165" xr:uid="{54D2B67A-4FC6-479A-8A7C-F0E8D173E635}"/>
    <cellStyle name="Normal 15 2 2 2" xfId="533" xr:uid="{6630AAA9-017A-41CA-B724-0FFCA672ED56}"/>
    <cellStyle name="Normal 15 2 2 3" xfId="534" xr:uid="{1B8A26E6-FD08-4CBB-B07B-6B5B1A25E1F0}"/>
    <cellStyle name="Normal 15 2 3" xfId="166" xr:uid="{964E71AC-067F-4AB1-AA1A-E136D67B647D}"/>
    <cellStyle name="Normal 15 2 3 2" xfId="748" xr:uid="{6D054FC0-7E4B-4617-88E8-3FCCEA430218}"/>
    <cellStyle name="Normal 15 2 3 3" xfId="747" xr:uid="{4D28348C-24ED-4AD9-8000-8FF2F1851961}"/>
    <cellStyle name="Normal 15 2 4" xfId="170" xr:uid="{CEA5842D-4483-4DA1-BF15-8BB679EEF1DD}"/>
    <cellStyle name="Normal 15 2 4 2" xfId="298" xr:uid="{7420013D-F91A-4100-8EFF-357FAB3D4ACF}"/>
    <cellStyle name="Normal 15 2 5" xfId="171" xr:uid="{CC56CCE0-15E2-4290-97DC-11872C28786E}"/>
    <cellStyle name="Normal 15 2 5 2" xfId="501" xr:uid="{76BDACBA-45CC-4BDC-B042-661E963005D9}"/>
    <cellStyle name="Normal 15 2 6" xfId="168" xr:uid="{85844F8A-1F71-4832-B4A2-71BF31D1A4E8}"/>
    <cellStyle name="Normal 15 2 7" xfId="169" xr:uid="{776D75C6-7940-4949-B34E-E85C5474AEC4}"/>
    <cellStyle name="Normal 15 2 8" xfId="173" xr:uid="{A29CE6C5-CE46-4367-B233-596D38C9C95C}"/>
    <cellStyle name="Normal 15 3" xfId="220" xr:uid="{FD95B9BB-A88A-499E-A8CD-0095415E1233}"/>
    <cellStyle name="Normal 15 3 2" xfId="351" xr:uid="{A5E23381-7CD7-4ADC-AFEE-FB73F4E46231}"/>
    <cellStyle name="Normal 15 3 2 2" xfId="241" xr:uid="{4ABD3F82-4BED-479F-A469-7B75EB89FA92}"/>
    <cellStyle name="Normal 15 3 2 3" xfId="240" xr:uid="{452AC094-30F4-4B65-8468-96F189E51A71}"/>
    <cellStyle name="Normal 15 3 3" xfId="350" xr:uid="{A35C5053-6FF9-44AF-86DB-362846F0F6C5}"/>
    <cellStyle name="Normal 15 3 3 2" xfId="665" xr:uid="{49FF3238-386A-4C76-8E29-1B42DDBCBEF5}"/>
    <cellStyle name="Normal 15 3 4" xfId="355" xr:uid="{0A98DF5C-D99C-4AC1-832D-A266AFC592A9}"/>
    <cellStyle name="Normal 15 3 5" xfId="354" xr:uid="{35867F18-A3FC-4730-BCEC-073979B58532}"/>
    <cellStyle name="Normal 15 4" xfId="217" xr:uid="{B1FC5EF9-59F4-4D58-B55F-7D2882281795}"/>
    <cellStyle name="Normal 15 4 2" xfId="635" xr:uid="{5FF32039-781B-490E-A6AB-B9C68DB5F105}"/>
    <cellStyle name="Normal 15 4 3" xfId="636" xr:uid="{27B96C67-4BAF-4CAB-A506-DC5A604C3821}"/>
    <cellStyle name="Normal 15 5" xfId="218" xr:uid="{8FAC1DD7-2776-4FD2-8109-32D2ACE09227}"/>
    <cellStyle name="Normal 15 5 2" xfId="213" xr:uid="{DF58B9FF-EB6D-40AE-B689-E27F99A4B346}"/>
    <cellStyle name="Normal 15 6" xfId="215" xr:uid="{6B0E85F1-2456-4A9D-A7C2-2942CF797868}"/>
    <cellStyle name="Normal 15 6 2" xfId="267" xr:uid="{1E50820E-0AEE-48E7-8EC2-85B3A2613886}"/>
    <cellStyle name="Normal 15 7" xfId="216" xr:uid="{32AFA85E-0A69-444F-8F02-F323B9AFA7B7}"/>
    <cellStyle name="Normal 15 8" xfId="214" xr:uid="{FD2B3105-613A-4D24-A145-2B0DE06CF443}"/>
    <cellStyle name="Normal 16" xfId="610" xr:uid="{5B55692C-3C41-407B-8638-A8506492B612}"/>
    <cellStyle name="Normal 16 2" xfId="646" xr:uid="{3ED3ABBF-6971-4C8B-9CAA-657E1812B436}"/>
    <cellStyle name="Normal 16 2 2" xfId="572" xr:uid="{D89E6A06-8692-4B3C-925D-AC3BD99C86D8}"/>
    <cellStyle name="Normal 16 2 2 2" xfId="302" xr:uid="{38604F3B-AD5B-4CBC-89CA-533E2DD6EEE3}"/>
    <cellStyle name="Normal 16 2 2 3" xfId="301" xr:uid="{822B42E2-F86B-43ED-960B-F53EA22355BF}"/>
    <cellStyle name="Normal 16 2 3" xfId="571" xr:uid="{FE61B878-E70D-4DEE-AA92-E5C28F2D5621}"/>
    <cellStyle name="Normal 16 2 3 2" xfId="157" xr:uid="{B56EE745-BCF4-4E25-97CE-BF3D6AE9A560}"/>
    <cellStyle name="Normal 16 2 3 3" xfId="158" xr:uid="{893483A0-F45E-4BC6-B4EF-6F1CB743305E}"/>
    <cellStyle name="Normal 16 2 4" xfId="574" xr:uid="{A002D101-11CF-4A77-8DDB-4633151D890D}"/>
    <cellStyle name="Normal 16 2 4 2" xfId="203" xr:uid="{EE93012F-38B2-4193-9988-8E20CC817928}"/>
    <cellStyle name="Normal 16 2 5" xfId="573" xr:uid="{8FEEDF6E-2C60-4B4B-B1FA-2D497A8C8751}"/>
    <cellStyle name="Normal 16 2 5 2" xfId="625" xr:uid="{894497F2-0692-4D45-8C9A-522FCE99CDB3}"/>
    <cellStyle name="Normal 16 2 6" xfId="576" xr:uid="{672BC91C-DE3A-4357-AA1E-AA2A143005CA}"/>
    <cellStyle name="Normal 16 2 7" xfId="575" xr:uid="{E9A12741-21D5-4AC3-A230-740933729119}"/>
    <cellStyle name="Normal 16 2 8" xfId="578" xr:uid="{46B2301E-53FD-4018-9133-B3AB0E9DA691}"/>
    <cellStyle name="Normal 16 3" xfId="645" xr:uid="{91E5C904-6CAB-46FC-B6FF-36E9BC38AB7D}"/>
    <cellStyle name="Normal 16 3 2" xfId="374" xr:uid="{C92C6528-6AC9-4CC0-B669-95D17806A0BE}"/>
    <cellStyle name="Normal 16 3 2 2" xfId="489" xr:uid="{56B644FD-EB69-4784-8FA3-A2A5792A61A4}"/>
    <cellStyle name="Normal 16 3 2 3" xfId="490" xr:uid="{0FC117F8-3455-4181-B26B-625BDDA52051}"/>
    <cellStyle name="Normal 16 3 3" xfId="375" xr:uid="{49B1CC55-89E4-4507-A706-EAC077E48CAC}"/>
    <cellStyle name="Normal 16 3 3 2" xfId="699" xr:uid="{88BB068F-1B72-4CEF-9E04-16C6F417E681}"/>
    <cellStyle name="Normal 16 3 4" xfId="376" xr:uid="{7F145781-8313-4C70-B829-F8225C84E64D}"/>
    <cellStyle name="Normal 16 3 5" xfId="451" xr:uid="{DBE06AAF-20C0-4137-A8E6-4F397E6546EA}"/>
    <cellStyle name="Normal 16 4" xfId="640" xr:uid="{472F325E-AEDD-4E0E-8C27-0D315B801435}"/>
    <cellStyle name="Normal 16 4 2" xfId="340" xr:uid="{54C9D494-6A5E-4237-B9F2-A3EE871D4880}"/>
    <cellStyle name="Normal 16 4 3" xfId="339" xr:uid="{963F362F-DDEE-4841-A5F8-D3094D500F78}"/>
    <cellStyle name="Normal 16 5" xfId="639" xr:uid="{4EA0FA66-4E6F-46CE-9196-68E02D2F6D25}"/>
    <cellStyle name="Normal 16 5 2" xfId="151" xr:uid="{D65275BA-C4EF-45A0-9511-4698E2577C15}"/>
    <cellStyle name="Normal 16 6" xfId="710" xr:uid="{CC5BA168-3A24-49AF-B59C-9CFECC74203A}"/>
    <cellStyle name="Normal 16 6 2" xfId="714" xr:uid="{C26C2877-F137-4C9A-A0D9-5F5A1050D3ED}"/>
    <cellStyle name="Normal 16 7" xfId="684" xr:uid="{00CC6161-86E2-49F1-8E0A-1490A50691F2}"/>
    <cellStyle name="Normal 16 8" xfId="648" xr:uid="{9096955F-375E-4F49-9919-9BEB06B009A5}"/>
    <cellStyle name="Normal 17" xfId="609" xr:uid="{52DD5049-EFF4-4660-9201-3A940E09A8EB}"/>
    <cellStyle name="Normal 18" xfId="611" xr:uid="{EA07042E-7431-4BEA-BDA8-EA7E7EE862E0}"/>
    <cellStyle name="Normal 18 2" xfId="142" xr:uid="{B590B81F-749C-4C7D-874A-9C3EDA1A4CF1}"/>
    <cellStyle name="Normal 18 2 2" xfId="543" xr:uid="{9CCA05DB-C64C-4647-BE46-D97CACF06F7C}"/>
    <cellStyle name="Normal 18 3" xfId="141" xr:uid="{21DDA724-388A-48EA-AA94-459B701B8F5C}"/>
    <cellStyle name="Normal 2" xfId="2" xr:uid="{00000000-0005-0000-0000-00004B000000}"/>
    <cellStyle name="Normal 2 10" xfId="471" xr:uid="{04A85CD5-99FC-42E2-8B4F-08351760C2B2}"/>
    <cellStyle name="Normal 2 10 2" xfId="205" xr:uid="{3B477502-93DE-46AC-8B3B-5579FE6B1D23}"/>
    <cellStyle name="Normal 2 10 3" xfId="204" xr:uid="{87824F05-A838-46CF-9EE7-AE1F01D5812E}"/>
    <cellStyle name="Normal 2 10 4" xfId="207" xr:uid="{AA0D9393-496E-41C9-A444-01A83E8F9A54}"/>
    <cellStyle name="Normal 2 10 5" xfId="206" xr:uid="{5705D3B3-AD1C-4DB9-BE27-EB9CDD37E9E6}"/>
    <cellStyle name="Normal 2 11" xfId="470" xr:uid="{4FABC879-4394-4D5C-AC0C-3737DF490F5A}"/>
    <cellStyle name="Normal 2 11 2" xfId="627" xr:uid="{4923125D-2A07-420E-9A49-D93082AB48B7}"/>
    <cellStyle name="Normal 2 11 3" xfId="628" xr:uid="{18A6D75C-5667-41D6-BEDB-8AD8FB9902DA}"/>
    <cellStyle name="Normal 2 12" xfId="473" xr:uid="{76CACDD6-BC7E-4AC1-81F9-1A41C1DCF62A}"/>
    <cellStyle name="Normal 2 12 2" xfId="602" xr:uid="{33F230E9-64A1-4231-973C-17884FFAC9E8}"/>
    <cellStyle name="Normal 2 12 3" xfId="601" xr:uid="{2450E763-3CD8-471B-9BB2-4203F94867D0}"/>
    <cellStyle name="Normal 2 13" xfId="472" xr:uid="{26ECE5DD-18E4-4406-9B1E-2137219FB9DA}"/>
    <cellStyle name="Normal 2 13 2" xfId="406" xr:uid="{34BEE1C6-E4FE-4ACD-BBD9-9C9C47AE83FE}"/>
    <cellStyle name="Normal 2 13 2 2" xfId="458" xr:uid="{3962F51F-1D4D-4A21-BDF0-CA586C8E5B29}"/>
    <cellStyle name="Normal 2 14" xfId="467" xr:uid="{05672D70-0C02-4449-AC5A-2C3714C71906}"/>
    <cellStyle name="Normal 2 14 2" xfId="377" xr:uid="{03115665-5F2F-4E97-A284-C0C5DD29A1F5}"/>
    <cellStyle name="Normal 2 15" xfId="466" xr:uid="{13049252-DDAA-4504-9E94-6FD029CB8122}"/>
    <cellStyle name="Normal 2 16" xfId="758" xr:uid="{88E2FB9D-8289-42F7-91B1-270EBFC196E0}"/>
    <cellStyle name="Normal 2 2" xfId="65" xr:uid="{00000000-0005-0000-0000-00004C000000}"/>
    <cellStyle name="Normal 2 2 2" xfId="102" xr:uid="{00000000-0005-0000-0000-00004D000000}"/>
    <cellStyle name="Normal 2 2 2 2" xfId="338" xr:uid="{DAFBB65D-C871-422A-B1B6-77BD82A62878}"/>
    <cellStyle name="Normal 2 2 2 2 2" xfId="691" xr:uid="{2BDF8A88-D922-4F69-A8A9-902401437C47}"/>
    <cellStyle name="Normal 2 2 2 3" xfId="337" xr:uid="{AFD1C4E0-7992-410B-9C6E-5A0FA3936EED}"/>
    <cellStyle name="Normal 2 2 2 4" xfId="334" xr:uid="{1A3143B4-ED0D-47C2-9FA3-89AE99A1A62F}"/>
    <cellStyle name="Normal 2 2 2 5" xfId="511" xr:uid="{5812CB2B-0881-447A-BD8A-8D0906675D1E}"/>
    <cellStyle name="Normal 2 2 3" xfId="510" xr:uid="{E59A8EA5-B102-4D79-8018-E0B6B7FA9DEA}"/>
    <cellStyle name="Normal 2 2 3 2" xfId="537" xr:uid="{84ADAB8E-3E35-4D5B-BDC9-871738AFB10A}"/>
    <cellStyle name="Normal 2 2 3 3" xfId="538" xr:uid="{B2840A11-0EEE-4A80-8F87-380C0A081524}"/>
    <cellStyle name="Normal 2 2 4" xfId="509" xr:uid="{EAC126A9-25B0-4376-9A60-46659945A940}"/>
    <cellStyle name="Normal 2 2 4 2" xfId="568" xr:uid="{A8EF75A0-A92E-4D1E-B209-60FA940662C9}"/>
    <cellStyle name="Normal 2 2 4 3" xfId="567" xr:uid="{7DF6FAD1-B48B-465F-A763-32CF0891F727}"/>
    <cellStyle name="Normal 2 2 5" xfId="508" xr:uid="{2F52A897-2C69-412C-9881-23269DD049E1}"/>
    <cellStyle name="Normal 2 2 6" xfId="528" xr:uid="{F45B3195-7BCA-43C4-9537-4E753C2B13C8}"/>
    <cellStyle name="Normal 2 3" xfId="527" xr:uid="{20B765F0-5FCC-4402-9EAB-0308C92E71E1}"/>
    <cellStyle name="Normal 2 3 2" xfId="727" xr:uid="{F93AA10E-17B4-4AAD-A7DC-B55762C81D25}"/>
    <cellStyle name="Normal 2 3 2 2" xfId="672" xr:uid="{C9240C50-F6D2-41A8-A0F0-17D7F274BAA3}"/>
    <cellStyle name="Normal 2 3 2 3" xfId="673" xr:uid="{C9E7C6C0-3474-48CD-BC2D-DF356209756B}"/>
    <cellStyle name="Normal 2 3 2 4" xfId="671" xr:uid="{A7596D7B-7BD3-4A57-BFB0-1603D35EC135}"/>
    <cellStyle name="Normal 2 3 3" xfId="728" xr:uid="{C7164C25-EA70-4381-A601-59C461E0818D}"/>
    <cellStyle name="Normal 2 3 3 2" xfId="465" xr:uid="{0081A737-7E0D-460C-BF65-C7D184BD4821}"/>
    <cellStyle name="Normal 2 3 3 2 2" xfId="719" xr:uid="{302D30A4-624D-412C-B30B-EDA262C7E620}"/>
    <cellStyle name="Normal 2 3 3 3" xfId="464" xr:uid="{2CB283AC-1FE4-4799-8414-A9244E7A53D9}"/>
    <cellStyle name="Normal 2 3 3 4" xfId="463" xr:uid="{16702D7A-FCE9-43A9-B9EC-5F979C24D91D}"/>
    <cellStyle name="Normal 2 3 4" xfId="722" xr:uid="{2E0C049A-0567-43E2-8CC9-01E2CDC06395}"/>
    <cellStyle name="Normal 2 3 4 2" xfId="264" xr:uid="{D981CE28-3890-432F-8504-C0FF3A5EFD6C}"/>
    <cellStyle name="Normal 2 3 5" xfId="723" xr:uid="{2529A391-BD80-461F-9C20-98304208F312}"/>
    <cellStyle name="Normal 2 3 5 2" xfId="700" xr:uid="{60E11C23-EAE4-4927-A459-C45D40CAE2A9}"/>
    <cellStyle name="Normal 2 3 6" xfId="724" xr:uid="{CD9338CD-59BF-4751-A267-0E3CC5B7F990}"/>
    <cellStyle name="Normal 2 3 7" xfId="725" xr:uid="{13042CFD-43D8-4C12-9D7A-F204F67BA6DA}"/>
    <cellStyle name="Normal 2 3 8" xfId="720" xr:uid="{F36E5D6D-B2DC-47F7-ADBE-DE365A60E7CF}"/>
    <cellStyle name="Normal 2 4" xfId="530" xr:uid="{53BEB7F8-AB5D-462D-A827-20E0B77C0B29}"/>
    <cellStyle name="Normal 2 4 2" xfId="616" xr:uid="{86900E35-B468-4AA1-821F-9DC5F15A39BD}"/>
    <cellStyle name="Normal 2 4 2 2" xfId="249" xr:uid="{AA91D1EB-0AB9-4763-AF10-DB2277DD058C}"/>
    <cellStyle name="Normal 2 4 2 3" xfId="248" xr:uid="{5A35ABE1-ED02-4F34-9614-7AB412D80C7C}"/>
    <cellStyle name="Normal 2 4 3" xfId="615" xr:uid="{1AC20079-40A4-4550-878A-2CC34E20C947}"/>
    <cellStyle name="Normal 2 4 3 2" xfId="442" xr:uid="{5AF3A6EB-CBEA-4E1C-9CF3-5FFA7A472B30}"/>
    <cellStyle name="Normal 2 4 3 3" xfId="443" xr:uid="{DBC4364B-3123-430B-A248-CF7F54EF9743}"/>
    <cellStyle name="Normal 2 4 4" xfId="621" xr:uid="{B6805F4E-A2F1-436B-B149-619687E5A6CB}"/>
    <cellStyle name="Normal 2 4 4 2" xfId="649" xr:uid="{1EEFF465-61E3-4B97-AFD2-58EE0F43663E}"/>
    <cellStyle name="Normal 2 4 5" xfId="620" xr:uid="{CC0E0E23-C909-42AA-9D06-3A006A70CC6F}"/>
    <cellStyle name="Normal 2 4 5 2" xfId="150" xr:uid="{50C8AABB-463B-4838-AFA9-B2F4BD7ED6A4}"/>
    <cellStyle name="Normal 2 4 6" xfId="619" xr:uid="{7D43429F-C492-4148-B6DF-AA18FED99799}"/>
    <cellStyle name="Normal 2 4 7" xfId="618" xr:uid="{346A8B5F-DF80-49E2-8645-371A47376F04}"/>
    <cellStyle name="Normal 2 4 8" xfId="624" xr:uid="{BB360D2F-7BAB-4D77-BEA6-62AEF1E7049B}"/>
    <cellStyle name="Normal 2 5" xfId="529" xr:uid="{0BD0E852-FB9E-481F-AEF6-FE010A3B3E34}"/>
    <cellStyle name="Normal 2 5 2" xfId="196" xr:uid="{B6D94B65-7B0C-48FB-9B35-FB81E98FC94F}"/>
    <cellStyle name="Normal 2 5 2 2" xfId="549" xr:uid="{94760877-92B5-4127-A2E3-8D9CF74D076F}"/>
    <cellStyle name="Normal 2 5 2 3" xfId="550" xr:uid="{63FB76D3-2BC9-4034-B099-5F7854D58AE8}"/>
    <cellStyle name="Normal 2 5 3" xfId="197" xr:uid="{42BD9975-F000-4F1F-8A7F-14C38AE356AE}"/>
    <cellStyle name="Normal 2 5 3 2" xfId="346" xr:uid="{44EFCB39-11B0-4E66-95EA-D3E15DC4A52B}"/>
    <cellStyle name="Normal 2 5 3 3" xfId="345" xr:uid="{FDA0B7B1-A1C2-40CB-834F-030E51FCC02B}"/>
    <cellStyle name="Normal 2 5 4" xfId="200" xr:uid="{55EF7052-D064-4CB8-BCFD-54CDE8478662}"/>
    <cellStyle name="Normal 2 5 4 2" xfId="455" xr:uid="{B84DCADB-D267-4696-9A7A-A51FC39AF278}"/>
    <cellStyle name="Normal 2 5 5" xfId="201" xr:uid="{4D489DD2-E357-4A0E-B20F-5855E910306F}"/>
    <cellStyle name="Normal 2 5 5 2" xfId="132" xr:uid="{14E1E642-5AD4-499E-AED3-8EA52663A301}"/>
    <cellStyle name="Normal 2 5 6" xfId="198" xr:uid="{5AED9C4D-3829-4ED6-970E-D4983A2DABDC}"/>
    <cellStyle name="Normal 2 5 7" xfId="199" xr:uid="{238825EC-85CA-4CA1-9521-5C1109F66C10}"/>
    <cellStyle name="Normal 2 5 8" xfId="193" xr:uid="{36E3D7F0-FFCC-4178-B6FA-B2EE20E60267}"/>
    <cellStyle name="Normal 2 6" xfId="532" xr:uid="{7BECDCB5-B78D-48C0-AABE-66333A70F775}"/>
    <cellStyle name="Normal 2 6 2" xfId="385" xr:uid="{E13BA4EC-62C4-485E-B05D-B0E0BF16A601}"/>
    <cellStyle name="Normal 2 6 2 2" xfId="258" xr:uid="{6363A6D3-40FE-4D56-9F02-A15F90F2EEC6}"/>
    <cellStyle name="Normal 2 6 2 3" xfId="257" xr:uid="{00B59A16-1CA0-47D6-A1C8-E75495DE60CD}"/>
    <cellStyle name="Normal 2 6 3" xfId="384" xr:uid="{D8CCEE9F-3983-4073-9FEA-5C3E53B3CC3A}"/>
    <cellStyle name="Normal 2 6 3 2" xfId="452" xr:uid="{AC22FE10-56E3-4262-9B20-8774D70A0655}"/>
    <cellStyle name="Normal 2 6 3 3" xfId="453" xr:uid="{9DB89CEA-8CE9-4817-A4F4-B03FD3EAD8AB}"/>
    <cellStyle name="Normal 2 6 4" xfId="387" xr:uid="{F23A43AB-B9AD-4C5D-895C-C3E835A2018F}"/>
    <cellStyle name="Normal 2 6 4 2" xfId="146" xr:uid="{17498344-7CCD-4978-BC41-689A749AABF8}"/>
    <cellStyle name="Normal 2 6 5" xfId="386" xr:uid="{10C0A25D-AD8B-48AA-96B6-8C54356DAA60}"/>
    <cellStyle name="Normal 2 6 5 2" xfId="333" xr:uid="{5560AFE7-72D1-4DD5-A2F4-3EB987E2690E}"/>
    <cellStyle name="Normal 2 6 6" xfId="389" xr:uid="{4D7CA765-2770-4078-8C7C-103FA3A9F837}"/>
    <cellStyle name="Normal 2 6 7" xfId="388" xr:uid="{7ABD3EBF-D99F-4406-BF08-9830DDC96685}"/>
    <cellStyle name="Normal 2 6 8" xfId="390" xr:uid="{78D26B9D-F01A-4FF7-8AC7-8A7B41A552F4}"/>
    <cellStyle name="Normal 2 7" xfId="531" xr:uid="{94D569D1-7BD4-4B6B-86DC-DF8547A75276}"/>
    <cellStyle name="Normal 2 7 2" xfId="583" xr:uid="{496005B3-6B00-440A-9390-6FDDFD065B09}"/>
    <cellStyle name="Normal 2 7 2 2" xfId="630" xr:uid="{DD174A6A-E42C-4E7A-A8C4-B950695717C1}"/>
    <cellStyle name="Normal 2 7 2 3" xfId="631" xr:uid="{54DD0F50-7093-410D-947C-F5C4CD1CBBC5}"/>
    <cellStyle name="Normal 2 7 3" xfId="421" xr:uid="{8244DD5C-DC1F-46B3-989A-6F38BEA29855}"/>
    <cellStyle name="Normal 2 7 3 2" xfId="431" xr:uid="{BDE9139D-1928-4F7B-9288-7E2D4C00DEF0}"/>
    <cellStyle name="Normal 2 7 3 3" xfId="430" xr:uid="{546F67DA-81B0-4146-8409-EF1E38CEB687}"/>
    <cellStyle name="Normal 2 7 4" xfId="426" xr:uid="{D11BFF5B-F45E-412F-9368-78B5008DEC45}"/>
    <cellStyle name="Normal 2 7 4 2" xfId="580" xr:uid="{01308F67-16FC-413C-89D6-CCE5DC8A72E0}"/>
    <cellStyle name="Normal 2 7 5" xfId="429" xr:uid="{1194A816-969E-4758-8E8E-96B3803AAE53}"/>
    <cellStyle name="Normal 2 7 5 2" xfId="379" xr:uid="{40038DF5-8FEE-4656-A925-0B278BD3DE32}"/>
    <cellStyle name="Normal 2 7 6" xfId="587" xr:uid="{CB021F6D-6626-48FE-A280-C8E7ABF06C2A}"/>
    <cellStyle name="Normal 2 7 7" xfId="588" xr:uid="{630CDC50-6B94-4402-AE50-13E261239F38}"/>
    <cellStyle name="Normal 2 7 8" xfId="581" xr:uid="{3BC0B2B7-43A7-4C36-AB29-83708F34C774}"/>
    <cellStyle name="Normal 2 8" xfId="566" xr:uid="{160F63C7-A0FB-43F6-B153-6BBF073997C4}"/>
    <cellStyle name="Normal 2 8 2" xfId="752" xr:uid="{F98FF6B1-01E0-470A-92ED-749576839810}"/>
    <cellStyle name="Normal 2 8 2 2" xfId="148" xr:uid="{335C4A1C-0569-4685-813B-B1572AE69E74}"/>
    <cellStyle name="Normal 2 8 2 3" xfId="145" xr:uid="{B3B19FDC-CA82-4D7A-A05B-927108C736C5}"/>
    <cellStyle name="Normal 2 8 3" xfId="750" xr:uid="{2DE7ECC4-E6AA-498E-9C7E-C73070C3E737}"/>
    <cellStyle name="Normal 2 8 3 2" xfId="427" xr:uid="{213F3C4F-1591-4131-8F2B-25A161013358}"/>
    <cellStyle name="Normal 2 8 3 3" xfId="428" xr:uid="{1A15A6C3-EC7F-4CD7-B9FD-E17462B4CA56}"/>
    <cellStyle name="Normal 2 8 4" xfId="436" xr:uid="{FBDD2BA9-3DD5-4CF4-B4D3-4D567E2AA878}"/>
    <cellStyle name="Normal 2 8 4 2" xfId="266" xr:uid="{436D3F34-CE8D-468E-9471-113EF7624F58}"/>
    <cellStyle name="Normal 2 8 5" xfId="435" xr:uid="{287DF791-CF0F-48B6-9CC1-72275A78801F}"/>
    <cellStyle name="Normal 2 8 5 2" xfId="468" xr:uid="{E46D42BC-ACB6-4C41-A4F1-FBC590D80BBD}"/>
    <cellStyle name="Normal 2 8 6" xfId="434" xr:uid="{8165746E-5912-4805-85B8-64CFF704DCFE}"/>
    <cellStyle name="Normal 2 8 7" xfId="433" xr:uid="{BCC8C8B8-2271-46CC-ACC8-8CA9FFF68790}"/>
    <cellStyle name="Normal 2 8 8" xfId="432" xr:uid="{E44A3793-C17A-40D4-84ED-5C2AFF61A0BD}"/>
    <cellStyle name="Normal 2 9" xfId="713" xr:uid="{2C1E56CD-2E35-45C2-A4E0-060B1E1C2669}"/>
    <cellStyle name="Normal 2 9 2" xfId="172" xr:uid="{FF834183-30EE-46E0-93F8-7007406231C8}"/>
    <cellStyle name="Normal 2 9 2 2" xfId="232" xr:uid="{3C50A24D-FC66-4612-8678-F59C19E578FE}"/>
    <cellStyle name="Normal 2 9 2 3" xfId="233" xr:uid="{13B03EFB-7F01-4254-9A08-9B129821D6F0}"/>
    <cellStyle name="Normal 2 9 3" xfId="174" xr:uid="{995B42B9-A403-45DA-BB5A-0ACE8B272F82}"/>
    <cellStyle name="Normal 2 9 3 2" xfId="660" xr:uid="{19898C0E-C26C-49EA-9681-0C2CDCF2C2E9}"/>
    <cellStyle name="Normal 2 9 3 3" xfId="659" xr:uid="{6B6F8012-FA0F-4EC6-89DE-A63CD582B4DF}"/>
    <cellStyle name="Normal 2 9 4" xfId="654" xr:uid="{423D63B0-34A6-4C4C-B31D-DF7DD7D416E2}"/>
    <cellStyle name="Normal 2 9 4 2" xfId="263" xr:uid="{75E1F621-84C5-4CC3-836D-83A4B2D324A4}"/>
    <cellStyle name="Normal 2 9 5" xfId="655" xr:uid="{525894D6-E0E8-4A3F-B95A-C023C95EDC01}"/>
    <cellStyle name="Normal 2 9 5 2" xfId="446" xr:uid="{5FBE4356-7304-4A46-953A-117422F8FE60}"/>
    <cellStyle name="Normal 2 9 6" xfId="652" xr:uid="{4A7BB1BC-13FE-4658-A2A7-4A2F90DF573B}"/>
    <cellStyle name="Normal 2 9 7" xfId="653" xr:uid="{949CC346-64D0-4850-A93C-5F17BC6D9154}"/>
    <cellStyle name="Normal 2 9 8" xfId="661" xr:uid="{AA895E92-AAFF-45D8-AE57-B66FAA843635}"/>
    <cellStyle name="Normal 28 2" xfId="676" xr:uid="{3227BDCB-6DC8-46F7-A0DE-7A11FF6C3297}"/>
    <cellStyle name="Normal 28 2 2" xfId="736" xr:uid="{E3CCF075-CF4B-4EB0-9D09-F7678A9F906F}"/>
    <cellStyle name="Normal 28 2 3" xfId="737" xr:uid="{14F79D41-985A-4FCD-9B44-A9E2FF0FDB58}"/>
    <cellStyle name="Normal 28 3" xfId="677" xr:uid="{9886AFFC-A0A4-4763-BE0C-2FC1B3589D1F}"/>
    <cellStyle name="Normal 28 3 2" xfId="290" xr:uid="{EB6E1BCA-F90C-4A13-961F-3A2616A86F99}"/>
    <cellStyle name="Normal 28 4" xfId="681" xr:uid="{815BE352-A167-4921-9093-4BB8C88CDC23}"/>
    <cellStyle name="Normal 28 5" xfId="682" xr:uid="{5B6AC1C1-952C-4E89-B856-E1EEF15E9B15}"/>
    <cellStyle name="Normal 3" xfId="6" xr:uid="{00000000-0005-0000-0000-00004E000000}"/>
    <cellStyle name="Normal 3 2" xfId="66" xr:uid="{00000000-0005-0000-0000-00004F000000}"/>
    <cellStyle name="Normal 3 2 2" xfId="103" xr:uid="{00000000-0005-0000-0000-000050000000}"/>
    <cellStyle name="Normal 3 2 2 2" xfId="326" xr:uid="{A841D254-DC1C-44A7-86C7-2B357FE5A6E2}"/>
    <cellStyle name="Normal 3 2 3" xfId="327" xr:uid="{3C2C619C-D629-41B0-B098-FB3D1EE9F3CF}"/>
    <cellStyle name="Normal 3 2 4" xfId="670" xr:uid="{C96E794A-5933-4187-B118-14D7F3C8F508}"/>
    <cellStyle name="Normal 3 3" xfId="742" xr:uid="{411EC299-9A34-43EA-B8EC-3A336EA01EA9}"/>
    <cellStyle name="Normal 3 3 2" xfId="186" xr:uid="{5785FA68-7693-4659-80ED-D8E8D3F4FBCE}"/>
    <cellStyle name="Normal 3 3 3" xfId="185" xr:uid="{8C37C72F-4A7D-42CF-A35D-67AC6DA798A3}"/>
    <cellStyle name="Normal 3 4" xfId="743" xr:uid="{8B38A13E-0B7B-467B-AC1C-3CD936D1D43B}"/>
    <cellStyle name="Normal 3 4 2" xfId="149" xr:uid="{48DF7151-41FF-4B09-82A8-EFA27B3F2294}"/>
    <cellStyle name="Normal 3 5" xfId="744" xr:uid="{F20C515B-483F-429E-8B4B-51E6C563AC97}"/>
    <cellStyle name="Normal 3 5 2" xfId="223" xr:uid="{CE0C49C1-6154-4832-845E-1544909F4049}"/>
    <cellStyle name="Normal 3 5 3" xfId="222" xr:uid="{83D118F1-B18F-4EE1-80AE-142C24A4FE93}"/>
    <cellStyle name="Normal 3 6" xfId="745" xr:uid="{B96FAD43-7183-4371-8814-F32860431A01}"/>
    <cellStyle name="Normal 3 7" xfId="746" xr:uid="{223A2D31-4001-43E5-9FAC-CA30C82C5781}"/>
    <cellStyle name="Normal 3 8" xfId="536" xr:uid="{D1C58E0F-0B6C-4323-938F-2BD14FCB2EC1}"/>
    <cellStyle name="Normal 36 2" xfId="564" xr:uid="{847DEE4D-6BFB-4DE0-9AF9-F69DD0E6C5F7}"/>
    <cellStyle name="Normal 36 2 2" xfId="369" xr:uid="{D2EA074E-B4E4-4A18-B89D-DE46F17D494D}"/>
    <cellStyle name="Normal 37 2" xfId="401" xr:uid="{5D9B0CD8-6B13-4376-9D2C-AE8BB8C19BB7}"/>
    <cellStyle name="Normal 37 2 2" xfId="278" xr:uid="{91B9F039-7A9B-46F3-8771-13C986E3C1E3}"/>
    <cellStyle name="Normal 37 2 2 2" xfId="502" xr:uid="{9BB9C21D-45AF-44EB-A492-3D3AA8321866}"/>
    <cellStyle name="Normal 37 2 2 3" xfId="503" xr:uid="{CEB0F4E8-0BAF-4AD8-9EE3-7ABAA0119373}"/>
    <cellStyle name="Normal 37 2 3" xfId="279" xr:uid="{939FB3EF-C35E-4C76-AB38-13976F3E3634}"/>
    <cellStyle name="Normal 37 2 3 2" xfId="675" xr:uid="{7F7120E7-7117-4E42-987E-F0CB687591D3}"/>
    <cellStyle name="Normal 37 2 4" xfId="276" xr:uid="{B353E033-0CF8-4616-8ABA-444D37854B5A}"/>
    <cellStyle name="Normal 37 2 5" xfId="277" xr:uid="{1D3EDBCB-FE17-4DDB-98FD-5A969E9D1E0C}"/>
    <cellStyle name="Normal 37 2 6" xfId="275" xr:uid="{E255B717-865C-4B12-9C28-78D16F1C8337}"/>
    <cellStyle name="Normal 37 3" xfId="457" xr:uid="{483A0DAC-A689-4BA5-AD16-0A2F944883BA}"/>
    <cellStyle name="Normal 37 3 2" xfId="477" xr:uid="{BCFA09A5-BA7B-4381-B55B-72A844DA615A}"/>
    <cellStyle name="Normal 37 3 3" xfId="476" xr:uid="{81E608C5-5F41-4D52-9D0A-0768276F45B7}"/>
    <cellStyle name="Normal 37 4" xfId="404" xr:uid="{B5C49D5E-4E60-4CB3-86F0-317AEA80488F}"/>
    <cellStyle name="Normal 37 4 2" xfId="504" xr:uid="{BF234C36-427E-4D1C-BA6B-E81B3DC33928}"/>
    <cellStyle name="Normal 37 5" xfId="505" xr:uid="{65A14304-99BC-44CE-87D4-67D42DFC1FEB}"/>
    <cellStyle name="Normal 37 5 2" xfId="715" xr:uid="{8F5141E2-5B91-4822-9D8E-5E1DE9508E6A}"/>
    <cellStyle name="Normal 37 6" xfId="402" xr:uid="{F994E096-2755-4FC3-8BEF-C9E756435466}"/>
    <cellStyle name="Normal 37 7" xfId="403" xr:uid="{AC3D4BC5-0746-4108-B155-48E860EBB3EE}"/>
    <cellStyle name="Normal 4" xfId="67" xr:uid="{00000000-0005-0000-0000-000051000000}"/>
    <cellStyle name="Normal 4 2" xfId="104" xr:uid="{00000000-0005-0000-0000-000052000000}"/>
    <cellStyle name="Normal 4 2 2" xfId="105" xr:uid="{00000000-0005-0000-0000-000053000000}"/>
    <cellStyle name="Normal 4 2 2 2" xfId="269" xr:uid="{B365BB30-308C-4DB3-8755-739B3E89F1F8}"/>
    <cellStyle name="Normal 4 2 2 3" xfId="268" xr:uid="{EA5D79AF-F349-4ED9-83C5-3A3BFF86A8B1}"/>
    <cellStyle name="Normal 4 2 2 4" xfId="481" xr:uid="{E54FE6B4-C63F-45BF-A782-EAF3296A09F0}"/>
    <cellStyle name="Normal 4 2 3" xfId="480" xr:uid="{B93D7450-ECAE-4DD8-BD59-67DEC2129BED}"/>
    <cellStyle name="Normal 4 2 3 2" xfId="439" xr:uid="{E153ED08-E272-4BC5-A927-A2E6E61A3F86}"/>
    <cellStyle name="Normal 4 2 4" xfId="487" xr:uid="{C31040C9-2101-4406-A68C-9A4D33D2C7D0}"/>
    <cellStyle name="Normal 4 2 5" xfId="486" xr:uid="{0291C9CC-901E-475D-8095-247BEEE900E6}"/>
    <cellStyle name="Normal 4 2 6" xfId="485" xr:uid="{95A96A46-0025-4119-86B4-2689064A39A3}"/>
    <cellStyle name="Normal 4 2 7" xfId="484" xr:uid="{59866D0F-FDB3-471F-B3AA-A72F6BA1A91D}"/>
    <cellStyle name="Normal 4 2 8" xfId="184" xr:uid="{5C634A4F-F068-48FF-909E-FC4F70B8A736}"/>
    <cellStyle name="Normal 4 3" xfId="183" xr:uid="{51C84420-C435-4BA6-B7F5-B5418CC09711}"/>
    <cellStyle name="Normal 4 3 2" xfId="694" xr:uid="{13994093-A01C-4A78-BAC1-1E404838BCFB}"/>
    <cellStyle name="Normal 4 3 3" xfId="695" xr:uid="{55D99409-9FD5-4A30-8D2F-48EE86EA2BE9}"/>
    <cellStyle name="Normal 4 4" xfId="182" xr:uid="{DD00A02A-03C7-4235-B1E2-7CE8C5DD18FC}"/>
    <cellStyle name="Normal 4 4 2" xfId="450" xr:uid="{B03E4E71-5A4F-4F8D-A738-DBD5D82A0C17}"/>
    <cellStyle name="Normal 4 4 3" xfId="449" xr:uid="{1BE947C8-8A97-4918-9B7E-03AF1AF1C2CC}"/>
    <cellStyle name="Normal 4 5" xfId="181" xr:uid="{5AD6662F-3A6E-46A7-B48D-3580E0468D29}"/>
    <cellStyle name="Normal 4 6" xfId="180" xr:uid="{CFE3C358-8B00-4093-B8F7-5647458661D7}"/>
    <cellStyle name="Normal 4 7" xfId="179" xr:uid="{0D4FF12F-7268-44B3-925B-DB8C3E484F84}"/>
    <cellStyle name="Normal 4 8" xfId="178" xr:uid="{E4380E49-448C-458A-B801-FC0EBB5DE9B0}"/>
    <cellStyle name="Normal 4 9" xfId="177" xr:uid="{8857E6A3-48E4-48B7-BC69-BE78B96F9F32}"/>
    <cellStyle name="Normal 44 2" xfId="598" xr:uid="{562AE05A-B390-4C70-8A11-4924ACA4F6B6}"/>
    <cellStyle name="Normal 44 2 2" xfId="291" xr:uid="{2DF7D0DB-A5CE-409D-88FB-79EA22EFCB41}"/>
    <cellStyle name="Normal 44 2 3" xfId="292" xr:uid="{C5A23A51-440D-4920-A265-05BC5A34818F}"/>
    <cellStyle name="Normal 44 3" xfId="599" xr:uid="{1BD84733-E119-4C47-88F1-3004A3985E08}"/>
    <cellStyle name="Normal 44 4" xfId="600" xr:uid="{6988F7B1-BA54-4992-BB06-E8D8275A1940}"/>
    <cellStyle name="Normal 45 2" xfId="189" xr:uid="{D17D9394-D879-41CE-A8C1-BBD514341882}"/>
    <cellStyle name="Normal 45 2 2" xfId="689" xr:uid="{F3DA48B3-421A-4E89-8085-1464FE69FC33}"/>
    <cellStyle name="Normal 45 2 3" xfId="688" xr:uid="{9750498A-6B70-4F8F-BD81-06C175F391D7}"/>
    <cellStyle name="Normal 45 3" xfId="188" xr:uid="{7EB853DD-6AA4-4730-B828-ABC78E326B9E}"/>
    <cellStyle name="Normal 48" xfId="246" xr:uid="{29DA17C0-79AD-4061-89BF-BD77F5D190E5}"/>
    <cellStyle name="Normal 48 2" xfId="129" xr:uid="{CDC4F65A-3996-4DB2-A69E-FFD9682BBA93}"/>
    <cellStyle name="Normal 48 2 2" xfId="420" xr:uid="{76E41B75-25CD-4227-B15C-EAB8C2AC009A}"/>
    <cellStyle name="Normal 48 2 2 2" xfId="664" xr:uid="{31F0964C-32E8-42CA-9CD3-85D0890B83E4}"/>
    <cellStyle name="Normal 48 2 2 3" xfId="667" xr:uid="{A3F30D42-6A91-4E2A-A89D-FE3A0C510689}"/>
    <cellStyle name="Normal 48 2 3" xfId="697" xr:uid="{BBC20471-530A-4370-9092-7F0652A7C5D9}"/>
    <cellStyle name="Normal 48 2 3 2" xfId="161" xr:uid="{BE19BA4B-2390-4BB5-B42E-AF1B9ADB93AD}"/>
    <cellStyle name="Normal 48 2 4" xfId="422" xr:uid="{FED46FD1-9B83-453B-9482-0B37E6D34296}"/>
    <cellStyle name="Normal 48 2 4 2" xfId="460" xr:uid="{E438D319-847E-4697-A504-898F61293100}"/>
    <cellStyle name="Normal 48 2 5" xfId="423" xr:uid="{9C071CD4-9B91-4F23-9485-37A526DD7F98}"/>
    <cellStyle name="Normal 48 2 6" xfId="424" xr:uid="{E325238F-F4F1-4007-953D-252EC88CC94F}"/>
    <cellStyle name="Normal 48 3" xfId="130" xr:uid="{7B935793-AC94-4538-8A65-E1A1BFFA434F}"/>
    <cellStyle name="Normal 48 3 2" xfId="633" xr:uid="{C322BDCF-C6BF-435C-80DE-5DFAD965AA12}"/>
    <cellStyle name="Normal 48 3 2 2" xfId="274" xr:uid="{0BF6D73C-E373-45CF-B528-C4E8DA10591A}"/>
    <cellStyle name="Normal 48 3 3" xfId="623" xr:uid="{D540FC6A-A816-494E-B5BE-090CAE53A4D0}"/>
    <cellStyle name="Normal 48 3 4" xfId="626" xr:uid="{97A9547F-3430-4832-8693-C0664272F406}"/>
    <cellStyle name="Normal 48 3 5" xfId="637" xr:uid="{C147908F-1088-4C43-ABFB-817B7A771556}"/>
    <cellStyle name="Normal 48 4" xfId="123" xr:uid="{6CF5490E-501A-4166-AD87-4B44C9BAC95F}"/>
    <cellStyle name="Normal 48 4 2" xfId="202" xr:uid="{902CF0A0-A45E-41E3-83C9-817E0F52BDF2}"/>
    <cellStyle name="Normal 48 5" xfId="124" xr:uid="{A53F22CC-D124-417A-B9A4-F069A45AFE95}"/>
    <cellStyle name="Normal 48 6" xfId="125" xr:uid="{6CF5A722-AB86-4FFB-A2C3-777472A74A36}"/>
    <cellStyle name="Normal 48 6 2" xfId="539" xr:uid="{A84E0AAB-32BE-472F-99BA-43BDCC8D67BA}"/>
    <cellStyle name="Normal 48 7" xfId="126" xr:uid="{461DDDA9-4907-41A7-907D-51523B6372B4}"/>
    <cellStyle name="Normal 48 8" xfId="156" xr:uid="{7DE0DE55-E197-4CD3-BD4E-F1532283DC8C}"/>
    <cellStyle name="Normal 48 9" xfId="159" xr:uid="{EFEFF1B3-2889-4AB6-9DE7-6CE8EAC40C05}"/>
    <cellStyle name="Normal 49" xfId="247" xr:uid="{D5852436-BF13-47B8-B536-D63674677C3B}"/>
    <cellStyle name="Normal 49 2" xfId="314" xr:uid="{B0F07603-B645-4558-9358-64419C44AB39}"/>
    <cellStyle name="Normal 49 3" xfId="313" xr:uid="{3E921538-5403-4991-8E8A-EF8D60633DEB}"/>
    <cellStyle name="Normal 5" xfId="68" xr:uid="{00000000-0005-0000-0000-000054000000}"/>
    <cellStyle name="Normal 5 2" xfId="69" xr:uid="{00000000-0005-0000-0000-000055000000}"/>
    <cellStyle name="Normal 5 2 2" xfId="569" xr:uid="{FB3ED7CB-685F-4BC4-999E-ED5090624681}"/>
    <cellStyle name="Normal 5 2 2 2" xfId="717" xr:uid="{D25A911F-7469-4B1D-B117-619E0CB33C2D}"/>
    <cellStyle name="Normal 5 2 2 2 2" xfId="260" xr:uid="{EB3D30AA-BAC1-472A-86CA-D25B964AB059}"/>
    <cellStyle name="Normal 5 2 2 2 3" xfId="261" xr:uid="{CF27CF87-0C56-4F45-BE9A-7EC33F2E9584}"/>
    <cellStyle name="Normal 5 2 2 3" xfId="718" xr:uid="{34E56C94-A320-45B9-B66E-03D40CB8E102}"/>
    <cellStyle name="Normal 5 2 2 3 2" xfId="698" xr:uid="{B2CA40D6-E67E-44E3-AA2C-3FEE52FC6C67}"/>
    <cellStyle name="Normal 5 2 2 4" xfId="721" xr:uid="{E190951A-018F-4080-9F65-9ED0EF516B27}"/>
    <cellStyle name="Normal 5 2 3" xfId="570" xr:uid="{6E4812AE-1203-4370-B42F-F1F6F746753E}"/>
    <cellStyle name="Normal 5 2 3 2" xfId="507" xr:uid="{6833F4FE-3DD9-4DE9-905A-BEEB1C916FBF}"/>
    <cellStyle name="Normal 5 2 3 3" xfId="506" xr:uid="{088A0B27-5059-498C-9605-A61A4A32C19C}"/>
    <cellStyle name="Normal 5 2 4" xfId="297" xr:uid="{6B417CC2-8FCE-4FA4-A68F-DF352BB83D0E}"/>
    <cellStyle name="Normal 5 2 4 2" xfId="701" xr:uid="{A885F348-96AB-4B28-A140-13B57579A9E5}"/>
    <cellStyle name="Normal 5 2 4 3" xfId="425" xr:uid="{0B3747B7-D32F-4365-A701-2346030431A7}"/>
    <cellStyle name="Normal 5 2 5" xfId="381" xr:uid="{D8DC33FF-DF92-4C0E-9385-3A0BE9A7A5BF}"/>
    <cellStyle name="Normal 5 2 6" xfId="324" xr:uid="{93ACDA6B-0E08-4550-9174-EC55DBDC94C0}"/>
    <cellStyle name="Normal 5 3" xfId="106" xr:uid="{00000000-0005-0000-0000-000056000000}"/>
    <cellStyle name="Normal 5 3 2" xfId="373" xr:uid="{94F5C70C-DBA6-4A51-9E3E-FC565BFA3666}"/>
    <cellStyle name="Normal 5 3 3" xfId="325" xr:uid="{B28EBEDD-8D7E-4C6D-AB8D-E0878E8100EE}"/>
    <cellStyle name="Normal 5 4" xfId="323" xr:uid="{C588DA76-0FFF-43EA-9D05-0E475E4DF853}"/>
    <cellStyle name="Normal 5 5" xfId="755" xr:uid="{C1B316C1-B647-40E5-8893-C8629A1AF991}"/>
    <cellStyle name="Normal 50" xfId="696" xr:uid="{277002E3-219B-49A7-B9E7-21DEA11457C8}"/>
    <cellStyle name="Normal 6" xfId="70" xr:uid="{00000000-0005-0000-0000-000057000000}"/>
    <cellStyle name="Normal 6 2" xfId="400" xr:uid="{411E33AA-3B2F-40C6-9B7C-ED5642F04325}"/>
    <cellStyle name="Normal 6 2 2" xfId="411" xr:uid="{6E108FD2-C0AC-49CD-A9D1-94AAA2D15D75}"/>
    <cellStyle name="Normal 6 2 2 2" xfId="542" xr:uid="{4219289E-3415-4C16-80AA-C19531C7CF1E}"/>
    <cellStyle name="Normal 6 2 2 3" xfId="541" xr:uid="{73A25C71-A1CD-4F24-ADF0-8E38AA40B1B3}"/>
    <cellStyle name="Normal 6 2 3" xfId="410" xr:uid="{3ABEF3AA-74CA-4537-B145-3FE39278ABEF}"/>
    <cellStyle name="Normal 6 2 3 2" xfId="119" xr:uid="{84988ACB-C844-4B47-89E5-FB4550EC8346}"/>
    <cellStyle name="Normal 6 2 3 3" xfId="154" xr:uid="{9CB1667E-6FDE-4FF8-ABE1-9309748A0588}"/>
    <cellStyle name="Normal 6 2 4" xfId="413" xr:uid="{87A75810-0B1B-4F4D-94E0-8153B2BE261F}"/>
    <cellStyle name="Normal 6 2 5" xfId="412" xr:uid="{AB5B18A0-EFF6-44CA-83E1-B78395713D5F}"/>
    <cellStyle name="Normal 6 3" xfId="399" xr:uid="{A1CA3757-4CB6-459F-BACE-FB4A5379FE96}"/>
    <cellStyle name="Normal 6 3 2" xfId="612" xr:uid="{3067505F-A36B-4FF5-9A16-A284AC6F4669}"/>
    <cellStyle name="Normal 6 3 3" xfId="613" xr:uid="{F01236E4-31BA-41A6-8D7D-656852327F85}"/>
    <cellStyle name="Normal 6 4" xfId="398" xr:uid="{C72B3750-B0F6-40BA-9860-A5AFDF03A1E1}"/>
    <cellStyle name="Normal 6 4 2" xfId="195" xr:uid="{2D5A3296-940B-42AE-9719-0C53757FFD22}"/>
    <cellStyle name="Normal 6 4 3" xfId="194" xr:uid="{8533ACB9-2AA2-4F70-B16E-99B25E00331A}"/>
    <cellStyle name="Normal 6 5" xfId="397" xr:uid="{1F948C61-73F8-467A-A3C8-23F2241352EA}"/>
    <cellStyle name="Normal 7" xfId="71" xr:uid="{00000000-0005-0000-0000-000058000000}"/>
    <cellStyle name="Normal 7 2" xfId="595" xr:uid="{40D6983B-011B-477A-A86F-71F80CDDEBE8}"/>
    <cellStyle name="Normal 7 2 2" xfId="244" xr:uid="{C63D56D7-74F2-4AD9-B71D-4154ECCDD8BB}"/>
    <cellStyle name="Normal 7 2 3" xfId="245" xr:uid="{50CE0D94-A5FE-42A5-9267-B9AF84CB5311}"/>
    <cellStyle name="Normal 7 3" xfId="596" xr:uid="{8346044E-E603-45B0-863B-4D34D9DA8E33}"/>
    <cellStyle name="Normal 7 3 2" xfId="712" xr:uid="{686DD70C-9665-433F-B447-FB66DD8C7C2D}"/>
    <cellStyle name="Normal 7 3 3" xfId="711" xr:uid="{1B3FF0B7-ECEA-46BA-983A-3C54BF3BEBE3}"/>
    <cellStyle name="Normal 7 4" xfId="593" xr:uid="{7BBAC58C-47CE-4B92-8FB4-5B07213EBCDD}"/>
    <cellStyle name="Normal 7 4 2" xfId="643" xr:uid="{2148857A-233E-49FC-ACD9-EDF42BEE8AEE}"/>
    <cellStyle name="Normal 7 4 3" xfId="644" xr:uid="{84568FC9-5500-4B7A-9F15-D8529B0BD169}"/>
    <cellStyle name="Normal 7 5" xfId="594" xr:uid="{40E6EFF6-327F-4E51-B453-75954736BC2B}"/>
    <cellStyle name="Normal 7 5 2" xfId="441" xr:uid="{682820D2-1029-44AF-AF72-AF66E635B2E2}"/>
    <cellStyle name="Normal 8" xfId="82" xr:uid="{00000000-0005-0000-0000-000059000000}"/>
    <cellStyle name="Normal 8 2" xfId="107" xr:uid="{00000000-0005-0000-0000-00005A000000}"/>
    <cellStyle name="Normal 8 2 2" xfId="353" xr:uid="{562A5CEC-977B-47C2-AF9D-9E74672A5182}"/>
    <cellStyle name="Normal 8 2 3" xfId="352" xr:uid="{15E4AA31-9B57-4759-9EDD-707A434C201F}"/>
    <cellStyle name="Normal 8 2 4" xfId="666" xr:uid="{FB75D6F8-5F8F-44C2-A3C4-31B6E0EE5677}"/>
    <cellStyle name="Normal 8 3" xfId="225" xr:uid="{0311D35A-523C-436C-B530-E5845AC8A530}"/>
    <cellStyle name="Normal 8 3 2" xfId="496" xr:uid="{DF63BE8A-9ABB-46D7-83B1-7C82438A1CAB}"/>
    <cellStyle name="Normal 8 3 3" xfId="535" xr:uid="{D65413D7-7913-4C50-A45B-71CE442BC4B5}"/>
    <cellStyle name="Normal 8 4" xfId="669" xr:uid="{F819AA02-10A1-4DB1-8BB0-02D908E2EB2A}"/>
    <cellStyle name="Normal 8 4 2" xfId="590" xr:uid="{AD552FD0-41D4-4D3F-B4B5-67BB17B560FB}"/>
    <cellStyle name="Normal 8 4 3" xfId="589" xr:uid="{7FDBF8BC-1E00-48E2-AB96-956B6AAF1BCC}"/>
    <cellStyle name="Normal 8 5" xfId="668" xr:uid="{8C23C8D7-D0B3-4CDA-BFED-0E6EBFA22271}"/>
    <cellStyle name="Normal 8 5 2" xfId="167" xr:uid="{A95071D1-786D-43BE-B9D5-35CF5527BC73}"/>
    <cellStyle name="Normal 9" xfId="89" xr:uid="{00000000-0005-0000-0000-00005B000000}"/>
    <cellStyle name="Normal 9 2" xfId="90" xr:uid="{00000000-0005-0000-0000-00005C000000}"/>
    <cellStyle name="Normal 9 2 2" xfId="342" xr:uid="{8C9295A1-3878-439A-892E-185DC69CE8CE}"/>
    <cellStyle name="Normal 9 2 3" xfId="344" xr:uid="{D947B4AD-C45A-4BB5-9EEC-A68B3756101F}"/>
    <cellStyle name="Normal 9 2 4" xfId="187" xr:uid="{AB924E1D-B9E8-4127-9368-6C67912FEF2C}"/>
    <cellStyle name="Normal 9 3" xfId="108" xr:uid="{00000000-0005-0000-0000-00005D000000}"/>
    <cellStyle name="Normal 9 3 2" xfId="479" xr:uid="{F9841D6A-AC0E-4A66-8712-364F5DE2813F}"/>
    <cellStyle name="Normal 9 3 3" xfId="478" xr:uid="{40DE7389-DD3B-44D9-A4D5-5B306D32C3DE}"/>
    <cellStyle name="Normal 9 3 4" xfId="192" xr:uid="{8ED2923E-3188-4F37-A09A-7D152247A3E1}"/>
    <cellStyle name="Note 2" xfId="73" xr:uid="{00000000-0005-0000-0000-00005E000000}"/>
    <cellStyle name="Note 2 2" xfId="679" xr:uid="{106098A4-2C20-4814-9E9B-3C106ACC98CB}"/>
    <cellStyle name="Note 2 2 2" xfId="561" xr:uid="{04016CF9-05CB-47BB-BF9B-F127363257A9}"/>
    <cellStyle name="Note 2 3" xfId="680" xr:uid="{0E97539F-49E3-4E5D-AABE-C7A9CA7524EE}"/>
    <cellStyle name="Note 2 4" xfId="678" xr:uid="{54D838DF-B12D-4A33-A197-4B313D4C46B6}"/>
    <cellStyle name="Note 2 5" xfId="378" xr:uid="{CA901320-9837-46F9-88C8-EBBBA149E804}"/>
    <cellStyle name="Note 3" xfId="72" xr:uid="{00000000-0005-0000-0000-00005F000000}"/>
    <cellStyle name="Output 2" xfId="74" xr:uid="{00000000-0005-0000-0000-000060000000}"/>
    <cellStyle name="Percent" xfId="3" builtinId="5"/>
    <cellStyle name="Percent 10" xfId="283" xr:uid="{7DC408DA-C7F7-4F60-957F-727D85E355D5}"/>
    <cellStyle name="Percent 10 2" xfId="407" xr:uid="{70356CDC-1205-4844-9D1C-E3A7B8E100A2}"/>
    <cellStyle name="Percent 10 3" xfId="408" xr:uid="{5DE38F9F-68DD-4CA4-ACC2-550DB32D86E0}"/>
    <cellStyle name="Percent 11" xfId="284" xr:uid="{FE7657F1-DC0D-4A96-BAA7-8E93A3B91056}"/>
    <cellStyle name="Percent 12" xfId="759" xr:uid="{A2ED88A4-889D-473D-B32B-DE7C5B32F6A3}"/>
    <cellStyle name="Percent 13" xfId="307" xr:uid="{C21E42D5-7826-438B-BC2B-C9BBE067A1B1}"/>
    <cellStyle name="Percent 2" xfId="76" xr:uid="{00000000-0005-0000-0000-000062000000}"/>
    <cellStyle name="Percent 2 2" xfId="88" xr:uid="{00000000-0005-0000-0000-000063000000}"/>
    <cellStyle name="Percent 2 2 2" xfId="494" xr:uid="{60918E7D-D3F0-41C1-A4EA-0D48E331D1A7}"/>
    <cellStyle name="Percent 2 2 2 2" xfId="252" xr:uid="{C25AD77B-402B-4CCF-95E7-DB4950CDC684}"/>
    <cellStyle name="Percent 2 2 2 3" xfId="254" xr:uid="{42F3C456-B6F0-495F-B0F1-22E58610F443}"/>
    <cellStyle name="Percent 2 2 3" xfId="495" xr:uid="{682E17CD-CE3E-4BD7-A8BB-056059999586}"/>
    <cellStyle name="Percent 2 2 4" xfId="492" xr:uid="{40799CF4-EEBB-4098-85C6-C1A9560789F7}"/>
    <cellStyle name="Percent 2 2 5" xfId="493" xr:uid="{445541AF-0D28-4C87-BC9E-D6BB8104DDD5}"/>
    <cellStyle name="Percent 2 2 6" xfId="491" xr:uid="{2DB71624-8906-421D-8BE5-02105914AE36}"/>
    <cellStyle name="Percent 2 2 7" xfId="310" xr:uid="{3C2EF4DB-DDE0-47E3-830C-CB72E811D112}"/>
    <cellStyle name="Percent 2 3" xfId="311" xr:uid="{38ABE461-6C82-4734-A3F6-105EAD417137}"/>
    <cellStyle name="Percent 2 3 2" xfId="650" xr:uid="{6442B982-BB89-439D-A880-B7090549117B}"/>
    <cellStyle name="Percent 2 4" xfId="749" xr:uid="{D4971EC5-709D-45A9-A71A-F8AA8C4E6B7C}"/>
    <cellStyle name="Percent 2 4 2" xfId="739" xr:uid="{95BA6655-32D9-41B7-8DDF-696A26A2E253}"/>
    <cellStyle name="Percent 2 4 3" xfId="740" xr:uid="{5C8ED94C-A898-43CE-A3CB-1DEE5B06797D}"/>
    <cellStyle name="Percent 2 5" xfId="751" xr:uid="{6F177DF8-3A9C-4C93-A825-C207092CC9ED}"/>
    <cellStyle name="Percent 2 5 2" xfId="293" xr:uid="{E044365C-C66A-432E-87B0-74C36C9BA283}"/>
    <cellStyle name="Percent 2 6" xfId="312" xr:uid="{58DFFACD-4624-474C-965A-BF5298B7E8D4}"/>
    <cellStyle name="Percent 2 7" xfId="760" xr:uid="{1321EA8A-70AA-4447-8D85-BF2843DC080F}"/>
    <cellStyle name="Percent 2 8" xfId="371" xr:uid="{D42F8BBE-F7AA-4860-8726-EC31A4CEE9AC}"/>
    <cellStyle name="Percent 3" xfId="4" xr:uid="{00000000-0005-0000-0000-000064000000}"/>
    <cellStyle name="Percent 3 2" xfId="78" xr:uid="{00000000-0005-0000-0000-000065000000}"/>
    <cellStyle name="Percent 3 2 2" xfId="544" xr:uid="{8ABE1176-C983-48E2-9986-F9C6DADF78B2}"/>
    <cellStyle name="Percent 3 2 2 2" xfId="735" xr:uid="{3800D4D4-3609-4E99-8C5B-17474CBA3B61}"/>
    <cellStyle name="Percent 3 2 2 3" xfId="622" xr:uid="{25F0904C-38FE-45F1-896E-0B308CAC0C9D}"/>
    <cellStyle name="Percent 3 2 3" xfId="540" xr:uid="{8FA17B12-A449-4854-B1FB-4123BA222A04}"/>
    <cellStyle name="Percent 3 2 4" xfId="516" xr:uid="{9F0EC061-CB81-4A6C-97DC-EC872F39D8A7}"/>
    <cellStyle name="Percent 3 3" xfId="77" xr:uid="{00000000-0005-0000-0000-000066000000}"/>
    <cellStyle name="Percent 3 3 2" xfId="265" xr:uid="{3B5DCD96-7F08-4F86-AB05-4F6C248EB55A}"/>
    <cellStyle name="Percent 3 3 2 2" xfId="336" xr:uid="{68887088-FB6D-4D3A-B95F-BC1074A9365A}"/>
    <cellStyle name="Percent 3 3 3" xfId="614" xr:uid="{31330C6A-F80C-4C16-9C88-A0570B740FDF}"/>
    <cellStyle name="Percent 3 3 4" xfId="617" xr:uid="{940C1119-9F82-42F3-82C7-FE837500E391}"/>
    <cellStyle name="Percent 3 3 5" xfId="515" xr:uid="{D4D88774-ECC0-4DBF-B63F-223078D1D65C}"/>
    <cellStyle name="Percent 3 4" xfId="92" xr:uid="{00000000-0005-0000-0000-000067000000}"/>
    <cellStyle name="Percent 3 4 2" xfId="416" xr:uid="{E4FB3D45-5B46-4004-BA6D-BF73AD8BA931}"/>
    <cellStyle name="Percent 3 4 3" xfId="520" xr:uid="{469FAA33-EFE6-402D-A7EF-971CA00460D2}"/>
    <cellStyle name="Percent 3 5" xfId="519" xr:uid="{0A7F9758-A553-4436-A353-2F8A1E5114C8}"/>
    <cellStyle name="Percent 3 6" xfId="518" xr:uid="{859D166F-5AA4-431B-87F1-62E576300FEE}"/>
    <cellStyle name="Percent 3 7" xfId="517" xr:uid="{CBE8C581-A892-47B4-9FB0-88416AA3B20D}"/>
    <cellStyle name="Percent 3 8" xfId="603" xr:uid="{AE90FF93-BCC8-416D-9D74-810A8D458EC3}"/>
    <cellStyle name="Percent 4" xfId="75" xr:uid="{00000000-0005-0000-0000-000068000000}"/>
    <cellStyle name="Percent 4 10" xfId="367" xr:uid="{CFF7AFEF-D08A-4254-BB81-E4DA6BE645AD}"/>
    <cellStyle name="Percent 4 2" xfId="109" xr:uid="{00000000-0005-0000-0000-000069000000}"/>
    <cellStyle name="Percent 4 2 2" xfId="332" xr:uid="{742B7771-66CE-4FCB-B2AC-060B7787CF0F}"/>
    <cellStyle name="Percent 4 2 2 2" xfId="629" xr:uid="{4A317BB7-0E98-434D-8D1A-41F0BA0F5D80}"/>
    <cellStyle name="Percent 4 2 3" xfId="469" xr:uid="{A7DAE9B4-3566-4439-9B07-0F4877B382FF}"/>
    <cellStyle name="Percent 4 2 4" xfId="296" xr:uid="{0EEC733E-930B-45E6-BA97-77A5F722A757}"/>
    <cellStyle name="Percent 4 2 5" xfId="604" xr:uid="{B4672D8A-B3E7-498E-A988-1DEAA6130320}"/>
    <cellStyle name="Percent 4 2 6" xfId="514" xr:uid="{F414A89F-132F-46B1-A2DE-7603B43342A6}"/>
    <cellStyle name="Percent 4 2 7" xfId="361" xr:uid="{A5A1B569-41E0-4D92-B4C7-BFE9F671EE27}"/>
    <cellStyle name="Percent 4 3" xfId="362" xr:uid="{333CC24A-49FA-4E4D-A108-92C4DE16C9C3}"/>
    <cellStyle name="Percent 4 3 2" xfId="683" xr:uid="{B6BF9A43-31CD-4066-893F-8FB561F2E211}"/>
    <cellStyle name="Percent 4 3 2 2" xfId="729" xr:uid="{A4CA32C3-F806-47E1-8F61-FD96ED7F7FFB}"/>
    <cellStyle name="Percent 4 3 3" xfId="632" xr:uid="{5F535039-3B54-41F4-AE11-97BD4E1EB7AA}"/>
    <cellStyle name="Percent 4 3 3 2" xfId="512" xr:uid="{C6B3F8C2-E4B9-45D1-ADCE-B3C4CA6C6E17}"/>
    <cellStyle name="Percent 4 3 3 3" xfId="513" xr:uid="{729C5159-2BD6-40EB-807D-0DFAFC9A0EBD}"/>
    <cellStyle name="Percent 4 3 4" xfId="459" xr:uid="{F1B9A9FE-5786-4C96-AD25-C9747818EF20}"/>
    <cellStyle name="Percent 4 4" xfId="357" xr:uid="{C7EF2948-5F09-4E13-8A51-F382CA7DA701}"/>
    <cellStyle name="Percent 4 4 2" xfId="212" xr:uid="{874F7457-B5B3-47A3-9D76-33C44948846A}"/>
    <cellStyle name="Percent 4 5" xfId="358" xr:uid="{7EEA7E61-F409-4D4A-972E-4B0431B3EE2A}"/>
    <cellStyle name="Percent 4 5 2" xfId="396" xr:uid="{2AB92003-966A-484D-8A00-C55C499605F1}"/>
    <cellStyle name="Percent 4 6" xfId="359" xr:uid="{9B843DE1-BC8D-4FC7-91F1-057C01F83784}"/>
    <cellStyle name="Percent 4 6 2" xfId="591" xr:uid="{B01A1396-292A-4F8E-B985-57C921EDF301}"/>
    <cellStyle name="Percent 4 6 3" xfId="592" xr:uid="{648CC6F6-A120-427D-A1ED-424606352199}"/>
    <cellStyle name="Percent 4 7" xfId="360" xr:uid="{4BC2390F-1DFC-42E4-9919-09F1FF4C11C3}"/>
    <cellStyle name="Percent 4 8" xfId="365" xr:uid="{89B48FBC-14C4-47B0-BF10-BCEA723DD12E}"/>
    <cellStyle name="Percent 4 9" xfId="366" xr:uid="{E7C4A666-5664-42F4-B4E0-B199F2F930CB}"/>
    <cellStyle name="Percent 5" xfId="87" xr:uid="{00000000-0005-0000-0000-00006A000000}"/>
    <cellStyle name="Percent 5 2" xfId="110" xr:uid="{00000000-0005-0000-0000-00006B000000}"/>
    <cellStyle name="Percent 5 2 2" xfId="251" xr:uid="{FC402735-A3FA-4256-93EA-D21CBE46DEA2}"/>
    <cellStyle name="Percent 5 2 2 2" xfId="658" xr:uid="{38BB8664-2D2C-456A-840F-5CD3D3BD2A5D}"/>
    <cellStyle name="Percent 5 2 2 3" xfId="690" xr:uid="{FF550D87-F943-4942-9792-4053554CFDAF}"/>
    <cellStyle name="Percent 5 2 3" xfId="224" xr:uid="{50783F44-E830-4A62-B97C-59A71D4ED842}"/>
    <cellStyle name="Percent 5 2 4" xfId="563" xr:uid="{61BAF1D6-F6EF-4731-9C02-DC62490A7132}"/>
    <cellStyle name="Percent 5 3" xfId="562" xr:uid="{334A9717-97E5-4B49-AB65-8929403653AE}"/>
    <cellStyle name="Percent 5 3 2" xfId="674" xr:uid="{D9F917EB-73D4-473D-B9EB-929F2F51FCBF}"/>
    <cellStyle name="Percent 5 4" xfId="559" xr:uid="{081829D2-03C3-41B5-A28E-3F962715CC9B}"/>
    <cellStyle name="Percent 5 4 2" xfId="732" xr:uid="{CC65E9DC-369D-4AC2-A72B-733662F91459}"/>
    <cellStyle name="Percent 5 5" xfId="558" xr:uid="{9B965C98-132C-440A-B7D6-5C81335C7912}"/>
    <cellStyle name="Percent 5 6" xfId="295" xr:uid="{0D4E710B-6898-4D41-97CB-D25091048DAC}"/>
    <cellStyle name="Percent 5 7" xfId="368" xr:uid="{6F429545-D07C-4914-AE5F-936023C86669}"/>
    <cellStyle name="Percent 6" xfId="380" xr:uid="{F6EEB489-2A2C-44A6-9C99-B588D4004073}"/>
    <cellStyle name="Percent 6 2" xfId="162" xr:uid="{F868EC73-6919-46CC-B47B-D33414F74224}"/>
    <cellStyle name="Percent 6 2 2" xfId="685" xr:uid="{6633CC7F-298E-4663-B25A-093C15A673D3}"/>
    <cellStyle name="Percent 6 3" xfId="163" xr:uid="{65249C82-C722-4170-A191-C65D6A8C7B6A}"/>
    <cellStyle name="Percent 6 3 2" xfId="256" xr:uid="{74C64CE6-4A39-4C8A-8E35-263434472A72}"/>
    <cellStyle name="Percent 6 3 2 2" xfId="231" xr:uid="{733019F0-6223-4B72-860C-FE605A264DDE}"/>
    <cellStyle name="Percent 6 3 2 3" xfId="230" xr:uid="{844B560D-EC41-4882-90DB-1046F460915F}"/>
    <cellStyle name="Percent 6 3 3" xfId="255" xr:uid="{77304E0F-8F4C-4248-988B-1873F64F01A7}"/>
    <cellStyle name="Percent 6 4" xfId="160" xr:uid="{90ED14C2-3500-46CD-9205-EAB28BE2CC3F}"/>
    <cellStyle name="Percent 7" xfId="382" xr:uid="{3EC21BED-D222-471F-A8EE-E7CA087A7C9C}"/>
    <cellStyle name="Percent 7 2" xfId="343" xr:uid="{6586F072-87AE-499A-9E40-8A0748EBB7C3}"/>
    <cellStyle name="Percent 8" xfId="356" xr:uid="{8ADDC87A-471D-4BBD-BA17-62C8613694DB}"/>
    <cellStyle name="Percent 8 2" xfId="210" xr:uid="{2F7674F9-6AF0-4E81-B422-B2ECAEBEBBCD}"/>
    <cellStyle name="Percent 8 2 2" xfId="662" xr:uid="{4F145F43-405B-43E7-A563-806BC8C00405}"/>
    <cellStyle name="Percent 8 2 3" xfId="663" xr:uid="{222185E3-8C80-491F-8450-B5753A4D80E8}"/>
    <cellStyle name="Percent 8 3" xfId="211" xr:uid="{B91D68FC-713C-4E84-8C0A-B3F2C8BE4581}"/>
    <cellStyle name="Percent 9" xfId="579" xr:uid="{3421AA71-1CE6-4F85-A344-7E50A31FC1BB}"/>
    <cellStyle name="Percent 9 2" xfId="395" xr:uid="{B7895574-2016-4087-9B25-B116C31B4E34}"/>
    <cellStyle name="Percent 9 3" xfId="394" xr:uid="{E6BFED54-7034-4FC2-8ED9-D9FBCBFBB573}"/>
    <cellStyle name="Title 2" xfId="79" xr:uid="{00000000-0005-0000-0000-00006C000000}"/>
    <cellStyle name="Title 2 2" xfId="370" xr:uid="{9248FF3F-3B1C-4352-8B6B-6A6243E61CA4}"/>
    <cellStyle name="Total 2" xfId="80" xr:uid="{00000000-0005-0000-0000-00006D000000}"/>
    <cellStyle name="Total 2 2" xfId="320" xr:uid="{55878983-C833-4A67-B76A-E8069487F840}"/>
    <cellStyle name="Warning Text 2" xfId="81" xr:uid="{00000000-0005-0000-0000-00006E000000}"/>
    <cellStyle name="Warning Text 2 2" xfId="303" xr:uid="{AFCA62B0-CFB9-44A4-8EB3-10610B8BB562}"/>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7"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2"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1546860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464820</xdr:colOff>
          <xdr:row>27</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541020</xdr:colOff>
          <xdr:row>47</xdr:row>
          <xdr:rowOff>22860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1584960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test"/>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Apr 2021"/>
      <sheetName val="Settings"/>
      <sheetName val="Inputs"/>
      <sheetName val="July2020"/>
    </sheetNames>
    <sheetDataSet>
      <sheetData sheetId="0">
        <row r="1">
          <cell r="A1" t="str">
            <v>April 2023</v>
          </cell>
        </row>
      </sheetData>
      <sheetData sheetId="1"/>
      <sheetData sheetId="2"/>
      <sheetData sheetId="3"/>
      <sheetData sheetId="4"/>
      <sheetData sheetId="5"/>
      <sheetData sheetId="6"/>
      <sheetData sheetId="7"/>
      <sheetData sheetId="8"/>
      <sheetData sheetId="9"/>
      <sheetData sheetId="10"/>
      <sheetData sheetId="11">
        <row r="6">
          <cell r="E6">
            <v>3.9611111111111104E-2</v>
          </cell>
        </row>
      </sheetData>
      <sheetData sheetId="12">
        <row r="6">
          <cell r="E6">
            <v>3.9399999999999998E-2</v>
          </cell>
        </row>
      </sheetData>
      <sheetData sheetId="13"/>
      <sheetData sheetId="14"/>
      <sheetData sheetId="15"/>
      <sheetData sheetId="16"/>
      <sheetData sheetId="17"/>
      <sheetData sheetId="18">
        <row r="6">
          <cell r="E6">
            <v>2.2799999999999997E-2</v>
          </cell>
        </row>
      </sheetData>
      <sheetData sheetId="19">
        <row r="6">
          <cell r="E6">
            <v>1.9544444444444444E-2</v>
          </cell>
        </row>
      </sheetData>
      <sheetData sheetId="20"/>
      <sheetData sheetId="21">
        <row r="6">
          <cell r="E6">
            <v>1.4111111111111111E-2</v>
          </cell>
        </row>
      </sheetData>
      <sheetData sheetId="22"/>
      <sheetData sheetId="23"/>
      <sheetData sheetId="24">
        <row r="6">
          <cell r="E6">
            <v>1.0677777777777777E-2</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129</v>
      </c>
      <c r="B1" s="72"/>
      <c r="C1" s="72"/>
      <c r="D1" s="72"/>
      <c r="E1" s="72"/>
    </row>
    <row r="2" spans="1:5" x14ac:dyDescent="0.25">
      <c r="A2" s="72"/>
      <c r="B2" s="72"/>
      <c r="C2" s="72"/>
      <c r="D2" s="72"/>
      <c r="E2" s="72"/>
    </row>
    <row r="3" spans="1:5" x14ac:dyDescent="0.25">
      <c r="A3" s="72" t="s">
        <v>283</v>
      </c>
      <c r="B3" s="72"/>
      <c r="C3" s="72"/>
      <c r="D3" s="72"/>
      <c r="E3" s="72"/>
    </row>
    <row r="4" spans="1:5" x14ac:dyDescent="0.25">
      <c r="A4" s="186"/>
      <c r="B4" s="72"/>
      <c r="C4" s="72"/>
      <c r="D4" s="72"/>
      <c r="E4" s="72"/>
    </row>
    <row r="5" spans="1:5" x14ac:dyDescent="0.25">
      <c r="A5" s="186" t="s">
        <v>340</v>
      </c>
      <c r="B5" s="72" t="s">
        <v>758</v>
      </c>
      <c r="C5" s="72"/>
      <c r="D5" s="72"/>
      <c r="E5" s="72"/>
    </row>
    <row r="6" spans="1:5" x14ac:dyDescent="0.25">
      <c r="A6" s="186"/>
      <c r="B6" s="72"/>
      <c r="C6" s="72"/>
      <c r="D6" s="72"/>
      <c r="E6" s="72"/>
    </row>
    <row r="7" spans="1:5" x14ac:dyDescent="0.25">
      <c r="A7" s="72" t="s">
        <v>284</v>
      </c>
      <c r="B7" s="72"/>
      <c r="C7" s="72"/>
      <c r="D7" s="72"/>
      <c r="E7" s="72"/>
    </row>
    <row r="8" spans="1:5" x14ac:dyDescent="0.25">
      <c r="A8" s="186"/>
      <c r="B8" s="72"/>
      <c r="C8" s="72"/>
      <c r="D8" s="72"/>
      <c r="E8" s="72"/>
    </row>
    <row r="9" spans="1:5" x14ac:dyDescent="0.25">
      <c r="A9" s="186"/>
      <c r="B9" s="72"/>
      <c r="C9" s="72"/>
      <c r="D9" s="72"/>
      <c r="E9" s="72"/>
    </row>
    <row r="10" spans="1:5" x14ac:dyDescent="0.25">
      <c r="A10" s="72" t="s">
        <v>35</v>
      </c>
      <c r="B10" s="187" t="s">
        <v>750</v>
      </c>
      <c r="C10" s="72"/>
      <c r="D10" s="72"/>
      <c r="E10" s="72"/>
    </row>
    <row r="11" spans="1:5" x14ac:dyDescent="0.25">
      <c r="A11" s="72" t="s">
        <v>279</v>
      </c>
      <c r="B11" s="188"/>
      <c r="C11" s="72"/>
      <c r="D11" s="72"/>
      <c r="E11" s="72"/>
    </row>
    <row r="12" spans="1:5" x14ac:dyDescent="0.25">
      <c r="A12" s="72"/>
      <c r="B12" s="188"/>
      <c r="C12" s="72"/>
      <c r="D12" s="72"/>
      <c r="E12" s="72"/>
    </row>
    <row r="13" spans="1:5" x14ac:dyDescent="0.25">
      <c r="A13" s="72" t="s">
        <v>161</v>
      </c>
      <c r="B13" s="188"/>
      <c r="C13" s="72"/>
      <c r="D13" s="72"/>
      <c r="E13" s="72"/>
    </row>
    <row r="14" spans="1:5" x14ac:dyDescent="0.25">
      <c r="A14" s="72"/>
      <c r="B14" s="188"/>
      <c r="C14" s="72"/>
      <c r="D14" s="72"/>
      <c r="E14" s="72"/>
    </row>
    <row r="15" spans="1:5" x14ac:dyDescent="0.25">
      <c r="A15" s="72" t="s">
        <v>286</v>
      </c>
      <c r="B15" s="188"/>
      <c r="C15" s="72"/>
      <c r="D15" s="72"/>
      <c r="E15" s="72"/>
    </row>
    <row r="16" spans="1:5" x14ac:dyDescent="0.25">
      <c r="A16" s="72" t="s">
        <v>287</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288</v>
      </c>
      <c r="B19" s="325"/>
      <c r="C19" s="326"/>
      <c r="D19" s="326"/>
      <c r="E19" s="326"/>
    </row>
    <row r="20" spans="1:5" x14ac:dyDescent="0.25">
      <c r="A20" s="72" t="s">
        <v>30</v>
      </c>
      <c r="B20" s="173" t="str">
        <f>B10&amp;" Edition"</f>
        <v>1/3/2023 Edition</v>
      </c>
      <c r="C20" s="72"/>
      <c r="D20" s="72" t="s">
        <v>141</v>
      </c>
      <c r="E20" s="174" t="str">
        <f>IF(ISBLANK('1.General'!$C$10),"",'1.General'!$C$10)</f>
        <v/>
      </c>
    </row>
    <row r="21" spans="1:5" x14ac:dyDescent="0.25">
      <c r="A21" s="72" t="s">
        <v>28</v>
      </c>
      <c r="B21" s="174" t="str">
        <f>IF(ISBLANK('1.General'!$C$13),"",'1.General'!$C$13)</f>
        <v>State Farm General Insurance Company</v>
      </c>
      <c r="C21" s="72"/>
      <c r="D21" s="72" t="s">
        <v>186</v>
      </c>
      <c r="E21" s="174" t="str">
        <f>IF(ISBLANK('1.General'!$C$8),"",'1.General'!$C$8)</f>
        <v>Nicole Pettis</v>
      </c>
    </row>
    <row r="22" spans="1:5" x14ac:dyDescent="0.25">
      <c r="A22" s="72" t="s">
        <v>29</v>
      </c>
      <c r="B22" s="174" t="str">
        <f>INDEX(List_GeneralLine,References!$F$5,1)</f>
        <v>Homeowners Multiple Peril</v>
      </c>
      <c r="C22" s="72"/>
      <c r="D22" s="72" t="s">
        <v>187</v>
      </c>
      <c r="E22" s="175">
        <f>IF(ISBLANK('1.General'!$F$8),"",'1.General'!$F$8)</f>
        <v>44981</v>
      </c>
    </row>
    <row r="23" spans="1:5" x14ac:dyDescent="0.25">
      <c r="A23" s="72" t="s">
        <v>165</v>
      </c>
      <c r="B23" s="333">
        <f>IFERROR('3.2YieldFIT'!$D$42,"")</f>
        <v>4.3359497935155651E-2</v>
      </c>
      <c r="C23" s="72"/>
      <c r="D23" s="72" t="s">
        <v>168</v>
      </c>
      <c r="E23" s="175">
        <f>IF(ISBLANK('1.General'!$D$23),"",'1.General'!$D$23)</f>
        <v>45366</v>
      </c>
    </row>
    <row r="24" spans="1:5" x14ac:dyDescent="0.25">
      <c r="A24" s="72" t="s">
        <v>166</v>
      </c>
      <c r="B24" s="333">
        <f>IFERROR('3.2YieldFIT'!$F$34,"")</f>
        <v>0.15389771415501849</v>
      </c>
      <c r="C24" s="72"/>
      <c r="D24" s="72" t="s">
        <v>379</v>
      </c>
      <c r="E24" s="174" t="b">
        <v>0</v>
      </c>
    </row>
    <row r="25" spans="1:5" x14ac:dyDescent="0.25">
      <c r="A25" s="72" t="s">
        <v>281</v>
      </c>
      <c r="B25" s="174" t="b">
        <v>0</v>
      </c>
      <c r="C25" s="72"/>
      <c r="D25" s="72" t="s">
        <v>613</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743</v>
      </c>
      <c r="B26" s="174" t="b">
        <v>0</v>
      </c>
      <c r="C26" s="72"/>
      <c r="D26" s="72" t="s">
        <v>741</v>
      </c>
      <c r="E26" s="174">
        <f>IF(ISBLANK('1.General'!$F$10),"",'1.General'!$F$10)</f>
        <v>44985</v>
      </c>
    </row>
    <row r="27" spans="1:5" x14ac:dyDescent="0.25">
      <c r="A27" s="72" t="s">
        <v>185</v>
      </c>
      <c r="B27" s="333">
        <f>IFERROR('4.2Excluded Exp'!$E$20,0)</f>
        <v>1.3597264756398558E-2</v>
      </c>
      <c r="C27" s="72"/>
      <c r="D27" s="72"/>
      <c r="E27" s="174"/>
    </row>
    <row r="28" spans="1:5" x14ac:dyDescent="0.25">
      <c r="A28" s="446"/>
      <c r="B28" s="447"/>
      <c r="C28" s="72"/>
      <c r="D28" s="72"/>
      <c r="E28" s="72"/>
    </row>
    <row r="29" spans="1:5" x14ac:dyDescent="0.25">
      <c r="A29" s="72"/>
      <c r="B29" s="174"/>
      <c r="C29" s="72"/>
      <c r="D29" s="338" t="s">
        <v>588</v>
      </c>
      <c r="E29" s="72"/>
    </row>
    <row r="30" spans="1:5" x14ac:dyDescent="0.25">
      <c r="A30" s="338" t="s">
        <v>589</v>
      </c>
      <c r="B30" s="174"/>
      <c r="C30" s="72"/>
      <c r="D30" s="72" t="s">
        <v>347</v>
      </c>
      <c r="E30" s="174">
        <f ca="1">IF(OR(Covg01="",ISERR(Detailed_LineDesc01)),"",VLOOKUP($B31,List_DetailLine,2,FALSE))</f>
        <v>4</v>
      </c>
    </row>
    <row r="31" spans="1:5" x14ac:dyDescent="0.25">
      <c r="A31" s="72" t="s">
        <v>346</v>
      </c>
      <c r="B31" s="174" t="str">
        <f>IF(Covg01="","",INDEX(List_DetailLine,'1.General'!$A34,1))</f>
        <v>Homeowners Multiple Peril</v>
      </c>
      <c r="C31" s="72"/>
      <c r="D31" s="72" t="s">
        <v>349</v>
      </c>
      <c r="E31" s="174">
        <f ca="1">IF(OR(Covg02="",ISERR(Detailed_LineDesc02)),"",VLOOKUP($B32,List_DetailLine,2,FALSE))</f>
        <v>4</v>
      </c>
    </row>
    <row r="32" spans="1:5" x14ac:dyDescent="0.25">
      <c r="A32" s="72" t="s">
        <v>348</v>
      </c>
      <c r="B32" s="174" t="str">
        <f>IF(Covg02="","",INDEX(List_DetailLine,'1.General'!$A35,1))</f>
        <v>Homeowners Multiple Peril</v>
      </c>
      <c r="C32" s="72"/>
      <c r="D32" s="72" t="s">
        <v>350</v>
      </c>
      <c r="E32" s="174">
        <f ca="1">IF(OR(Covg03="",ISERR(Detailed_LineDesc03)),"",VLOOKUP($B33,List_DetailLine,2,FALSE))</f>
        <v>4</v>
      </c>
    </row>
    <row r="33" spans="1:5" x14ac:dyDescent="0.25">
      <c r="A33" s="72" t="s">
        <v>357</v>
      </c>
      <c r="B33" s="174" t="str">
        <f>IF(Covg03="","",INDEX(List_DetailLine,'1.General'!$A36,1))</f>
        <v>Homeowners Multiple Peril</v>
      </c>
      <c r="C33" s="72"/>
      <c r="D33" s="72" t="s">
        <v>351</v>
      </c>
      <c r="E33" s="174" t="str">
        <f>IF(OR(Covg04="",ISERR(Detailed_LineDesc03)),"",VLOOKUP($B34,List_DetailLine,2,FALSE))</f>
        <v/>
      </c>
    </row>
    <row r="34" spans="1:5" x14ac:dyDescent="0.25">
      <c r="A34" s="72" t="s">
        <v>358</v>
      </c>
      <c r="B34" s="174" t="str">
        <f>IF(Covg04="","",INDEX(List_DetailLine,'1.General'!$A37,1))</f>
        <v/>
      </c>
      <c r="C34" s="72"/>
      <c r="D34" s="72" t="s">
        <v>352</v>
      </c>
      <c r="E34" s="174" t="str">
        <f>IF(OR(Covg05="",ISERR(Detailed_LineDesc05)),"",VLOOKUP($B35,List_DetailLine,2,FALSE))</f>
        <v/>
      </c>
    </row>
    <row r="35" spans="1:5" x14ac:dyDescent="0.25">
      <c r="A35" s="72" t="s">
        <v>359</v>
      </c>
      <c r="B35" s="174" t="str">
        <f>IF(Covg05="","",INDEX(List_DetailLine,'1.General'!$A38,1))</f>
        <v/>
      </c>
      <c r="C35" s="72"/>
      <c r="D35" s="72" t="s">
        <v>353</v>
      </c>
      <c r="E35" s="174" t="str">
        <f>IF(OR(Covg06="",ISERR(Detailed_LineDesc06)),"",VLOOKUP($B36,List_DetailLine,2,FALSE))</f>
        <v/>
      </c>
    </row>
    <row r="36" spans="1:5" x14ac:dyDescent="0.25">
      <c r="A36" s="72" t="s">
        <v>360</v>
      </c>
      <c r="B36" s="174" t="str">
        <f>IF(Covg06="","",INDEX(List_DetailLine,'1.General'!$A39,1))</f>
        <v/>
      </c>
      <c r="C36" s="72"/>
      <c r="D36" s="72" t="s">
        <v>354</v>
      </c>
      <c r="E36" s="174" t="str">
        <f>IF(OR(Covg07="",ISERR(Detailed_LineDesc07)),"",VLOOKUP($B37,List_DetailLine,2,FALSE))</f>
        <v/>
      </c>
    </row>
    <row r="37" spans="1:5" x14ac:dyDescent="0.25">
      <c r="A37" s="72" t="s">
        <v>361</v>
      </c>
      <c r="B37" s="174" t="str">
        <f>IF(Covg07="","",INDEX(List_DetailLine,'1.General'!$A40,1))</f>
        <v/>
      </c>
      <c r="C37" s="72"/>
      <c r="D37" s="72" t="s">
        <v>355</v>
      </c>
      <c r="E37" s="174" t="str">
        <f>IF(OR(Covg08="",ISERR(Detailed_LineDesc08)),"",VLOOKUP($B38,List_DetailLine,2,FALSE))</f>
        <v/>
      </c>
    </row>
    <row r="38" spans="1:5" x14ac:dyDescent="0.25">
      <c r="A38" s="72" t="s">
        <v>362</v>
      </c>
      <c r="B38" s="174" t="str">
        <f>IF(Covg08="","",INDEX(List_DetailLine,'1.General'!$A41,1))</f>
        <v/>
      </c>
      <c r="C38" s="72"/>
      <c r="D38" s="72" t="s">
        <v>356</v>
      </c>
      <c r="E38" s="174" t="str">
        <f>IF(OR(Covg09="",ISERR(Detailed_LineDesc09)),"",VLOOKUP($B39,List_DetailLine,2,FALSE))</f>
        <v/>
      </c>
    </row>
    <row r="39" spans="1:5" x14ac:dyDescent="0.25">
      <c r="A39" s="72" t="s">
        <v>363</v>
      </c>
      <c r="B39" s="174" t="str">
        <f>IF(Covg09="","",INDEX(List_DetailLine,'1.General'!$A42,1))</f>
        <v/>
      </c>
      <c r="C39" s="72"/>
      <c r="D39" s="72" t="s">
        <v>345</v>
      </c>
      <c r="E39" s="174" t="str">
        <f>IF(OR(Covg10="",ISERR(Detailed_LineDesc10)),"",VLOOKUP($B40,List_DetailLine,2,FALSE))</f>
        <v/>
      </c>
    </row>
    <row r="40" spans="1:5" x14ac:dyDescent="0.25">
      <c r="A40" s="72" t="s">
        <v>344</v>
      </c>
      <c r="B40" s="174" t="str">
        <f>IF(Covg10="","",INDEX(List_DetailLine,'1.General'!$A43,1))</f>
        <v/>
      </c>
      <c r="C40" s="72"/>
      <c r="D40" s="72"/>
      <c r="E40" s="72"/>
    </row>
    <row r="41" spans="1:5" x14ac:dyDescent="0.25">
      <c r="A41" s="72"/>
      <c r="B41" s="174"/>
      <c r="C41" s="72"/>
      <c r="D41" s="338" t="s">
        <v>557</v>
      </c>
      <c r="E41" s="72"/>
    </row>
    <row r="42" spans="1:5" x14ac:dyDescent="0.25">
      <c r="A42" s="338" t="s">
        <v>559</v>
      </c>
      <c r="B42" s="174"/>
      <c r="C42" s="336"/>
      <c r="D42" s="336" t="s">
        <v>537</v>
      </c>
      <c r="E42" s="335">
        <f ca="1">IF(ISBLANK('5.CDI Parameters'!$J11),"",'5.CDI Parameters'!$J11)</f>
        <v>0.33989442694828298</v>
      </c>
    </row>
    <row r="43" spans="1:5" x14ac:dyDescent="0.25">
      <c r="A43" s="336" t="s">
        <v>368</v>
      </c>
      <c r="B43" s="340" t="str">
        <f>IF(ISBLANK('1.General'!$C34),"",'1.General'!$C34)</f>
        <v>Non-Tenant Homeowners</v>
      </c>
      <c r="C43" s="336"/>
      <c r="D43" s="336" t="s">
        <v>538</v>
      </c>
      <c r="E43" s="335">
        <f ca="1">IF(ISBLANK('5.CDI Parameters'!$J12),"",'5.CDI Parameters'!$J12)</f>
        <v>0.33989442694828298</v>
      </c>
    </row>
    <row r="44" spans="1:5" x14ac:dyDescent="0.25">
      <c r="A44" s="336" t="s">
        <v>369</v>
      </c>
      <c r="B44" s="340" t="str">
        <f>IF(ISBLANK('1.General'!$C35),"",'1.General'!$C35)</f>
        <v>Renters</v>
      </c>
      <c r="C44" s="336"/>
      <c r="D44" s="336" t="s">
        <v>539</v>
      </c>
      <c r="E44" s="335">
        <f ca="1">IF(ISBLANK('5.CDI Parameters'!$J13),"",'5.CDI Parameters'!$J13)</f>
        <v>0.33989442694828298</v>
      </c>
    </row>
    <row r="45" spans="1:5" x14ac:dyDescent="0.25">
      <c r="A45" s="336" t="s">
        <v>370</v>
      </c>
      <c r="B45" s="340" t="str">
        <f>IF(ISBLANK('1.General'!$C36),"",'1.General'!$C36)</f>
        <v>Condominium Unitowners</v>
      </c>
      <c r="C45" s="336"/>
      <c r="D45" s="336" t="s">
        <v>540</v>
      </c>
      <c r="E45" s="335" t="str">
        <f>IF(ISBLANK('5.CDI Parameters'!$J14),"",'5.CDI Parameters'!$J14)</f>
        <v/>
      </c>
    </row>
    <row r="46" spans="1:5" x14ac:dyDescent="0.25">
      <c r="A46" s="336" t="s">
        <v>371</v>
      </c>
      <c r="B46" s="340" t="str">
        <f>IF(ISBLANK('1.General'!$C37),"",'1.General'!$C37)</f>
        <v/>
      </c>
      <c r="C46" s="336"/>
      <c r="D46" s="336" t="s">
        <v>541</v>
      </c>
      <c r="E46" s="335" t="str">
        <f>IF(ISBLANK('5.CDI Parameters'!$J15),"",'5.CDI Parameters'!$J15)</f>
        <v/>
      </c>
    </row>
    <row r="47" spans="1:5" x14ac:dyDescent="0.25">
      <c r="A47" s="336" t="s">
        <v>372</v>
      </c>
      <c r="B47" s="340" t="str">
        <f>IF(ISBLANK('1.General'!$C38),"",'1.General'!$C38)</f>
        <v/>
      </c>
      <c r="C47" s="336"/>
      <c r="D47" s="336" t="s">
        <v>542</v>
      </c>
      <c r="E47" s="335" t="str">
        <f>IF(ISBLANK('5.CDI Parameters'!$J16),"",'5.CDI Parameters'!$J16)</f>
        <v/>
      </c>
    </row>
    <row r="48" spans="1:5" x14ac:dyDescent="0.25">
      <c r="A48" s="336" t="s">
        <v>373</v>
      </c>
      <c r="B48" s="340" t="str">
        <f>IF(ISBLANK('1.General'!$C39),"",'1.General'!$C39)</f>
        <v/>
      </c>
      <c r="C48" s="336"/>
      <c r="D48" s="336" t="s">
        <v>543</v>
      </c>
      <c r="E48" s="335" t="str">
        <f>IF(ISBLANK('5.CDI Parameters'!$J17),"",'5.CDI Parameters'!$J17)</f>
        <v/>
      </c>
    </row>
    <row r="49" spans="1:5" x14ac:dyDescent="0.25">
      <c r="A49" s="336" t="s">
        <v>374</v>
      </c>
      <c r="B49" s="340" t="str">
        <f>IF(ISBLANK('1.General'!$C40),"",'1.General'!$C40)</f>
        <v/>
      </c>
      <c r="C49" s="336"/>
      <c r="D49" s="336" t="s">
        <v>544</v>
      </c>
      <c r="E49" s="335" t="str">
        <f>IF(ISBLANK('5.CDI Parameters'!$J18),"",'5.CDI Parameters'!$J18)</f>
        <v/>
      </c>
    </row>
    <row r="50" spans="1:5" x14ac:dyDescent="0.25">
      <c r="A50" s="336" t="s">
        <v>375</v>
      </c>
      <c r="B50" s="340" t="str">
        <f>IF(ISBLANK('1.General'!$C41),"",'1.General'!$C41)</f>
        <v/>
      </c>
      <c r="C50" s="336"/>
      <c r="D50" s="336" t="s">
        <v>545</v>
      </c>
      <c r="E50" s="335" t="str">
        <f>IF(ISBLANK('5.CDI Parameters'!$J19),"",'5.CDI Parameters'!$J19)</f>
        <v/>
      </c>
    </row>
    <row r="51" spans="1:5" x14ac:dyDescent="0.25">
      <c r="A51" s="336" t="s">
        <v>376</v>
      </c>
      <c r="B51" s="340" t="str">
        <f>IF(ISBLANK('1.General'!$C42),"",'1.General'!$C42)</f>
        <v/>
      </c>
      <c r="C51" s="336"/>
      <c r="D51" s="336" t="s">
        <v>546</v>
      </c>
      <c r="E51" s="335" t="str">
        <f>IF(ISBLANK('5.CDI Parameters'!$J20),"",'5.CDI Parameters'!$J20)</f>
        <v/>
      </c>
    </row>
    <row r="52" spans="1:5" x14ac:dyDescent="0.25">
      <c r="A52" s="336" t="s">
        <v>377</v>
      </c>
      <c r="B52" s="340" t="str">
        <f>IF(ISBLANK('1.General'!$C43),"",'1.General'!$C43)</f>
        <v/>
      </c>
      <c r="C52" s="336"/>
      <c r="D52" s="336"/>
      <c r="E52" s="72"/>
    </row>
    <row r="53" spans="1:5" x14ac:dyDescent="0.25">
      <c r="A53" s="336"/>
      <c r="B53" s="340"/>
      <c r="C53" s="336"/>
      <c r="D53" s="339" t="s">
        <v>586</v>
      </c>
      <c r="E53" s="72"/>
    </row>
    <row r="54" spans="1:5" x14ac:dyDescent="0.25">
      <c r="A54" s="339" t="s">
        <v>587</v>
      </c>
      <c r="B54" s="340"/>
      <c r="C54" s="336"/>
      <c r="D54" s="336" t="s">
        <v>517</v>
      </c>
      <c r="E54" s="337">
        <f>IF(ISBLANK('6.1Ratemaking Data'!$J$39),0,'6.1Ratemaking Data'!$J$39)</f>
        <v>0</v>
      </c>
    </row>
    <row r="55" spans="1:5" x14ac:dyDescent="0.25">
      <c r="A55" s="336" t="s">
        <v>507</v>
      </c>
      <c r="B55" s="337">
        <f ca="1">IF(ISBLANK('5.CDI Parameters'!$G11),"",'5.CDI Parameters'!$G11)</f>
        <v>0.35349169170468153</v>
      </c>
      <c r="C55" s="336"/>
      <c r="D55" s="336" t="s">
        <v>518</v>
      </c>
      <c r="E55" s="337">
        <f>IF(ISBLANK('6.2Ratemaking Data'!$J$39),0,'6.2Ratemaking Data'!$J$39)</f>
        <v>0</v>
      </c>
    </row>
    <row r="56" spans="1:5" x14ac:dyDescent="0.25">
      <c r="A56" s="336" t="s">
        <v>508</v>
      </c>
      <c r="B56" s="337">
        <f ca="1">IF(ISBLANK('5.CDI Parameters'!$G12),"",'5.CDI Parameters'!$G12)</f>
        <v>0.35349169170468153</v>
      </c>
      <c r="C56" s="72"/>
      <c r="D56" s="336" t="s">
        <v>519</v>
      </c>
      <c r="E56" s="337">
        <f>IF(ISBLANK('6.3Ratemaking Data'!$J$39),0,'6.3Ratemaking Data'!$J$39)</f>
        <v>0</v>
      </c>
    </row>
    <row r="57" spans="1:5" x14ac:dyDescent="0.25">
      <c r="A57" s="72" t="s">
        <v>509</v>
      </c>
      <c r="B57" s="333">
        <f ca="1">IF(ISBLANK('5.CDI Parameters'!$G13),"",'5.CDI Parameters'!$G13)</f>
        <v>0.35349169170468153</v>
      </c>
      <c r="C57" s="72"/>
      <c r="D57" s="336" t="s">
        <v>520</v>
      </c>
      <c r="E57" s="337">
        <f>IF(ISBLANK('6.4Ratemaking Data'!$J$39),0,'6.4Ratemaking Data'!$J$39)</f>
        <v>0</v>
      </c>
    </row>
    <row r="58" spans="1:5" x14ac:dyDescent="0.25">
      <c r="A58" s="72" t="s">
        <v>510</v>
      </c>
      <c r="B58" s="333" t="str">
        <f>IF(ISBLANK('5.CDI Parameters'!$G14),"",'5.CDI Parameters'!$G14)</f>
        <v/>
      </c>
      <c r="C58" s="72"/>
      <c r="D58" s="336" t="s">
        <v>521</v>
      </c>
      <c r="E58" s="337">
        <f>IF(ISBLANK('6.5Ratemaking Data'!$J$39),0,'6.5Ratemaking Data'!$J$39)</f>
        <v>0</v>
      </c>
    </row>
    <row r="59" spans="1:5" x14ac:dyDescent="0.25">
      <c r="A59" s="72" t="s">
        <v>511</v>
      </c>
      <c r="B59" s="333" t="str">
        <f>IF(ISBLANK('5.CDI Parameters'!$G15),"",'5.CDI Parameters'!$G15)</f>
        <v/>
      </c>
      <c r="C59" s="72"/>
      <c r="D59" s="336" t="s">
        <v>522</v>
      </c>
      <c r="E59" s="337">
        <f>IF(ISBLANK('6.6Ratemaking Data'!$J$39),0,'6.6Ratemaking Data'!$J$39)</f>
        <v>0</v>
      </c>
    </row>
    <row r="60" spans="1:5" x14ac:dyDescent="0.25">
      <c r="A60" s="72" t="s">
        <v>512</v>
      </c>
      <c r="B60" s="333" t="str">
        <f>IF(ISBLANK('5.CDI Parameters'!$G16),"",'5.CDI Parameters'!$G16)</f>
        <v/>
      </c>
      <c r="C60" s="72"/>
      <c r="D60" s="336" t="s">
        <v>523</v>
      </c>
      <c r="E60" s="337">
        <f>IF(ISBLANK('6.7Ratemaking Data'!$J$39),0,'6.7Ratemaking Data'!$J$39)</f>
        <v>0</v>
      </c>
    </row>
    <row r="61" spans="1:5" x14ac:dyDescent="0.25">
      <c r="A61" s="72" t="s">
        <v>513</v>
      </c>
      <c r="B61" s="333" t="str">
        <f>IF(ISBLANK('5.CDI Parameters'!$G17),"",'5.CDI Parameters'!$G17)</f>
        <v/>
      </c>
      <c r="C61" s="72"/>
      <c r="D61" s="336" t="s">
        <v>524</v>
      </c>
      <c r="E61" s="337">
        <f>IF(ISBLANK('6.8Ratemaking Data'!$J$39),0,'6.8Ratemaking Data'!$J$39)</f>
        <v>0</v>
      </c>
    </row>
    <row r="62" spans="1:5" x14ac:dyDescent="0.25">
      <c r="A62" s="72" t="s">
        <v>514</v>
      </c>
      <c r="B62" s="333" t="str">
        <f>IF(ISBLANK('5.CDI Parameters'!$G18),"",'5.CDI Parameters'!$G18)</f>
        <v/>
      </c>
      <c r="C62" s="72"/>
      <c r="D62" s="336" t="s">
        <v>525</v>
      </c>
      <c r="E62" s="337">
        <f>IF(ISBLANK('6.9Ratemaking Data'!$J$39),0,'6.9Ratemaking Data'!$J$39)</f>
        <v>0</v>
      </c>
    </row>
    <row r="63" spans="1:5" x14ac:dyDescent="0.25">
      <c r="A63" s="72" t="s">
        <v>515</v>
      </c>
      <c r="B63" s="333" t="str">
        <f>IF(ISBLANK('5.CDI Parameters'!$G19),"",'5.CDI Parameters'!$G19)</f>
        <v/>
      </c>
      <c r="C63" s="72"/>
      <c r="D63" s="336" t="s">
        <v>526</v>
      </c>
      <c r="E63" s="337">
        <f>IF(ISBLANK('6.10Ratemaking Data'!$J$39),0,'6.10Ratemaking Data'!$J$39)</f>
        <v>0</v>
      </c>
    </row>
    <row r="64" spans="1:5" x14ac:dyDescent="0.25">
      <c r="A64" s="72" t="s">
        <v>516</v>
      </c>
      <c r="B64" s="333" t="str">
        <f>IF(ISBLANK('5.CDI Parameters'!$G20),"",'5.CDI Parameters'!$G20)</f>
        <v/>
      </c>
      <c r="C64" s="72"/>
      <c r="D64" s="336"/>
      <c r="E64" s="334"/>
    </row>
    <row r="65" spans="1:5" x14ac:dyDescent="0.25">
      <c r="A65" s="72"/>
      <c r="B65" s="174"/>
      <c r="C65" s="72"/>
      <c r="D65" s="339"/>
      <c r="E65" s="334"/>
    </row>
    <row r="66" spans="1:5" x14ac:dyDescent="0.25">
      <c r="A66" s="338" t="s">
        <v>584</v>
      </c>
      <c r="B66" s="174"/>
      <c r="C66" s="72"/>
      <c r="D66" s="339" t="s">
        <v>558</v>
      </c>
      <c r="E66" s="334"/>
    </row>
    <row r="67" spans="1:5" x14ac:dyDescent="0.25">
      <c r="A67" s="338" t="s">
        <v>560</v>
      </c>
      <c r="B67" s="174"/>
      <c r="C67" s="72"/>
      <c r="D67" s="336" t="s">
        <v>547</v>
      </c>
      <c r="E67" s="337">
        <f>IF(ISBLANK('6.1Ratemaking Data'!$J$40),0,'6.1Ratemaking Data'!$J$40)</f>
        <v>0</v>
      </c>
    </row>
    <row r="68" spans="1:5" x14ac:dyDescent="0.25">
      <c r="A68" s="336" t="s">
        <v>527</v>
      </c>
      <c r="B68" s="337">
        <f ca="1">IF(ExpRatio_Actual01&gt;EffStd_Wtd01,MIN(ExpRatio_Actual01-EffStd_Wtd01,EffStd_VarReq01),0)</f>
        <v>0</v>
      </c>
      <c r="C68" s="72"/>
      <c r="D68" s="336" t="s">
        <v>548</v>
      </c>
      <c r="E68" s="337">
        <f>IF(ISBLANK('6.2Ratemaking Data'!$J$40),0,'6.2Ratemaking Data'!$J$40)</f>
        <v>0</v>
      </c>
    </row>
    <row r="69" spans="1:5" x14ac:dyDescent="0.25">
      <c r="A69" s="336" t="s">
        <v>528</v>
      </c>
      <c r="B69" s="337">
        <f ca="1">IF(ExpRatio_Actual02&gt;EffStd_Wtd02,MIN(ExpRatio_Actual02-EffStd_Wtd02,EffStd_VarReq02),0)</f>
        <v>0</v>
      </c>
      <c r="C69" s="72"/>
      <c r="D69" s="336" t="s">
        <v>549</v>
      </c>
      <c r="E69" s="337">
        <f>IF(ISBLANK('6.3Ratemaking Data'!$J$40),0,'6.3Ratemaking Data'!$J$40)</f>
        <v>0</v>
      </c>
    </row>
    <row r="70" spans="1:5" x14ac:dyDescent="0.25">
      <c r="A70" s="336" t="s">
        <v>529</v>
      </c>
      <c r="B70" s="337">
        <f ca="1">IF(ExpRatio_Actual03&gt;EffStd_Wtd03,MIN(ExpRatio_Actual03-EffStd_Wtd03,EffStd_VarReq03),0)</f>
        <v>0</v>
      </c>
      <c r="C70" s="72"/>
      <c r="D70" s="336" t="s">
        <v>550</v>
      </c>
      <c r="E70" s="337">
        <f>IF(ISBLANK('6.4Ratemaking Data'!$J$40),0,'6.4Ratemaking Data'!$J$40)</f>
        <v>0</v>
      </c>
    </row>
    <row r="71" spans="1:5" x14ac:dyDescent="0.25">
      <c r="A71" s="336" t="s">
        <v>530</v>
      </c>
      <c r="B71" s="337">
        <f>IF(ExpRatio_Actual04&gt;EffStd_Wtd04,MIN(ExpRatio_Actual04-EffStd_Wtd04,EffStd_VarReq04),0)</f>
        <v>0</v>
      </c>
      <c r="C71" s="72"/>
      <c r="D71" s="336" t="s">
        <v>551</v>
      </c>
      <c r="E71" s="337">
        <f>IF(ISBLANK('6.5Ratemaking Data'!$J$40),0,'6.5Ratemaking Data'!$J$40)</f>
        <v>0</v>
      </c>
    </row>
    <row r="72" spans="1:5" x14ac:dyDescent="0.25">
      <c r="A72" s="336" t="s">
        <v>531</v>
      </c>
      <c r="B72" s="337">
        <f>IF(ExpRatio_Actual05&gt;EffStd_Wtd05,MIN(ExpRatio_Actual05-EffStd_Wtd05,EffStd_VarReq05),0)</f>
        <v>0</v>
      </c>
      <c r="C72" s="72"/>
      <c r="D72" s="336" t="s">
        <v>552</v>
      </c>
      <c r="E72" s="337">
        <f>IF(ISBLANK('6.6Ratemaking Data'!$J$40),0,'6.6Ratemaking Data'!$J$40)</f>
        <v>0</v>
      </c>
    </row>
    <row r="73" spans="1:5" x14ac:dyDescent="0.25">
      <c r="A73" s="336" t="s">
        <v>532</v>
      </c>
      <c r="B73" s="337">
        <f>IF(ExpRatio_Actual06&gt;EffStd_Wtd06,MIN(ExpRatio_Actual06-EffStd_Wtd06,EffStd_VarReq06),0)</f>
        <v>0</v>
      </c>
      <c r="C73" s="72"/>
      <c r="D73" s="336" t="s">
        <v>553</v>
      </c>
      <c r="E73" s="337">
        <f>IF(ISBLANK('6.7Ratemaking Data'!$J$40),0,'6.7Ratemaking Data'!$J$40)</f>
        <v>0</v>
      </c>
    </row>
    <row r="74" spans="1:5" x14ac:dyDescent="0.25">
      <c r="A74" s="336" t="s">
        <v>533</v>
      </c>
      <c r="B74" s="337">
        <f>IF(ExpRatio_Actual07&gt;EffStd_Wtd07,MIN(ExpRatio_Actual07-EffStd_Wtd07,EffStd_VarReq07),0)</f>
        <v>0</v>
      </c>
      <c r="C74" s="72"/>
      <c r="D74" s="336" t="s">
        <v>554</v>
      </c>
      <c r="E74" s="337">
        <f>IF(ISBLANK('6.8Ratemaking Data'!$J$40),0,'6.8Ratemaking Data'!$J$40)</f>
        <v>0</v>
      </c>
    </row>
    <row r="75" spans="1:5" x14ac:dyDescent="0.25">
      <c r="A75" s="336" t="s">
        <v>534</v>
      </c>
      <c r="B75" s="337">
        <f>IF(ExpRatio_Actual08&gt;EffStd_Wtd08,MIN(ExpRatio_Actual08-EffStd_Wtd08,EffStd_VarReq08),0)</f>
        <v>0</v>
      </c>
      <c r="C75" s="72"/>
      <c r="D75" s="336" t="s">
        <v>555</v>
      </c>
      <c r="E75" s="337">
        <f>IF(ISBLANK('6.9Ratemaking Data'!$J$40),0,'6.9Ratemaking Data'!$J$40)</f>
        <v>0</v>
      </c>
    </row>
    <row r="76" spans="1:5" x14ac:dyDescent="0.25">
      <c r="A76" s="336" t="s">
        <v>535</v>
      </c>
      <c r="B76" s="337">
        <f>IF(ExpRatio_Actual09&gt;EffStd_Wtd09,MIN(ExpRatio_Actual09-EffStd_Wtd09,EffStd_VarReq09),0)</f>
        <v>0</v>
      </c>
      <c r="C76" s="72"/>
      <c r="D76" s="336" t="s">
        <v>556</v>
      </c>
      <c r="E76" s="337">
        <f>IF(ISBLANK('6.10Ratemaking Data'!$J$40),0,'6.10Ratemaking Data'!$J$40)</f>
        <v>0</v>
      </c>
    </row>
    <row r="77" spans="1:5" x14ac:dyDescent="0.25">
      <c r="A77" s="336" t="s">
        <v>536</v>
      </c>
      <c r="B77" s="337">
        <f>IF(ExpRatio_Actual10&gt;EffStd_Wtd10,MIN(ExpRatio_Actual10-EffStd_Wtd10,EffStd_VarReq10),0)</f>
        <v>0</v>
      </c>
      <c r="C77" s="72"/>
      <c r="D77" s="336"/>
      <c r="E77" s="337"/>
    </row>
    <row r="78" spans="1:5" x14ac:dyDescent="0.25">
      <c r="A78" s="336"/>
      <c r="B78" s="337"/>
      <c r="C78" s="72"/>
      <c r="D78" s="338" t="s">
        <v>583</v>
      </c>
      <c r="E78" s="72"/>
    </row>
    <row r="79" spans="1:5" x14ac:dyDescent="0.25">
      <c r="A79" s="338" t="s">
        <v>585</v>
      </c>
      <c r="B79" s="174"/>
      <c r="C79" s="72"/>
      <c r="D79" s="72" t="s">
        <v>573</v>
      </c>
      <c r="E79" s="393">
        <f ca="1">IF(ISBLANK('5.CDI Parameters'!$E26),"",'5.CDI Parameters'!$E26)</f>
        <v>1.3010095886105004</v>
      </c>
    </row>
    <row r="80" spans="1:5" x14ac:dyDescent="0.25">
      <c r="A80" s="72" t="s">
        <v>563</v>
      </c>
      <c r="B80" s="393">
        <f ca="1">IF(ISBLANK('5.CDI Parameters'!$D26),"",'5.CDI Parameters'!$D26)</f>
        <v>0.52182970801271056</v>
      </c>
      <c r="C80" s="72"/>
      <c r="D80" s="72" t="s">
        <v>574</v>
      </c>
      <c r="E80" s="393">
        <f ca="1">IF(ISBLANK('5.CDI Parameters'!$E27),"",'5.CDI Parameters'!$E27)</f>
        <v>1.3010095886105004</v>
      </c>
    </row>
    <row r="81" spans="1:5" x14ac:dyDescent="0.25">
      <c r="A81" s="72" t="s">
        <v>564</v>
      </c>
      <c r="B81" s="393">
        <f ca="1">IF(ISBLANK('5.CDI Parameters'!$D27),"",'5.CDI Parameters'!$D27)</f>
        <v>0.52182970801271056</v>
      </c>
      <c r="C81" s="72"/>
      <c r="D81" s="72" t="s">
        <v>575</v>
      </c>
      <c r="E81" s="393">
        <f ca="1">IF(ISBLANK('5.CDI Parameters'!$E28),"",'5.CDI Parameters'!$E28)</f>
        <v>1.3010095886105004</v>
      </c>
    </row>
    <row r="82" spans="1:5" x14ac:dyDescent="0.25">
      <c r="A82" s="72" t="s">
        <v>565</v>
      </c>
      <c r="B82" s="393">
        <f ca="1">IF(ISBLANK('5.CDI Parameters'!$D28),"",'5.CDI Parameters'!$D28)</f>
        <v>0.52182970801271056</v>
      </c>
      <c r="C82" s="72"/>
      <c r="D82" s="72" t="s">
        <v>576</v>
      </c>
      <c r="E82" s="393" t="str">
        <f>IF(ISBLANK('5.CDI Parameters'!$E29),"",'5.CDI Parameters'!$E29)</f>
        <v/>
      </c>
    </row>
    <row r="83" spans="1:5" x14ac:dyDescent="0.25">
      <c r="A83" s="72" t="s">
        <v>566</v>
      </c>
      <c r="B83" s="393" t="str">
        <f>IF(ISBLANK('5.CDI Parameters'!$D29),"",'5.CDI Parameters'!$D29)</f>
        <v/>
      </c>
      <c r="C83" s="72"/>
      <c r="D83" s="72" t="s">
        <v>577</v>
      </c>
      <c r="E83" s="393" t="str">
        <f>IF(ISBLANK('5.CDI Parameters'!$E30),"",'5.CDI Parameters'!$E30)</f>
        <v/>
      </c>
    </row>
    <row r="84" spans="1:5" x14ac:dyDescent="0.25">
      <c r="A84" s="72" t="s">
        <v>567</v>
      </c>
      <c r="B84" s="393" t="str">
        <f>IF(ISBLANK('5.CDI Parameters'!$D30),"",'5.CDI Parameters'!$D30)</f>
        <v/>
      </c>
      <c r="C84" s="72"/>
      <c r="D84" s="72" t="s">
        <v>578</v>
      </c>
      <c r="E84" s="393" t="str">
        <f>IF(ISBLANK('5.CDI Parameters'!$E31),"",'5.CDI Parameters'!$E31)</f>
        <v/>
      </c>
    </row>
    <row r="85" spans="1:5" x14ac:dyDescent="0.25">
      <c r="A85" s="72" t="s">
        <v>568</v>
      </c>
      <c r="B85" s="393" t="str">
        <f>IF(ISBLANK('5.CDI Parameters'!$D31),"",'5.CDI Parameters'!$D31)</f>
        <v/>
      </c>
      <c r="C85" s="72"/>
      <c r="D85" s="72" t="s">
        <v>579</v>
      </c>
      <c r="E85" s="393" t="str">
        <f>IF(ISBLANK('5.CDI Parameters'!$E32),"",'5.CDI Parameters'!$E32)</f>
        <v/>
      </c>
    </row>
    <row r="86" spans="1:5" x14ac:dyDescent="0.25">
      <c r="A86" s="72" t="s">
        <v>569</v>
      </c>
      <c r="B86" s="393" t="str">
        <f>IF(ISBLANK('5.CDI Parameters'!$D32),"",'5.CDI Parameters'!$D32)</f>
        <v/>
      </c>
      <c r="C86" s="72"/>
      <c r="D86" s="72" t="s">
        <v>580</v>
      </c>
      <c r="E86" s="393" t="str">
        <f>IF(ISBLANK('5.CDI Parameters'!$E33),"",'5.CDI Parameters'!$E33)</f>
        <v/>
      </c>
    </row>
    <row r="87" spans="1:5" x14ac:dyDescent="0.25">
      <c r="A87" s="72" t="s">
        <v>570</v>
      </c>
      <c r="B87" s="393" t="str">
        <f>IF(ISBLANK('5.CDI Parameters'!$D33),"",'5.CDI Parameters'!$D33)</f>
        <v/>
      </c>
      <c r="C87" s="72"/>
      <c r="D87" s="72" t="s">
        <v>581</v>
      </c>
      <c r="E87" s="393" t="str">
        <f>IF(ISBLANK('5.CDI Parameters'!$E34),"",'5.CDI Parameters'!$E34)</f>
        <v/>
      </c>
    </row>
    <row r="88" spans="1:5" x14ac:dyDescent="0.25">
      <c r="A88" s="72" t="s">
        <v>571</v>
      </c>
      <c r="B88" s="393" t="str">
        <f>IF(ISBLANK('5.CDI Parameters'!$D34),"",'5.CDI Parameters'!$D34)</f>
        <v/>
      </c>
      <c r="C88" s="72"/>
      <c r="D88" s="72" t="s">
        <v>582</v>
      </c>
      <c r="E88" s="393" t="str">
        <f>IF(ISBLANK('5.CDI Parameters'!$E35),"",'5.CDI Parameters'!$E35)</f>
        <v/>
      </c>
    </row>
    <row r="89" spans="1:5" x14ac:dyDescent="0.25">
      <c r="A89" s="72" t="s">
        <v>572</v>
      </c>
      <c r="B89" s="393" t="str">
        <f>IF(ISBLANK('5.CDI Parameters'!$D35),"",'5.CDI Parameters'!$D35)</f>
        <v/>
      </c>
      <c r="C89" s="72"/>
      <c r="D89" s="72"/>
      <c r="E89" s="72"/>
    </row>
    <row r="90" spans="1:5" x14ac:dyDescent="0.25">
      <c r="A90" s="72"/>
      <c r="B90" s="174"/>
      <c r="C90" s="72"/>
      <c r="D90" s="338" t="s">
        <v>691</v>
      </c>
      <c r="E90" s="72"/>
    </row>
    <row r="91" spans="1:5" x14ac:dyDescent="0.25">
      <c r="A91" s="338" t="s">
        <v>603</v>
      </c>
      <c r="B91" s="174"/>
      <c r="C91" s="72"/>
      <c r="D91" s="72" t="s">
        <v>681</v>
      </c>
      <c r="E91" s="175">
        <f>IF(ISBLANK('1.General'!$E$34),"",'1.General'!$E$34)</f>
        <v>45078</v>
      </c>
    </row>
    <row r="92" spans="1:5" x14ac:dyDescent="0.25">
      <c r="A92" s="72" t="s">
        <v>590</v>
      </c>
      <c r="B92" s="393">
        <f ca="1">IF(ISBLANK('5.CDI Parameters'!$H26),"",'5.CDI Parameters'!$H26)</f>
        <v>0.91552166118720324</v>
      </c>
      <c r="C92" s="72"/>
      <c r="D92" s="72" t="s">
        <v>682</v>
      </c>
      <c r="E92" s="175">
        <f>IF(ISBLANK('1.General'!$E$35),"",'1.General'!$E$35)</f>
        <v>44287</v>
      </c>
    </row>
    <row r="93" spans="1:5" x14ac:dyDescent="0.25">
      <c r="A93" s="72" t="s">
        <v>591</v>
      </c>
      <c r="B93" s="393">
        <f ca="1">IF(ISBLANK('5.CDI Parameters'!$H27),"",'5.CDI Parameters'!$H27)</f>
        <v>0.91552166118720324</v>
      </c>
      <c r="C93" s="72"/>
      <c r="D93" s="72" t="s">
        <v>683</v>
      </c>
      <c r="E93" s="175">
        <f>IF(ISBLANK('1.General'!$E$36),"",'1.General'!$E$36)</f>
        <v>45078</v>
      </c>
    </row>
    <row r="94" spans="1:5" x14ac:dyDescent="0.25">
      <c r="A94" s="72" t="s">
        <v>592</v>
      </c>
      <c r="B94" s="393">
        <f ca="1">IF(ISBLANK('5.CDI Parameters'!$H28),"",'5.CDI Parameters'!$H28)</f>
        <v>0.91552166118720324</v>
      </c>
      <c r="C94" s="72"/>
      <c r="D94" s="72" t="s">
        <v>684</v>
      </c>
      <c r="E94" s="175" t="str">
        <f>IF(ISBLANK('1.General'!$E$37),"",'1.General'!$E$37)</f>
        <v/>
      </c>
    </row>
    <row r="95" spans="1:5" x14ac:dyDescent="0.25">
      <c r="A95" s="72" t="s">
        <v>593</v>
      </c>
      <c r="B95" s="393" t="str">
        <f>IF(ISBLANK('5.CDI Parameters'!$H29),"",'5.CDI Parameters'!$H29)</f>
        <v/>
      </c>
      <c r="C95" s="72"/>
      <c r="D95" s="72" t="s">
        <v>685</v>
      </c>
      <c r="E95" s="175" t="str">
        <f>IF(ISBLANK('1.General'!$E$38),"",'1.General'!$E$38)</f>
        <v/>
      </c>
    </row>
    <row r="96" spans="1:5" x14ac:dyDescent="0.25">
      <c r="A96" s="72" t="s">
        <v>594</v>
      </c>
      <c r="B96" s="393" t="str">
        <f>IF(ISBLANK('5.CDI Parameters'!$H30),"",'5.CDI Parameters'!$H30)</f>
        <v/>
      </c>
      <c r="C96" s="72"/>
      <c r="D96" s="72" t="s">
        <v>686</v>
      </c>
      <c r="E96" s="175" t="str">
        <f>IF(ISBLANK('1.General'!$E$39),"",'1.General'!$E$39)</f>
        <v/>
      </c>
    </row>
    <row r="97" spans="1:5" x14ac:dyDescent="0.25">
      <c r="A97" s="72" t="s">
        <v>595</v>
      </c>
      <c r="B97" s="393" t="str">
        <f>IF(ISBLANK('5.CDI Parameters'!$H31),"",'5.CDI Parameters'!$H31)</f>
        <v/>
      </c>
      <c r="C97" s="72"/>
      <c r="D97" s="72" t="s">
        <v>687</v>
      </c>
      <c r="E97" s="175" t="str">
        <f>IF(ISBLANK('1.General'!$E$40),"",'1.General'!$E$40)</f>
        <v/>
      </c>
    </row>
    <row r="98" spans="1:5" x14ac:dyDescent="0.25">
      <c r="A98" s="72" t="s">
        <v>596</v>
      </c>
      <c r="B98" s="393" t="str">
        <f>IF(ISBLANK('5.CDI Parameters'!$H32),"",'5.CDI Parameters'!$H32)</f>
        <v/>
      </c>
      <c r="C98" s="72"/>
      <c r="D98" s="72" t="s">
        <v>688</v>
      </c>
      <c r="E98" s="175" t="str">
        <f>IF(ISBLANK('1.General'!$E$41),"",'1.General'!$E$41)</f>
        <v/>
      </c>
    </row>
    <row r="99" spans="1:5" x14ac:dyDescent="0.25">
      <c r="A99" s="72" t="s">
        <v>597</v>
      </c>
      <c r="B99" s="393" t="str">
        <f>IF(ISBLANK('5.CDI Parameters'!$H33),"",'5.CDI Parameters'!$H33)</f>
        <v/>
      </c>
      <c r="C99" s="72"/>
      <c r="D99" s="72" t="s">
        <v>689</v>
      </c>
      <c r="E99" s="175" t="str">
        <f>IF(ISBLANK('1.General'!$E$42),"",'1.General'!$E$42)</f>
        <v/>
      </c>
    </row>
    <row r="100" spans="1:5" x14ac:dyDescent="0.25">
      <c r="A100" s="72" t="s">
        <v>598</v>
      </c>
      <c r="B100" s="393" t="str">
        <f>IF(ISBLANK('5.CDI Parameters'!$H34),"",'5.CDI Parameters'!$H34)</f>
        <v/>
      </c>
      <c r="C100" s="72"/>
      <c r="D100" s="72" t="s">
        <v>690</v>
      </c>
      <c r="E100" s="175" t="str">
        <f>IF(ISBLANK('1.General'!$E$43),"",'1.General'!$E$43)</f>
        <v/>
      </c>
    </row>
    <row r="101" spans="1:5" x14ac:dyDescent="0.25">
      <c r="A101" s="72" t="s">
        <v>599</v>
      </c>
      <c r="B101" s="393" t="str">
        <f>IF(ISBLANK('5.CDI Parameters'!$H35),"",'5.CDI Parameters'!$H35)</f>
        <v/>
      </c>
      <c r="C101" s="72"/>
      <c r="D101" s="72"/>
      <c r="E101" s="175"/>
    </row>
    <row r="102" spans="1:5" x14ac:dyDescent="0.25">
      <c r="A102" s="72"/>
      <c r="B102" s="393"/>
      <c r="C102" s="72"/>
      <c r="D102" s="72"/>
      <c r="E102" s="175"/>
    </row>
    <row r="103" spans="1:5" x14ac:dyDescent="0.25">
      <c r="A103" s="72" t="s">
        <v>167</v>
      </c>
      <c r="B103" s="555">
        <f>'Federal Income Tax Rate'!B9</f>
        <v>0.21</v>
      </c>
      <c r="C103" s="72"/>
      <c r="D103" s="72"/>
      <c r="E103" s="175"/>
    </row>
    <row r="104" spans="1:5" x14ac:dyDescent="0.25">
      <c r="A104" s="72" t="s">
        <v>192</v>
      </c>
      <c r="B104" s="555">
        <f>'5.CDI Parameters'!$J$28</f>
        <v>2.35E-2</v>
      </c>
      <c r="C104" s="72"/>
      <c r="D104" s="72" t="s">
        <v>729</v>
      </c>
      <c r="E104" s="175" t="str">
        <f>'3.2YieldFIT'!$G$48</f>
        <v>December 2022</v>
      </c>
    </row>
    <row r="105" spans="1:5" x14ac:dyDescent="0.25">
      <c r="A105" s="72" t="s">
        <v>195</v>
      </c>
      <c r="B105" s="555">
        <f>'5.CDI Parameters'!$J$31</f>
        <v>3.9399999999999998E-2</v>
      </c>
      <c r="C105" s="72"/>
      <c r="D105" s="72"/>
      <c r="E105" s="175"/>
    </row>
    <row r="106" spans="1:5" x14ac:dyDescent="0.25">
      <c r="A106" s="72" t="s">
        <v>197</v>
      </c>
      <c r="B106" s="555">
        <v>-0.06</v>
      </c>
      <c r="C106" s="72"/>
      <c r="D106" s="72"/>
      <c r="E106" s="175"/>
    </row>
    <row r="107" spans="1:5" x14ac:dyDescent="0.25">
      <c r="A107" s="72" t="s">
        <v>196</v>
      </c>
      <c r="B107" s="555">
        <f>ROR_RiskFree+0.06</f>
        <v>9.9399999999999988E-2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129</v>
      </c>
    </row>
    <row r="2" spans="1:22" x14ac:dyDescent="0.25">
      <c r="B2" s="90" t="s">
        <v>105</v>
      </c>
      <c r="C2" s="91"/>
      <c r="D2" s="92" t="s">
        <v>106</v>
      </c>
      <c r="E2" s="91"/>
      <c r="F2" s="90" t="s">
        <v>158</v>
      </c>
      <c r="G2" s="91"/>
      <c r="H2" s="106" t="s">
        <v>503</v>
      </c>
      <c r="I2" s="107"/>
      <c r="J2" s="91"/>
      <c r="K2" s="92" t="s">
        <v>504</v>
      </c>
      <c r="L2" s="91"/>
      <c r="M2" s="93" t="s">
        <v>107</v>
      </c>
      <c r="N2" s="94" t="s">
        <v>506</v>
      </c>
      <c r="P2" s="92" t="s">
        <v>505</v>
      </c>
      <c r="S2" s="92" t="s">
        <v>625</v>
      </c>
    </row>
    <row r="3" spans="1:22" ht="15.75" thickBot="1" x14ac:dyDescent="0.3">
      <c r="B3" s="95" t="s">
        <v>108</v>
      </c>
      <c r="C3" s="91"/>
      <c r="D3" s="108" t="s">
        <v>160</v>
      </c>
      <c r="F3" s="97"/>
      <c r="H3" s="98"/>
      <c r="I3" s="99"/>
      <c r="K3" s="96"/>
      <c r="M3" s="100"/>
      <c r="N3" s="101"/>
      <c r="P3" s="96"/>
      <c r="S3" s="96"/>
    </row>
    <row r="4" spans="1:22" ht="30" x14ac:dyDescent="0.25">
      <c r="B4" s="95" t="s">
        <v>159</v>
      </c>
      <c r="C4" s="155"/>
      <c r="D4" s="96"/>
      <c r="F4" s="97"/>
      <c r="H4" s="98"/>
      <c r="I4" s="99"/>
      <c r="K4" s="96"/>
      <c r="M4" s="100"/>
      <c r="N4" s="101"/>
      <c r="P4" s="96"/>
      <c r="S4" s="96"/>
      <c r="U4" s="599" t="s">
        <v>736</v>
      </c>
      <c r="V4" s="600" t="s">
        <v>737</v>
      </c>
    </row>
    <row r="5" spans="1:22" ht="90" x14ac:dyDescent="0.25">
      <c r="A5" s="193" t="s">
        <v>502</v>
      </c>
      <c r="B5" s="194"/>
      <c r="C5" s="7"/>
      <c r="D5" s="195">
        <v>2</v>
      </c>
      <c r="E5" s="109"/>
      <c r="F5" s="196">
        <v>17</v>
      </c>
      <c r="G5" s="109"/>
      <c r="H5" s="197"/>
      <c r="I5" s="198"/>
      <c r="J5" s="7"/>
      <c r="K5" s="195">
        <v>1</v>
      </c>
      <c r="L5" s="7"/>
      <c r="M5" s="199"/>
      <c r="N5" s="200"/>
      <c r="O5" s="109"/>
      <c r="P5" s="195">
        <v>3</v>
      </c>
      <c r="S5" s="196">
        <v>9</v>
      </c>
      <c r="U5" s="603" t="s">
        <v>735</v>
      </c>
      <c r="V5" s="604" t="s">
        <v>738</v>
      </c>
    </row>
    <row r="6" spans="1:22" ht="30" x14ac:dyDescent="0.25">
      <c r="B6" s="102" t="s">
        <v>2</v>
      </c>
      <c r="C6" s="11"/>
      <c r="D6" s="96" t="s">
        <v>5</v>
      </c>
      <c r="F6" s="97"/>
      <c r="H6" s="98"/>
      <c r="I6" s="99"/>
      <c r="K6" s="96" t="s">
        <v>38</v>
      </c>
      <c r="M6" s="86" t="s">
        <v>84</v>
      </c>
      <c r="N6" s="87" t="s">
        <v>257</v>
      </c>
      <c r="P6" s="96"/>
      <c r="S6" s="96" t="s">
        <v>626</v>
      </c>
      <c r="U6" s="100" t="str">
        <f>TEXT(V6,"mmm")&amp;YEAR(V6)</f>
        <v>Dec2022</v>
      </c>
      <c r="V6" s="101" t="str">
        <f>'3.2YieldFIT'!G48</f>
        <v>December 2022</v>
      </c>
    </row>
    <row r="7" spans="1:22" ht="30" x14ac:dyDescent="0.25">
      <c r="B7" s="102" t="s">
        <v>3</v>
      </c>
      <c r="C7" s="11"/>
      <c r="D7" s="96" t="s">
        <v>6</v>
      </c>
      <c r="F7" s="97" t="s">
        <v>8</v>
      </c>
      <c r="H7" s="98" t="s">
        <v>8</v>
      </c>
      <c r="I7" s="99">
        <v>22</v>
      </c>
      <c r="K7" s="96" t="s">
        <v>74</v>
      </c>
      <c r="M7" s="86" t="s">
        <v>85</v>
      </c>
      <c r="N7" s="87" t="s">
        <v>258</v>
      </c>
      <c r="P7" s="96" t="s">
        <v>240</v>
      </c>
      <c r="S7" s="96" t="s">
        <v>627</v>
      </c>
      <c r="U7" s="100" t="str">
        <f>TEXT(V7,"mmm")&amp;YEAR(V7)</f>
        <v>Apr2023</v>
      </c>
      <c r="V7" s="101" t="str">
        <f>[1]Latest!$A$1</f>
        <v>April 2023</v>
      </c>
    </row>
    <row r="8" spans="1:22" ht="30.75" thickBot="1" x14ac:dyDescent="0.3">
      <c r="B8" s="104" t="s">
        <v>26</v>
      </c>
      <c r="C8" s="11"/>
      <c r="D8" s="103"/>
      <c r="F8" s="97" t="s">
        <v>9</v>
      </c>
      <c r="H8" s="98" t="s">
        <v>9</v>
      </c>
      <c r="I8" s="99">
        <v>2.1</v>
      </c>
      <c r="K8" s="103" t="s">
        <v>75</v>
      </c>
      <c r="M8" s="86" t="s">
        <v>86</v>
      </c>
      <c r="N8" s="87" t="s">
        <v>259</v>
      </c>
      <c r="P8" s="96" t="s">
        <v>241</v>
      </c>
      <c r="S8" s="96" t="s">
        <v>628</v>
      </c>
      <c r="U8" s="100" t="str">
        <f t="shared" ref="U8:U30" si="0">TEXT(EOMONTH(U7,-1),"mmm")&amp;YEAR(EOMONTH(U7,-1))</f>
        <v>Mar2023</v>
      </c>
      <c r="V8" s="101" t="str">
        <f t="shared" ref="V8:V30" si="1">TEXT(U8,"mmmm ")&amp;YEAR(U8)</f>
        <v>March 2023</v>
      </c>
    </row>
    <row r="9" spans="1:22" ht="30.75" thickBot="1" x14ac:dyDescent="0.3">
      <c r="F9" s="97" t="s">
        <v>745</v>
      </c>
      <c r="H9" s="98" t="s">
        <v>11</v>
      </c>
      <c r="I9" s="99">
        <v>17</v>
      </c>
      <c r="M9" s="86" t="s">
        <v>87</v>
      </c>
      <c r="N9" s="87" t="s">
        <v>260</v>
      </c>
      <c r="P9" s="103" t="s">
        <v>242</v>
      </c>
      <c r="S9" s="96" t="s">
        <v>629</v>
      </c>
      <c r="U9" s="100" t="str">
        <f t="shared" si="0"/>
        <v>Feb2023</v>
      </c>
      <c r="V9" s="101" t="str">
        <f t="shared" si="1"/>
        <v>February 2023</v>
      </c>
    </row>
    <row r="10" spans="1:22" ht="30" x14ac:dyDescent="0.25">
      <c r="F10" s="97" t="s">
        <v>10</v>
      </c>
      <c r="H10" s="98" t="s">
        <v>12</v>
      </c>
      <c r="I10" s="99">
        <v>27</v>
      </c>
      <c r="M10" s="86" t="s">
        <v>88</v>
      </c>
      <c r="N10" s="87" t="s">
        <v>261</v>
      </c>
      <c r="P10" s="327" t="s">
        <v>623</v>
      </c>
      <c r="Q10" s="328"/>
      <c r="S10" s="96" t="s">
        <v>630</v>
      </c>
      <c r="U10" s="100" t="str">
        <f t="shared" si="0"/>
        <v>Jan2023</v>
      </c>
      <c r="V10" s="101" t="str">
        <f t="shared" si="1"/>
        <v>January 2023</v>
      </c>
    </row>
    <row r="11" spans="1:22" ht="45" x14ac:dyDescent="0.25">
      <c r="F11" s="97" t="s">
        <v>11</v>
      </c>
      <c r="H11" s="98" t="s">
        <v>13</v>
      </c>
      <c r="I11" s="99">
        <v>26</v>
      </c>
      <c r="M11" s="86" t="s">
        <v>91</v>
      </c>
      <c r="N11" s="87" t="s">
        <v>262</v>
      </c>
      <c r="P11" s="329" t="s">
        <v>346</v>
      </c>
      <c r="Q11" s="330">
        <v>1</v>
      </c>
      <c r="S11" s="96" t="s">
        <v>631</v>
      </c>
      <c r="U11" s="100" t="str">
        <f t="shared" si="0"/>
        <v>Dec2022</v>
      </c>
      <c r="V11" s="101" t="str">
        <f t="shared" si="1"/>
        <v>December 2022</v>
      </c>
    </row>
    <row r="12" spans="1:22" ht="30" x14ac:dyDescent="0.25">
      <c r="F12" s="97" t="s">
        <v>12</v>
      </c>
      <c r="H12" s="98" t="s">
        <v>39</v>
      </c>
      <c r="I12" s="99">
        <v>19.399999999999999</v>
      </c>
      <c r="M12" s="86" t="s">
        <v>89</v>
      </c>
      <c r="N12" s="87" t="s">
        <v>263</v>
      </c>
      <c r="P12" s="329" t="s">
        <v>348</v>
      </c>
      <c r="Q12" s="330">
        <v>2</v>
      </c>
      <c r="S12" s="96" t="s">
        <v>695</v>
      </c>
      <c r="U12" s="100" t="str">
        <f t="shared" si="0"/>
        <v>Nov2022</v>
      </c>
      <c r="V12" s="101" t="str">
        <f t="shared" si="1"/>
        <v>November 2022</v>
      </c>
    </row>
    <row r="13" spans="1:22" ht="30" x14ac:dyDescent="0.25">
      <c r="F13" s="97" t="s">
        <v>13</v>
      </c>
      <c r="H13" s="98" t="s">
        <v>40</v>
      </c>
      <c r="I13" s="99">
        <v>21.2</v>
      </c>
      <c r="M13" s="86" t="s">
        <v>90</v>
      </c>
      <c r="N13" s="87" t="s">
        <v>264</v>
      </c>
      <c r="P13" s="329" t="s">
        <v>357</v>
      </c>
      <c r="Q13" s="330">
        <v>1</v>
      </c>
      <c r="S13" s="96" t="s">
        <v>694</v>
      </c>
      <c r="U13" s="100" t="str">
        <f t="shared" si="0"/>
        <v>Oct2022</v>
      </c>
      <c r="V13" s="101" t="str">
        <f t="shared" si="1"/>
        <v>October 2022</v>
      </c>
    </row>
    <row r="14" spans="1:22" ht="30.75" thickBot="1" x14ac:dyDescent="0.3">
      <c r="F14" s="97" t="s">
        <v>14</v>
      </c>
      <c r="H14" s="98" t="s">
        <v>41</v>
      </c>
      <c r="I14" s="99">
        <v>5</v>
      </c>
      <c r="M14" s="86" t="s">
        <v>116</v>
      </c>
      <c r="N14" s="87" t="s">
        <v>265</v>
      </c>
      <c r="P14" s="329" t="s">
        <v>358</v>
      </c>
      <c r="Q14" s="330">
        <v>1</v>
      </c>
      <c r="S14" s="103" t="s">
        <v>632</v>
      </c>
      <c r="U14" s="100" t="str">
        <f t="shared" si="0"/>
        <v>Sep2022</v>
      </c>
      <c r="V14" s="101" t="str">
        <f t="shared" si="1"/>
        <v>September 2022</v>
      </c>
    </row>
    <row r="15" spans="1:22" ht="30" x14ac:dyDescent="0.25">
      <c r="F15" s="97" t="s">
        <v>15</v>
      </c>
      <c r="H15" s="98" t="s">
        <v>42</v>
      </c>
      <c r="I15" s="99">
        <v>5.2</v>
      </c>
      <c r="M15" s="86" t="s">
        <v>92</v>
      </c>
      <c r="N15" s="87" t="s">
        <v>266</v>
      </c>
      <c r="P15" s="329" t="s">
        <v>359</v>
      </c>
      <c r="Q15" s="330">
        <v>1</v>
      </c>
      <c r="U15" s="100" t="str">
        <f t="shared" si="0"/>
        <v>Aug2022</v>
      </c>
      <c r="V15" s="101" t="str">
        <f t="shared" si="1"/>
        <v>August 2022</v>
      </c>
    </row>
    <row r="16" spans="1:22" ht="30" x14ac:dyDescent="0.25">
      <c r="F16" s="97" t="s">
        <v>16</v>
      </c>
      <c r="H16" s="98" t="s">
        <v>43</v>
      </c>
      <c r="I16" s="99">
        <v>5.0999999999999996</v>
      </c>
      <c r="M16" s="86" t="s">
        <v>93</v>
      </c>
      <c r="N16" s="87" t="s">
        <v>267</v>
      </c>
      <c r="P16" s="329" t="s">
        <v>360</v>
      </c>
      <c r="Q16" s="330">
        <v>1</v>
      </c>
      <c r="U16" s="100" t="str">
        <f t="shared" si="0"/>
        <v>Jul2022</v>
      </c>
      <c r="V16" s="101" t="str">
        <f t="shared" si="1"/>
        <v>July 2022</v>
      </c>
    </row>
    <row r="17" spans="6:22" ht="30" x14ac:dyDescent="0.25">
      <c r="F17" s="97" t="s">
        <v>17</v>
      </c>
      <c r="H17" s="98" t="s">
        <v>14</v>
      </c>
      <c r="I17" s="99">
        <v>12</v>
      </c>
      <c r="M17" s="86" t="s">
        <v>94</v>
      </c>
      <c r="N17" s="87" t="s">
        <v>268</v>
      </c>
      <c r="P17" s="329" t="s">
        <v>361</v>
      </c>
      <c r="Q17" s="330">
        <v>1</v>
      </c>
      <c r="U17" s="100" t="str">
        <f t="shared" si="0"/>
        <v>Jun2022</v>
      </c>
      <c r="V17" s="101" t="str">
        <f t="shared" si="1"/>
        <v>June 2022</v>
      </c>
    </row>
    <row r="18" spans="6:22" ht="30" x14ac:dyDescent="0.25">
      <c r="F18" s="97" t="s">
        <v>712</v>
      </c>
      <c r="H18" s="98" t="s">
        <v>325</v>
      </c>
      <c r="I18" s="99" t="s">
        <v>331</v>
      </c>
      <c r="M18" s="86" t="s">
        <v>95</v>
      </c>
      <c r="N18" s="87" t="s">
        <v>269</v>
      </c>
      <c r="P18" s="329" t="s">
        <v>362</v>
      </c>
      <c r="Q18" s="330">
        <v>1</v>
      </c>
      <c r="U18" s="100" t="str">
        <f t="shared" si="0"/>
        <v>May2022</v>
      </c>
      <c r="V18" s="101" t="str">
        <f t="shared" si="1"/>
        <v>May 2022</v>
      </c>
    </row>
    <row r="19" spans="6:22" ht="30" x14ac:dyDescent="0.25">
      <c r="F19" s="97" t="s">
        <v>744</v>
      </c>
      <c r="H19" s="98" t="s">
        <v>44</v>
      </c>
      <c r="I19" s="99">
        <v>3</v>
      </c>
      <c r="M19" s="86" t="s">
        <v>96</v>
      </c>
      <c r="N19" s="87" t="s">
        <v>270</v>
      </c>
      <c r="P19" s="329" t="s">
        <v>363</v>
      </c>
      <c r="Q19" s="330">
        <v>1</v>
      </c>
      <c r="U19" s="100" t="str">
        <f t="shared" si="0"/>
        <v>Apr2022</v>
      </c>
      <c r="V19" s="101" t="str">
        <f t="shared" si="1"/>
        <v>April 2022</v>
      </c>
    </row>
    <row r="20" spans="6:22" ht="30" x14ac:dyDescent="0.25">
      <c r="F20" s="97" t="s">
        <v>746</v>
      </c>
      <c r="H20" s="98" t="s">
        <v>16</v>
      </c>
      <c r="I20" s="99">
        <v>23</v>
      </c>
      <c r="M20" s="86" t="s">
        <v>97</v>
      </c>
      <c r="N20" s="87" t="s">
        <v>271</v>
      </c>
      <c r="P20" s="331" t="s">
        <v>344</v>
      </c>
      <c r="Q20" s="332">
        <v>1</v>
      </c>
      <c r="U20" s="100" t="str">
        <f t="shared" si="0"/>
        <v>Mar2022</v>
      </c>
      <c r="V20" s="101" t="str">
        <f t="shared" si="1"/>
        <v>March 2022</v>
      </c>
    </row>
    <row r="21" spans="6:22" ht="30" x14ac:dyDescent="0.25">
      <c r="F21" s="97" t="s">
        <v>18</v>
      </c>
      <c r="H21" s="98" t="s">
        <v>17</v>
      </c>
      <c r="I21" s="99">
        <v>1</v>
      </c>
      <c r="M21" s="86" t="s">
        <v>98</v>
      </c>
      <c r="N21" s="87" t="s">
        <v>272</v>
      </c>
      <c r="U21" s="100" t="str">
        <f t="shared" si="0"/>
        <v>Feb2022</v>
      </c>
      <c r="V21" s="101" t="str">
        <f t="shared" si="1"/>
        <v>February 2022</v>
      </c>
    </row>
    <row r="22" spans="6:22" ht="30" x14ac:dyDescent="0.25">
      <c r="F22" s="97" t="s">
        <v>45</v>
      </c>
      <c r="H22" s="98" t="s">
        <v>19</v>
      </c>
      <c r="I22" s="99">
        <v>9</v>
      </c>
      <c r="M22" s="86" t="s">
        <v>99</v>
      </c>
      <c r="N22" s="87" t="s">
        <v>273</v>
      </c>
      <c r="U22" s="100" t="str">
        <f t="shared" si="0"/>
        <v>Jan2022</v>
      </c>
      <c r="V22" s="101" t="str">
        <f t="shared" si="1"/>
        <v>January 2022</v>
      </c>
    </row>
    <row r="23" spans="6:22" ht="30" x14ac:dyDescent="0.25">
      <c r="F23" s="97" t="s">
        <v>19</v>
      </c>
      <c r="H23" s="98" t="s">
        <v>45</v>
      </c>
      <c r="I23" s="99">
        <v>4</v>
      </c>
      <c r="M23" s="86" t="s">
        <v>100</v>
      </c>
      <c r="N23" s="87" t="s">
        <v>274</v>
      </c>
      <c r="U23" s="100" t="str">
        <f t="shared" si="0"/>
        <v>Dec2021</v>
      </c>
      <c r="V23" s="101" t="str">
        <f t="shared" si="1"/>
        <v>December 2021</v>
      </c>
    </row>
    <row r="24" spans="6:22" ht="45" x14ac:dyDescent="0.25">
      <c r="F24" s="97" t="s">
        <v>20</v>
      </c>
      <c r="H24" s="98" t="s">
        <v>20</v>
      </c>
      <c r="I24" s="99">
        <v>9</v>
      </c>
      <c r="M24" s="86" t="s">
        <v>101</v>
      </c>
      <c r="N24" s="87" t="s">
        <v>275</v>
      </c>
      <c r="U24" s="100" t="str">
        <f t="shared" si="0"/>
        <v>Nov2021</v>
      </c>
      <c r="V24" s="101" t="str">
        <f t="shared" si="1"/>
        <v>November 2021</v>
      </c>
    </row>
    <row r="25" spans="6:22" ht="30" x14ac:dyDescent="0.25">
      <c r="F25" s="97" t="s">
        <v>21</v>
      </c>
      <c r="H25" s="98" t="s">
        <v>21</v>
      </c>
      <c r="I25" s="99">
        <v>11</v>
      </c>
      <c r="M25" s="86" t="s">
        <v>102</v>
      </c>
      <c r="N25" s="87" t="s">
        <v>276</v>
      </c>
      <c r="U25" s="100" t="str">
        <f t="shared" si="0"/>
        <v>Oct2021</v>
      </c>
      <c r="V25" s="101" t="str">
        <f t="shared" si="1"/>
        <v>October 2021</v>
      </c>
    </row>
    <row r="26" spans="6:22" ht="30" x14ac:dyDescent="0.25">
      <c r="F26" s="97" t="s">
        <v>22</v>
      </c>
      <c r="H26" s="98" t="s">
        <v>46</v>
      </c>
      <c r="I26" s="99">
        <v>11.2</v>
      </c>
      <c r="M26" s="86" t="s">
        <v>103</v>
      </c>
      <c r="N26" s="87" t="s">
        <v>277</v>
      </c>
      <c r="U26" s="100" t="str">
        <f t="shared" si="0"/>
        <v>Sep2021</v>
      </c>
      <c r="V26" s="101" t="str">
        <f t="shared" si="1"/>
        <v>September 2021</v>
      </c>
    </row>
    <row r="27" spans="6:22" ht="30.75" customHeight="1" x14ac:dyDescent="0.25">
      <c r="F27" s="97" t="s">
        <v>23</v>
      </c>
      <c r="H27" s="98" t="s">
        <v>47</v>
      </c>
      <c r="I27" s="99">
        <v>11.1</v>
      </c>
      <c r="M27" s="86" t="s">
        <v>104</v>
      </c>
      <c r="N27" s="87" t="s">
        <v>278</v>
      </c>
      <c r="U27" s="100" t="str">
        <f t="shared" si="0"/>
        <v>Aug2021</v>
      </c>
      <c r="V27" s="101" t="str">
        <f t="shared" si="1"/>
        <v>August 2021</v>
      </c>
    </row>
    <row r="28" spans="6:22" ht="30.75" customHeight="1" x14ac:dyDescent="0.25">
      <c r="F28" s="97" t="s">
        <v>24</v>
      </c>
      <c r="H28" s="98" t="s">
        <v>326</v>
      </c>
      <c r="I28" s="99" t="s">
        <v>328</v>
      </c>
      <c r="M28" s="453" t="s">
        <v>26</v>
      </c>
      <c r="N28" s="454" t="str">
        <f>""</f>
        <v/>
      </c>
      <c r="U28" s="100" t="str">
        <f t="shared" si="0"/>
        <v>Jul2021</v>
      </c>
      <c r="V28" s="101" t="str">
        <f t="shared" si="1"/>
        <v>July 2021</v>
      </c>
    </row>
    <row r="29" spans="6:22" ht="30.75" customHeight="1" thickBot="1" x14ac:dyDescent="0.3">
      <c r="F29" s="97" t="s">
        <v>747</v>
      </c>
      <c r="H29" s="98" t="s">
        <v>324</v>
      </c>
      <c r="I29" s="99" t="s">
        <v>330</v>
      </c>
      <c r="M29" s="88" t="s">
        <v>378</v>
      </c>
      <c r="N29" s="89" t="str">
        <f>""</f>
        <v/>
      </c>
      <c r="U29" s="100" t="str">
        <f t="shared" si="0"/>
        <v>Jun2021</v>
      </c>
      <c r="V29" s="101" t="str">
        <f t="shared" si="1"/>
        <v>June 2021</v>
      </c>
    </row>
    <row r="30" spans="6:22" ht="30.75" customHeight="1" thickBot="1" x14ac:dyDescent="0.3">
      <c r="F30" s="105" t="s">
        <v>25</v>
      </c>
      <c r="H30" s="98" t="s">
        <v>327</v>
      </c>
      <c r="I30" s="99" t="s">
        <v>329</v>
      </c>
      <c r="N30" s="13"/>
      <c r="U30" s="601" t="str">
        <f t="shared" si="0"/>
        <v>May2021</v>
      </c>
      <c r="V30" s="602" t="str">
        <f t="shared" si="1"/>
        <v>May 2021</v>
      </c>
    </row>
    <row r="31" spans="6:22" ht="30.75" customHeight="1" x14ac:dyDescent="0.25">
      <c r="H31" s="98" t="s">
        <v>23</v>
      </c>
      <c r="I31" s="99">
        <v>17</v>
      </c>
      <c r="N31" s="13"/>
    </row>
    <row r="32" spans="6:22" ht="30.75" customHeight="1" x14ac:dyDescent="0.25">
      <c r="H32" s="98" t="s">
        <v>48</v>
      </c>
      <c r="I32" s="99">
        <v>17.2</v>
      </c>
      <c r="N32" s="13"/>
    </row>
    <row r="33" spans="8:14" ht="30.75" customHeight="1" x14ac:dyDescent="0.25">
      <c r="H33" s="98" t="s">
        <v>49</v>
      </c>
      <c r="I33" s="99">
        <v>17.100000000000001</v>
      </c>
      <c r="N33" s="13"/>
    </row>
    <row r="34" spans="8:14" ht="30.75" customHeight="1" x14ac:dyDescent="0.25">
      <c r="H34" s="98" t="s">
        <v>50</v>
      </c>
      <c r="I34" s="99">
        <v>19.2</v>
      </c>
      <c r="N34" s="13"/>
    </row>
    <row r="35" spans="8:14" ht="30.75" customHeight="1" x14ac:dyDescent="0.25">
      <c r="H35" s="98" t="s">
        <v>51</v>
      </c>
      <c r="I35" s="99">
        <v>21.1</v>
      </c>
      <c r="N35" s="13"/>
    </row>
    <row r="36" spans="8:14" ht="30.75" customHeight="1" x14ac:dyDescent="0.25">
      <c r="H36" s="98" t="s">
        <v>24</v>
      </c>
      <c r="I36" s="99">
        <v>18</v>
      </c>
      <c r="N36" s="13"/>
    </row>
    <row r="37" spans="8:14" ht="30.75" customHeight="1" x14ac:dyDescent="0.25">
      <c r="H37" s="98" t="s">
        <v>52</v>
      </c>
      <c r="I37" s="99">
        <v>18.2</v>
      </c>
      <c r="N37" s="13"/>
    </row>
    <row r="38" spans="8:14" ht="30.75" customHeight="1" x14ac:dyDescent="0.25">
      <c r="H38" s="98" t="s">
        <v>53</v>
      </c>
      <c r="I38" s="99">
        <v>18.100000000000001</v>
      </c>
      <c r="N38" s="13"/>
    </row>
    <row r="39" spans="8:14" ht="30.75" customHeight="1" x14ac:dyDescent="0.25">
      <c r="H39" s="98" t="s">
        <v>25</v>
      </c>
      <c r="I39" s="99">
        <v>24</v>
      </c>
      <c r="N39" s="13"/>
    </row>
    <row r="40" spans="8:14" ht="30" customHeight="1" x14ac:dyDescent="0.25">
      <c r="H40" s="327" t="s">
        <v>679</v>
      </c>
      <c r="I40" s="328"/>
      <c r="N40" s="13"/>
    </row>
    <row r="41" spans="8:14" ht="30" customHeight="1" x14ac:dyDescent="0.25">
      <c r="H41" s="329"/>
      <c r="I41" s="426"/>
      <c r="N41" s="13"/>
    </row>
    <row r="42" spans="8:14" ht="30" customHeight="1" x14ac:dyDescent="0.25">
      <c r="H42" s="329" t="s">
        <v>45</v>
      </c>
      <c r="I42" s="426">
        <f ca="1">IF(ISNA(OFFSET($I$6,MATCH($H42,$H$7:$H$39),0)),"",OFFSET($I$6,MATCH($H42,$H$7:$H$39),0))</f>
        <v>4</v>
      </c>
      <c r="N42" s="13"/>
    </row>
    <row r="43" spans="8:14" ht="30" customHeight="1" x14ac:dyDescent="0.25">
      <c r="H43" s="329"/>
      <c r="I43" s="426" t="str">
        <f ca="1">IF(ISNA(OFFSET($I$6,MATCH($H43,$H$7:$H$39),0)),"",OFFSET($I$6,MATCH($H43,$H$7:$H$39),0))</f>
        <v/>
      </c>
      <c r="N43" s="13"/>
    </row>
    <row r="44" spans="8:14" ht="30" customHeight="1" x14ac:dyDescent="0.25">
      <c r="H44" s="329"/>
      <c r="I44" s="426" t="str">
        <f ca="1">IF(ISNA(OFFSET($I$6,MATCH($H44,$H$7:$H$39),0)),"",OFFSET($I$6,MATCH($H44,$H$7:$H$39),0))</f>
        <v/>
      </c>
      <c r="N44" s="13"/>
    </row>
    <row r="45" spans="8:14" ht="30" customHeight="1" x14ac:dyDescent="0.25">
      <c r="H45" s="329"/>
      <c r="I45" s="426" t="str">
        <f t="shared" ref="I45:I50" ca="1" si="2">IF(ISNA(OFFSET($I$6,MATCH($H45,$H$7:$H$39),0)),"",OFFSET($I$6,MATCH($H45,$H$7:$H$39),0))</f>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29"/>
      <c r="I48" s="426" t="str">
        <f t="shared" ca="1" si="2"/>
        <v/>
      </c>
      <c r="N48" s="13"/>
    </row>
    <row r="49" spans="8:14" ht="30" customHeight="1" x14ac:dyDescent="0.25">
      <c r="H49" s="329"/>
      <c r="I49" s="426" t="str">
        <f t="shared" ca="1" si="2"/>
        <v/>
      </c>
      <c r="N49" s="13"/>
    </row>
    <row r="50" spans="8:14" ht="30" customHeight="1" x14ac:dyDescent="0.25">
      <c r="H50" s="331"/>
      <c r="I50" s="456" t="str">
        <f t="shared" ca="1" si="2"/>
        <v/>
      </c>
      <c r="N50" s="13"/>
    </row>
    <row r="51" spans="8:14" ht="30" customHeight="1" x14ac:dyDescent="0.25">
      <c r="N51" s="13"/>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ECn1pcTXDj+XugGlrA83G0pmp2qkhowaP417Fv2aaFkmsbjfYPoTBdC2gpRvmo6R4/MQ31Lh++eaGMHGCDObjw==" saltValue="JwR7UcMkRqgAaqxTDNrWxg=="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285</v>
      </c>
      <c r="B1" s="183"/>
      <c r="C1" s="183" t="s">
        <v>704</v>
      </c>
      <c r="D1" s="5"/>
    </row>
    <row r="2" spans="1:4" ht="26.25" x14ac:dyDescent="0.25">
      <c r="A2" s="183" t="s">
        <v>380</v>
      </c>
      <c r="B2" s="3"/>
      <c r="C2" s="183" t="s">
        <v>500</v>
      </c>
      <c r="D2" s="5"/>
    </row>
    <row r="3" spans="1:4" ht="26.25" customHeight="1" x14ac:dyDescent="0.25">
      <c r="A3" s="183"/>
      <c r="B3" s="3"/>
      <c r="C3" s="3"/>
    </row>
    <row r="4" spans="1:4" ht="47.25" x14ac:dyDescent="0.25">
      <c r="A4" s="180"/>
      <c r="B4" s="181" t="s">
        <v>651</v>
      </c>
      <c r="C4" s="181"/>
    </row>
    <row r="5" spans="1:4" ht="27" thickBot="1" x14ac:dyDescent="0.3">
      <c r="A5" s="179"/>
      <c r="B5" s="182" t="s">
        <v>27</v>
      </c>
      <c r="C5" s="182"/>
      <c r="D5" s="84"/>
    </row>
    <row r="6" spans="1:4" ht="15" customHeight="1" x14ac:dyDescent="0.25">
      <c r="A6" s="180"/>
      <c r="B6" s="184"/>
      <c r="C6" s="184"/>
    </row>
    <row r="7" spans="1:4" ht="75" customHeight="1" x14ac:dyDescent="0.25">
      <c r="A7" s="7" t="s">
        <v>641</v>
      </c>
      <c r="B7" s="164" t="s">
        <v>657</v>
      </c>
      <c r="C7" s="7" t="s">
        <v>641</v>
      </c>
      <c r="D7" s="164" t="s">
        <v>693</v>
      </c>
    </row>
    <row r="8" spans="1:4" ht="32.25" x14ac:dyDescent="0.25">
      <c r="A8" s="7" t="s">
        <v>642</v>
      </c>
      <c r="B8" s="164" t="s">
        <v>635</v>
      </c>
      <c r="C8" s="7" t="s">
        <v>642</v>
      </c>
      <c r="D8" s="10" t="s">
        <v>659</v>
      </c>
    </row>
    <row r="9" spans="1:4" ht="99.95" customHeight="1" x14ac:dyDescent="0.25">
      <c r="A9" s="7" t="s">
        <v>643</v>
      </c>
      <c r="B9" s="164" t="s">
        <v>653</v>
      </c>
      <c r="C9" s="7" t="s">
        <v>643</v>
      </c>
      <c r="D9" s="10" t="s">
        <v>307</v>
      </c>
    </row>
    <row r="10" spans="1:4" ht="75" x14ac:dyDescent="0.25">
      <c r="A10" s="7" t="s">
        <v>644</v>
      </c>
      <c r="B10" s="164" t="s">
        <v>636</v>
      </c>
      <c r="C10" s="7" t="s">
        <v>644</v>
      </c>
      <c r="D10" s="10" t="s">
        <v>308</v>
      </c>
    </row>
    <row r="11" spans="1:4" ht="69.95" customHeight="1" x14ac:dyDescent="0.25">
      <c r="A11" s="7" t="s">
        <v>645</v>
      </c>
      <c r="B11" s="164" t="s">
        <v>637</v>
      </c>
      <c r="C11" s="7" t="s">
        <v>645</v>
      </c>
      <c r="D11" s="10" t="s">
        <v>309</v>
      </c>
    </row>
    <row r="12" spans="1:4" ht="60" x14ac:dyDescent="0.25">
      <c r="A12" s="7" t="s">
        <v>646</v>
      </c>
      <c r="B12" s="164" t="s">
        <v>638</v>
      </c>
      <c r="C12" s="7"/>
    </row>
    <row r="13" spans="1:4" ht="54.95" customHeight="1" x14ac:dyDescent="0.25">
      <c r="A13" s="7" t="s">
        <v>647</v>
      </c>
      <c r="B13" s="164" t="s">
        <v>639</v>
      </c>
      <c r="C13" s="7"/>
    </row>
    <row r="14" spans="1:4" ht="54.95" customHeight="1" x14ac:dyDescent="0.25">
      <c r="A14" s="7" t="s">
        <v>648</v>
      </c>
      <c r="B14" s="164" t="s">
        <v>658</v>
      </c>
      <c r="C14" s="7"/>
    </row>
    <row r="15" spans="1:4" ht="39.950000000000003" customHeight="1" x14ac:dyDescent="0.25">
      <c r="A15" s="7" t="s">
        <v>649</v>
      </c>
      <c r="B15" s="164" t="s">
        <v>640</v>
      </c>
      <c r="C15" s="7"/>
      <c r="D15" s="237"/>
    </row>
    <row r="16" spans="1:4" ht="24.95" customHeight="1" x14ac:dyDescent="0.25">
      <c r="A16" s="7" t="s">
        <v>650</v>
      </c>
      <c r="B16" s="10" t="s">
        <v>309</v>
      </c>
      <c r="C16" s="164"/>
      <c r="D16" s="23" t="str">
        <f>Edition_Date</f>
        <v>1/3/2023 Edition</v>
      </c>
    </row>
    <row r="17" spans="1:3" ht="90" customHeight="1" x14ac:dyDescent="0.25">
      <c r="A17" s="7"/>
      <c r="B17" s="164"/>
      <c r="C17" s="164"/>
    </row>
    <row r="19" spans="1:3" x14ac:dyDescent="0.25">
      <c r="B19" s="164"/>
    </row>
    <row r="22" spans="1:3" x14ac:dyDescent="0.25">
      <c r="B22" s="164"/>
    </row>
  </sheetData>
  <sheetProtection algorithmName="SHA-512" hashValue="AQXnJEIwQnCkYsfOoR6ksZcjEDQUa1uEMcE8kC3avp2gH2mWWXdMuWJbWAc7Mz00beyevKcFqel8OMPw1jRGfw==" saltValue="GRI63qaty4I50fPZgNRbs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tabSelected="1" view="pageBreakPreview" topLeftCell="A23" zoomScaleNormal="100" zoomScaleSheetLayoutView="100" workbookViewId="0">
      <selection activeCell="D35" sqref="D35"/>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31</v>
      </c>
      <c r="B1" s="1"/>
      <c r="E1" s="1" t="s">
        <v>33</v>
      </c>
      <c r="G1" s="8" t="str">
        <f>Co_Name</f>
        <v>State Farm General Insurance Company</v>
      </c>
      <c r="H1" s="8"/>
      <c r="J1" s="74" t="s">
        <v>661</v>
      </c>
    </row>
    <row r="2" spans="1:10" x14ac:dyDescent="0.25">
      <c r="A2" s="1" t="s">
        <v>32</v>
      </c>
      <c r="B2" s="1"/>
      <c r="E2" s="1" t="s">
        <v>34</v>
      </c>
      <c r="G2" s="8" t="str">
        <f>General_Line</f>
        <v>Homeowners Multiple Peril</v>
      </c>
      <c r="H2" s="8"/>
      <c r="J2" s="176" t="s">
        <v>113</v>
      </c>
    </row>
    <row r="3" spans="1:10" ht="18" customHeight="1" x14ac:dyDescent="0.25">
      <c r="A3" s="1"/>
      <c r="B3" s="1"/>
      <c r="C3" s="158"/>
      <c r="I3" s="8"/>
      <c r="J3" s="213"/>
    </row>
    <row r="4" spans="1:10" ht="23.25" x14ac:dyDescent="0.25">
      <c r="A4" s="4" t="s">
        <v>655</v>
      </c>
      <c r="B4" s="4"/>
      <c r="C4" s="5"/>
      <c r="D4" s="5"/>
      <c r="E4" s="5"/>
      <c r="F4" s="5"/>
      <c r="G4" s="5"/>
      <c r="H4" s="5"/>
      <c r="I4" s="5"/>
      <c r="J4" s="213"/>
    </row>
    <row r="5" spans="1:10" ht="23.25" x14ac:dyDescent="0.25">
      <c r="A5" s="4" t="s">
        <v>656</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751</v>
      </c>
      <c r="D8" s="6"/>
      <c r="E8" s="23" t="s">
        <v>740</v>
      </c>
      <c r="F8" s="241">
        <v>44981</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365</v>
      </c>
      <c r="B10" s="7"/>
      <c r="C10" s="403"/>
      <c r="D10" s="6"/>
      <c r="E10" s="23" t="s">
        <v>739</v>
      </c>
      <c r="F10" s="241">
        <v>44985</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18" t="s">
        <v>752</v>
      </c>
      <c r="D13" s="619"/>
      <c r="E13" s="619"/>
      <c r="F13" s="620"/>
      <c r="G13" s="6"/>
      <c r="H13" s="6"/>
      <c r="I13" s="6"/>
      <c r="J13" s="214"/>
    </row>
    <row r="14" spans="1:10" ht="15" customHeight="1" x14ac:dyDescent="0.25">
      <c r="A14" s="7"/>
      <c r="B14" s="7"/>
      <c r="C14" s="7"/>
      <c r="D14" s="7"/>
      <c r="E14" s="7"/>
      <c r="F14" s="7"/>
      <c r="G14" s="6"/>
      <c r="H14" s="6"/>
      <c r="I14" s="6"/>
      <c r="J14" s="214"/>
    </row>
    <row r="15" spans="1:10" ht="15" customHeight="1" x14ac:dyDescent="0.25">
      <c r="A15" s="7" t="s">
        <v>155</v>
      </c>
      <c r="B15" s="7"/>
      <c r="C15" s="1"/>
      <c r="D15" s="239" t="s">
        <v>79</v>
      </c>
      <c r="E15" s="239" t="s">
        <v>80</v>
      </c>
      <c r="F15" s="239" t="s">
        <v>81</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82</v>
      </c>
      <c r="B23" s="7"/>
      <c r="C23" s="7"/>
      <c r="D23" s="241">
        <v>45366</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364</v>
      </c>
      <c r="B25" s="7"/>
      <c r="C25" s="7" t="s">
        <v>702</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748</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386</v>
      </c>
      <c r="B29" s="7"/>
      <c r="C29" s="341">
        <v>20222</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601</v>
      </c>
      <c r="B30" s="7"/>
      <c r="C30" s="437"/>
      <c r="D30" s="6"/>
      <c r="E30" s="6"/>
      <c r="F30" s="6"/>
      <c r="G30" s="234"/>
      <c r="H30" s="234"/>
      <c r="I30" s="6"/>
      <c r="J30" s="400"/>
    </row>
    <row r="31" spans="1:10" ht="30" customHeight="1" x14ac:dyDescent="0.25">
      <c r="A31" s="7"/>
      <c r="B31" s="7"/>
      <c r="C31" s="621" t="s">
        <v>660</v>
      </c>
      <c r="D31" s="621"/>
      <c r="E31" s="621"/>
      <c r="F31" s="6"/>
      <c r="G31" s="234"/>
      <c r="H31" s="234"/>
      <c r="I31" s="6"/>
      <c r="J31" s="214"/>
    </row>
    <row r="32" spans="1:10" ht="60" x14ac:dyDescent="0.25">
      <c r="A32" s="237" t="s">
        <v>382</v>
      </c>
      <c r="B32" s="237"/>
      <c r="C32" s="342" t="s">
        <v>634</v>
      </c>
      <c r="D32" s="342" t="s">
        <v>561</v>
      </c>
      <c r="E32" s="342" t="s">
        <v>680</v>
      </c>
      <c r="G32" s="234"/>
      <c r="J32" s="214"/>
    </row>
    <row r="33" spans="1:10" ht="5.0999999999999996" customHeight="1" x14ac:dyDescent="0.25">
      <c r="G33" s="234"/>
      <c r="J33" s="429"/>
    </row>
    <row r="34" spans="1:10" ht="20.100000000000001" customHeight="1" x14ac:dyDescent="0.25">
      <c r="A34" s="238">
        <v>2</v>
      </c>
      <c r="C34" s="512" t="s">
        <v>753</v>
      </c>
      <c r="D34" s="240">
        <v>0.20799999999999999</v>
      </c>
      <c r="E34" s="241">
        <v>45078</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12" t="s">
        <v>754</v>
      </c>
      <c r="D35" s="240">
        <v>0</v>
      </c>
      <c r="E35" s="241">
        <v>44287</v>
      </c>
      <c r="G35" s="234"/>
      <c r="J35" s="429" t="str">
        <f t="shared" si="0"/>
        <v/>
      </c>
    </row>
    <row r="36" spans="1:10" ht="20.100000000000001" customHeight="1" x14ac:dyDescent="0.25">
      <c r="A36" s="238">
        <v>2</v>
      </c>
      <c r="C36" s="512" t="s">
        <v>755</v>
      </c>
      <c r="D36" s="240">
        <v>0.2</v>
      </c>
      <c r="E36" s="241">
        <v>45078</v>
      </c>
      <c r="G36" s="234"/>
      <c r="J36" s="429" t="str">
        <f t="shared" si="0"/>
        <v/>
      </c>
    </row>
    <row r="37" spans="1:10" ht="20.100000000000001" customHeight="1" x14ac:dyDescent="0.25">
      <c r="A37" s="238">
        <v>1</v>
      </c>
      <c r="C37" s="512"/>
      <c r="D37" s="240"/>
      <c r="E37" s="241"/>
      <c r="G37" s="234"/>
      <c r="J37" s="429" t="str">
        <f t="shared" si="0"/>
        <v/>
      </c>
    </row>
    <row r="38" spans="1:10" ht="20.100000000000001" customHeight="1" x14ac:dyDescent="0.25">
      <c r="A38" s="238">
        <v>1</v>
      </c>
      <c r="C38" s="512"/>
      <c r="D38" s="240"/>
      <c r="E38" s="241"/>
      <c r="G38" s="234"/>
      <c r="J38" s="429" t="str">
        <f t="shared" si="0"/>
        <v/>
      </c>
    </row>
    <row r="39" spans="1:10" ht="20.100000000000001" customHeight="1" x14ac:dyDescent="0.25">
      <c r="A39" s="238">
        <v>1</v>
      </c>
      <c r="C39" s="512"/>
      <c r="D39" s="240"/>
      <c r="E39" s="241"/>
      <c r="G39" s="234"/>
      <c r="J39" s="429" t="str">
        <f t="shared" si="0"/>
        <v/>
      </c>
    </row>
    <row r="40" spans="1:10" ht="20.100000000000001" customHeight="1" x14ac:dyDescent="0.25">
      <c r="A40" s="238">
        <v>1</v>
      </c>
      <c r="C40" s="512"/>
      <c r="D40" s="240"/>
      <c r="E40" s="241"/>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602</v>
      </c>
      <c r="J46" s="214"/>
    </row>
    <row r="47" spans="1:10" ht="18" customHeight="1" x14ac:dyDescent="0.25">
      <c r="A47" t="s">
        <v>604</v>
      </c>
      <c r="D47" s="23" t="s">
        <v>83</v>
      </c>
      <c r="E47" s="424" t="s">
        <v>654</v>
      </c>
      <c r="I47" s="430">
        <v>2</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610</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624</v>
      </c>
      <c r="B51" s="1"/>
      <c r="C51" s="427"/>
    </row>
  </sheetData>
  <sheetProtection algorithmName="SHA-512" hashValue="Y0brCg/Ukh3AUob6BsUY67jaD9uJtP23NkKaOD3XkvhlXojOnrKk+aLkQxuR4Fzsk7ePicmRNOYQ7ZKrGzRkqQ==" saltValue="zE7nL4jPiiaASy42gp+vVA=="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&amp;L1/3/2023 Edition
&amp;CPrior Approval Rate Template
Portions of the material contained in this document are protected by copyright owned by the State Farm Mutual Automobile Insurance Company, 2023&amp;RPage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topLeftCell="A15" zoomScaleNormal="100" zoomScaleSheetLayoutView="100" workbookViewId="0">
      <selection activeCell="G10" sqref="G10"/>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31</v>
      </c>
      <c r="D1" s="7" t="s">
        <v>33</v>
      </c>
      <c r="G1" s="23" t="str">
        <f>Co_Name</f>
        <v>State Farm General Insurance Company</v>
      </c>
      <c r="I1" s="74" t="s">
        <v>662</v>
      </c>
    </row>
    <row r="2" spans="1:9" x14ac:dyDescent="0.25">
      <c r="A2" s="7" t="s">
        <v>32</v>
      </c>
      <c r="B2" s="573"/>
      <c r="D2" s="7" t="s">
        <v>34</v>
      </c>
      <c r="G2" s="23" t="str">
        <f>General_Line</f>
        <v>Homeowners Multiple Peril</v>
      </c>
      <c r="I2" s="176" t="s">
        <v>113</v>
      </c>
    </row>
    <row r="3" spans="1:9" x14ac:dyDescent="0.25">
      <c r="B3" s="573"/>
      <c r="D3" s="154" t="s">
        <v>142</v>
      </c>
      <c r="E3" s="77"/>
      <c r="F3" s="77"/>
      <c r="G3" s="249" t="str">
        <f>CDI_FileNo</f>
        <v/>
      </c>
      <c r="I3" s="214"/>
    </row>
    <row r="4" spans="1:9" ht="18" customHeight="1" x14ac:dyDescent="0.25">
      <c r="D4" s="7"/>
      <c r="G4" s="23"/>
      <c r="I4" s="214"/>
    </row>
    <row r="5" spans="1:9" ht="23.25" x14ac:dyDescent="0.25">
      <c r="A5" s="4" t="s">
        <v>655</v>
      </c>
      <c r="B5" s="4"/>
      <c r="C5" s="5"/>
      <c r="D5" s="5"/>
      <c r="E5" s="5"/>
      <c r="F5" s="5"/>
      <c r="G5" s="5"/>
      <c r="I5" s="214"/>
    </row>
    <row r="6" spans="1:9" ht="23.25" x14ac:dyDescent="0.25">
      <c r="A6" s="4" t="s">
        <v>381</v>
      </c>
      <c r="B6" s="4"/>
      <c r="C6" s="5"/>
      <c r="D6" s="5"/>
      <c r="E6" s="5"/>
      <c r="F6" s="5"/>
      <c r="G6" s="5"/>
      <c r="I6" s="214"/>
    </row>
    <row r="7" spans="1:9" ht="15.75" thickBot="1" x14ac:dyDescent="0.3">
      <c r="I7" s="214"/>
    </row>
    <row r="8" spans="1:9" ht="45.75" thickBot="1" x14ac:dyDescent="0.3">
      <c r="A8" s="244" t="s">
        <v>634</v>
      </c>
      <c r="B8" s="245" t="str">
        <f>IF(New_Program=TRUE,"Projected ","Latest Year Adjusted ")&amp;"Annual Premium ($)"</f>
        <v>Latest Year Adjusted Annual Premium ($)</v>
      </c>
      <c r="C8" s="246" t="s">
        <v>383</v>
      </c>
      <c r="D8" s="247" t="s">
        <v>384</v>
      </c>
      <c r="E8" s="246" t="s">
        <v>696</v>
      </c>
      <c r="F8" s="247" t="s">
        <v>697</v>
      </c>
      <c r="G8" s="247" t="s">
        <v>367</v>
      </c>
      <c r="H8" s="246" t="s">
        <v>612</v>
      </c>
      <c r="I8" s="523"/>
    </row>
    <row r="9" spans="1:9" x14ac:dyDescent="0.25">
      <c r="A9" s="515" t="str">
        <f>IF(Covg01="","",Covg01)</f>
        <v>Non-Tenant Homeowners</v>
      </c>
      <c r="B9" s="250">
        <f>IF(Covg01="","",IF(New_Program=TRUE,'7.1Rate Change Calculation'!$H$48,'7.1Rate Change Calculation'!$G$48))</f>
        <v>2262216403.3307028</v>
      </c>
      <c r="C9" s="418">
        <f ca="1">IF(Covg01="","",IF(Rein_Indicator=TRUE,"NA",(1+E9)*$B9))</f>
        <v>2125249936.8529532</v>
      </c>
      <c r="D9" s="419">
        <f ca="1">IF(Covg01="","",(1+F9)*$B9)</f>
        <v>2908987320.5626421</v>
      </c>
      <c r="E9" s="410">
        <f ca="1">IF(Covg01="","",IF(Rein_Indicator=TRUE,"NA",'7.1Rate Change Calculation'!CHANGE_AT_MIN))</f>
        <v>-6.0545253882913923E-2</v>
      </c>
      <c r="F9" s="411">
        <f ca="1">IF(Covg01="","",IF(Rein_Indicator=TRUE,'7.1Rate Change Calculation'!Rein_CHANGE_AT_MAX,'7.1Rate Change Calculation'!CHANGE_AT_MAX))</f>
        <v>0.28590143554776049</v>
      </c>
      <c r="G9" s="411">
        <f t="array" ref="G9:G18">IF('1.General'!$C$34:$C$43="","",'1.General'!$D$34:$D$43)</f>
        <v>0.20799999999999999</v>
      </c>
      <c r="H9" s="251">
        <f>IF(Covg01="","",IF(New_Program=TRUE,$B9,(1+$G9)*$B9))</f>
        <v>2732757415.2234888</v>
      </c>
      <c r="I9" s="521" t="str">
        <f ca="1">IF(Covg01="","",IF(AND(ROUND($G9,3)&gt;=ROUND($E9,3),ROUND($G9,3)&lt;=ROUND($F9,3)),"","← WARNING! Proposed % is outside of range of permitted rate changes."))</f>
        <v/>
      </c>
    </row>
    <row r="10" spans="1:9" x14ac:dyDescent="0.25">
      <c r="A10" s="515" t="str">
        <f>IF(Covg02="","",Covg02)</f>
        <v>Renters</v>
      </c>
      <c r="B10" s="250">
        <f>IF(Covg02="","",IF(New_Program=TRUE,'7.2Rate Change Calculation'!$H$48,'7.2Rate Change Calculation'!$G$48))</f>
        <v>89711321.892464802</v>
      </c>
      <c r="C10" s="418">
        <f ca="1">IF(Covg02="","",IF(Rein_Indicator=TRUE,"NA",(1+E10)*$B10))</f>
        <v>66939126.949866675</v>
      </c>
      <c r="D10" s="419">
        <f ca="1">IF(Covg02="","",(1+F10)*$B10)</f>
        <v>91624551.150459975</v>
      </c>
      <c r="E10" s="410">
        <f ca="1">IF(Covg02="","",IF(Rein_Indicator=TRUE,"NA",'7.2Rate Change Calculation'!CHANGE_AT_MIN))</f>
        <v>-0.25383858427473299</v>
      </c>
      <c r="F10" s="411">
        <f ca="1">IF(Covg02="","",IF(Rein_Indicator=TRUE,'7.2Rate Change Calculation'!Rein_CHANGE_AT_MAX,'7.2Rate Change Calculation'!CHANGE_AT_MAX))</f>
        <v>2.1326508378602636E-2</v>
      </c>
      <c r="G10" s="411">
        <v>0</v>
      </c>
      <c r="H10" s="251">
        <f>IF(Covg02="","",IF(New_Program=TRUE,$B10,(1+$G10)*$B10))</f>
        <v>89711321.892464802</v>
      </c>
      <c r="I10" s="521" t="str">
        <f ca="1">IF(Covg02="","",IF(AND(ROUND($G10,3)&gt;=ROUND($E10,3),ROUND($G10,3)&lt;=ROUND($F10,3)),"","← WARNING! Proposed % is outside of range of permitted rate changes."))</f>
        <v/>
      </c>
    </row>
    <row r="11" spans="1:9" x14ac:dyDescent="0.25">
      <c r="A11" s="515" t="str">
        <f>IF(Covg03="","",Covg03)</f>
        <v>Condominium Unitowners</v>
      </c>
      <c r="B11" s="250">
        <f>IF(Covg03="","",IF(New_Program=TRUE,'7.3Rate Change Calculation'!$H$48,'7.3Rate Change Calculation'!$G$48))</f>
        <v>113666687.91926837</v>
      </c>
      <c r="C11" s="418">
        <f ca="1">IF(Covg03="","",IF(Rein_Indicator=TRUE,"NA",(1+E11)*$B11))</f>
        <v>103761581.79759027</v>
      </c>
      <c r="D11" s="419">
        <f ca="1">IF(Covg03="","",(1+F11)*$B11)</f>
        <v>142026177.99282312</v>
      </c>
      <c r="E11" s="410">
        <f ca="1">IF(Covg03="","",IF(Rein_Indicator=TRUE,"NA",'7.3Rate Change Calculation'!CHANGE_AT_MIN))</f>
        <v>-8.7141679792000132E-2</v>
      </c>
      <c r="F11" s="411">
        <f ca="1">IF(Covg03="","",IF(Rein_Indicator=TRUE,'7.3Rate Change Calculation'!Rein_CHANGE_AT_MAX,'7.3Rate Change Calculation'!CHANGE_AT_MAX))</f>
        <v>0.24949693347005089</v>
      </c>
      <c r="G11" s="411">
        <v>0.2</v>
      </c>
      <c r="H11" s="251">
        <f>IF(Covg03="","",IF(New_Program=TRUE,$B11,(1+$G11)*$B11))</f>
        <v>136400025.50312203</v>
      </c>
      <c r="I11" s="521" t="str">
        <f ca="1">IF(Covg03="","",IF(AND(ROUND($G11,3)&gt;=ROUND($E11,3),ROUND($G11,3)&lt;=ROUND($F11,3)),"","← WARNING! Proposed % is outside of range of permitted rate changes."))</f>
        <v/>
      </c>
    </row>
    <row r="12" spans="1:9" x14ac:dyDescent="0.25">
      <c r="A12" s="515"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21" t="str">
        <f>IF(Covg04="","",IF(AND(ROUND($G12,3)&gt;=ROUND($E12,3),ROUND($G12,3)&lt;=ROUND($F12,3)),"","← WARNING! Proposed % is outside of range of permitted rate changes."))</f>
        <v/>
      </c>
    </row>
    <row r="13" spans="1:9" x14ac:dyDescent="0.25">
      <c r="A13" s="515"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21" t="str">
        <f>IF(Covg05="","",IF(AND(ROUND($G13,3)&gt;=ROUND($E13,3),ROUND($G13,3)&lt;=ROUND($F13,3)),"","← WARNING! Proposed % is outside of range of permitted rate changes."))</f>
        <v/>
      </c>
    </row>
    <row r="14" spans="1:9" x14ac:dyDescent="0.25">
      <c r="A14" s="515"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21" t="str">
        <f>IF(Covg06="","",IF(AND(ROUND($G14,3)&gt;=ROUND($E14,3),ROUND($G14,3)&lt;=ROUND($F14,3)),"","← WARNING! Proposed % is outside of range of permitted rate changes."))</f>
        <v/>
      </c>
    </row>
    <row r="15" spans="1:9" x14ac:dyDescent="0.25">
      <c r="A15" s="515"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21" t="str">
        <f>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378</v>
      </c>
      <c r="B19" s="256">
        <f>IF(AND(Covg01="",Covg02="",Covg03="",Covg04="",Covg05="",Covg06="",Covg07="",Covg08="",Covg09="",Covg10=""),"",SUM(B9:B18))</f>
        <v>2465594413.142436</v>
      </c>
      <c r="C19" s="257">
        <f ca="1">IF(AND(Covg01="",Covg02="",Covg03="",Covg04="",Covg05="",Covg06="",Covg07="",Covg08="",Covg09="",Covg10=""),"",SUM(C9:C18))</f>
        <v>2295950645.60041</v>
      </c>
      <c r="D19" s="258">
        <f ca="1">IF(AND(Covg01="",Covg02="",Covg03="",Covg04="",Covg05="",Covg06="",Covg07="",Covg08="",Covg09="",Covg10=""),"",SUM(D9:D18))</f>
        <v>3142638049.705925</v>
      </c>
      <c r="E19" s="414">
        <f ca="1">IF(AND(Covg01="",Covg02="",Covg03="",Covg04="",Covg05="",Covg06="",Covg07="",Covg08="",Covg09="",Covg10=""),"",IF(Rein_Indicator=TRUE,"NA",SUMPRODUCT(E9:E18,$B$9:$B$18)/$B$19))</f>
        <v>-6.8804409451030737E-2</v>
      </c>
      <c r="F19" s="415">
        <f ca="1">IF(AND(Covg01="",Covg02="",Covg03="",Covg04="",Covg05="",Covg06="",Covg07="",Covg08="",Covg09="",Covg10=""),"",SUMPRODUCT(F9:F18,$B$9:$B$18)/$B$19)</f>
        <v>0.27459651634292409</v>
      </c>
      <c r="G19" s="415">
        <f>IF(AND(Covg01="",Covg02="",Covg03="",Covg04="",Covg05="",Covg06="",Covg07="",Covg08="",Covg09="",Covg10=""),"",SUMPRODUCT(G9:G18,$B$9:$B$18)/$B$19)</f>
        <v>0.20006305451023246</v>
      </c>
      <c r="H19" s="257">
        <f>IF(AND(Covg01="",Covg02="",Covg03="",Covg04="",Covg05="",Covg06="",Covg07="",Covg08="",Covg09="",Covg10=""),"",SUM(H9:H18))</f>
        <v>2958868762.6190753</v>
      </c>
      <c r="I19" s="521" t="str">
        <f ca="1">IF(AND(Covg01="",Covg02="",Covg03="",Covg04="",Covg05="",Covg06="",Covg07="",Covg08="",Covg09="",Covg10=""),"",IF(AND(ROUND($G19,3)&gt;=ROUND($E19,3),ROUND($G19,3)&lt;=ROUND($F19,3)),"","← WARNING! Proposed % is outside of range of permitted rate changes."))</f>
        <v/>
      </c>
    </row>
    <row r="20" spans="1:9" ht="30" customHeight="1" x14ac:dyDescent="0.25">
      <c r="I20" s="214"/>
    </row>
    <row r="21" spans="1:9" x14ac:dyDescent="0.25">
      <c r="A21" s="7" t="s">
        <v>652</v>
      </c>
      <c r="C21" s="436">
        <f>'6.1Ratemaking Data'!I20+'6.2Ratemaking Data'!I20+'6.3Ratemaking Data'!I20</f>
        <v>1898347.3199999998</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2" t="s">
        <v>634</v>
      </c>
      <c r="B23" s="402" t="s">
        <v>385</v>
      </c>
      <c r="C23" s="242"/>
      <c r="D23" s="242"/>
      <c r="E23" s="243"/>
      <c r="F23" s="625" t="str">
        <f>IF(New_Program=TRUE,"Projected ","Latest Year ")&amp;"Earned Exposures"</f>
        <v>Latest Year Earned Exposures</v>
      </c>
      <c r="G23" s="624"/>
      <c r="I23" s="214"/>
    </row>
    <row r="24" spans="1:9" ht="52.5" customHeight="1" thickBot="1" x14ac:dyDescent="0.3">
      <c r="A24" s="623"/>
      <c r="B24" s="246" t="str">
        <f>IF(New_Program=TRUE,"Projected ","Latest Year Adjusted ")</f>
        <v xml:space="preserve">Latest Year Adjusted </v>
      </c>
      <c r="C24" s="248" t="s">
        <v>707</v>
      </c>
      <c r="D24" s="248" t="s">
        <v>708</v>
      </c>
      <c r="E24" s="247" t="s">
        <v>609</v>
      </c>
      <c r="F24" s="626"/>
      <c r="G24" s="624"/>
      <c r="I24" s="214"/>
    </row>
    <row r="25" spans="1:9" x14ac:dyDescent="0.25">
      <c r="A25" s="515" t="str">
        <f>IF(Covg01="","",Covg01)</f>
        <v>Non-Tenant Homeowners</v>
      </c>
      <c r="B25" s="254">
        <f>IF(Covg01="","",$B9/$F25)</f>
        <v>1878.3537099970958</v>
      </c>
      <c r="C25" s="407">
        <f ca="1">IF(Covg01="","",'7.1Rate Change Calculation'!H66)</f>
        <v>1764.6283077434084</v>
      </c>
      <c r="D25" s="408">
        <f ca="1">IF(Covg01="","",'7.1Rate Change Calculation'!H67)</f>
        <v>2415.3777321517273</v>
      </c>
      <c r="E25" s="130">
        <f>IF(Covg01="","",$H9/$F25)</f>
        <v>2269.0512816764917</v>
      </c>
      <c r="F25" s="433">
        <f>IF(Covg01="","",IF(New_Program=TRUE,'7.1Rate Change Calculation'!$H$21,'7.1Rate Change Calculation'!$G$21))</f>
        <v>1204361.24</v>
      </c>
      <c r="G25" s="422"/>
      <c r="I25" s="214"/>
    </row>
    <row r="26" spans="1:9" x14ac:dyDescent="0.25">
      <c r="A26" s="515" t="str">
        <f>IF(Covg02="","",Covg02)</f>
        <v>Renters</v>
      </c>
      <c r="B26" s="254">
        <f>IF(Covg02="","",$B10/$F26)</f>
        <v>165.72269648424012</v>
      </c>
      <c r="C26" s="407">
        <f ca="1">IF(Covg02="","",'7.2Rate Change Calculation'!H66)</f>
        <v>123.65588182648933</v>
      </c>
      <c r="D26" s="407">
        <f ca="1">IF(Covg02="","",'7.2Rate Change Calculation'!H67)</f>
        <v>169.25698295933589</v>
      </c>
      <c r="E26" s="130">
        <f>IF(Covg02="","",$H10/$F26)</f>
        <v>165.72269648424012</v>
      </c>
      <c r="F26" s="250">
        <f>IF(Covg02="","",IF(New_Program=TRUE,'7.2Rate Change Calculation'!$H$21,'7.2Rate Change Calculation'!$G$21))</f>
        <v>541333.94999999995</v>
      </c>
      <c r="G26" s="422"/>
      <c r="I26" s="214"/>
    </row>
    <row r="27" spans="1:9" x14ac:dyDescent="0.25">
      <c r="A27" s="515" t="str">
        <f>IF(Covg03="","",Covg03)</f>
        <v>Condominium Unitowners</v>
      </c>
      <c r="B27" s="254">
        <f>IF(Covg03="","",$B11/$F27)</f>
        <v>744.6125246943385</v>
      </c>
      <c r="C27" s="407">
        <f ca="1">IF(Covg03="","",'7.3Rate Change Calculation'!H66)</f>
        <v>679.72573849831167</v>
      </c>
      <c r="D27" s="407">
        <f ca="1">IF(Covg03="","",'7.3Rate Change Calculation'!H67)</f>
        <v>930.3910662289685</v>
      </c>
      <c r="E27" s="130">
        <f>IF(Covg03="","",$H11/$F27)</f>
        <v>893.53502963320614</v>
      </c>
      <c r="F27" s="250">
        <f>IF(Covg03="","",IF(New_Program=TRUE,'7.3Rate Change Calculation'!$H$21,'7.3Rate Change Calculation'!$G$21))</f>
        <v>152652.13</v>
      </c>
      <c r="G27" s="422"/>
      <c r="I27" s="214"/>
    </row>
    <row r="28" spans="1:9" x14ac:dyDescent="0.25">
      <c r="A28" s="515"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25">
      <c r="A29" s="515"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25">
      <c r="A30" s="515"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25">
      <c r="A31" s="515"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378</v>
      </c>
      <c r="B35" s="423">
        <f>IF(AND(Covg01="",Covg02="",Covg03="",Covg04="",Covg05="",Covg06="",Covg07="",Covg08="",Covg09="",Covg10=""),"",$B19/$F35)</f>
        <v>1298.8110169125616</v>
      </c>
      <c r="C35" s="260">
        <f ca="1">IF(AND(Covg01="",Covg02="",Covg03="",Covg04="",Covg05="",Covg06="",Covg07="",Covg08="",Covg09="",Covg10=""),"",$C19/$F35)</f>
        <v>1209.4470919054002</v>
      </c>
      <c r="D35" s="260">
        <f ca="1">IF(AND(Covg01="",Covg02="",Covg03="",Covg04="",Covg05="",Covg06="",Covg07="",Covg08="",Covg09="",Covg10=""),"",$D19/$F35)</f>
        <v>1655.4599975445617</v>
      </c>
      <c r="E35" s="261">
        <f>IF(AND(Covg01="",Covg02="",Covg03="",Covg04="",Covg05="",Covg06="",Covg07="",Covg08="",Covg09="",Covg10=""),"",$H19/$F35)</f>
        <v>1558.6551161876298</v>
      </c>
      <c r="F35" s="518">
        <f>IF(ISBLANK($C$21),"",$C$21)</f>
        <v>1898347.3199999998</v>
      </c>
      <c r="I35" s="435"/>
    </row>
    <row r="36" spans="1:9" ht="30" customHeight="1" thickBot="1" x14ac:dyDescent="0.3">
      <c r="I36" s="214"/>
    </row>
    <row r="37" spans="1:9" ht="45.75" thickBot="1" x14ac:dyDescent="0.3">
      <c r="A37" s="244" t="s">
        <v>634</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Non-Tenant Homeowners</v>
      </c>
      <c r="B38" s="251">
        <f>$B9</f>
        <v>2262216403.3307028</v>
      </c>
      <c r="C38" s="118">
        <f>IF(Covg01="","",IF(New_Program=TRUE,'7.1Rate Change Calculation'!$H$49+'7.1Rate Change Calculation'!$H$50,'7.1Rate Change Calculation'!$G$49+'7.1Rate Change Calculation'!$G$50))</f>
        <v>1850285801.7290804</v>
      </c>
      <c r="D38" s="252">
        <f>IF(Covg01="","",C38/B38)</f>
        <v>0.81790840124970832</v>
      </c>
      <c r="H38" s="57"/>
      <c r="I38" s="214"/>
    </row>
    <row r="39" spans="1:9" x14ac:dyDescent="0.25">
      <c r="A39" s="515" t="str">
        <f>IF(Covg02="","",Covg02)</f>
        <v>Renters</v>
      </c>
      <c r="B39" s="251">
        <f t="shared" ref="B39:B47" si="0">$B10</f>
        <v>89711321.892464802</v>
      </c>
      <c r="C39" s="118">
        <f>IF(Covg02="","",IF(New_Program=TRUE,'7.2Rate Change Calculation'!$H$49+'7.2Rate Change Calculation'!$H$50,'7.2Rate Change Calculation'!$G$49+'7.2Rate Change Calculation'!$G$50))</f>
        <v>58278564.806774758</v>
      </c>
      <c r="D39" s="252">
        <f>IF(Covg02="","",C39/B39)</f>
        <v>0.64962329812319708</v>
      </c>
      <c r="H39" s="57"/>
      <c r="I39" s="214"/>
    </row>
    <row r="40" spans="1:9" x14ac:dyDescent="0.25">
      <c r="A40" s="515" t="str">
        <f>IF(Covg03="","",Covg03)</f>
        <v>Condominium Unitowners</v>
      </c>
      <c r="B40" s="251">
        <f t="shared" si="0"/>
        <v>113666687.91926837</v>
      </c>
      <c r="C40" s="118">
        <f>IF(Covg03="","",IF(New_Program=TRUE,'7.3Rate Change Calculation'!$H$49+'7.3Rate Change Calculation'!$H$50,'7.3Rate Change Calculation'!$G$49+'7.3Rate Change Calculation'!$G$50))</f>
        <v>90336942.604184493</v>
      </c>
      <c r="D40" s="252">
        <f>IF(Covg03="","",C40/B40)</f>
        <v>0.7947530121432429</v>
      </c>
      <c r="H40" s="57"/>
      <c r="I40" s="214"/>
    </row>
    <row r="41" spans="1:9" x14ac:dyDescent="0.25">
      <c r="A41" s="515"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25">
      <c r="A42" s="515"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25">
      <c r="A43" s="515"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25">
      <c r="A44" s="515"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378</v>
      </c>
      <c r="B48" s="262">
        <f>IF(AND(Covg01="",Covg02="",Covg03="",Covg04="",Covg05="",Covg06="",Covg07="",Covg08="",Covg09="",Covg10=""),"",SUM(B38:B47))</f>
        <v>2465594413.142436</v>
      </c>
      <c r="C48" s="263">
        <f>IF(AND(Covg01="",Covg02="",Covg03="",Covg04="",Covg05="",Covg06="",Covg07="",Covg08="",Covg09="",Covg10=""),"",SUM(C38:C47))</f>
        <v>1998901309.1400397</v>
      </c>
      <c r="D48" s="397">
        <f>IF(AND(Covg01="",Covg02="",Covg03="",Covg04="",Covg05="",Covg06="",Covg07="",Covg08="",Covg09="",Covg10=""),"",C48/B48)</f>
        <v>0.81071781250202091</v>
      </c>
      <c r="I48" s="401"/>
    </row>
  </sheetData>
  <sheetProtection algorithmName="SHA-512" hashValue="cv5ZNse8h/6hWrUZW3N9OBBCXH+AdEFIIyVEiTEsWyHd2afz4Zksor2+1sVhweG5qmzjjJnDywEdDPdz1RiHJg==" saltValue="dpkwu4r5vR6WMa9MKkog3w=="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&amp;L1/3/2023 Edition
&amp;CPrior Approval Rate Template
Portions of the material contained in this document are protected by copyright owned by the State Farm Mutual Automobile Insurance Company, 2023&amp;RPage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13" zoomScaleNormal="100" zoomScaleSheetLayoutView="100" workbookViewId="0">
      <selection activeCell="A32" sqref="A32"/>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31</v>
      </c>
      <c r="D1" s="109" t="s">
        <v>33</v>
      </c>
      <c r="G1" s="110" t="str">
        <f>Co_Name</f>
        <v>State Farm General Insurance Company</v>
      </c>
      <c r="H1" s="110"/>
    </row>
    <row r="2" spans="1:8" x14ac:dyDescent="0.25">
      <c r="A2" s="7" t="s">
        <v>32</v>
      </c>
      <c r="D2" s="109" t="s">
        <v>34</v>
      </c>
      <c r="G2" s="110" t="str">
        <f>General_Line</f>
        <v>Homeowners Multiple Peril</v>
      </c>
      <c r="H2" s="110"/>
    </row>
    <row r="3" spans="1:8" x14ac:dyDescent="0.25">
      <c r="B3" s="158"/>
      <c r="D3" s="154" t="s">
        <v>142</v>
      </c>
      <c r="E3" s="77"/>
      <c r="F3" s="77"/>
      <c r="G3" s="249" t="str">
        <f>CDI_FileNo</f>
        <v/>
      </c>
      <c r="H3" s="249"/>
    </row>
    <row r="4" spans="1:8" ht="18" customHeight="1" x14ac:dyDescent="0.25">
      <c r="A4" s="6"/>
    </row>
    <row r="5" spans="1:8" ht="23.25" x14ac:dyDescent="0.25">
      <c r="A5" s="4" t="s">
        <v>417</v>
      </c>
      <c r="B5" s="3"/>
      <c r="C5" s="3"/>
      <c r="D5" s="3"/>
      <c r="E5" s="3"/>
      <c r="F5" s="3"/>
      <c r="G5" s="3"/>
      <c r="H5" s="3"/>
    </row>
    <row r="6" spans="1:8" ht="15.75" thickBot="1" x14ac:dyDescent="0.3"/>
    <row r="7" spans="1:8" ht="30" customHeight="1" x14ac:dyDescent="0.25">
      <c r="A7" s="286"/>
      <c r="B7" s="287"/>
      <c r="C7" s="460" t="s">
        <v>418</v>
      </c>
      <c r="D7" s="461" t="s">
        <v>419</v>
      </c>
      <c r="E7" s="461"/>
      <c r="F7" s="461" t="s">
        <v>420</v>
      </c>
      <c r="G7" s="461"/>
      <c r="H7" s="547" t="s">
        <v>722</v>
      </c>
    </row>
    <row r="8" spans="1:8" ht="30" customHeight="1" thickBot="1" x14ac:dyDescent="0.3">
      <c r="A8" s="464" t="s">
        <v>59</v>
      </c>
      <c r="B8" s="469" t="s">
        <v>64</v>
      </c>
      <c r="C8" s="470" t="s">
        <v>421</v>
      </c>
      <c r="D8" s="471" t="s">
        <v>422</v>
      </c>
      <c r="E8" s="470" t="s">
        <v>423</v>
      </c>
      <c r="F8" s="471" t="s">
        <v>424</v>
      </c>
      <c r="G8" s="471" t="s">
        <v>425</v>
      </c>
      <c r="H8" s="548" t="s">
        <v>723</v>
      </c>
    </row>
    <row r="9" spans="1:8" ht="30" customHeight="1" x14ac:dyDescent="0.25">
      <c r="A9" s="465">
        <v>1.7</v>
      </c>
      <c r="B9" s="466" t="s">
        <v>426</v>
      </c>
      <c r="C9" s="467">
        <v>156563881</v>
      </c>
      <c r="D9" s="468">
        <v>515200617</v>
      </c>
      <c r="E9" s="468">
        <v>206418888</v>
      </c>
      <c r="F9" s="468">
        <v>23536500</v>
      </c>
      <c r="G9" s="468">
        <v>507627</v>
      </c>
      <c r="H9" s="551"/>
    </row>
    <row r="10" spans="1:8" ht="30" customHeight="1" x14ac:dyDescent="0.25">
      <c r="A10" s="289">
        <v>2.7</v>
      </c>
      <c r="B10" s="283" t="s">
        <v>427</v>
      </c>
      <c r="C10" s="438">
        <v>0</v>
      </c>
      <c r="D10" s="439">
        <v>2995476</v>
      </c>
      <c r="E10" s="439">
        <v>18964182</v>
      </c>
      <c r="F10" s="439">
        <v>0</v>
      </c>
      <c r="G10" s="439">
        <v>0</v>
      </c>
      <c r="H10" s="552"/>
    </row>
    <row r="11" spans="1:8" ht="30" customHeight="1" x14ac:dyDescent="0.25">
      <c r="A11" s="289">
        <v>3.7</v>
      </c>
      <c r="B11" s="284" t="s">
        <v>428</v>
      </c>
      <c r="C11" s="438">
        <v>26124026</v>
      </c>
      <c r="D11" s="439">
        <v>148519932</v>
      </c>
      <c r="E11" s="439">
        <v>17583824</v>
      </c>
      <c r="F11" s="439">
        <v>22370000</v>
      </c>
      <c r="G11" s="439">
        <v>0</v>
      </c>
      <c r="H11" s="552"/>
    </row>
    <row r="12" spans="1:8" ht="30" customHeight="1" x14ac:dyDescent="0.25">
      <c r="A12" s="289">
        <v>4.7</v>
      </c>
      <c r="B12" s="284" t="s">
        <v>429</v>
      </c>
      <c r="C12" s="438">
        <v>159013439</v>
      </c>
      <c r="D12" s="439">
        <v>898081754</v>
      </c>
      <c r="E12" s="439">
        <v>313798397</v>
      </c>
      <c r="F12" s="439">
        <v>72013685</v>
      </c>
      <c r="G12" s="439">
        <v>0</v>
      </c>
      <c r="H12" s="552"/>
    </row>
    <row r="13" spans="1:8" ht="30" customHeight="1" x14ac:dyDescent="0.25">
      <c r="A13" s="289">
        <v>5.7</v>
      </c>
      <c r="B13" s="284" t="s">
        <v>430</v>
      </c>
      <c r="C13" s="438">
        <v>144618480</v>
      </c>
      <c r="D13" s="439">
        <v>810958126</v>
      </c>
      <c r="E13" s="439">
        <v>597935672</v>
      </c>
      <c r="F13" s="439">
        <v>36734719</v>
      </c>
      <c r="G13" s="439">
        <v>0</v>
      </c>
      <c r="H13" s="552"/>
    </row>
    <row r="14" spans="1:8" ht="30" customHeight="1" x14ac:dyDescent="0.25">
      <c r="A14" s="289">
        <v>6.7</v>
      </c>
      <c r="B14" s="284" t="s">
        <v>431</v>
      </c>
      <c r="C14" s="438">
        <v>98755081</v>
      </c>
      <c r="D14" s="439">
        <v>564950148</v>
      </c>
      <c r="E14" s="439">
        <v>1127610354</v>
      </c>
      <c r="F14" s="439">
        <v>30480332</v>
      </c>
      <c r="G14" s="439">
        <v>0</v>
      </c>
      <c r="H14" s="552"/>
    </row>
    <row r="15" spans="1:8" ht="30" customHeight="1" x14ac:dyDescent="0.25">
      <c r="A15" s="289">
        <v>7.7</v>
      </c>
      <c r="B15" s="284" t="s">
        <v>698</v>
      </c>
      <c r="C15" s="438">
        <v>0</v>
      </c>
      <c r="D15" s="439">
        <v>0</v>
      </c>
      <c r="E15" s="439">
        <v>0</v>
      </c>
      <c r="F15" s="439">
        <v>0</v>
      </c>
      <c r="G15" s="439">
        <v>0</v>
      </c>
      <c r="H15" s="552"/>
    </row>
    <row r="16" spans="1:8" ht="30" customHeight="1" x14ac:dyDescent="0.25">
      <c r="A16" s="289">
        <v>8.6999999999999993</v>
      </c>
      <c r="B16" s="284" t="s">
        <v>432</v>
      </c>
      <c r="C16" s="438">
        <v>0</v>
      </c>
      <c r="D16" s="439">
        <v>0</v>
      </c>
      <c r="E16" s="439">
        <v>0</v>
      </c>
      <c r="F16" s="439">
        <v>0</v>
      </c>
      <c r="G16" s="439">
        <v>0</v>
      </c>
      <c r="H16" s="552"/>
    </row>
    <row r="17" spans="1:8" ht="30" customHeight="1" thickBot="1" x14ac:dyDescent="0.3">
      <c r="A17" s="464">
        <v>9.6999999999999993</v>
      </c>
      <c r="B17" s="314" t="s">
        <v>726</v>
      </c>
      <c r="C17" s="549"/>
      <c r="D17" s="550"/>
      <c r="E17" s="550"/>
      <c r="F17" s="550"/>
      <c r="G17" s="550"/>
      <c r="H17" s="546"/>
    </row>
    <row r="18" spans="1:8" ht="15" customHeight="1" x14ac:dyDescent="0.25">
      <c r="A18" s="13" t="s">
        <v>120</v>
      </c>
      <c r="B18" s="285"/>
      <c r="C18" s="37"/>
      <c r="D18" s="37"/>
      <c r="E18" s="37"/>
      <c r="F18" s="37"/>
      <c r="G18" s="37"/>
      <c r="H18" s="37"/>
    </row>
    <row r="19" spans="1:8" ht="15" customHeight="1" x14ac:dyDescent="0.25">
      <c r="A19" s="6" t="s">
        <v>703</v>
      </c>
      <c r="B19" s="285"/>
      <c r="C19" s="37"/>
      <c r="D19" s="37"/>
      <c r="E19" s="37"/>
      <c r="F19" s="37"/>
      <c r="G19" s="37"/>
      <c r="H19" s="37"/>
    </row>
    <row r="20" spans="1:8" ht="30" customHeight="1" thickBot="1" x14ac:dyDescent="0.3"/>
    <row r="21" spans="1:8" ht="30" customHeight="1" x14ac:dyDescent="0.25">
      <c r="A21" s="286"/>
      <c r="B21" s="287"/>
      <c r="C21" s="460" t="s">
        <v>418</v>
      </c>
      <c r="D21" s="461" t="s">
        <v>419</v>
      </c>
      <c r="E21" s="461"/>
      <c r="F21" s="461" t="s">
        <v>420</v>
      </c>
      <c r="G21" s="462"/>
    </row>
    <row r="22" spans="1:8" ht="30" customHeight="1" thickBot="1" x14ac:dyDescent="0.3">
      <c r="A22" s="477"/>
      <c r="B22" s="36"/>
      <c r="C22" s="470" t="s">
        <v>421</v>
      </c>
      <c r="D22" s="478" t="s">
        <v>433</v>
      </c>
      <c r="E22" s="478"/>
      <c r="F22" s="478" t="s">
        <v>434</v>
      </c>
      <c r="G22" s="479"/>
    </row>
    <row r="23" spans="1:8" ht="45" customHeight="1" x14ac:dyDescent="0.25">
      <c r="A23" s="309" t="s">
        <v>163</v>
      </c>
      <c r="B23" s="475" t="s">
        <v>435</v>
      </c>
      <c r="C23" s="476">
        <f>SUM(C9:C10)</f>
        <v>156563881</v>
      </c>
      <c r="D23" s="627">
        <f>SUM(D9:E10)</f>
        <v>743579163</v>
      </c>
      <c r="E23" s="628"/>
      <c r="F23" s="629">
        <f>SUM(F9:G10)</f>
        <v>24044127</v>
      </c>
      <c r="G23" s="630"/>
    </row>
    <row r="24" spans="1:8" ht="45" customHeight="1" x14ac:dyDescent="0.25">
      <c r="A24" s="291" t="s">
        <v>164</v>
      </c>
      <c r="B24" s="281" t="s">
        <v>725</v>
      </c>
      <c r="C24" s="18">
        <f>SUM(C14:C16)+C13/2</f>
        <v>171064321</v>
      </c>
      <c r="D24" s="631">
        <f>SUM(D14:E16)+SUM(D13:E13)/2</f>
        <v>2397007401</v>
      </c>
      <c r="E24" s="632"/>
      <c r="F24" s="631">
        <f>H17+SUM(F14:G16)+SUM(F13:G13)/2</f>
        <v>48847691.5</v>
      </c>
      <c r="G24" s="633"/>
    </row>
    <row r="25" spans="1:8" ht="45" customHeight="1" thickBot="1" x14ac:dyDescent="0.3">
      <c r="A25" s="313" t="s">
        <v>436</v>
      </c>
      <c r="B25" s="473" t="s">
        <v>437</v>
      </c>
      <c r="C25" s="474">
        <f>SUM(C11:C12)+C13/2</f>
        <v>257446705</v>
      </c>
      <c r="D25" s="634">
        <f>SUM(D11:E12)+SUM(D13:E13)/2</f>
        <v>2082430806</v>
      </c>
      <c r="E25" s="635"/>
      <c r="F25" s="634">
        <f>SUM(F11:G12)+SUM(F13:G13)/2</f>
        <v>112751044.5</v>
      </c>
      <c r="G25" s="636"/>
    </row>
    <row r="26" spans="1:8" x14ac:dyDescent="0.25">
      <c r="A26" s="480" t="s">
        <v>701</v>
      </c>
    </row>
    <row r="27" spans="1:8" x14ac:dyDescent="0.25">
      <c r="A27" s="481" t="s">
        <v>700</v>
      </c>
    </row>
    <row r="28" spans="1:8" x14ac:dyDescent="0.25">
      <c r="A28" s="481" t="s">
        <v>699</v>
      </c>
    </row>
    <row r="29" spans="1:8" ht="17.25" x14ac:dyDescent="0.25">
      <c r="A29" s="319" t="s">
        <v>724</v>
      </c>
    </row>
  </sheetData>
  <sheetProtection algorithmName="SHA-512" hashValue="adLnk/HV2NXhKNbSFltNxlpYjWC67eEq3S7f5sdjaGYwBfx1KPvzf25BR2ZwWqgE8UmiDmNxzHVcjNSSIAsUDw==" saltValue="HYvfiz074MsX+ulWZUig3Q=="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&amp;L1/3/2023 Edition
&amp;CPrior Approval Rate Template
Portions of the material contained in this document are protected by copyright owned by the State Farm Mutual Automobile Insurance Company, 2023&amp;RPage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topLeftCell="A5" zoomScaleNormal="100" zoomScaleSheetLayoutView="100" workbookViewId="0">
      <selection activeCell="A32" sqref="A32"/>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31</v>
      </c>
      <c r="D1" s="109" t="s">
        <v>33</v>
      </c>
      <c r="G1" s="110" t="str">
        <f>Co_Name</f>
        <v>State Farm General Insurance Company</v>
      </c>
      <c r="H1" s="74" t="s">
        <v>663</v>
      </c>
    </row>
    <row r="2" spans="1:8" x14ac:dyDescent="0.25">
      <c r="A2" s="7" t="s">
        <v>32</v>
      </c>
      <c r="D2" s="109" t="s">
        <v>34</v>
      </c>
      <c r="G2" s="110" t="str">
        <f>General_Line</f>
        <v>Homeowners Multiple Peril</v>
      </c>
      <c r="H2" s="176" t="s">
        <v>113</v>
      </c>
    </row>
    <row r="3" spans="1:8" x14ac:dyDescent="0.25">
      <c r="B3" s="158"/>
      <c r="D3" s="154" t="s">
        <v>142</v>
      </c>
      <c r="E3" s="77"/>
      <c r="F3" s="77"/>
      <c r="G3" s="249" t="str">
        <f>CDI_FileNo</f>
        <v/>
      </c>
      <c r="H3" s="214"/>
    </row>
    <row r="4" spans="1:8" ht="18" customHeight="1" x14ac:dyDescent="0.25">
      <c r="A4" s="6"/>
      <c r="H4" s="214"/>
    </row>
    <row r="5" spans="1:8" ht="23.25" x14ac:dyDescent="0.25">
      <c r="A5" s="4" t="s">
        <v>417</v>
      </c>
      <c r="B5" s="3"/>
      <c r="C5" s="3"/>
      <c r="D5" s="3"/>
      <c r="E5" s="3"/>
      <c r="F5" s="3"/>
      <c r="G5" s="3"/>
      <c r="H5" s="214"/>
    </row>
    <row r="6" spans="1:8" ht="19.5" thickBot="1" x14ac:dyDescent="0.35">
      <c r="A6" s="428" t="s">
        <v>633</v>
      </c>
      <c r="B6" s="428"/>
      <c r="C6" s="428"/>
      <c r="D6" s="428"/>
      <c r="E6" s="428"/>
      <c r="F6" s="428"/>
      <c r="G6" s="428"/>
      <c r="H6" s="214"/>
    </row>
    <row r="7" spans="1:8" ht="32.25" x14ac:dyDescent="0.25">
      <c r="A7" s="286"/>
      <c r="B7" s="287"/>
      <c r="C7" s="288" t="s">
        <v>438</v>
      </c>
      <c r="D7" s="288" t="s">
        <v>439</v>
      </c>
      <c r="E7" s="288" t="s">
        <v>440</v>
      </c>
      <c r="F7" s="288" t="s">
        <v>441</v>
      </c>
      <c r="G7" s="580" t="s">
        <v>442</v>
      </c>
      <c r="H7" s="214"/>
    </row>
    <row r="8" spans="1:8" ht="18" customHeight="1" x14ac:dyDescent="0.25">
      <c r="A8" s="289"/>
      <c r="B8" s="281"/>
      <c r="C8" s="290" t="s">
        <v>443</v>
      </c>
      <c r="D8" s="290" t="s">
        <v>444</v>
      </c>
      <c r="E8" s="290" t="s">
        <v>445</v>
      </c>
      <c r="F8" s="290" t="s">
        <v>446</v>
      </c>
      <c r="G8" s="581" t="s">
        <v>447</v>
      </c>
      <c r="H8" s="214"/>
    </row>
    <row r="9" spans="1:8" ht="18" customHeight="1" x14ac:dyDescent="0.25">
      <c r="A9" s="291" t="s">
        <v>163</v>
      </c>
      <c r="B9" s="282" t="s">
        <v>448</v>
      </c>
      <c r="C9" s="73"/>
      <c r="D9" s="292"/>
      <c r="E9" s="73"/>
      <c r="F9" s="293"/>
      <c r="G9" s="582"/>
      <c r="H9" s="214"/>
    </row>
    <row r="10" spans="1:8" ht="18" customHeight="1" x14ac:dyDescent="0.25">
      <c r="A10" s="291"/>
      <c r="B10" s="294" t="s">
        <v>449</v>
      </c>
      <c r="C10" s="73">
        <f>'3.1YieldFIT'!C23</f>
        <v>156563881</v>
      </c>
      <c r="D10" s="590">
        <v>4.1833333333333333E-2</v>
      </c>
      <c r="E10" s="73">
        <f>C10*D10</f>
        <v>6549589.0218333332</v>
      </c>
      <c r="F10" s="293">
        <f>INDEX(INV_TAX_RATE,COUNTA($B$9:$B10)+1,1)</f>
        <v>0.21</v>
      </c>
      <c r="G10" s="302">
        <f>E10*F10</f>
        <v>1375413.6945849999</v>
      </c>
      <c r="H10" s="214"/>
    </row>
    <row r="11" spans="1:8" ht="18" customHeight="1" x14ac:dyDescent="0.25">
      <c r="A11" s="291"/>
      <c r="B11" s="294" t="s">
        <v>450</v>
      </c>
      <c r="C11" s="73">
        <f>'3.1YieldFIT'!D23</f>
        <v>743579163</v>
      </c>
      <c r="D11" s="590">
        <v>3.8300000000000001E-2</v>
      </c>
      <c r="E11" s="73">
        <f>C11*D11</f>
        <v>28479081.942900002</v>
      </c>
      <c r="F11" s="293">
        <f>INDEX(INV_TAX_RATE,COUNTA($B$9:$B11)+1,1)</f>
        <v>0.21</v>
      </c>
      <c r="G11" s="302">
        <f>E11*F11</f>
        <v>5980607.2080089999</v>
      </c>
      <c r="H11" s="214"/>
    </row>
    <row r="12" spans="1:8" ht="18" customHeight="1" x14ac:dyDescent="0.25">
      <c r="A12" s="291"/>
      <c r="B12" s="294" t="s">
        <v>451</v>
      </c>
      <c r="C12" s="73">
        <f>'3.1YieldFIT'!F23</f>
        <v>24044127</v>
      </c>
      <c r="D12" s="590">
        <v>4.123333333333333E-2</v>
      </c>
      <c r="E12" s="73">
        <f>C12*D12</f>
        <v>991419.50329999998</v>
      </c>
      <c r="F12" s="293">
        <f>INDEX(INV_TAX_RATE,COUNTA($B$9:$B12)+1,1)</f>
        <v>0.21</v>
      </c>
      <c r="G12" s="302">
        <f>E12*F12</f>
        <v>208198.09569299998</v>
      </c>
      <c r="H12" s="214"/>
    </row>
    <row r="13" spans="1:8" ht="18" customHeight="1" x14ac:dyDescent="0.25">
      <c r="A13" s="291" t="s">
        <v>164</v>
      </c>
      <c r="B13" s="283" t="s">
        <v>452</v>
      </c>
      <c r="C13" s="73"/>
      <c r="D13" s="591"/>
      <c r="E13" s="73"/>
      <c r="F13" s="293"/>
      <c r="G13" s="582"/>
      <c r="H13" s="214"/>
    </row>
    <row r="14" spans="1:8" ht="18" customHeight="1" x14ac:dyDescent="0.25">
      <c r="A14" s="291"/>
      <c r="B14" s="294" t="s">
        <v>449</v>
      </c>
      <c r="C14" s="73">
        <f>'3.1YieldFIT'!C24</f>
        <v>171064321</v>
      </c>
      <c r="D14" s="590">
        <v>4.2733333333333338E-2</v>
      </c>
      <c r="E14" s="73">
        <f>C14*D14</f>
        <v>7310148.650733334</v>
      </c>
      <c r="F14" s="293">
        <f>INDEX(INV_TAX_RATE,COUNTA($B$9:$B14)+1,1)</f>
        <v>0.21</v>
      </c>
      <c r="G14" s="302">
        <f>E14*F14</f>
        <v>1535131.2166540001</v>
      </c>
      <c r="H14" s="214"/>
    </row>
    <row r="15" spans="1:8" ht="18" customHeight="1" x14ac:dyDescent="0.25">
      <c r="A15" s="291"/>
      <c r="B15" s="294" t="s">
        <v>450</v>
      </c>
      <c r="C15" s="73">
        <f>'3.1YieldFIT'!D24</f>
        <v>2397007401</v>
      </c>
      <c r="D15" s="590">
        <v>4.8223849206349208E-2</v>
      </c>
      <c r="E15" s="73">
        <f>C15*D15</f>
        <v>115592923.45232703</v>
      </c>
      <c r="F15" s="293">
        <f>INDEX(INV_TAX_RATE,COUNTA($B$9:$B15)+1,1)</f>
        <v>0.21</v>
      </c>
      <c r="G15" s="302">
        <f>E15*F15</f>
        <v>24274513.924988676</v>
      </c>
      <c r="H15" s="214"/>
    </row>
    <row r="16" spans="1:8" ht="18" customHeight="1" x14ac:dyDescent="0.25">
      <c r="A16" s="291"/>
      <c r="B16" s="294" t="s">
        <v>451</v>
      </c>
      <c r="C16" s="73">
        <f>'3.1YieldFIT'!F24</f>
        <v>48847691.5</v>
      </c>
      <c r="D16" s="590">
        <v>5.2276746031746028E-2</v>
      </c>
      <c r="E16" s="73">
        <f>C16*D16</f>
        <v>2553598.3627825794</v>
      </c>
      <c r="F16" s="293">
        <f>INDEX(INV_TAX_RATE,COUNTA($B$9:$B16)+1,1)</f>
        <v>0.21</v>
      </c>
      <c r="G16" s="302">
        <f>E16*F16</f>
        <v>536255.65618434164</v>
      </c>
      <c r="H16" s="214"/>
    </row>
    <row r="17" spans="1:8" ht="18" customHeight="1" x14ac:dyDescent="0.25">
      <c r="A17" s="291" t="s">
        <v>436</v>
      </c>
      <c r="B17" s="284" t="s">
        <v>453</v>
      </c>
      <c r="C17" s="73"/>
      <c r="D17" s="591"/>
      <c r="E17" s="73"/>
      <c r="F17" s="293"/>
      <c r="G17" s="583"/>
      <c r="H17" s="214"/>
    </row>
    <row r="18" spans="1:8" ht="18" customHeight="1" x14ac:dyDescent="0.25">
      <c r="A18" s="291"/>
      <c r="B18" s="294" t="s">
        <v>449</v>
      </c>
      <c r="C18" s="73">
        <f>'3.1YieldFIT'!C25</f>
        <v>257446705</v>
      </c>
      <c r="D18" s="590">
        <v>3.3759333333333336E-2</v>
      </c>
      <c r="E18" s="73">
        <f>C18*D18</f>
        <v>8691229.1296633333</v>
      </c>
      <c r="F18" s="293">
        <f>INDEX(INV_TAX_RATE,COUNTA($B$9:$B18)+1,1)</f>
        <v>5.2499999999999998E-2</v>
      </c>
      <c r="G18" s="302">
        <f>E18*F18</f>
        <v>456289.52930732496</v>
      </c>
      <c r="H18" s="214"/>
    </row>
    <row r="19" spans="1:8" ht="18" customHeight="1" x14ac:dyDescent="0.25">
      <c r="A19" s="291"/>
      <c r="B19" s="294" t="s">
        <v>450</v>
      </c>
      <c r="C19" s="73">
        <f>'3.1YieldFIT'!D25</f>
        <v>2082430806</v>
      </c>
      <c r="D19" s="590">
        <v>3.516684523809524E-2</v>
      </c>
      <c r="E19" s="73">
        <f>C19*D19</f>
        <v>73232521.873643935</v>
      </c>
      <c r="F19" s="293">
        <f>INDEX(INV_TAX_RATE,COUNTA($B$9:$B19)+1,1)</f>
        <v>5.2499999999999998E-2</v>
      </c>
      <c r="G19" s="302">
        <f>E19*F19</f>
        <v>3844707.3983663064</v>
      </c>
      <c r="H19" s="214"/>
    </row>
    <row r="20" spans="1:8" ht="18" customHeight="1" x14ac:dyDescent="0.25">
      <c r="A20" s="291"/>
      <c r="B20" s="294" t="s">
        <v>451</v>
      </c>
      <c r="C20" s="441">
        <f>'3.1YieldFIT'!F25</f>
        <v>112751044.5</v>
      </c>
      <c r="D20" s="590">
        <v>4.3448928571428569E-2</v>
      </c>
      <c r="E20" s="73">
        <f>C20*D20</f>
        <v>4898912.0788344638</v>
      </c>
      <c r="F20" s="293">
        <f>INDEX(INV_TAX_RATE,COUNTA($B$9:$B20)+1,1)</f>
        <v>5.2499999999999998E-2</v>
      </c>
      <c r="G20" s="302">
        <f>E20*F20</f>
        <v>257192.88413880934</v>
      </c>
      <c r="H20" s="214"/>
    </row>
    <row r="21" spans="1:8" ht="18" customHeight="1" x14ac:dyDescent="0.25">
      <c r="A21" s="291" t="s">
        <v>454</v>
      </c>
      <c r="B21" s="443" t="s">
        <v>455</v>
      </c>
      <c r="C21" s="112">
        <v>0</v>
      </c>
      <c r="D21" s="592"/>
      <c r="E21" s="73"/>
      <c r="F21" s="293"/>
      <c r="G21" s="583"/>
      <c r="H21" s="399"/>
    </row>
    <row r="22" spans="1:8" ht="18" customHeight="1" x14ac:dyDescent="0.25">
      <c r="A22" s="291"/>
      <c r="B22" s="294" t="s">
        <v>456</v>
      </c>
      <c r="C22" s="442"/>
      <c r="D22" s="590">
        <v>2.1459999999999996E-2</v>
      </c>
      <c r="E22" s="73">
        <f>C21*D22</f>
        <v>0</v>
      </c>
      <c r="F22" s="293">
        <f>INDEX(INV_TAX_RATE,COUNTA($B$9:$B22)+1,1)</f>
        <v>0.13125000000000001</v>
      </c>
      <c r="G22" s="302">
        <f t="shared" ref="G22:G27" si="0">E22*F22</f>
        <v>0</v>
      </c>
      <c r="H22" s="214"/>
    </row>
    <row r="23" spans="1:8" ht="18" customHeight="1" x14ac:dyDescent="0.25">
      <c r="A23" s="291"/>
      <c r="B23" s="294" t="s">
        <v>457</v>
      </c>
      <c r="C23" s="73"/>
      <c r="D23" s="590">
        <v>9.7940000000000013E-2</v>
      </c>
      <c r="E23" s="73">
        <f>C21*D23</f>
        <v>0</v>
      </c>
      <c r="F23" s="293">
        <f>INDEX(INV_TAX_RATE,COUNTA($B$9:$B23)+1,1)</f>
        <v>0.21</v>
      </c>
      <c r="G23" s="302">
        <f t="shared" si="0"/>
        <v>0</v>
      </c>
      <c r="H23" s="214"/>
    </row>
    <row r="24" spans="1:8" ht="18" customHeight="1" x14ac:dyDescent="0.25">
      <c r="A24" s="291" t="s">
        <v>458</v>
      </c>
      <c r="B24" s="284" t="s">
        <v>459</v>
      </c>
      <c r="C24" s="112">
        <v>0</v>
      </c>
      <c r="D24" s="590">
        <v>5.475767195767197E-2</v>
      </c>
      <c r="E24" s="73">
        <f t="shared" ref="E24:E27" si="1">C24*D24</f>
        <v>0</v>
      </c>
      <c r="F24" s="293">
        <f>INDEX(INV_TAX_RATE,COUNTA($B$9:$B24)+1,1)</f>
        <v>0.13125000000000001</v>
      </c>
      <c r="G24" s="302">
        <f t="shared" si="0"/>
        <v>0</v>
      </c>
      <c r="H24" s="214"/>
    </row>
    <row r="25" spans="1:8" ht="18" customHeight="1" x14ac:dyDescent="0.25">
      <c r="A25" s="291" t="s">
        <v>460</v>
      </c>
      <c r="B25" s="284" t="s">
        <v>461</v>
      </c>
      <c r="C25" s="112">
        <v>0</v>
      </c>
      <c r="D25" s="590">
        <v>5.2276746031746028E-2</v>
      </c>
      <c r="E25" s="73">
        <f t="shared" si="1"/>
        <v>0</v>
      </c>
      <c r="F25" s="293">
        <f>INDEX(INV_TAX_RATE,COUNTA($B$9:$B25)+1,1)</f>
        <v>0.21</v>
      </c>
      <c r="G25" s="302">
        <f t="shared" si="0"/>
        <v>0</v>
      </c>
      <c r="H25" s="214"/>
    </row>
    <row r="26" spans="1:8" ht="18" customHeight="1" x14ac:dyDescent="0.25">
      <c r="A26" s="291" t="s">
        <v>462</v>
      </c>
      <c r="B26" s="284" t="s">
        <v>463</v>
      </c>
      <c r="C26" s="112">
        <v>0</v>
      </c>
      <c r="D26" s="590">
        <v>5.9399999999999994E-2</v>
      </c>
      <c r="E26" s="73">
        <f t="shared" si="1"/>
        <v>0</v>
      </c>
      <c r="F26" s="293">
        <f>INDEX(INV_TAX_RATE,COUNTA($B$9:$B26)+1,1)</f>
        <v>0.21</v>
      </c>
      <c r="G26" s="302">
        <f t="shared" si="0"/>
        <v>0</v>
      </c>
      <c r="H26" s="214"/>
    </row>
    <row r="27" spans="1:8" ht="18" customHeight="1" x14ac:dyDescent="0.25">
      <c r="A27" s="291" t="s">
        <v>464</v>
      </c>
      <c r="B27" s="284" t="s">
        <v>465</v>
      </c>
      <c r="C27" s="112">
        <v>-19710160</v>
      </c>
      <c r="D27" s="590">
        <v>4.1833333333333333E-2</v>
      </c>
      <c r="E27" s="73">
        <f t="shared" si="1"/>
        <v>-824541.69333333336</v>
      </c>
      <c r="F27" s="293">
        <f>INDEX(INV_TAX_RATE,COUNTA($B$9:$B27)+1,1)</f>
        <v>0.21</v>
      </c>
      <c r="G27" s="302">
        <f t="shared" si="0"/>
        <v>-173153.7556</v>
      </c>
      <c r="H27" s="214"/>
    </row>
    <row r="28" spans="1:8" ht="18" customHeight="1" x14ac:dyDescent="0.25">
      <c r="A28" s="291" t="s">
        <v>466</v>
      </c>
      <c r="B28" s="284" t="s">
        <v>467</v>
      </c>
      <c r="C28" s="112">
        <v>0</v>
      </c>
      <c r="D28" s="591"/>
      <c r="E28" s="73"/>
      <c r="F28" s="293"/>
      <c r="G28" s="583"/>
      <c r="H28" s="214"/>
    </row>
    <row r="29" spans="1:8" ht="18" customHeight="1" x14ac:dyDescent="0.25">
      <c r="A29" s="291"/>
      <c r="B29" s="294" t="s">
        <v>456</v>
      </c>
      <c r="C29" s="73"/>
      <c r="D29" s="590">
        <v>2.1459999999999996E-2</v>
      </c>
      <c r="E29" s="73">
        <f>C28*D29</f>
        <v>0</v>
      </c>
      <c r="F29" s="293">
        <f>INDEX(INV_TAX_RATE,COUNTA($B$9:$B29)+1,1)</f>
        <v>0.13125000000000001</v>
      </c>
      <c r="G29" s="302">
        <f>E29*F29</f>
        <v>0</v>
      </c>
      <c r="H29" s="214"/>
    </row>
    <row r="30" spans="1:8" ht="18" customHeight="1" x14ac:dyDescent="0.25">
      <c r="A30" s="291"/>
      <c r="B30" s="294" t="s">
        <v>457</v>
      </c>
      <c r="C30" s="73"/>
      <c r="D30" s="590">
        <v>9.7940000000000013E-2</v>
      </c>
      <c r="E30" s="73">
        <f>C28*D30</f>
        <v>0</v>
      </c>
      <c r="F30" s="293">
        <f>INDEX(INV_TAX_RATE,COUNTA($B$9:$B30)+1,1)</f>
        <v>0.21</v>
      </c>
      <c r="G30" s="302">
        <f>E30*F30</f>
        <v>0</v>
      </c>
      <c r="H30" s="214"/>
    </row>
    <row r="31" spans="1:8" ht="18" customHeight="1" thickBot="1" x14ac:dyDescent="0.3">
      <c r="A31" s="295" t="s">
        <v>468</v>
      </c>
      <c r="B31" s="296" t="s">
        <v>469</v>
      </c>
      <c r="C31" s="297">
        <f>SUM(C9:C30)</f>
        <v>5974024980</v>
      </c>
      <c r="D31" s="298"/>
      <c r="E31" s="297">
        <f>SUM(E9:E30)</f>
        <v>247474882.32268465</v>
      </c>
      <c r="F31" s="299"/>
      <c r="G31" s="305">
        <f>SUM(G9:G30)</f>
        <v>38295155.85232646</v>
      </c>
      <c r="H31" s="214"/>
    </row>
    <row r="32" spans="1:8" ht="18" customHeight="1" thickTop="1" x14ac:dyDescent="0.25">
      <c r="A32" s="291" t="s">
        <v>470</v>
      </c>
      <c r="B32" s="284" t="s">
        <v>471</v>
      </c>
      <c r="C32" s="20"/>
      <c r="D32" s="440"/>
      <c r="E32" s="167">
        <v>3731348</v>
      </c>
      <c r="F32" s="293">
        <f>INDEX(INV_TAX_RATE,COUNTA($B$9:$B32)+1,1)</f>
        <v>0.21</v>
      </c>
      <c r="G32" s="302">
        <f>E32*F32</f>
        <v>783583.08</v>
      </c>
      <c r="H32" s="214"/>
    </row>
    <row r="33" spans="1:8" ht="15.75" thickBot="1" x14ac:dyDescent="0.3">
      <c r="A33" s="291" t="s">
        <v>472</v>
      </c>
      <c r="B33" s="284" t="s">
        <v>473</v>
      </c>
      <c r="C33" s="73">
        <f>C31</f>
        <v>5974024980</v>
      </c>
      <c r="D33" s="300"/>
      <c r="E33" s="442">
        <f>E31-E32</f>
        <v>243743534.32268465</v>
      </c>
      <c r="F33" s="301"/>
      <c r="G33" s="302">
        <f>G31-G32</f>
        <v>37511572.772326462</v>
      </c>
      <c r="H33" s="214"/>
    </row>
    <row r="34" spans="1:8" ht="19.5" thickBot="1" x14ac:dyDescent="0.3">
      <c r="A34" s="291" t="s">
        <v>474</v>
      </c>
      <c r="B34" s="284" t="s">
        <v>475</v>
      </c>
      <c r="C34" s="73"/>
      <c r="D34" s="300"/>
      <c r="E34" s="302"/>
      <c r="F34" s="303">
        <f>G33/E33</f>
        <v>0.15389771415501849</v>
      </c>
      <c r="G34" s="584"/>
      <c r="H34" s="399" t="str">
        <f>IF(ISERROR($F$34),"← ERROR! Correct issues with input of source data on either Page 3.1 or 3.2.","")</f>
        <v/>
      </c>
    </row>
    <row r="35" spans="1:8" ht="30.75" thickBot="1" x14ac:dyDescent="0.3">
      <c r="A35" s="295" t="s">
        <v>476</v>
      </c>
      <c r="B35" s="296" t="s">
        <v>477</v>
      </c>
      <c r="C35" s="297"/>
      <c r="D35" s="304">
        <f>E33/C33</f>
        <v>4.0800554925480854E-2</v>
      </c>
      <c r="E35" s="305"/>
      <c r="F35" s="306"/>
      <c r="G35" s="585"/>
      <c r="H35" s="435"/>
    </row>
    <row r="36" spans="1:8" ht="30.75" thickTop="1" x14ac:dyDescent="0.25">
      <c r="A36" s="307"/>
      <c r="B36" s="308"/>
      <c r="C36" s="308" t="s">
        <v>394</v>
      </c>
      <c r="D36" s="308"/>
      <c r="E36" s="308"/>
      <c r="F36" s="308"/>
      <c r="G36" s="586"/>
      <c r="H36" s="214"/>
    </row>
    <row r="37" spans="1:8" ht="18" customHeight="1" x14ac:dyDescent="0.25">
      <c r="A37" s="309" t="s">
        <v>478</v>
      </c>
      <c r="B37" s="310" t="s">
        <v>479</v>
      </c>
      <c r="C37" s="112">
        <v>1520290407</v>
      </c>
      <c r="D37" s="311"/>
      <c r="E37" s="312"/>
      <c r="F37" s="311"/>
      <c r="G37" s="587"/>
      <c r="H37" s="214"/>
    </row>
    <row r="38" spans="1:8" ht="17.25" x14ac:dyDescent="0.25">
      <c r="A38" s="309" t="s">
        <v>480</v>
      </c>
      <c r="B38" s="310" t="s">
        <v>481</v>
      </c>
      <c r="C38" s="112">
        <v>479223237</v>
      </c>
      <c r="D38" s="311"/>
      <c r="E38" s="312"/>
      <c r="F38" s="311"/>
      <c r="G38" s="587"/>
      <c r="H38" s="214"/>
    </row>
    <row r="39" spans="1:8" ht="17.25" x14ac:dyDescent="0.25">
      <c r="A39" s="309" t="s">
        <v>482</v>
      </c>
      <c r="B39" s="310" t="s">
        <v>483</v>
      </c>
      <c r="C39" s="112">
        <v>1321068935</v>
      </c>
      <c r="D39" s="311"/>
      <c r="E39" s="312"/>
      <c r="F39" s="311"/>
      <c r="G39" s="587"/>
      <c r="H39" s="214"/>
    </row>
    <row r="40" spans="1:8" ht="17.25" x14ac:dyDescent="0.25">
      <c r="A40" s="309" t="s">
        <v>484</v>
      </c>
      <c r="B40" s="310" t="s">
        <v>485</v>
      </c>
      <c r="C40" s="112">
        <v>2300873986</v>
      </c>
      <c r="D40" s="311"/>
      <c r="E40" s="312"/>
      <c r="F40" s="311"/>
      <c r="G40" s="587"/>
      <c r="H40" s="214"/>
    </row>
    <row r="41" spans="1:8" ht="15.75" thickBot="1" x14ac:dyDescent="0.3">
      <c r="A41" s="309" t="s">
        <v>486</v>
      </c>
      <c r="B41" s="310" t="s">
        <v>487</v>
      </c>
      <c r="C41" s="73">
        <f>SUM(C37:C40)</f>
        <v>5621456565</v>
      </c>
      <c r="D41" s="311"/>
      <c r="E41" s="312"/>
      <c r="F41" s="311"/>
      <c r="G41" s="587"/>
      <c r="H41" s="214"/>
    </row>
    <row r="42" spans="1:8" ht="45.75" thickBot="1" x14ac:dyDescent="0.3">
      <c r="A42" s="313" t="s">
        <v>488</v>
      </c>
      <c r="B42" s="314" t="s">
        <v>713</v>
      </c>
      <c r="C42" s="315"/>
      <c r="D42" s="316">
        <f>D35*C33/C41</f>
        <v>4.3359497935155651E-2</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692</v>
      </c>
      <c r="H44" s="214"/>
    </row>
    <row r="45" spans="1:8" x14ac:dyDescent="0.25">
      <c r="A45" s="320" t="s">
        <v>489</v>
      </c>
      <c r="H45" s="214"/>
    </row>
    <row r="46" spans="1:8" x14ac:dyDescent="0.25">
      <c r="A46" s="321" t="s">
        <v>490</v>
      </c>
      <c r="H46" s="214"/>
    </row>
    <row r="47" spans="1:8" ht="17.25" x14ac:dyDescent="0.25">
      <c r="A47" s="322" t="s">
        <v>491</v>
      </c>
      <c r="H47" s="445"/>
    </row>
    <row r="48" spans="1:8" x14ac:dyDescent="0.25">
      <c r="A48" s="323" t="s">
        <v>492</v>
      </c>
      <c r="F48" s="159" t="s">
        <v>493</v>
      </c>
      <c r="G48" s="605" t="s">
        <v>756</v>
      </c>
      <c r="H48" s="445" t="s">
        <v>622</v>
      </c>
    </row>
    <row r="49" spans="1:10" ht="17.25" x14ac:dyDescent="0.25">
      <c r="A49" s="322" t="s">
        <v>494</v>
      </c>
      <c r="H49" s="445" t="s">
        <v>339</v>
      </c>
    </row>
    <row r="50" spans="1:10" ht="17.25" x14ac:dyDescent="0.25">
      <c r="A50" s="319" t="s">
        <v>495</v>
      </c>
      <c r="H50" s="445"/>
    </row>
    <row r="51" spans="1:10" ht="15.75" thickBot="1" x14ac:dyDescent="0.3">
      <c r="A51" s="321" t="s">
        <v>496</v>
      </c>
      <c r="H51" s="589"/>
    </row>
    <row r="52" spans="1:10" x14ac:dyDescent="0.25">
      <c r="H52" s="15"/>
    </row>
    <row r="57" spans="1:10" x14ac:dyDescent="0.25">
      <c r="J57" s="595"/>
    </row>
    <row r="73" spans="9:10" x14ac:dyDescent="0.25">
      <c r="I73" s="594"/>
      <c r="J73" s="594"/>
    </row>
  </sheetData>
  <sheetProtection algorithmName="SHA-512" hashValue="yxv9NxppSrbPZr4NYCQ/25mygDtqvs3tv8IB9Cn0Ex4oeQusmxOMu61fc+2tuPu+vBJLCynrgW+SKuRJcEkGdg==" saltValue="fCeOMAhkEt/K+yaDMq+CXQ=="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&amp;L1/3/2023 Edition
&amp;CPrior Approval Rate Template
Portions of the material contained in this document are protected by copyright owned by the State Farm Mutual Automobile Insurance Company, 2023&amp;RPage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A32" sqref="A32"/>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31</v>
      </c>
      <c r="B1" s="7"/>
      <c r="D1" s="109" t="s">
        <v>33</v>
      </c>
      <c r="G1" s="110" t="str">
        <f>Co_Name</f>
        <v>State Farm General Insurance Company</v>
      </c>
    </row>
    <row r="2" spans="1:7" x14ac:dyDescent="0.25">
      <c r="A2" s="7" t="s">
        <v>32</v>
      </c>
      <c r="B2" s="7"/>
      <c r="D2" s="109" t="s">
        <v>34</v>
      </c>
      <c r="G2" s="110" t="str">
        <f>General_Line</f>
        <v>Homeowners Multiple Peril</v>
      </c>
    </row>
    <row r="3" spans="1:7" x14ac:dyDescent="0.25">
      <c r="A3" s="6"/>
      <c r="B3" s="156"/>
      <c r="C3" s="6"/>
      <c r="D3" s="154" t="s">
        <v>142</v>
      </c>
      <c r="E3" s="77"/>
      <c r="F3" s="77"/>
      <c r="G3" s="249" t="str">
        <f>CDI_FileNo</f>
        <v/>
      </c>
    </row>
    <row r="4" spans="1:7" ht="18" customHeight="1" x14ac:dyDescent="0.25">
      <c r="A4" s="6"/>
      <c r="B4" s="156"/>
      <c r="C4" s="6"/>
      <c r="D4" s="6"/>
      <c r="E4" s="6"/>
      <c r="F4" s="6"/>
      <c r="G4" s="6"/>
    </row>
    <row r="5" spans="1:7" ht="23.25" x14ac:dyDescent="0.25">
      <c r="A5" s="4" t="s">
        <v>390</v>
      </c>
      <c r="B5" s="4"/>
      <c r="C5" s="5"/>
      <c r="D5" s="5"/>
      <c r="E5" s="5"/>
      <c r="F5" s="5"/>
      <c r="G5" s="5"/>
    </row>
    <row r="6" spans="1:7" ht="23.25" x14ac:dyDescent="0.25">
      <c r="A6" s="4" t="s">
        <v>391</v>
      </c>
      <c r="B6" s="4"/>
      <c r="C6" s="4"/>
      <c r="D6" s="4"/>
      <c r="E6" s="4"/>
      <c r="F6" s="4"/>
      <c r="G6" s="4"/>
    </row>
    <row r="7" spans="1:7" ht="15.75" thickBot="1" x14ac:dyDescent="0.3"/>
    <row r="8" spans="1:7" ht="30" x14ac:dyDescent="0.25">
      <c r="E8" s="501" t="s">
        <v>392</v>
      </c>
      <c r="F8" s="288" t="s">
        <v>393</v>
      </c>
      <c r="G8" s="457" t="s">
        <v>394</v>
      </c>
    </row>
    <row r="9" spans="1:7" x14ac:dyDescent="0.25">
      <c r="D9" s="264"/>
      <c r="E9" s="502">
        <f>F9-1</f>
        <v>2019</v>
      </c>
      <c r="F9" s="459">
        <f>G9-1</f>
        <v>2020</v>
      </c>
      <c r="G9" s="522" t="s">
        <v>757</v>
      </c>
    </row>
    <row r="10" spans="1:7" ht="30" customHeight="1" x14ac:dyDescent="0.25">
      <c r="A10" s="637" t="s">
        <v>497</v>
      </c>
      <c r="B10" s="637"/>
      <c r="C10" s="637"/>
      <c r="D10" s="637"/>
      <c r="E10" s="503">
        <v>64023927173</v>
      </c>
      <c r="F10" s="265">
        <v>64818696796</v>
      </c>
      <c r="G10" s="504">
        <v>66535293970</v>
      </c>
    </row>
    <row r="11" spans="1:7" ht="30" customHeight="1" x14ac:dyDescent="0.25">
      <c r="A11" s="637" t="s">
        <v>498</v>
      </c>
      <c r="B11" s="637"/>
      <c r="C11" s="637"/>
      <c r="D11" s="637"/>
      <c r="E11" s="503">
        <v>1156476046</v>
      </c>
      <c r="F11" s="265">
        <v>1131957699</v>
      </c>
      <c r="G11" s="504">
        <v>1328791390</v>
      </c>
    </row>
    <row r="12" spans="1:7" ht="15.75" thickBot="1" x14ac:dyDescent="0.3">
      <c r="A12" s="6" t="s">
        <v>499</v>
      </c>
      <c r="B12" s="6"/>
      <c r="C12" s="6"/>
      <c r="D12" s="6"/>
      <c r="E12" s="505">
        <f>SUM(E10:E11)</f>
        <v>65180403219</v>
      </c>
      <c r="F12" s="506">
        <f>SUM(F10:F11)</f>
        <v>65950654495</v>
      </c>
      <c r="G12" s="507">
        <f>SUM(G10:G11)</f>
        <v>67864085360</v>
      </c>
    </row>
    <row r="13" spans="1:7" x14ac:dyDescent="0.25">
      <c r="A13" s="266" t="s">
        <v>675</v>
      </c>
      <c r="B13" s="6"/>
      <c r="C13" s="6"/>
      <c r="D13" s="6"/>
    </row>
    <row r="14" spans="1:7" ht="15.75" x14ac:dyDescent="0.25">
      <c r="A14" s="531" t="s">
        <v>717</v>
      </c>
      <c r="B14" s="1"/>
    </row>
    <row r="15" spans="1:7" ht="30" customHeight="1" x14ac:dyDescent="0.25">
      <c r="A15" s="267" t="s">
        <v>395</v>
      </c>
    </row>
    <row r="16" spans="1:7" ht="5.25" customHeight="1" thickBot="1" x14ac:dyDescent="0.3">
      <c r="A16" s="268"/>
    </row>
    <row r="17" spans="1:7" ht="15" customHeight="1" x14ac:dyDescent="0.25">
      <c r="A17" s="493"/>
      <c r="B17" s="461" t="s">
        <v>392</v>
      </c>
      <c r="C17" s="461"/>
      <c r="D17" s="461" t="s">
        <v>393</v>
      </c>
      <c r="E17" s="461"/>
      <c r="F17" s="461" t="s">
        <v>394</v>
      </c>
      <c r="G17" s="462"/>
    </row>
    <row r="18" spans="1:7" ht="15" customHeight="1" x14ac:dyDescent="0.25">
      <c r="A18" s="494"/>
      <c r="B18" s="270">
        <f>E$9</f>
        <v>2019</v>
      </c>
      <c r="C18" s="269"/>
      <c r="D18" s="270">
        <f>F$9</f>
        <v>2020</v>
      </c>
      <c r="E18" s="269"/>
      <c r="F18" s="270" t="str">
        <f>G$9</f>
        <v>2021</v>
      </c>
      <c r="G18" s="472"/>
    </row>
    <row r="19" spans="1:7" ht="15" customHeight="1" x14ac:dyDescent="0.25">
      <c r="A19" s="495"/>
      <c r="B19" s="32" t="s">
        <v>396</v>
      </c>
      <c r="C19" s="32" t="s">
        <v>397</v>
      </c>
      <c r="D19" s="32" t="s">
        <v>396</v>
      </c>
      <c r="E19" s="32" t="s">
        <v>397</v>
      </c>
      <c r="F19" s="32" t="s">
        <v>396</v>
      </c>
      <c r="G19" s="496" t="s">
        <v>397</v>
      </c>
    </row>
    <row r="20" spans="1:7" ht="15" customHeight="1" x14ac:dyDescent="0.25">
      <c r="A20" s="497" t="s">
        <v>398</v>
      </c>
      <c r="B20" s="112">
        <v>1988548.9400000002</v>
      </c>
      <c r="C20" s="112">
        <v>8283342.8799999999</v>
      </c>
      <c r="D20" s="112">
        <v>2184605.62</v>
      </c>
      <c r="E20" s="112">
        <v>18081900</v>
      </c>
      <c r="F20" s="112">
        <v>2130873.84</v>
      </c>
      <c r="G20" s="498">
        <v>22376700</v>
      </c>
    </row>
    <row r="21" spans="1:7" ht="15" customHeight="1" x14ac:dyDescent="0.25">
      <c r="A21" s="497" t="s">
        <v>399</v>
      </c>
      <c r="B21" s="112">
        <v>936307.37</v>
      </c>
      <c r="C21" s="112">
        <v>2625838.4</v>
      </c>
      <c r="D21" s="112">
        <v>1010750.1</v>
      </c>
      <c r="E21" s="112">
        <v>5801460</v>
      </c>
      <c r="F21" s="112">
        <v>1019146.0700000001</v>
      </c>
      <c r="G21" s="498">
        <v>7616868</v>
      </c>
    </row>
    <row r="22" spans="1:7" ht="15" customHeight="1" x14ac:dyDescent="0.25">
      <c r="A22" s="497" t="s">
        <v>400</v>
      </c>
      <c r="B22" s="112">
        <v>898152.89</v>
      </c>
      <c r="C22" s="112">
        <v>2625838.4</v>
      </c>
      <c r="D22" s="112">
        <v>1004986.77</v>
      </c>
      <c r="E22" s="112">
        <v>5801460</v>
      </c>
      <c r="F22" s="112">
        <v>1006088.25</v>
      </c>
      <c r="G22" s="498">
        <v>7253322</v>
      </c>
    </row>
    <row r="23" spans="1:7" ht="15" customHeight="1" x14ac:dyDescent="0.25">
      <c r="A23" s="497" t="s">
        <v>401</v>
      </c>
      <c r="B23" s="112">
        <v>797125.02999999991</v>
      </c>
      <c r="C23" s="112">
        <v>2160793.6000000001</v>
      </c>
      <c r="D23" s="112">
        <v>1086416.3799999999</v>
      </c>
      <c r="E23" s="112">
        <v>4962100</v>
      </c>
      <c r="F23" s="112">
        <v>979601.7</v>
      </c>
      <c r="G23" s="498">
        <v>6616284</v>
      </c>
    </row>
    <row r="24" spans="1:7" ht="15" customHeight="1" x14ac:dyDescent="0.25">
      <c r="A24" s="497" t="s">
        <v>402</v>
      </c>
      <c r="B24" s="112">
        <v>769940.92</v>
      </c>
      <c r="C24" s="112">
        <v>1780609.12</v>
      </c>
      <c r="D24" s="112">
        <v>790204.24</v>
      </c>
      <c r="E24" s="112">
        <v>2475562.5</v>
      </c>
      <c r="F24" s="112">
        <v>819194.11</v>
      </c>
      <c r="G24" s="498">
        <v>3881730</v>
      </c>
    </row>
    <row r="25" spans="1:7" ht="15" customHeight="1" x14ac:dyDescent="0.25">
      <c r="A25" s="117"/>
      <c r="B25" s="6"/>
      <c r="C25" s="6"/>
      <c r="D25" s="6"/>
      <c r="E25" s="6"/>
      <c r="F25" s="6"/>
      <c r="G25" s="144"/>
    </row>
    <row r="26" spans="1:7" ht="15" customHeight="1" x14ac:dyDescent="0.25">
      <c r="A26" s="495"/>
      <c r="B26" s="269" t="s">
        <v>392</v>
      </c>
      <c r="C26" s="269"/>
      <c r="D26" s="269" t="s">
        <v>393</v>
      </c>
      <c r="E26" s="269"/>
      <c r="F26" s="269" t="s">
        <v>394</v>
      </c>
      <c r="G26" s="472"/>
    </row>
    <row r="27" spans="1:7" ht="15" customHeight="1" x14ac:dyDescent="0.25">
      <c r="A27" s="495"/>
      <c r="B27" s="638">
        <f>E$9</f>
        <v>2019</v>
      </c>
      <c r="C27" s="639"/>
      <c r="D27" s="638">
        <f>F$9</f>
        <v>2020</v>
      </c>
      <c r="E27" s="639"/>
      <c r="F27" s="638" t="str">
        <f>G$9</f>
        <v>2021</v>
      </c>
      <c r="G27" s="640"/>
    </row>
    <row r="28" spans="1:7" ht="30" customHeight="1" x14ac:dyDescent="0.25">
      <c r="A28" s="495"/>
      <c r="B28" s="271" t="s">
        <v>403</v>
      </c>
      <c r="C28" s="271" t="s">
        <v>404</v>
      </c>
      <c r="D28" s="271" t="s">
        <v>403</v>
      </c>
      <c r="E28" s="271" t="s">
        <v>404</v>
      </c>
      <c r="F28" s="271" t="s">
        <v>403</v>
      </c>
      <c r="G28" s="463" t="s">
        <v>404</v>
      </c>
    </row>
    <row r="29" spans="1:7" ht="15" customHeight="1" x14ac:dyDescent="0.25">
      <c r="A29" s="497" t="s">
        <v>398</v>
      </c>
      <c r="B29" s="73">
        <f>1077*10^(1.46+0.406*(IF($E$10/1000000&lt;70,LOG10(70),LOG10($E$10/1000000))))</f>
        <v>2777094.6456229435</v>
      </c>
      <c r="C29" s="73">
        <f>IF(SUM(B20:C20)&lt;B29,0,SUM(B20:C20)-B29)</f>
        <v>7494797.1743770568</v>
      </c>
      <c r="D29" s="73">
        <f>1077*10^(1.46+0.406*(IF($F$10/1000000&lt;70,LOG10(70),LOG10($F$10/1000000))))</f>
        <v>2791039.7587723737</v>
      </c>
      <c r="E29" s="73">
        <f>IF(SUM(D20:E20)&lt;D29,0,SUM(D20:E20)-D29)</f>
        <v>17475465.861227628</v>
      </c>
      <c r="F29" s="73">
        <f>1077*10^(1.46+0.406*(IF($G$10/1000000&lt;70,LOG10(70),LOG10($G$10/1000000))))</f>
        <v>2820816.5810865532</v>
      </c>
      <c r="G29" s="458">
        <f>IF(SUM(F20:G20)&lt;F29,0,SUM(F20:G20)-F29)</f>
        <v>21686757.258913446</v>
      </c>
    </row>
    <row r="30" spans="1:7" ht="15" customHeight="1" x14ac:dyDescent="0.25">
      <c r="A30" s="497" t="s">
        <v>399</v>
      </c>
      <c r="B30" s="73">
        <f>1077*10^(1.414+0.349*(IF($E$10/1000000&lt;70,LOG10(70),LOG10($E$10/1000000))))</f>
        <v>1329318.8691918997</v>
      </c>
      <c r="C30" s="73">
        <f t="shared" ref="C30:E33" si="0">IF(SUM(B21:C21)&lt;B30,0,SUM(B21:C21)-B30)</f>
        <v>2232826.9008081006</v>
      </c>
      <c r="D30" s="73">
        <f>1077*10^(1.414+0.349*(IF($F$10/1000000&lt;70,LOG10(70),LOG10($F$10/1000000))))</f>
        <v>1335054.8422535942</v>
      </c>
      <c r="E30" s="73">
        <f t="shared" si="0"/>
        <v>5477155.2577464059</v>
      </c>
      <c r="F30" s="73">
        <f>1077*10^(1.414+0.349*(IF($G$10/1000000&lt;70,LOG10(70),LOG10($G$10/1000000))))</f>
        <v>1347289.3575431716</v>
      </c>
      <c r="G30" s="458">
        <f t="shared" ref="G30" si="1">IF(SUM(F21:G21)&lt;F30,0,SUM(F21:G21)-F30)</f>
        <v>7288724.7124568289</v>
      </c>
    </row>
    <row r="31" spans="1:7" ht="15" customHeight="1" x14ac:dyDescent="0.25">
      <c r="A31" s="497" t="s">
        <v>400</v>
      </c>
      <c r="B31" s="73">
        <f>1077*10^(1.231+0.382*(IF($E$10/1000000&lt;70,LOG10(70),LOG10($E$10/1000000))))</f>
        <v>1256719.823426693</v>
      </c>
      <c r="C31" s="73">
        <f t="shared" si="0"/>
        <v>2267271.4665733073</v>
      </c>
      <c r="D31" s="73">
        <f>1077*10^(1.231+0.382*(IF($F$10/1000000&lt;70,LOG10(70),LOG10($F$10/1000000))))</f>
        <v>1262656.4920574978</v>
      </c>
      <c r="E31" s="73">
        <f t="shared" si="0"/>
        <v>5543790.2779425019</v>
      </c>
      <c r="F31" s="73">
        <f>1077*10^(1.231+0.382*(IF($G$10/1000000&lt;70,LOG10(70),LOG10($G$10/1000000))))</f>
        <v>1275327.1281058325</v>
      </c>
      <c r="G31" s="458">
        <f t="shared" ref="G31" si="2">IF(SUM(F22:G22)&lt;F31,0,SUM(F22:G22)-F31)</f>
        <v>6984083.1218941677</v>
      </c>
    </row>
    <row r="32" spans="1:7" ht="15" customHeight="1" x14ac:dyDescent="0.25">
      <c r="A32" s="497" t="s">
        <v>401</v>
      </c>
      <c r="B32" s="73">
        <f>1077*10^(1.247+0.358*(IF($E$10/1000000&lt;70,LOG10(70),LOG10($E$10/1000000))))</f>
        <v>999738.11578257836</v>
      </c>
      <c r="C32" s="73">
        <f t="shared" si="0"/>
        <v>1958180.5142174214</v>
      </c>
      <c r="D32" s="73">
        <f>1077*10^(1.247+0.358*(IF($F$10/1000000&lt;70,LOG10(70),LOG10($F$10/1000000))))</f>
        <v>1004163.4483309854</v>
      </c>
      <c r="E32" s="73">
        <f t="shared" si="0"/>
        <v>5044352.9316690145</v>
      </c>
      <c r="F32" s="73">
        <f>1077*10^(1.247+0.358*(IF($G$10/1000000&lt;70,LOG10(70),LOG10($G$10/1000000))))</f>
        <v>1013604.0751812285</v>
      </c>
      <c r="G32" s="458">
        <f t="shared" ref="G32" si="3">IF(SUM(F23:G23)&lt;F32,0,SUM(F23:G23)-F32)</f>
        <v>6582281.6248187721</v>
      </c>
    </row>
    <row r="33" spans="1:7" ht="15" customHeight="1" x14ac:dyDescent="0.25">
      <c r="A33" s="497" t="s">
        <v>402</v>
      </c>
      <c r="B33" s="73">
        <f>1077*10^(1.246+0.342*(IF($E$10/1000000&lt;70,LOG10(70),LOG10($E$10/1000000))))</f>
        <v>835573.72181167104</v>
      </c>
      <c r="C33" s="73">
        <f t="shared" si="0"/>
        <v>1714976.318188329</v>
      </c>
      <c r="D33" s="73">
        <f>1077*10^(1.246+0.342*(IF($F$10/1000000&lt;70,LOG10(70),LOG10($F$10/1000000))))</f>
        <v>839106.72980252013</v>
      </c>
      <c r="E33" s="73">
        <f t="shared" si="0"/>
        <v>2426660.0101974802</v>
      </c>
      <c r="F33" s="73">
        <f>1077*10^(1.246+0.342*(IF($G$10/1000000&lt;70,LOG10(70),LOG10($G$10/1000000))))</f>
        <v>846641.42613823386</v>
      </c>
      <c r="G33" s="458">
        <f t="shared" ref="G33" si="4">IF(SUM(F24:G24)&lt;F33,0,SUM(F24:G24)-F33)</f>
        <v>3854282.6838617665</v>
      </c>
    </row>
    <row r="34" spans="1:7" ht="15" customHeight="1" thickBot="1" x14ac:dyDescent="0.3">
      <c r="A34" s="499" t="s">
        <v>405</v>
      </c>
      <c r="B34" s="17"/>
      <c r="C34" s="474">
        <f>SUM(C29:C33)</f>
        <v>15668052.374164214</v>
      </c>
      <c r="D34" s="17"/>
      <c r="E34" s="474">
        <f>SUM(E29:E33)</f>
        <v>35967424.338783033</v>
      </c>
      <c r="F34" s="17"/>
      <c r="G34" s="500">
        <f>SUM(G29:G33)</f>
        <v>46396129.401944987</v>
      </c>
    </row>
    <row r="35" spans="1:7" ht="15" customHeight="1" x14ac:dyDescent="0.25"/>
    <row r="36" spans="1:7" ht="15" customHeight="1" x14ac:dyDescent="0.25">
      <c r="A36" s="267" t="s">
        <v>406</v>
      </c>
    </row>
    <row r="37" spans="1:7" ht="15" customHeight="1" thickBot="1" x14ac:dyDescent="0.3"/>
    <row r="38" spans="1:7" ht="15" customHeight="1" x14ac:dyDescent="0.25">
      <c r="A38" s="508"/>
      <c r="B38" s="461" t="s">
        <v>392</v>
      </c>
      <c r="C38" s="461"/>
      <c r="D38" s="461" t="s">
        <v>393</v>
      </c>
      <c r="E38" s="461"/>
      <c r="F38" s="461" t="s">
        <v>394</v>
      </c>
      <c r="G38" s="462"/>
    </row>
    <row r="39" spans="1:7" ht="15" customHeight="1" x14ac:dyDescent="0.25">
      <c r="A39" s="465"/>
      <c r="B39" s="270">
        <f>E$9</f>
        <v>2019</v>
      </c>
      <c r="C39" s="269"/>
      <c r="D39" s="270">
        <f>F$9</f>
        <v>2020</v>
      </c>
      <c r="E39" s="269"/>
      <c r="F39" s="270" t="str">
        <f>G$9</f>
        <v>2021</v>
      </c>
      <c r="G39" s="472"/>
    </row>
    <row r="40" spans="1:7" ht="30" x14ac:dyDescent="0.25">
      <c r="A40" s="495"/>
      <c r="B40" s="271" t="s">
        <v>407</v>
      </c>
      <c r="C40" s="271" t="s">
        <v>719</v>
      </c>
      <c r="D40" s="271" t="s">
        <v>407</v>
      </c>
      <c r="E40" s="271" t="s">
        <v>719</v>
      </c>
      <c r="F40" s="271" t="s">
        <v>407</v>
      </c>
      <c r="G40" s="463" t="s">
        <v>719</v>
      </c>
    </row>
    <row r="41" spans="1:7" ht="18" thickBot="1" x14ac:dyDescent="0.3">
      <c r="A41" s="499" t="s">
        <v>408</v>
      </c>
      <c r="B41" s="532">
        <v>906791014.5</v>
      </c>
      <c r="C41" s="533">
        <v>302263671.5</v>
      </c>
      <c r="D41" s="532">
        <v>875227273.5</v>
      </c>
      <c r="E41" s="532">
        <v>291742424.5</v>
      </c>
      <c r="F41" s="532">
        <v>801167938.5</v>
      </c>
      <c r="G41" s="534">
        <v>267055979.5</v>
      </c>
    </row>
    <row r="42" spans="1:7" ht="15.75" x14ac:dyDescent="0.25">
      <c r="A42" s="272" t="s">
        <v>720</v>
      </c>
    </row>
    <row r="43" spans="1:7" x14ac:dyDescent="0.25">
      <c r="A43" s="272" t="s">
        <v>718</v>
      </c>
    </row>
  </sheetData>
  <sheetProtection algorithmName="SHA-512" hashValue="tFOO9B0RwvqUlBBaWwfA42Qpz/0ftaIcz51XlcSLyo0nulwbNdKThpAQkpFnRq7hfsaf4aNt73Wk3KcgYQ6a/A==" saltValue="/JmvLg92CjQ+Qv+ZOfAU/w=="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&amp;L1/3/2023 Edition
&amp;CPrior Approval Rate Template
Portions of the material contained in this document are protected by copyright owned by the State Farm Mutual Automobile Insurance Company, 2023&amp;RPage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A32" sqref="A32"/>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31</v>
      </c>
      <c r="B1" s="109" t="s">
        <v>33</v>
      </c>
      <c r="E1" s="110" t="str">
        <f>Co_Name</f>
        <v>State Farm General Insurance Company</v>
      </c>
      <c r="F1" s="74" t="s">
        <v>709</v>
      </c>
    </row>
    <row r="2" spans="1:6" x14ac:dyDescent="0.25">
      <c r="A2" s="7" t="s">
        <v>32</v>
      </c>
      <c r="B2" s="109" t="s">
        <v>34</v>
      </c>
      <c r="E2" s="110" t="str">
        <f>General_Line</f>
        <v>Homeowners Multiple Peril</v>
      </c>
      <c r="F2" s="176" t="s">
        <v>113</v>
      </c>
    </row>
    <row r="3" spans="1:6" x14ac:dyDescent="0.25">
      <c r="A3" s="6"/>
      <c r="B3" s="154" t="s">
        <v>142</v>
      </c>
      <c r="C3" s="77"/>
      <c r="D3" s="77"/>
      <c r="E3" s="249" t="str">
        <f>CDI_FileNo</f>
        <v/>
      </c>
      <c r="F3" s="214"/>
    </row>
    <row r="4" spans="1:6" ht="18" customHeight="1" x14ac:dyDescent="0.25">
      <c r="A4" s="6"/>
      <c r="B4" s="156"/>
      <c r="F4" s="214"/>
    </row>
    <row r="5" spans="1:6" ht="23.25" x14ac:dyDescent="0.25">
      <c r="A5" s="4" t="s">
        <v>409</v>
      </c>
      <c r="B5" s="5"/>
      <c r="C5" s="5"/>
      <c r="D5" s="5"/>
      <c r="E5" s="5"/>
      <c r="F5" s="214"/>
    </row>
    <row r="6" spans="1:6" ht="23.25" x14ac:dyDescent="0.25">
      <c r="A6" s="4" t="s">
        <v>391</v>
      </c>
      <c r="B6" s="4"/>
      <c r="C6" s="4"/>
      <c r="D6" s="4"/>
      <c r="E6" s="4"/>
      <c r="F6" s="214"/>
    </row>
    <row r="7" spans="1:6" x14ac:dyDescent="0.25">
      <c r="A7" s="1"/>
      <c r="F7" s="214"/>
    </row>
    <row r="8" spans="1:6" ht="16.5" thickBot="1" x14ac:dyDescent="0.3">
      <c r="A8" s="530" t="s">
        <v>717</v>
      </c>
      <c r="F8" s="214"/>
    </row>
    <row r="9" spans="1:6" ht="30" x14ac:dyDescent="0.25">
      <c r="A9" s="484"/>
      <c r="B9" s="485"/>
      <c r="C9" s="486" t="s">
        <v>392</v>
      </c>
      <c r="D9" s="288" t="s">
        <v>393</v>
      </c>
      <c r="E9" s="457" t="s">
        <v>394</v>
      </c>
      <c r="F9" s="214"/>
    </row>
    <row r="10" spans="1:6" x14ac:dyDescent="0.25">
      <c r="A10" s="487"/>
      <c r="B10" s="274"/>
      <c r="C10" s="275">
        <f>'4.1Excluded Exp'!E$9</f>
        <v>2019</v>
      </c>
      <c r="D10" s="275">
        <f>'4.1Excluded Exp'!F$9</f>
        <v>2020</v>
      </c>
      <c r="E10" s="535" t="str">
        <f>'4.1Excluded Exp'!G$9</f>
        <v>2021</v>
      </c>
      <c r="F10" s="214"/>
    </row>
    <row r="11" spans="1:6" ht="30" customHeight="1" x14ac:dyDescent="0.25">
      <c r="A11" s="488" t="s">
        <v>410</v>
      </c>
      <c r="B11" s="273"/>
      <c r="C11" s="113">
        <v>6756791.0700000003</v>
      </c>
      <c r="D11" s="113">
        <v>6600269.0599999996</v>
      </c>
      <c r="E11" s="498">
        <v>6184292.0499999998</v>
      </c>
      <c r="F11" s="214"/>
    </row>
    <row r="12" spans="1:6" ht="30" customHeight="1" x14ac:dyDescent="0.25">
      <c r="A12" s="488" t="s">
        <v>677</v>
      </c>
      <c r="B12" s="276"/>
      <c r="C12" s="277">
        <f>'4.1Excluded Exp'!$C$34</f>
        <v>15668052.374164214</v>
      </c>
      <c r="D12" s="277">
        <f>'4.1Excluded Exp'!$E$34</f>
        <v>35967424.338783033</v>
      </c>
      <c r="E12" s="458">
        <f>'4.1Excluded Exp'!$G$34</f>
        <v>46396129.401944987</v>
      </c>
      <c r="F12" s="214"/>
    </row>
    <row r="13" spans="1:6" ht="30" customHeight="1" x14ac:dyDescent="0.25">
      <c r="A13" s="488" t="s">
        <v>411</v>
      </c>
      <c r="B13" s="276"/>
      <c r="C13" s="113">
        <v>226788</v>
      </c>
      <c r="D13" s="113">
        <v>0</v>
      </c>
      <c r="E13" s="498">
        <v>697639</v>
      </c>
      <c r="F13" s="214"/>
    </row>
    <row r="14" spans="1:6" ht="30" customHeight="1" x14ac:dyDescent="0.25">
      <c r="A14" s="488" t="s">
        <v>412</v>
      </c>
      <c r="B14" s="276"/>
      <c r="C14" s="113">
        <v>0</v>
      </c>
      <c r="D14" s="113">
        <v>0</v>
      </c>
      <c r="E14" s="498">
        <v>0</v>
      </c>
      <c r="F14" s="214"/>
    </row>
    <row r="15" spans="1:6" ht="30" customHeight="1" x14ac:dyDescent="0.25">
      <c r="A15" s="488" t="s">
        <v>413</v>
      </c>
      <c r="B15" s="276"/>
      <c r="C15" s="113">
        <v>454515.4</v>
      </c>
      <c r="D15" s="113">
        <v>901017.98</v>
      </c>
      <c r="E15" s="498">
        <v>317683.52</v>
      </c>
      <c r="F15" s="214"/>
    </row>
    <row r="16" spans="1:6" ht="30" customHeight="1" x14ac:dyDescent="0.25">
      <c r="A16" s="488" t="s">
        <v>678</v>
      </c>
      <c r="B16" s="276"/>
      <c r="C16" s="277">
        <f>'4.1Excluded Exp'!$B$41</f>
        <v>906791014.5</v>
      </c>
      <c r="D16" s="277">
        <f>'4.1Excluded Exp'!$D$41</f>
        <v>875227273.5</v>
      </c>
      <c r="E16" s="458">
        <f>'4.1Excluded Exp'!$F$41</f>
        <v>801167938.5</v>
      </c>
      <c r="F16" s="214"/>
    </row>
    <row r="17" spans="1:6" ht="30" customHeight="1" x14ac:dyDescent="0.25">
      <c r="A17" s="488" t="s">
        <v>414</v>
      </c>
      <c r="B17" s="276"/>
      <c r="C17" s="113">
        <v>0</v>
      </c>
      <c r="D17" s="113">
        <v>0</v>
      </c>
      <c r="E17" s="498">
        <v>0</v>
      </c>
      <c r="F17" s="214"/>
    </row>
    <row r="18" spans="1:6" ht="30" customHeight="1" x14ac:dyDescent="0.25">
      <c r="A18" s="489" t="s">
        <v>415</v>
      </c>
      <c r="B18" s="278"/>
      <c r="C18" s="279">
        <f>SUM(C11:C17)</f>
        <v>929897161.34416425</v>
      </c>
      <c r="D18" s="279">
        <f>SUM(D11:D17)</f>
        <v>918695984.87878299</v>
      </c>
      <c r="E18" s="536">
        <f>SUM(E11:E17)</f>
        <v>854763682.47194505</v>
      </c>
      <c r="F18" s="214"/>
    </row>
    <row r="19" spans="1:6" ht="30" customHeight="1" x14ac:dyDescent="0.25">
      <c r="A19" s="489" t="s">
        <v>162</v>
      </c>
      <c r="B19" s="278"/>
      <c r="C19" s="280">
        <f>IF(AND(New_Insurer_Group=TRUE,New_Program=TRUE),0,C18/'4.1Excluded Exp'!E$12)</f>
        <v>1.4266514403413517E-2</v>
      </c>
      <c r="D19" s="280">
        <f>IF(AND(New_Insurer_Group=TRUE,New_Program=TRUE),0,D18/'4.1Excluded Exp'!F$12)</f>
        <v>1.393005106489782E-2</v>
      </c>
      <c r="E19" s="537">
        <f>IF(AND(New_Insurer_Group=TRUE,New_Program=TRUE),0,E18/'4.1Excluded Exp'!G$12)</f>
        <v>1.2595228800884336E-2</v>
      </c>
      <c r="F19" s="519"/>
    </row>
    <row r="20" spans="1:6" ht="30" customHeight="1" thickBot="1" x14ac:dyDescent="0.3">
      <c r="A20" s="490" t="s">
        <v>416</v>
      </c>
      <c r="B20" s="491"/>
      <c r="C20" s="492"/>
      <c r="D20" s="492"/>
      <c r="E20" s="538">
        <f>AVERAGE(C19:E19)</f>
        <v>1.3597264756398558E-2</v>
      </c>
      <c r="F20" s="399" t="str">
        <f>IF(ISERROR($E$20),"← ERROR! Correct issues with input of source data on either Page 4.1 or 4.2.","")</f>
        <v/>
      </c>
    </row>
    <row r="21" spans="1:6" ht="15.75" thickBot="1" x14ac:dyDescent="0.3">
      <c r="F21" s="520"/>
    </row>
  </sheetData>
  <sheetProtection algorithmName="SHA-512" hashValue="tmgXg/27bqcQ5x9TJq/CPYxRQWK1OKptApti3mLG21xlqmNKUPk/hQpq+nXMyGNssuLzdwyp08vJDSHuwjVaYQ==" saltValue="+LWAv4X02jeS5RZnstB/bQ==" spinCount="100000" sheet="1" objects="1" scenarios="1" formatColumns="0" formatRows="0" sort="0"/>
  <printOptions horizontalCentered="1"/>
  <pageMargins left="0.45" right="0.45" top="0.5" bottom="0.5" header="0.3" footer="0.05"/>
  <pageSetup scale="80" fitToHeight="2" orientation="portrait" r:id="rId1"/>
  <headerFooter>
    <oddFooter xml:space="preserve">&amp;L1/3/2023 Edition
&amp;CPrior Approval Rate Template
Portions of the material contained in this document are protected by copyright owned by the State Farm Mutual Automobile Insurance Company, 2023&amp;RPage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topLeftCell="A4" zoomScaleNormal="100" zoomScaleSheetLayoutView="100" workbookViewId="0">
      <selection activeCell="A32" sqref="A32"/>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31</v>
      </c>
      <c r="G1" s="109" t="s">
        <v>33</v>
      </c>
      <c r="J1" s="110" t="str">
        <f>Co_Name</f>
        <v>State Farm General Insurance Company</v>
      </c>
    </row>
    <row r="2" spans="1:10 16374:16374" x14ac:dyDescent="0.25">
      <c r="A2" s="7" t="s">
        <v>32</v>
      </c>
      <c r="G2" s="109" t="s">
        <v>34</v>
      </c>
      <c r="J2" s="110" t="str">
        <f>General_Line</f>
        <v>Homeowners Multiple Peril</v>
      </c>
    </row>
    <row r="3" spans="1:10 16374:16374" x14ac:dyDescent="0.25">
      <c r="G3" s="201" t="s">
        <v>140</v>
      </c>
      <c r="H3" s="201"/>
      <c r="I3" s="201"/>
      <c r="J3" s="160"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314</v>
      </c>
      <c r="B7" s="380"/>
      <c r="C7" s="380"/>
      <c r="D7" s="380"/>
      <c r="E7" s="380"/>
      <c r="F7" s="380"/>
      <c r="G7" s="380"/>
      <c r="H7" s="380"/>
      <c r="I7" s="380"/>
      <c r="J7" s="381"/>
    </row>
    <row r="8" spans="1:10 16374:16374" x14ac:dyDescent="0.25">
      <c r="A8" s="357"/>
      <c r="B8" s="358"/>
      <c r="C8" s="358"/>
      <c r="D8" s="359" t="s">
        <v>389</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388</v>
      </c>
      <c r="B10" s="368" t="s">
        <v>387</v>
      </c>
      <c r="C10" s="368" t="s">
        <v>366</v>
      </c>
      <c r="D10" s="369" t="s">
        <v>117</v>
      </c>
      <c r="E10" s="370" t="s">
        <v>118</v>
      </c>
      <c r="F10" s="371" t="s">
        <v>125</v>
      </c>
      <c r="G10" s="372" t="s">
        <v>501</v>
      </c>
      <c r="H10" s="372" t="s">
        <v>292</v>
      </c>
      <c r="I10" s="372" t="s">
        <v>162</v>
      </c>
      <c r="J10" s="373" t="s">
        <v>315</v>
      </c>
      <c r="XET10" s="178"/>
    </row>
    <row r="11" spans="1:10 16374:16374" ht="18" customHeight="1" x14ac:dyDescent="0.25">
      <c r="A11" s="344" t="str">
        <f>Detailed_LineDesc01</f>
        <v>Homeowners Multiple Peril</v>
      </c>
      <c r="B11" s="345">
        <f ca="1">IF(RIGHT(Detailed_LineCode01,1)="R",LEFT(Detailed_LineCode01,LEN(Detailed_LineCode01)-1),Detailed_LineCode01)</f>
        <v>4</v>
      </c>
      <c r="C11" s="513" t="str">
        <f>IF(Covg01="","",Covg01)</f>
        <v>Non-Tenant Homeowners</v>
      </c>
      <c r="D11" s="355">
        <f ca="1">IF(Covg01="","",VLOOKUP(Detailed_LineCode01,Table_EffStd,D$21+1,FALSE))</f>
        <v>0.35349169170468153</v>
      </c>
      <c r="E11" s="343">
        <f ca="1">IF(Covg01="","",VLOOKUP(Detailed_LineCode01,Table_EffStd,E$21+1,FALSE))</f>
        <v>0.30450233691492307</v>
      </c>
      <c r="F11" s="356">
        <f ca="1">IF(Covg01="","",VLOOKUP(Detailed_LineCode01,Table_EffStd,F$21+1,FALSE))</f>
        <v>0.37957507454237077</v>
      </c>
      <c r="G11" s="211">
        <f ca="1">IF(Covg01="","",SUMPRODUCT(D11:F11,D$9:F$9))</f>
        <v>0.35349169170468153</v>
      </c>
      <c r="H11" s="405">
        <f>IF(Covg01="","",IF(AND(ISBLANK('6.1Ratemaking Data'!$J$39)=FALSE,'1.General'!$I$47=1),EffStd_Var01,0))</f>
        <v>0</v>
      </c>
      <c r="I11" s="343">
        <f>IF(Covg01="","",ExpRatio_Excluded)</f>
        <v>1.3597264756398558E-2</v>
      </c>
      <c r="J11" s="347">
        <f ca="1">IF(Covg01="","",G11+H11-I11)</f>
        <v>0.33989442694828298</v>
      </c>
    </row>
    <row r="12" spans="1:10 16374:16374" ht="18" customHeight="1" x14ac:dyDescent="0.25">
      <c r="A12" s="344" t="str">
        <f>Detailed_LineDesc02</f>
        <v>Homeowners Multiple Peril</v>
      </c>
      <c r="B12" s="345">
        <f ca="1">IF(RIGHT(Detailed_LineCode02,1)="R",LEFT(Detailed_LineCode02,LEN(Detailed_LineCode02)-1),Detailed_LineCode02)</f>
        <v>4</v>
      </c>
      <c r="C12" s="513" t="str">
        <f>IF(Covg02="","",Covg02)</f>
        <v>Renters</v>
      </c>
      <c r="D12" s="355">
        <f ca="1">IF(Covg02="","",VLOOKUP(Detailed_LineCode02,Table_EffStd,D$21+1,FALSE))</f>
        <v>0.35349169170468153</v>
      </c>
      <c r="E12" s="343">
        <f ca="1">IF(Covg02="","",VLOOKUP(Detailed_LineCode02,Table_EffStd,E$21+1,FALSE))</f>
        <v>0.30450233691492307</v>
      </c>
      <c r="F12" s="356">
        <f ca="1">IF(Covg02="","",VLOOKUP(Detailed_LineCode02,Table_EffStd,F$21+1,FALSE))</f>
        <v>0.37957507454237077</v>
      </c>
      <c r="G12" s="211">
        <f ca="1">IF(Covg02="","",SUMPRODUCT(D12:F12,D$9:F$9))</f>
        <v>0.35349169170468153</v>
      </c>
      <c r="H12" s="405">
        <f>IF(Covg02="","",IF(AND(ISBLANK('6.2Ratemaking Data'!$J$39)=FALSE,'1.General'!$I$47=1),EffStd_Var02,0))</f>
        <v>0</v>
      </c>
      <c r="I12" s="343">
        <f>IF(Covg02="","",ExpRatio_Excluded)</f>
        <v>1.3597264756398558E-2</v>
      </c>
      <c r="J12" s="347">
        <f ca="1">IF(Covg02="","",G12+H12-I12)</f>
        <v>0.33989442694828298</v>
      </c>
    </row>
    <row r="13" spans="1:10 16374:16374" ht="18" customHeight="1" x14ac:dyDescent="0.25">
      <c r="A13" s="344" t="str">
        <f>Detailed_LineDesc03</f>
        <v>Homeowners Multiple Peril</v>
      </c>
      <c r="B13" s="345">
        <f ca="1">IF(RIGHT(Detailed_LineCode03,1)="R",LEFT(Detailed_LineCode03,LEN(Detailed_LineCode03)-1),Detailed_LineCode03)</f>
        <v>4</v>
      </c>
      <c r="C13" s="513" t="str">
        <f>IF(Covg03="","",Covg03)</f>
        <v>Condominium Unitowners</v>
      </c>
      <c r="D13" s="355">
        <f ca="1">IF(Covg03="","",VLOOKUP(Detailed_LineCode03,Table_EffStd,D$21+1,FALSE))</f>
        <v>0.35349169170468153</v>
      </c>
      <c r="E13" s="343">
        <f ca="1">IF(Covg03="","",VLOOKUP(Detailed_LineCode03,Table_EffStd,E$21+1,FALSE))</f>
        <v>0.30450233691492307</v>
      </c>
      <c r="F13" s="356">
        <f ca="1">IF(Covg03="","",VLOOKUP(Detailed_LineCode03,Table_EffStd,F$21+1,FALSE))</f>
        <v>0.37957507454237077</v>
      </c>
      <c r="G13" s="211">
        <f ca="1">IF(Covg03="","",SUMPRODUCT(D13:F13,D$9:F$9))</f>
        <v>0.35349169170468153</v>
      </c>
      <c r="H13" s="405">
        <f>IF(Covg03="","",IF(AND(ISBLANK('6.3Ratemaking Data'!$J$39)=FALSE,'1.General'!$I$47=1),EffStd_Var03,0))</f>
        <v>0</v>
      </c>
      <c r="I13" s="343">
        <f>IF(Covg03="","",ExpRatio_Excluded)</f>
        <v>1.3597264756398558E-2</v>
      </c>
      <c r="J13" s="347">
        <f ca="1">IF(Covg03="","",G13+H13-I13)</f>
        <v>0.33989442694828298</v>
      </c>
    </row>
    <row r="14" spans="1:10 16374:16374" ht="18" customHeight="1" x14ac:dyDescent="0.25">
      <c r="A14" s="344" t="str">
        <f>Detailed_LineDesc04</f>
        <v/>
      </c>
      <c r="B14" s="345" t="str">
        <f>IF(RIGHT(Detailed_LineCode04,1)="R",LEFT(Detailed_LineCode04,LEN(Detailed_LineCode04)-1),Detailed_LineCode04)</f>
        <v/>
      </c>
      <c r="C14" s="513"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25">
      <c r="A15" s="344" t="str">
        <f>Detailed_LineDesc05</f>
        <v/>
      </c>
      <c r="B15" s="345" t="str">
        <f>IF(RIGHT(Detailed_LineCode05,1)="R",LEFT(Detailed_LineCode05,LEN(Detailed_LineCode05)-1),Detailed_LineCode05)</f>
        <v/>
      </c>
      <c r="C15" s="513"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25">
      <c r="A16" s="344" t="str">
        <f>Detailed_LineDesc06</f>
        <v/>
      </c>
      <c r="B16" s="345" t="str">
        <f>IF(RIGHT(Detailed_LineCode06,1)="R",LEFT(Detailed_LineCode06,LEN(Detailed_LineCode06)-1),Detailed_LineCode06)</f>
        <v/>
      </c>
      <c r="C16" s="513"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25">
      <c r="A17" s="344" t="str">
        <f>Detailed_LineDesc07</f>
        <v/>
      </c>
      <c r="B17" s="345" t="str">
        <f>IF(RIGHT(Detailed_LineCode07,1)="R",LEFT(Detailed_LineCode07,LEN(Detailed_LineCode07)-1),Detailed_LineCode07)</f>
        <v/>
      </c>
      <c r="C17" s="513"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25">
      <c r="A18" s="344" t="str">
        <f>Detailed_LineDesc08</f>
        <v/>
      </c>
      <c r="B18" s="345" t="str">
        <f>IF(RIGHT(Detailed_LineCode08,1)="R",LEFT(Detailed_LineCode08,LEN(Detailed_LineCode08)-1),Detailed_LineCode08)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IF(RIGHT(Detailed_LineCode09,1)="R",LEFT(Detailed_LineCode09,LEN(Detailed_LineCode09)-1),Detailed_LineCode09)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IF(RIGHT(Detailed_LineCode10,1)="R",LEFT(Detailed_LineCode10,LEN(Detailed_LineCode10)-1),Detailed_LineCode10)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1" t="s">
        <v>136</v>
      </c>
      <c r="E23" s="642"/>
      <c r="F23" s="379" t="s">
        <v>134</v>
      </c>
      <c r="G23" s="386"/>
      <c r="H23" s="387"/>
      <c r="I23" s="652" t="str">
        <f>"Yields, Rate of Return &amp; Premium Tax Values as of "&amp;'3.2YieldFIT'!G48</f>
        <v>Yields, Rate of Return &amp; Premium Tax Values as of December 2022</v>
      </c>
      <c r="J23" s="653"/>
    </row>
    <row r="24" spans="1:11" ht="33.75" customHeight="1" thickBot="1" x14ac:dyDescent="0.35">
      <c r="A24" s="388"/>
      <c r="B24" s="389"/>
      <c r="C24" s="390"/>
      <c r="D24" s="643"/>
      <c r="E24" s="644"/>
      <c r="F24" s="528" t="str">
        <f>IF(AND('1.General'!$I$47*'1.General'!$I$48=1,FIND({3},'1.General'!$E$47&amp;"3")&lt;=LEN('1.General'!$E$47)),"(Variance 3 applied)","(Variance 3 not applied)")</f>
        <v>(Variance 3 not applied)</v>
      </c>
      <c r="G24" s="391"/>
      <c r="H24" s="392"/>
      <c r="I24" s="654"/>
      <c r="J24" s="655"/>
    </row>
    <row r="25" spans="1:11" ht="60.75" thickBot="1" x14ac:dyDescent="0.3">
      <c r="A25" s="83" t="s">
        <v>388</v>
      </c>
      <c r="B25" s="368" t="s">
        <v>387</v>
      </c>
      <c r="C25" s="377" t="s">
        <v>366</v>
      </c>
      <c r="D25" s="378" t="s">
        <v>138</v>
      </c>
      <c r="E25" s="377" t="s">
        <v>139</v>
      </c>
      <c r="F25" s="378" t="s">
        <v>562</v>
      </c>
      <c r="G25" s="368" t="s">
        <v>292</v>
      </c>
      <c r="H25" s="368" t="s">
        <v>316</v>
      </c>
      <c r="I25" s="527" t="s">
        <v>165</v>
      </c>
      <c r="J25" s="529">
        <f>'3.2YieldFIT'!D42</f>
        <v>4.3359497935155651E-2</v>
      </c>
    </row>
    <row r="26" spans="1:11" ht="18" customHeight="1" x14ac:dyDescent="0.25">
      <c r="A26" s="344" t="str">
        <f>Detailed_LineDesc01</f>
        <v>Homeowners Multiple Peril</v>
      </c>
      <c r="B26" s="345">
        <f ca="1">IF(RIGHT(Detailed_LineCode01,1)="R",LEFT(Detailed_LineCode01,LEN(Detailed_LineCode01)-1),Detailed_LineCode01)</f>
        <v>4</v>
      </c>
      <c r="C26" s="513" t="str">
        <f>IF(Covg01="","",Covg01)</f>
        <v>Non-Tenant Homeowners</v>
      </c>
      <c r="D26" s="374">
        <f ca="1">IF(Covg01="","",VLOOKUP(Detailed_LineCode01,Table_ResRatio,2,FALSE))</f>
        <v>0.52182970801271056</v>
      </c>
      <c r="E26" s="375">
        <f ca="1">IF(Covg01="","",VLOOKUP(Detailed_LineCode01,Table_ResRatio,3,FALSE))</f>
        <v>1.3010095886105004</v>
      </c>
      <c r="F26" s="374">
        <f ca="1">IF(Covg01="","",VLOOKUP(Detailed_LineCode01,Table_LevFact,2,FALSE))</f>
        <v>0.91552166118720324</v>
      </c>
      <c r="G26" s="404">
        <f>IF(Covg01="","",IF(AND('1.General'!$I$47*'1.General'!$I$48=1,FIND({3},'1.General'!$E$47&amp;"3")&lt;=LEN('1.General'!$E$47)),0.85,1))</f>
        <v>1</v>
      </c>
      <c r="H26" s="404">
        <f ca="1">IF(Covg01="","",F26*G26)</f>
        <v>0.91552166118720324</v>
      </c>
      <c r="I26" s="625" t="s">
        <v>714</v>
      </c>
      <c r="J26" s="648">
        <f>'3.2YieldFIT'!F34</f>
        <v>0.15389771415501849</v>
      </c>
    </row>
    <row r="27" spans="1:11" ht="18" customHeight="1" thickBot="1" x14ac:dyDescent="0.3">
      <c r="A27" s="344" t="str">
        <f>Detailed_LineDesc02</f>
        <v>Homeowners Multiple Peril</v>
      </c>
      <c r="B27" s="345">
        <f ca="1">IF(RIGHT(Detailed_LineCode02,1)="R",LEFT(Detailed_LineCode02,LEN(Detailed_LineCode02)-1),Detailed_LineCode02)</f>
        <v>4</v>
      </c>
      <c r="C27" s="513" t="str">
        <f>IF(Covg02="","",Covg02)</f>
        <v>Renters</v>
      </c>
      <c r="D27" s="374">
        <f ca="1">IF(Covg02="","",VLOOKUP(Detailed_LineCode02,Table_ResRatio,2,FALSE))</f>
        <v>0.52182970801271056</v>
      </c>
      <c r="E27" s="375">
        <f ca="1">IF(Covg02="","",VLOOKUP(Detailed_LineCode02,Table_ResRatio,3,FALSE))</f>
        <v>1.3010095886105004</v>
      </c>
      <c r="F27" s="374">
        <f ca="1">IF(Covg02="","",VLOOKUP(Detailed_LineCode02,Table_LevFact,2,FALSE))</f>
        <v>0.91552166118720324</v>
      </c>
      <c r="G27" s="404">
        <f>IF(Covg02="","",IF(AND('1.General'!$I$47*'1.General'!$I$48=1,FIND({3},'1.General'!$E$47&amp;"3")&lt;=LEN('1.General'!$E$47)),0.85,1))</f>
        <v>1</v>
      </c>
      <c r="H27" s="404">
        <f ca="1">IF(Covg02="","",F27*G27)</f>
        <v>0.91552166118720324</v>
      </c>
      <c r="I27" s="626"/>
      <c r="J27" s="649"/>
    </row>
    <row r="28" spans="1:11" ht="18" customHeight="1" x14ac:dyDescent="0.25">
      <c r="A28" s="344" t="str">
        <f>Detailed_LineDesc03</f>
        <v>Homeowners Multiple Peril</v>
      </c>
      <c r="B28" s="345">
        <f ca="1">IF(RIGHT(Detailed_LineCode03,1)="R",LEFT(Detailed_LineCode03,LEN(Detailed_LineCode03)-1),Detailed_LineCode03)</f>
        <v>4</v>
      </c>
      <c r="C28" s="513" t="str">
        <f>IF(Covg03="","",Covg03)</f>
        <v>Condominium Unitowners</v>
      </c>
      <c r="D28" s="374">
        <f ca="1">IF(Covg03="","",VLOOKUP(Detailed_LineCode03,Table_ResRatio,2,FALSE))</f>
        <v>0.52182970801271056</v>
      </c>
      <c r="E28" s="375">
        <f ca="1">IF(Covg03="","",VLOOKUP(Detailed_LineCode03,Table_ResRatio,3,FALSE))</f>
        <v>1.3010095886105004</v>
      </c>
      <c r="F28" s="374">
        <f ca="1">IF(Covg03="","",VLOOKUP(Detailed_LineCode03,Table_LevFact,2,FALSE))</f>
        <v>0.91552166118720324</v>
      </c>
      <c r="G28" s="404">
        <f>IF(Covg03="","",IF(AND('1.General'!$I$47*'1.General'!$I$48=1,FIND({3},'1.General'!$E$47&amp;"3")&lt;=LEN('1.General'!$E$47)),0.85,1))</f>
        <v>1</v>
      </c>
      <c r="H28" s="404">
        <f ca="1">IF(Covg03="","",F28*G28)</f>
        <v>0.91552166118720324</v>
      </c>
      <c r="I28" s="625" t="s">
        <v>730</v>
      </c>
      <c r="J28" s="648">
        <v>2.35E-2</v>
      </c>
    </row>
    <row r="29" spans="1:11" ht="18" customHeight="1" x14ac:dyDescent="0.25">
      <c r="A29" s="344" t="str">
        <f>Detailed_LineDesc04</f>
        <v/>
      </c>
      <c r="B29" s="345" t="str">
        <f>IF(RIGHT(Detailed_LineCode04,1)="R",LEFT(Detailed_LineCode04,LEN(Detailed_LineCode04)-1),Detailed_LineCode04)</f>
        <v/>
      </c>
      <c r="C29" s="513"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0"/>
      <c r="J29" s="651"/>
    </row>
    <row r="30" spans="1:11" ht="18" customHeight="1" thickBot="1" x14ac:dyDescent="0.3">
      <c r="A30" s="344" t="str">
        <f>Detailed_LineDesc05</f>
        <v/>
      </c>
      <c r="B30" s="345" t="str">
        <f>IF(RIGHT(Detailed_LineCode05,1)="R",LEFT(Detailed_LineCode05,LEN(Detailed_LineCode05)-1),Detailed_LineCode05)</f>
        <v/>
      </c>
      <c r="C30" s="513"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26"/>
      <c r="J30" s="649"/>
    </row>
    <row r="31" spans="1:11" ht="18" customHeight="1" x14ac:dyDescent="0.25">
      <c r="A31" s="344" t="str">
        <f>Detailed_LineDesc06</f>
        <v/>
      </c>
      <c r="B31" s="345" t="str">
        <f>IF(RIGHT(Detailed_LineCode06,1)="R",LEFT(Detailed_LineCode06,LEN(Detailed_LineCode06)-1),Detailed_LineCode06)</f>
        <v/>
      </c>
      <c r="C31" s="513"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5" t="s">
        <v>716</v>
      </c>
      <c r="J31" s="645">
        <v>3.9399999999999998E-2</v>
      </c>
      <c r="K31" s="15"/>
    </row>
    <row r="32" spans="1:11" ht="18" customHeight="1" x14ac:dyDescent="0.25">
      <c r="A32" s="344" t="str">
        <f>Detailed_LineDesc07</f>
        <v/>
      </c>
      <c r="B32" s="345" t="str">
        <f>IF(RIGHT(Detailed_LineCode07,1)="R",LEFT(Detailed_LineCode07,LEN(Detailed_LineCode07)-1),Detailed_LineCode07)</f>
        <v/>
      </c>
      <c r="C32" s="513"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0"/>
      <c r="J32" s="646"/>
      <c r="K32" s="15" t="s">
        <v>622</v>
      </c>
    </row>
    <row r="33" spans="1:11" ht="18" customHeight="1" x14ac:dyDescent="0.25">
      <c r="A33" s="344" t="str">
        <f>Detailed_LineDesc08</f>
        <v/>
      </c>
      <c r="B33" s="345" t="str">
        <f>IF(RIGHT(Detailed_LineCode08,1)="R",LEFT(Detailed_LineCode08,LEN(Detailed_LineCode08)-1),Detailed_LineCode08)</f>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0"/>
      <c r="J33" s="646"/>
      <c r="K33" s="15" t="s">
        <v>339</v>
      </c>
    </row>
    <row r="34" spans="1:11" ht="18" customHeight="1" x14ac:dyDescent="0.25">
      <c r="A34" s="344" t="str">
        <f>Detailed_LineDesc09</f>
        <v/>
      </c>
      <c r="B34" s="345" t="str">
        <f>IF(RIGHT(Detailed_LineCode09,1)="R",LEFT(Detailed_LineCode09,LEN(Detailed_LineCode09)-1),Detailed_LineCode09)</f>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0"/>
      <c r="J34" s="646"/>
      <c r="K34" s="15"/>
    </row>
    <row r="35" spans="1:11" ht="18" customHeight="1" thickBot="1" x14ac:dyDescent="0.3">
      <c r="A35" s="348" t="str">
        <f>Detailed_LineDesc10</f>
        <v/>
      </c>
      <c r="B35" s="349" t="str">
        <f>IF(RIGHT(Detailed_LineCode10,1)="R",LEFT(Detailed_LineCode10,LEN(Detailed_LineCode10)-1),Detailed_LineCode10)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26"/>
      <c r="J35" s="647"/>
      <c r="K35" s="15"/>
    </row>
  </sheetData>
  <sheetProtection algorithmName="SHA-512" hashValue="66D5etyiJFlwZ2Q1WoyiH3SDxCrVFyWD3/90lctr6AdDhLqn7TQckT7OmfNSLJKh/4QNIWJ8ntbmT3qhEDj8tA==" saltValue="FNHEthfPaKa7PWgYvOe/yQ=="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&amp;L1/3/2023 Edition
&amp;CPrior Approval Rate Template
Portions of the material contained in this document are protected by copyright owned by the State Farm Mutual Automobile Insurance Company, 2023&amp;RPage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zoomScaleNormal="100" zoomScaleSheetLayoutView="100" workbookViewId="0">
      <selection activeCell="A32" sqref="A32"/>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Detailed_LineDesc01</f>
        <v>Homeowners Multiple Peril</v>
      </c>
      <c r="M10" s="226"/>
    </row>
    <row r="11" spans="1:13" ht="18" customHeight="1" x14ac:dyDescent="0.25">
      <c r="B11" s="7" t="s">
        <v>78</v>
      </c>
      <c r="G11" t="str">
        <f>Covg01</f>
        <v>Non-Tenant Homeowners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1901145824.1900001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1706464268.8299999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1.1562743942203026</v>
      </c>
      <c r="J17" s="16"/>
      <c r="K17" s="16"/>
      <c r="M17" s="75"/>
    </row>
    <row r="18" spans="1:13" ht="18" customHeight="1" x14ac:dyDescent="0.25">
      <c r="A18" s="30">
        <v>-4</v>
      </c>
      <c r="B18" s="31" t="s">
        <v>130</v>
      </c>
      <c r="C18" s="32" t="s">
        <v>66</v>
      </c>
      <c r="D18" s="168"/>
      <c r="E18" s="169"/>
      <c r="F18" s="169"/>
      <c r="G18" s="169"/>
      <c r="H18" s="169"/>
      <c r="I18" s="169">
        <v>1.1465052287755784</v>
      </c>
      <c r="J18" s="170">
        <v>5.2592572800646886E-2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1204361.24</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790929424.91999996</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6326873.7000000002</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1.2434207039947311</v>
      </c>
      <c r="J23" s="16"/>
      <c r="K23" s="16"/>
      <c r="M23" s="75"/>
    </row>
    <row r="24" spans="1:13" ht="18" customHeight="1" x14ac:dyDescent="0.25">
      <c r="A24" s="30">
        <v>-10</v>
      </c>
      <c r="B24" s="31" t="s">
        <v>61</v>
      </c>
      <c r="C24" s="32" t="s">
        <v>68</v>
      </c>
      <c r="D24" s="168"/>
      <c r="E24" s="169"/>
      <c r="F24" s="169"/>
      <c r="G24" s="169"/>
      <c r="H24" s="169"/>
      <c r="I24" s="169">
        <v>7.1615927338018581</v>
      </c>
      <c r="J24" s="16"/>
      <c r="K24" s="16"/>
      <c r="M24" s="75"/>
    </row>
    <row r="25" spans="1:13" ht="18" customHeight="1" x14ac:dyDescent="0.25">
      <c r="A25" s="30">
        <v>-11</v>
      </c>
      <c r="B25" s="31" t="s">
        <v>132</v>
      </c>
      <c r="C25" s="32" t="s">
        <v>69</v>
      </c>
      <c r="D25" s="168"/>
      <c r="E25" s="169"/>
      <c r="F25" s="169"/>
      <c r="G25" s="169"/>
      <c r="H25" s="169"/>
      <c r="I25" s="169">
        <v>1.3147039542110304</v>
      </c>
      <c r="J25" s="170">
        <v>0.10802371037361769</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1.3147039542110304</v>
      </c>
      <c r="J26" s="170">
        <v>0.10802371037361769</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1.3680223184116183</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5" ht="17.25" hidden="1" customHeight="1" x14ac:dyDescent="0.25">
      <c r="A49" s="6" t="s">
        <v>338</v>
      </c>
      <c r="J49" s="159"/>
      <c r="M49" s="172"/>
    </row>
    <row r="50" spans="1:15" ht="17.25" hidden="1" customHeight="1" thickBot="1" x14ac:dyDescent="0.3">
      <c r="A50" s="6" t="s">
        <v>157</v>
      </c>
      <c r="J50" s="78"/>
      <c r="M50" s="76"/>
    </row>
    <row r="51" spans="1:15" ht="20.100000000000001" customHeight="1" x14ac:dyDescent="0.25">
      <c r="A51" s="6"/>
      <c r="H51" s="656" t="s">
        <v>665</v>
      </c>
      <c r="I51" s="656"/>
      <c r="J51" s="656"/>
      <c r="K51" s="656"/>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UMf2+EeGDN+NZArq+9ABjaAAjM1DYrOMbFTY2r4+RQk44Yh95Qo5vM9X7q7j4GyFCOvtwGdrMWZQcYBVO7sE9A==" saltValue="PuHzZzmmPYm/PYfpZwlSwA=="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7" zoomScaleNormal="100" zoomScaleSheetLayoutView="100" workbookViewId="0">
      <selection activeCell="A32" sqref="A32"/>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31</v>
      </c>
      <c r="B1" s="9"/>
      <c r="H1" s="9" t="s">
        <v>33</v>
      </c>
      <c r="K1" s="8" t="str">
        <f>Co_Name</f>
        <v>State Farm General Insurance Company</v>
      </c>
      <c r="M1" s="74" t="s">
        <v>310</v>
      </c>
    </row>
    <row r="2" spans="1:14" x14ac:dyDescent="0.25">
      <c r="A2" s="1" t="s">
        <v>32</v>
      </c>
      <c r="B2" s="9"/>
      <c r="H2" s="9" t="s">
        <v>34</v>
      </c>
      <c r="K2" s="8" t="str">
        <f>General_Line</f>
        <v>Homeowners Multiple Peril</v>
      </c>
      <c r="M2" s="176" t="s">
        <v>113</v>
      </c>
    </row>
    <row r="3" spans="1:14" x14ac:dyDescent="0.25">
      <c r="A3" s="1"/>
      <c r="B3" s="157"/>
      <c r="H3" s="71" t="s">
        <v>142</v>
      </c>
      <c r="I3" s="72"/>
      <c r="J3" s="72"/>
      <c r="K3" s="70" t="str">
        <f>CDI_FileNo</f>
        <v/>
      </c>
      <c r="M3" s="225"/>
    </row>
    <row r="4" spans="1:14" ht="18" customHeight="1" x14ac:dyDescent="0.25">
      <c r="M4" s="75"/>
    </row>
    <row r="5" spans="1:14" ht="23.25" x14ac:dyDescent="0.25">
      <c r="A5" s="4" t="s">
        <v>605</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Nicole Pettis</v>
      </c>
      <c r="J7" s="7" t="s">
        <v>705</v>
      </c>
      <c r="K7" s="455"/>
      <c r="M7" s="75"/>
    </row>
    <row r="8" spans="1:14" ht="18" customHeight="1" x14ac:dyDescent="0.25">
      <c r="B8" s="7" t="s">
        <v>76</v>
      </c>
      <c r="G8" s="52">
        <f>Completed_Date</f>
        <v>44981</v>
      </c>
      <c r="M8" s="75"/>
    </row>
    <row r="9" spans="1:14" ht="5.0999999999999996" customHeight="1" x14ac:dyDescent="0.25">
      <c r="B9" s="7"/>
      <c r="M9" s="75"/>
    </row>
    <row r="10" spans="1:14" ht="18" customHeight="1" x14ac:dyDescent="0.25">
      <c r="B10" s="7" t="s">
        <v>77</v>
      </c>
      <c r="G10" t="str">
        <f>Detailed_LineDesc02</f>
        <v>Homeowners Multiple Peril</v>
      </c>
      <c r="M10" s="226"/>
    </row>
    <row r="11" spans="1:14" ht="18" customHeight="1" x14ac:dyDescent="0.25">
      <c r="B11" s="7" t="s">
        <v>78</v>
      </c>
      <c r="G11" t="str">
        <f>Covg02</f>
        <v>Renters</v>
      </c>
      <c r="M11" s="75"/>
    </row>
    <row r="12" spans="1:14" ht="9.9499999999999993" customHeight="1" x14ac:dyDescent="0.25">
      <c r="B12" s="2"/>
      <c r="G12" s="22"/>
      <c r="I12" s="23"/>
      <c r="J12" s="24"/>
      <c r="M12" s="75"/>
    </row>
    <row r="13" spans="1:14"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4"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4" ht="30" customHeight="1" x14ac:dyDescent="0.25">
      <c r="A15" s="33">
        <v>-1</v>
      </c>
      <c r="B15" s="34" t="s">
        <v>54</v>
      </c>
      <c r="C15" s="35"/>
      <c r="D15" s="166"/>
      <c r="E15" s="167"/>
      <c r="F15" s="167"/>
      <c r="G15" s="112"/>
      <c r="H15" s="112"/>
      <c r="I15" s="112">
        <v>90390186.269999996</v>
      </c>
      <c r="J15" s="19"/>
      <c r="K15" s="112"/>
      <c r="M15" s="226" t="str">
        <f>IF(AND(New_Program=TRUE,ISBLANK($K$15)),"← ERROR! Enter projected figure for new program, or deselect 'New Program' on Page '1.General'.","")</f>
        <v/>
      </c>
      <c r="N15" s="6"/>
    </row>
    <row r="16" spans="1:14" ht="30" customHeight="1" x14ac:dyDescent="0.25">
      <c r="A16" s="30">
        <v>-2</v>
      </c>
      <c r="B16" s="31" t="s">
        <v>55</v>
      </c>
      <c r="C16" s="32"/>
      <c r="D16" s="113"/>
      <c r="E16" s="112"/>
      <c r="F16" s="112"/>
      <c r="G16" s="112"/>
      <c r="H16" s="112"/>
      <c r="I16" s="112">
        <v>88738833.760000005</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36</v>
      </c>
      <c r="C17" s="32" t="s">
        <v>65</v>
      </c>
      <c r="D17" s="168"/>
      <c r="E17" s="169"/>
      <c r="F17" s="169"/>
      <c r="G17" s="169"/>
      <c r="H17" s="169"/>
      <c r="I17" s="169">
        <v>1.0030433776122234</v>
      </c>
      <c r="J17" s="16"/>
      <c r="K17" s="16"/>
      <c r="M17" s="75"/>
      <c r="N17" s="6"/>
    </row>
    <row r="18" spans="1:14" ht="18" customHeight="1" x14ac:dyDescent="0.25">
      <c r="A18" s="30">
        <v>-4</v>
      </c>
      <c r="B18" s="31" t="s">
        <v>130</v>
      </c>
      <c r="C18" s="32" t="s">
        <v>66</v>
      </c>
      <c r="D18" s="168"/>
      <c r="E18" s="169"/>
      <c r="F18" s="169"/>
      <c r="G18" s="169"/>
      <c r="H18" s="169"/>
      <c r="I18" s="169">
        <v>1.0078915968638522</v>
      </c>
      <c r="J18" s="170">
        <v>2.9513230952369351E-3</v>
      </c>
      <c r="K18" s="16"/>
      <c r="M18" s="226" t="str">
        <f>IF(AND(New_Program=FALSE,ISBLANK($J$18)),"← ERROR! Enter Annual Premium Trend as a percentage in the 'Projected' column.","")</f>
        <v/>
      </c>
      <c r="N18" s="6"/>
    </row>
    <row r="19" spans="1:14"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56</v>
      </c>
      <c r="C20" s="32"/>
      <c r="D20" s="113"/>
      <c r="E20" s="112"/>
      <c r="F20" s="112"/>
      <c r="G20" s="112"/>
      <c r="H20" s="112"/>
      <c r="I20" s="112">
        <v>541333.94999999995</v>
      </c>
      <c r="J20" s="16"/>
      <c r="K20" s="112"/>
      <c r="M20" s="226" t="str">
        <f>IF(AND(New_Program=TRUE,ISBLANK($K$20)),"← ERROR! Enter projected figure for new program, or deselect 'New Program' on Page '1.General'.","")</f>
        <v/>
      </c>
      <c r="N20" s="6"/>
    </row>
    <row r="21" spans="1:14" ht="18" customHeight="1" x14ac:dyDescent="0.25">
      <c r="A21" s="30">
        <v>-7</v>
      </c>
      <c r="B21" s="31" t="s">
        <v>133</v>
      </c>
      <c r="C21" s="32"/>
      <c r="D21" s="113"/>
      <c r="E21" s="112"/>
      <c r="F21" s="112"/>
      <c r="G21" s="112"/>
      <c r="H21" s="112"/>
      <c r="I21" s="112">
        <v>41112306.979999997</v>
      </c>
      <c r="J21" s="16"/>
      <c r="K21" s="112"/>
      <c r="M21" s="226" t="str">
        <f>IF(AND(New_Program=TRUE,ISBLANK($K$21)),"← ERROR! Enter projected figure for new program, or deselect 'New Program' on Page '1.General'.","")</f>
        <v/>
      </c>
      <c r="N21" s="6"/>
    </row>
    <row r="22" spans="1:14" ht="30" customHeight="1" x14ac:dyDescent="0.25">
      <c r="A22" s="30">
        <v>-8</v>
      </c>
      <c r="B22" s="31" t="s">
        <v>57</v>
      </c>
      <c r="C22" s="32"/>
      <c r="D22" s="113"/>
      <c r="E22" s="112"/>
      <c r="F22" s="112"/>
      <c r="G22" s="112"/>
      <c r="H22" s="112"/>
      <c r="I22" s="112">
        <v>334101.88</v>
      </c>
      <c r="J22" s="16"/>
      <c r="K22" s="112"/>
      <c r="M22" s="226" t="str">
        <f>IF(AND(New_Program=TRUE,ISBLANK($K$22)),"← ERROR! Enter projected figure for new program, or deselect 'New Program' on Page '1.General'.","")</f>
        <v/>
      </c>
      <c r="N22" s="6"/>
    </row>
    <row r="23" spans="1:14" ht="18" customHeight="1" x14ac:dyDescent="0.25">
      <c r="A23" s="30">
        <v>-9</v>
      </c>
      <c r="B23" s="31" t="s">
        <v>60</v>
      </c>
      <c r="C23" s="32" t="s">
        <v>68</v>
      </c>
      <c r="D23" s="168"/>
      <c r="E23" s="169"/>
      <c r="F23" s="169"/>
      <c r="G23" s="169"/>
      <c r="H23" s="169"/>
      <c r="I23" s="169">
        <v>1.2462101268606165</v>
      </c>
      <c r="J23" s="16"/>
      <c r="K23" s="16"/>
      <c r="M23" s="75"/>
      <c r="N23" s="6"/>
    </row>
    <row r="24" spans="1:14" ht="18" customHeight="1" x14ac:dyDescent="0.25">
      <c r="A24" s="30">
        <v>-10</v>
      </c>
      <c r="B24" s="31" t="s">
        <v>61</v>
      </c>
      <c r="C24" s="32" t="s">
        <v>68</v>
      </c>
      <c r="D24" s="168"/>
      <c r="E24" s="169"/>
      <c r="F24" s="169"/>
      <c r="G24" s="169"/>
      <c r="H24" s="169"/>
      <c r="I24" s="169">
        <v>5.842402577799886</v>
      </c>
      <c r="J24" s="16"/>
      <c r="K24" s="16"/>
      <c r="M24" s="75"/>
      <c r="N24" s="6"/>
    </row>
    <row r="25" spans="1:14" ht="18" customHeight="1" x14ac:dyDescent="0.25">
      <c r="A25" s="30">
        <v>-11</v>
      </c>
      <c r="B25" s="31" t="s">
        <v>132</v>
      </c>
      <c r="C25" s="32" t="s">
        <v>69</v>
      </c>
      <c r="D25" s="168"/>
      <c r="E25" s="169"/>
      <c r="F25" s="169"/>
      <c r="G25" s="169"/>
      <c r="H25" s="169"/>
      <c r="I25" s="169">
        <v>1.0354107823078356</v>
      </c>
      <c r="J25" s="170">
        <v>1.3131461319198179E-2</v>
      </c>
      <c r="K25" s="16"/>
      <c r="M25" s="226" t="str">
        <f>IF(AND(New_Program=FALSE,ISBLANK($J$25)),"← ERROR! Enter Annual Loss Trend as a percentage in the 'Projected' column","")</f>
        <v/>
      </c>
      <c r="N25" s="6"/>
    </row>
    <row r="26" spans="1:14" ht="18" customHeight="1" x14ac:dyDescent="0.25">
      <c r="A26" s="30">
        <v>-12</v>
      </c>
      <c r="B26" s="31" t="s">
        <v>131</v>
      </c>
      <c r="C26" s="32" t="s">
        <v>69</v>
      </c>
      <c r="D26" s="168"/>
      <c r="E26" s="169"/>
      <c r="F26" s="169"/>
      <c r="G26" s="169"/>
      <c r="H26" s="169"/>
      <c r="I26" s="169">
        <v>1.0354107823078356</v>
      </c>
      <c r="J26" s="170">
        <v>1.3131461319198179E-2</v>
      </c>
      <c r="K26" s="16"/>
      <c r="M26" s="226" t="str">
        <f>IF(AND(New_Program=FALSE,ISBLANK($J$26)),"← ERROR! Enter Annual DCCE Trend as a percentage in the 'Projected' column","")</f>
        <v/>
      </c>
      <c r="N26" s="6"/>
    </row>
    <row r="27" spans="1:14" ht="18" customHeight="1" x14ac:dyDescent="0.25">
      <c r="A27" s="30">
        <v>-13</v>
      </c>
      <c r="B27" s="31" t="s">
        <v>62</v>
      </c>
      <c r="C27" s="32" t="s">
        <v>70</v>
      </c>
      <c r="D27" s="168"/>
      <c r="E27" s="169"/>
      <c r="F27" s="169"/>
      <c r="G27" s="169"/>
      <c r="H27" s="169"/>
      <c r="I27" s="169">
        <v>1.0582651631573166</v>
      </c>
      <c r="J27" s="16"/>
      <c r="K27" s="16"/>
      <c r="M27" s="75"/>
      <c r="N27" s="6"/>
    </row>
    <row r="28" spans="1:14" ht="18" customHeight="1" x14ac:dyDescent="0.25">
      <c r="A28" s="30">
        <v>-14</v>
      </c>
      <c r="B28" s="26" t="s">
        <v>727</v>
      </c>
      <c r="C28" s="32" t="s">
        <v>71</v>
      </c>
      <c r="D28" s="27"/>
      <c r="E28" s="16"/>
      <c r="F28" s="16"/>
      <c r="G28" s="16"/>
      <c r="H28" s="16"/>
      <c r="I28" s="16"/>
      <c r="J28" s="171">
        <v>1</v>
      </c>
      <c r="K28" s="16"/>
      <c r="M28" s="227"/>
      <c r="N28" s="6"/>
    </row>
    <row r="29" spans="1:14"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c r="N33" s="6"/>
    </row>
    <row r="34" spans="1:14"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c r="N34" s="6"/>
    </row>
    <row r="35" spans="1:14"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c r="N35" s="6"/>
    </row>
    <row r="36" spans="1:14" ht="5.0999999999999996" hidden="1" customHeight="1" x14ac:dyDescent="0.25">
      <c r="A36" s="14"/>
      <c r="B36" s="10"/>
      <c r="C36" s="11"/>
      <c r="D36" s="6"/>
      <c r="E36" s="6"/>
      <c r="F36" s="6"/>
      <c r="G36" s="6"/>
      <c r="H36" s="6"/>
      <c r="I36" s="6"/>
      <c r="J36" s="21"/>
      <c r="K36" s="126"/>
      <c r="M36" s="75"/>
      <c r="N36" s="6"/>
    </row>
    <row r="37" spans="1:14" ht="15" hidden="1" customHeight="1" x14ac:dyDescent="0.25">
      <c r="A37" s="14"/>
      <c r="B37" s="15" t="s">
        <v>337</v>
      </c>
      <c r="C37" s="11"/>
      <c r="D37" s="37"/>
      <c r="E37" s="37"/>
      <c r="F37" s="37"/>
      <c r="G37" s="37"/>
      <c r="H37" s="37"/>
      <c r="I37" s="37"/>
      <c r="J37" s="37"/>
      <c r="K37" s="37"/>
      <c r="M37" s="75"/>
      <c r="N37" s="6"/>
    </row>
    <row r="38" spans="1:14" ht="5.0999999999999996" hidden="1" customHeight="1" x14ac:dyDescent="0.25">
      <c r="A38" s="14"/>
      <c r="B38" s="10"/>
      <c r="C38" s="11"/>
      <c r="D38" s="37"/>
      <c r="E38" s="37"/>
      <c r="F38" s="37"/>
      <c r="G38" s="37"/>
      <c r="H38" s="37"/>
      <c r="I38" s="37"/>
      <c r="K38" s="37"/>
      <c r="M38" s="75"/>
      <c r="N38" s="6"/>
    </row>
    <row r="39" spans="1:14"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25">
      <c r="A40" s="30">
        <v>-20</v>
      </c>
      <c r="B40" s="31" t="s">
        <v>156</v>
      </c>
      <c r="C40" s="32" t="s">
        <v>111</v>
      </c>
      <c r="D40" s="16"/>
      <c r="E40" s="16"/>
      <c r="F40" s="16"/>
      <c r="G40" s="16"/>
      <c r="H40" s="16"/>
      <c r="I40" s="16"/>
      <c r="J40" s="170"/>
      <c r="K40" s="16"/>
      <c r="M40" s="227"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710</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706</v>
      </c>
      <c r="M47" s="226"/>
      <c r="N47" s="6"/>
    </row>
    <row r="48" spans="1:14" ht="17.25" customHeight="1" thickBot="1" x14ac:dyDescent="0.3">
      <c r="A48" s="6" t="s">
        <v>323</v>
      </c>
      <c r="M48" s="226"/>
      <c r="N48" s="6"/>
    </row>
    <row r="49" spans="1:15" ht="17.25" hidden="1" customHeight="1" x14ac:dyDescent="0.25">
      <c r="A49" s="6" t="s">
        <v>338</v>
      </c>
      <c r="J49" s="159"/>
      <c r="M49" s="172"/>
      <c r="N49" s="6"/>
    </row>
    <row r="50" spans="1:15" ht="17.25" hidden="1" customHeight="1" thickBot="1" x14ac:dyDescent="0.3">
      <c r="A50" s="6" t="s">
        <v>157</v>
      </c>
      <c r="J50" s="78"/>
      <c r="M50" s="76"/>
      <c r="N50" s="6"/>
    </row>
    <row r="51" spans="1:15" ht="20.100000000000001" customHeight="1" x14ac:dyDescent="0.25">
      <c r="A51" s="6"/>
      <c r="H51" s="656" t="s">
        <v>666</v>
      </c>
      <c r="I51" s="656"/>
      <c r="J51" s="656"/>
      <c r="K51" s="656"/>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we6RDrQNJDbABBGEUqbO33jtJdaiRrc+Yg9//jN6lznIqnShlEJ0+W1nJmrq8L6rtwW8HBmL8jeud6qZT0k2Nw==" saltValue="mYJHoNiid6ejlQvhQosM/Q=="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13" zoomScaleNormal="100" zoomScaleSheetLayoutView="100" workbookViewId="0">
      <selection activeCell="A32" sqref="A32"/>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Detailed_LineDesc03</f>
        <v>Homeowners Multiple Peril</v>
      </c>
      <c r="M10" s="226"/>
    </row>
    <row r="11" spans="1:13" ht="18" customHeight="1" x14ac:dyDescent="0.25">
      <c r="B11" s="7" t="s">
        <v>78</v>
      </c>
      <c r="G11" t="str">
        <f>Covg03</f>
        <v>Condominium Unitowners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103381139.01000001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97279106.609999999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1.0703545008635642</v>
      </c>
      <c r="J17" s="16"/>
      <c r="K17" s="16"/>
      <c r="M17" s="75"/>
    </row>
    <row r="18" spans="1:13" ht="18" customHeight="1" x14ac:dyDescent="0.25">
      <c r="A18" s="30">
        <v>-4</v>
      </c>
      <c r="B18" s="31" t="s">
        <v>130</v>
      </c>
      <c r="C18" s="32" t="s">
        <v>66</v>
      </c>
      <c r="D18" s="168"/>
      <c r="E18" s="169"/>
      <c r="F18" s="169"/>
      <c r="G18" s="169"/>
      <c r="H18" s="169"/>
      <c r="I18" s="169">
        <v>1.0916564682211432</v>
      </c>
      <c r="J18" s="170">
        <v>3.3424092622288404E-2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152652.13</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61817673.869999997</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742989.87</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1.1310178665795489</v>
      </c>
      <c r="J23" s="16"/>
      <c r="K23" s="16"/>
      <c r="M23" s="75"/>
    </row>
    <row r="24" spans="1:13" ht="18" customHeight="1" x14ac:dyDescent="0.25">
      <c r="A24" s="30">
        <v>-10</v>
      </c>
      <c r="B24" s="31" t="s">
        <v>61</v>
      </c>
      <c r="C24" s="32" t="s">
        <v>68</v>
      </c>
      <c r="D24" s="168"/>
      <c r="E24" s="169"/>
      <c r="F24" s="169"/>
      <c r="G24" s="169"/>
      <c r="H24" s="169"/>
      <c r="I24" s="169">
        <v>5.1027968051799952</v>
      </c>
      <c r="J24" s="16"/>
      <c r="K24" s="16"/>
      <c r="M24" s="75"/>
    </row>
    <row r="25" spans="1:13" ht="18" customHeight="1" x14ac:dyDescent="0.25">
      <c r="A25" s="30">
        <v>-11</v>
      </c>
      <c r="B25" s="31" t="s">
        <v>132</v>
      </c>
      <c r="C25" s="32" t="s">
        <v>69</v>
      </c>
      <c r="D25" s="168"/>
      <c r="E25" s="169"/>
      <c r="F25" s="169"/>
      <c r="G25" s="169"/>
      <c r="H25" s="169"/>
      <c r="I25" s="169">
        <v>1.1909574466867601</v>
      </c>
      <c r="J25" s="170">
        <v>6.7711175143383651E-2</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1.1909574466867601</v>
      </c>
      <c r="J26" s="170">
        <v>6.7711175143383651E-2</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1.0290896744097573</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667</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tzwA5zn0rwFez7uyiSJVRVOhF+DNmh/cOlR7SNG/VjPoEX1WJt4Qq+oS1KxWgD0XBgfEVMqddOW1rkBUAIQHEA==" saltValue="+ZuufitrpOQ8ucRlTY9OkQ=="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Detailed_LineDesc04</f>
        <v/>
      </c>
      <c r="M10" s="226"/>
    </row>
    <row r="11" spans="1:13" ht="18" customHeight="1" x14ac:dyDescent="0.25">
      <c r="B11" s="7" t="s">
        <v>78</v>
      </c>
      <c r="G11" t="str">
        <f>Covg04</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3" ht="17.25" hidden="1" customHeight="1" x14ac:dyDescent="0.25">
      <c r="A49" s="6" t="s">
        <v>338</v>
      </c>
      <c r="J49" s="159"/>
      <c r="M49" s="172"/>
    </row>
    <row r="50" spans="1:13" ht="17.25" hidden="1" customHeight="1" thickBot="1" x14ac:dyDescent="0.3">
      <c r="A50" s="6" t="s">
        <v>157</v>
      </c>
      <c r="J50" s="78"/>
      <c r="M50" s="76"/>
    </row>
    <row r="51" spans="1:13" ht="20.100000000000001" customHeight="1" x14ac:dyDescent="0.25">
      <c r="A51" s="6"/>
      <c r="H51" s="656" t="s">
        <v>668</v>
      </c>
      <c r="I51" s="656"/>
      <c r="J51" s="656"/>
      <c r="K51" s="656"/>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ciMJMhNVFUkXQl3hwUF+XjVr4b+xXEt1SBJ9o2d5o/q7OJ2DoJnzppHj2QPEsDEYlibrUlqCAZLv1mXoWr4swg==" saltValue="P1QQCSdoCzxhoqwrb4mEjg=="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Detailed_LineDesc05</f>
        <v/>
      </c>
      <c r="M10" s="226"/>
    </row>
    <row r="11" spans="1:13" ht="18" customHeight="1" x14ac:dyDescent="0.25">
      <c r="B11" s="7" t="s">
        <v>78</v>
      </c>
      <c r="G11" t="str">
        <f>Covg05</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669</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iuZPO4Im6lE8e27QWgo+SFh3Uf9Y8kn4IzlZgTLbsiisiHrqPu55zU93na9QAxAVhaqVhsNeOwvuPa8zaRQCAw==" saltValue="qWJ0q63ZhGuWqoLTErS7RA=="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Detailed_LineDesc06</f>
        <v/>
      </c>
      <c r="M10" s="226"/>
    </row>
    <row r="11" spans="1:13" ht="18" customHeight="1" x14ac:dyDescent="0.25">
      <c r="B11" s="7" t="s">
        <v>78</v>
      </c>
      <c r="G11" t="str">
        <f>Covg06</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670</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RZJk20nCPSlIo7ZPfCIFg22NiNOgBg1JA2hpI/FDHkpoGfRqOeTUpa09HR5K3Qmnmkqx7AzW1iJBAvXdssiAxA==" saltValue="wL0F3A1RS9VK01ndqKJoaA=="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Detailed_LineDesc07</f>
        <v/>
      </c>
      <c r="M10" s="226"/>
    </row>
    <row r="11" spans="1:13" ht="18" customHeight="1" x14ac:dyDescent="0.25">
      <c r="B11" s="7" t="s">
        <v>78</v>
      </c>
      <c r="G11" t="str">
        <f>Covg07</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671</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bmWpb4WAg2NfuuhpA+z/m6S0qyxZbkuvObQz27IdEP6r4hrHY+9Wm5t5T7OEh4E9XwanKUyYfc7BaQ8PsksxKQ==" saltValue="x7Zbjbbg7Sueutzqpd9viQ=="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79"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Detailed_LineDesc08</f>
        <v/>
      </c>
      <c r="M10" s="226"/>
    </row>
    <row r="11" spans="1:13" ht="18" customHeight="1" x14ac:dyDescent="0.25">
      <c r="B11" s="7" t="s">
        <v>78</v>
      </c>
      <c r="G11" t="str">
        <f>Covg08</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672</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FWlc1f8MK1VRlXJ22RQ2NcMVAP7K6HRzeJF6s5Ukt5LBPvtSllEmm1rVwffAXg4OzAlmPjnVqMvLNoMultJx7A==" saltValue="kM7t3eThwodc2OdiCDlYqw=="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Detailed_LineDesc09</f>
        <v/>
      </c>
      <c r="M10" s="226"/>
    </row>
    <row r="11" spans="1:13" ht="18" customHeight="1" x14ac:dyDescent="0.25">
      <c r="B11" s="7" t="s">
        <v>78</v>
      </c>
      <c r="G11" t="str">
        <f>Covg09</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673</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TXFQnld0V19UjoBUodvGkLrEv4Js+9CVh294jy1Mx+70kd9cicRkK4C80SfWDoawLSqdTFwCGD2Y31uhoPjbCw==" saltValue="q+n16QmICZPhMDC+kGJ29A=="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Detailed_LineDesc10</f>
        <v/>
      </c>
      <c r="M10" s="226"/>
    </row>
    <row r="11" spans="1:13" ht="18" customHeight="1" x14ac:dyDescent="0.25">
      <c r="B11" s="7" t="s">
        <v>78</v>
      </c>
      <c r="G11" t="str">
        <f>Covg10</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674</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TgqwQ//52grB///8tAe/f21eYgsMaAmlWcrrCRvXcdE5vKtozPfyfqElaEkfwcBiG0VO7UqYOYUklhcyFv/3hg==" saltValue="0T4wBw6FbwhmgqeHYE8Vmg=="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40" zoomScaleNormal="100" zoomScaleSheetLayoutView="100" workbookViewId="0">
      <selection activeCell="A32" sqref="A32"/>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IF('6.1Ratemaking Data'!$K$7="","VARIANCE - NONE","VARIANCE "&amp;'6.1Ratemaking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EffDate_Prior01</f>
        <v>45078</v>
      </c>
    </row>
    <row r="10" spans="1:8" ht="15" customHeight="1" x14ac:dyDescent="0.25">
      <c r="A10" s="6" t="s">
        <v>170</v>
      </c>
      <c r="B10" s="52"/>
      <c r="H10" s="161">
        <f>EffDate_Proposed</f>
        <v>45366</v>
      </c>
    </row>
    <row r="11" spans="1:8" ht="15" customHeight="1" x14ac:dyDescent="0.25">
      <c r="A11" s="6" t="s">
        <v>77</v>
      </c>
      <c r="B11" s="52"/>
      <c r="H11" s="23" t="str">
        <f>Detailed_LineDesc01</f>
        <v>Homeowners Multiple Peril</v>
      </c>
    </row>
    <row r="12" spans="1:8" ht="15" customHeight="1" x14ac:dyDescent="0.25">
      <c r="A12" s="6" t="s">
        <v>78</v>
      </c>
      <c r="B12" s="52"/>
      <c r="H12" s="23" t="str">
        <f>Covg01</f>
        <v>Non-Tenant Homeowners</v>
      </c>
    </row>
    <row r="13" spans="1:8" ht="15" customHeight="1" x14ac:dyDescent="0.25">
      <c r="H13" s="511"/>
    </row>
    <row r="14" spans="1:8" ht="9.9499999999999993" customHeight="1" x14ac:dyDescent="0.25"/>
    <row r="15" spans="1:8" ht="15.75" thickBot="1" x14ac:dyDescent="0.3">
      <c r="A15" s="7" t="s">
        <v>171</v>
      </c>
      <c r="B15" s="228" t="str">
        <f>'6.1Ratemaking Data'!D$14</f>
        <v>20172</v>
      </c>
      <c r="C15" s="228" t="str">
        <f>'6.1Ratemaking Data'!E$14</f>
        <v>20182</v>
      </c>
      <c r="D15" s="228" t="str">
        <f>'6.1Ratemaking Data'!F$14</f>
        <v>20192</v>
      </c>
      <c r="E15" s="228" t="str">
        <f>'6.1Ratemaking Data'!G$14</f>
        <v>20202</v>
      </c>
      <c r="F15" s="228" t="str">
        <f>'6.1Ratemaking Data'!H$14</f>
        <v>20212</v>
      </c>
      <c r="G15" s="228">
        <f>'6.1Ratemaking Data'!I$14</f>
        <v>20222</v>
      </c>
      <c r="H15" s="91" t="s">
        <v>306</v>
      </c>
    </row>
    <row r="16" spans="1:8" x14ac:dyDescent="0.25">
      <c r="A16" s="114" t="s">
        <v>173</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1901145824.1900001</v>
      </c>
      <c r="H16" s="116">
        <f>IF(New_Program=TRUE,'6.1Ratemaking Data'!$K$15,SUM($B16:$G16))</f>
        <v>1901145824.1900001</v>
      </c>
    </row>
    <row r="17" spans="1:10" x14ac:dyDescent="0.25">
      <c r="A17" s="117" t="s">
        <v>172</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1706464268.8299999</v>
      </c>
      <c r="H17" s="119">
        <f>IF(New_Program=TRUE,'6.1Ratemaking Data'!$K$16,SUM($B17:$G17))</f>
        <v>1706464268.8299999</v>
      </c>
    </row>
    <row r="18" spans="1:10" x14ac:dyDescent="0.25">
      <c r="A18" s="117" t="s">
        <v>174</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1.1562743942203026</v>
      </c>
      <c r="H18" s="121"/>
    </row>
    <row r="19" spans="1:10" x14ac:dyDescent="0.25">
      <c r="A19" s="117" t="s">
        <v>175</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1.1465052287755784</v>
      </c>
      <c r="H19" s="127">
        <f>IF(New_Program=TRUE,0,'6.1Ratemaking Data'!$J$18)</f>
        <v>5.2592572800646886E-2</v>
      </c>
    </row>
    <row r="20" spans="1:10" x14ac:dyDescent="0.25">
      <c r="A20" s="117" t="s">
        <v>176</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177</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1204361.24</v>
      </c>
      <c r="H21" s="119">
        <f>IF(New_Program=TRUE,'6.1Ratemaking Data'!$K$20,SUM($B21:$G21))</f>
        <v>1204361.24</v>
      </c>
      <c r="J21" s="111"/>
    </row>
    <row r="22" spans="1:10" x14ac:dyDescent="0.25">
      <c r="A22" s="117" t="s">
        <v>178</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790929424.91999996</v>
      </c>
      <c r="H22" s="119">
        <f>IF(New_Program=TRUE,'6.1Ratemaking Data'!$K$21,SUM($B22:$G22))</f>
        <v>790929424.91999996</v>
      </c>
      <c r="J22" s="111"/>
    </row>
    <row r="23" spans="1:10" x14ac:dyDescent="0.25">
      <c r="A23" s="117" t="s">
        <v>144</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6326873.7000000002</v>
      </c>
      <c r="H23" s="119">
        <f>IF(New_Program=TRUE,'6.1Ratemaking Data'!$K$22,SUM($B23:$G23))</f>
        <v>6326873.7000000002</v>
      </c>
      <c r="J23" s="111"/>
    </row>
    <row r="24" spans="1:10" x14ac:dyDescent="0.25">
      <c r="A24" s="117" t="s">
        <v>181</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1.2434207039947311</v>
      </c>
      <c r="H24" s="121"/>
    </row>
    <row r="25" spans="1:10" x14ac:dyDescent="0.25">
      <c r="A25" s="117" t="s">
        <v>182</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7.1615927338018581</v>
      </c>
      <c r="H25" s="121"/>
    </row>
    <row r="26" spans="1:10" x14ac:dyDescent="0.25">
      <c r="A26" s="117" t="s">
        <v>179</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1.3147039542110304</v>
      </c>
      <c r="H26" s="127">
        <f>IF(New_Program=TRUE,0,'6.1Ratemaking Data'!$J$25)</f>
        <v>0.10802371037361769</v>
      </c>
    </row>
    <row r="27" spans="1:10" x14ac:dyDescent="0.25">
      <c r="A27" s="117" t="s">
        <v>180</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1.3147039542110304</v>
      </c>
      <c r="H27" s="127">
        <f>IF(New_Program=TRUE,0,'6.1Ratemaking Data'!$J$26)</f>
        <v>0.10802371037361769</v>
      </c>
    </row>
    <row r="28" spans="1:10" x14ac:dyDescent="0.25">
      <c r="A28" s="117" t="s">
        <v>183</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1.3680223184116183</v>
      </c>
      <c r="H28" s="121"/>
    </row>
    <row r="29" spans="1:10" ht="15.75" thickBot="1" x14ac:dyDescent="0.3">
      <c r="A29" s="133" t="s">
        <v>188</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184</v>
      </c>
      <c r="B30" s="122"/>
      <c r="C30" s="122"/>
      <c r="D30" s="122"/>
      <c r="E30" s="122"/>
      <c r="F30" s="122"/>
      <c r="G30" s="122"/>
      <c r="H30" s="127">
        <f>IF(New_Program=TRUE,100%,'6.1Ratemaking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EffStd_Final01</f>
        <v>0.33989442694828298</v>
      </c>
    </row>
    <row r="38" spans="1:9" x14ac:dyDescent="0.25">
      <c r="A38" s="117" t="s">
        <v>191</v>
      </c>
      <c r="B38" s="77"/>
      <c r="C38" s="77"/>
      <c r="D38" s="77"/>
      <c r="E38" s="77"/>
      <c r="F38" s="577" t="s">
        <v>317</v>
      </c>
      <c r="G38" s="578">
        <f>update_leverage</f>
        <v>2021</v>
      </c>
      <c r="H38" s="162">
        <f ca="1">LevFact_Final01</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1/LevFact_Final01</f>
        <v>1.0922734462702384</v>
      </c>
    </row>
    <row r="41" spans="1:9" x14ac:dyDescent="0.25">
      <c r="A41" s="117" t="s">
        <v>198</v>
      </c>
      <c r="B41" s="77"/>
      <c r="C41" s="77"/>
      <c r="D41" s="77"/>
      <c r="E41" s="77"/>
      <c r="F41" s="577" t="s">
        <v>317</v>
      </c>
      <c r="G41" s="578">
        <f>update_reserveratios</f>
        <v>2021</v>
      </c>
      <c r="H41" s="163">
        <f ca="1">ResRatio_UPR01</f>
        <v>0.52182970801271056</v>
      </c>
    </row>
    <row r="42" spans="1:9" x14ac:dyDescent="0.25">
      <c r="A42" s="117" t="s">
        <v>194</v>
      </c>
      <c r="B42" s="77"/>
      <c r="C42" s="77"/>
      <c r="D42" s="77"/>
      <c r="E42" s="77"/>
      <c r="F42" s="577" t="s">
        <v>317</v>
      </c>
      <c r="G42" s="578">
        <f>update_reserveratios</f>
        <v>2021</v>
      </c>
      <c r="H42" s="163">
        <f ca="1">ResRatio_Loss01</f>
        <v>1.3010095886105004</v>
      </c>
    </row>
    <row r="43" spans="1:9" x14ac:dyDescent="0.25">
      <c r="A43" s="117" t="s">
        <v>195</v>
      </c>
      <c r="B43" s="77"/>
      <c r="C43" s="77"/>
      <c r="D43" s="77"/>
      <c r="E43" s="77"/>
      <c r="F43" s="574" t="s">
        <v>317</v>
      </c>
      <c r="G43" s="574"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'6.1Ratemaking Data'!D$14</f>
        <v>20172</v>
      </c>
      <c r="C47" s="228" t="str">
        <f>'6.1Ratemaking Data'!E$14</f>
        <v>20182</v>
      </c>
      <c r="D47" s="228" t="str">
        <f>'6.1Ratemaking Data'!F$14</f>
        <v>20192</v>
      </c>
      <c r="E47" s="228" t="str">
        <f>'6.1Ratemaking Data'!G$14</f>
        <v>20202</v>
      </c>
      <c r="F47" s="228" t="str">
        <f>'6.1Ratemaking Data'!H$14</f>
        <v>20212</v>
      </c>
      <c r="G47" s="228">
        <f>'6.1Ratemaking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2262216403.3307028</v>
      </c>
      <c r="H48" s="116">
        <f>IF(New_Program=TRUE,(Prem_Earned+Misc_Fees),SUM($B48:$G48))</f>
        <v>2262216403.3307028</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1768792870.9897549</v>
      </c>
      <c r="H49" s="119">
        <f>IF(New_Program=TRUE,Losses,SUM($B49:$G49))</f>
        <v>1768792870.9897549</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81492930.739325464</v>
      </c>
      <c r="H50" s="119">
        <f>IF(New_Program=TRUE,DCCE,SUM($B50:$G50))</f>
        <v>81492930.739325464</v>
      </c>
    </row>
    <row r="51" spans="1:9" x14ac:dyDescent="0.25">
      <c r="A51" s="117" t="s">
        <v>202</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0.81790840124970832</v>
      </c>
      <c r="H51" s="127">
        <f t="shared" si="6"/>
        <v>0.81790840124970832</v>
      </c>
    </row>
    <row r="52" spans="1:9" x14ac:dyDescent="0.25">
      <c r="A52" s="117" t="s">
        <v>215</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1878.3537099970958</v>
      </c>
      <c r="H52" s="130">
        <f t="shared" si="7"/>
        <v>1878.3537099970958</v>
      </c>
    </row>
    <row r="53" spans="1:9" x14ac:dyDescent="0.25">
      <c r="A53" s="117" t="s">
        <v>203</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1536.321279925183</v>
      </c>
      <c r="H53" s="130">
        <f t="shared" si="8"/>
        <v>1536.321279925183</v>
      </c>
    </row>
    <row r="54" spans="1:9" x14ac:dyDescent="0.25">
      <c r="A54" s="117" t="s">
        <v>204</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1244.082179672703</v>
      </c>
      <c r="H54" s="130">
        <f t="shared" ca="1" si="9"/>
        <v>1244.082179672703</v>
      </c>
    </row>
    <row r="55" spans="1:9" x14ac:dyDescent="0.25">
      <c r="A55" s="117" t="s">
        <v>214</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1536.321279925183</v>
      </c>
      <c r="H55" s="130">
        <f t="shared" ca="1" si="10"/>
        <v>1536.321279925183</v>
      </c>
    </row>
    <row r="56" spans="1:9" ht="15.75" thickBot="1" x14ac:dyDescent="0.3">
      <c r="A56" s="133" t="s">
        <v>216</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217</v>
      </c>
      <c r="B57" s="77"/>
      <c r="C57" s="77"/>
      <c r="D57" s="77"/>
      <c r="E57" s="77"/>
      <c r="F57" s="77"/>
      <c r="G57" s="77"/>
      <c r="H57" s="127">
        <f ca="1">Yield*((1-FIT_Inv)/(1-FIT_UW))*ResRatio_Loss01</f>
        <v>6.0417189562510278E-2</v>
      </c>
    </row>
    <row r="58" spans="1:9" x14ac:dyDescent="0.25">
      <c r="A58" s="117" t="s">
        <v>218</v>
      </c>
      <c r="B58" s="77"/>
      <c r="C58" s="77"/>
      <c r="D58" s="77"/>
      <c r="E58" s="77"/>
      <c r="F58" s="77"/>
      <c r="G58" s="77"/>
      <c r="H58" s="127">
        <f ca="1">Yield*((1-FIT_Inv)/(1-FIT_UW))*(ResRatio_UPR01+SurplusRatio)</f>
        <v>7.4956846666988208E-2</v>
      </c>
    </row>
    <row r="59" spans="1:9" x14ac:dyDescent="0.25">
      <c r="A59" s="117" t="s">
        <v>206</v>
      </c>
      <c r="B59" s="128"/>
      <c r="C59" s="128"/>
      <c r="D59" s="128"/>
      <c r="E59" s="128"/>
      <c r="F59" s="128"/>
      <c r="G59" s="128"/>
      <c r="H59" s="127">
        <f>(1+Loss_AnnualTrend)/(1+Prem_AnnualTrend)-1</f>
        <v>5.2661532111597964E-2</v>
      </c>
    </row>
    <row r="60" spans="1:9" x14ac:dyDescent="0.25">
      <c r="A60" s="117" t="s">
        <v>205</v>
      </c>
      <c r="B60" s="128"/>
      <c r="C60" s="128"/>
      <c r="D60" s="128"/>
      <c r="E60" s="128"/>
      <c r="F60" s="128"/>
      <c r="G60" s="128"/>
      <c r="H60" s="127">
        <f>IF(New_Program=TRUE,0,(1+Net_AnnualTrend)^MIN(4,((EffDate_Proposed-EffDate_Prior01)/365.25))-1)</f>
        <v>4.1297208913504191E-2</v>
      </c>
    </row>
    <row r="61" spans="1:9" x14ac:dyDescent="0.25">
      <c r="A61" s="117" t="s">
        <v>207</v>
      </c>
      <c r="B61" s="128"/>
      <c r="C61" s="128"/>
      <c r="D61" s="128"/>
      <c r="E61" s="128"/>
      <c r="F61" s="128"/>
      <c r="G61" s="128"/>
      <c r="H61" s="127">
        <f ca="1">(ROR_Max)/(LevFact_Final01*(1-FIT_UW))</f>
        <v>0.13743288678387552</v>
      </c>
    </row>
    <row r="62" spans="1:9" x14ac:dyDescent="0.25">
      <c r="A62" s="117" t="s">
        <v>208</v>
      </c>
      <c r="B62" s="77"/>
      <c r="C62" s="77"/>
      <c r="D62" s="77"/>
      <c r="E62" s="77"/>
      <c r="F62" s="77"/>
      <c r="G62" s="77"/>
      <c r="H62" s="127">
        <f ca="1">(ROR_Min)/(LevFact_Final01*(1-FIT_UW))</f>
        <v>-8.2957476931916824E-2</v>
      </c>
    </row>
    <row r="63" spans="1:9" x14ac:dyDescent="0.25">
      <c r="A63" s="117" t="s">
        <v>209</v>
      </c>
      <c r="B63" s="77"/>
      <c r="C63" s="77"/>
      <c r="D63" s="77"/>
      <c r="E63" s="77"/>
      <c r="F63" s="77"/>
      <c r="G63" s="77"/>
      <c r="H63" s="127">
        <f ca="1">1-CredLossDCCE_perExp/Max_Premium-EffStd_Final01</f>
        <v>2.4047179586046186E-2</v>
      </c>
      <c r="I63" s="204"/>
    </row>
    <row r="64" spans="1:9" x14ac:dyDescent="0.25">
      <c r="A64" s="117" t="s">
        <v>211</v>
      </c>
      <c r="B64" s="77"/>
      <c r="C64" s="77"/>
      <c r="D64" s="77"/>
      <c r="E64" s="77"/>
      <c r="F64" s="77"/>
      <c r="G64" s="77"/>
      <c r="H64" s="129">
        <f ca="1">1-EffStd_Final01-Min_Profit+InvInc_Variable</f>
        <v>0.81801989665062202</v>
      </c>
      <c r="I64" s="204"/>
    </row>
    <row r="65" spans="1:9" x14ac:dyDescent="0.25">
      <c r="A65" s="117" t="s">
        <v>210</v>
      </c>
      <c r="B65" s="77"/>
      <c r="C65" s="77"/>
      <c r="D65" s="77"/>
      <c r="E65" s="77"/>
      <c r="F65" s="77"/>
      <c r="G65" s="77"/>
      <c r="H65" s="129">
        <f ca="1">1-EffStd_Final01-Max_Profit+InvInc_Variable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1764.6283077434084</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2415.3777321517273</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-6.0545253882913923E-2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0.28590143554776049</v>
      </c>
      <c r="I69" s="396"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233</v>
      </c>
      <c r="B71" s="228" t="str">
        <f>'6.1Ratemaking Data'!D$14</f>
        <v>20172</v>
      </c>
      <c r="C71" s="228" t="str">
        <f>'6.1Ratemaking Data'!E$14</f>
        <v>20182</v>
      </c>
      <c r="D71" s="228" t="str">
        <f>'6.1Ratemaking Data'!F$14</f>
        <v>20192</v>
      </c>
      <c r="E71" s="228" t="str">
        <f>'6.1Ratemaking Data'!G$14</f>
        <v>20202</v>
      </c>
      <c r="F71" s="228" t="str">
        <f>'6.1Ratemaking Data'!H$14</f>
        <v>20212</v>
      </c>
      <c r="G71" s="228">
        <f>'6.1Ratemaking Data'!I$14</f>
        <v>20222</v>
      </c>
    </row>
    <row r="72" spans="1:9" hidden="1" x14ac:dyDescent="0.25">
      <c r="A72" s="114" t="s">
        <v>232</v>
      </c>
      <c r="B72" s="125"/>
      <c r="C72" s="125"/>
      <c r="D72" s="125"/>
      <c r="E72" s="125"/>
      <c r="F72" s="125"/>
      <c r="G72" s="125"/>
      <c r="H72" s="131" t="str">
        <f>IF(ISBLANK('6.1Ratemaking Data'!J44),"",'6.1Ratemaking Data'!J44)</f>
        <v/>
      </c>
    </row>
    <row r="73" spans="1:9" hidden="1" x14ac:dyDescent="0.25">
      <c r="A73" s="117" t="s">
        <v>219</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220</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221</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222</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223</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57" t="s">
        <v>600</v>
      </c>
      <c r="G80" s="657"/>
      <c r="H80" s="657"/>
    </row>
    <row r="81" spans="1:1" x14ac:dyDescent="0.25">
      <c r="A81" s="132"/>
    </row>
  </sheetData>
  <sheetProtection algorithmName="SHA-512" hashValue="df8/uC9MwTSxWz7vtfYS1o/TQTjuOp26wbfR/4E5/HiVxzui96RCwyhlYG9JAHDz4+GWB4U04d8/VtIiEtK+GA==" saltValue="dKgI3sV8CHfmm+PCmxwMpw=="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zoomScaleNormal="100" zoomScaleSheetLayoutView="100" workbookViewId="0">
      <selection activeCell="A32" sqref="A32"/>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IF('6.2Ratemaking Data'!$K$7="","VARIANCE - NONE","VARIANCE "&amp;'6.2Ratemaking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EffDate_Prior02</f>
        <v>44287</v>
      </c>
    </row>
    <row r="10" spans="1:8" ht="15" customHeight="1" x14ac:dyDescent="0.25">
      <c r="A10" s="6" t="s">
        <v>170</v>
      </c>
      <c r="B10" s="52"/>
      <c r="H10" s="161">
        <f>EffDate_Proposed</f>
        <v>45366</v>
      </c>
    </row>
    <row r="11" spans="1:8" ht="15" customHeight="1" x14ac:dyDescent="0.25">
      <c r="A11" s="6" t="s">
        <v>77</v>
      </c>
      <c r="B11" s="52"/>
      <c r="H11" s="23" t="str">
        <f>Detailed_LineDesc02</f>
        <v>Homeowners Multiple Peril</v>
      </c>
    </row>
    <row r="12" spans="1:8" ht="15" customHeight="1" x14ac:dyDescent="0.25">
      <c r="A12" s="6" t="s">
        <v>78</v>
      </c>
      <c r="B12" s="52"/>
      <c r="H12" s="23" t="str">
        <f>Covg02</f>
        <v>Renters</v>
      </c>
    </row>
    <row r="13" spans="1:8" ht="15" customHeight="1" x14ac:dyDescent="0.25">
      <c r="H13" s="511"/>
    </row>
    <row r="14" spans="1:8" ht="9.9499999999999993" customHeight="1" x14ac:dyDescent="0.25"/>
    <row r="15" spans="1:8" ht="15.75" thickBot="1" x14ac:dyDescent="0.3">
      <c r="A15" s="7" t="s">
        <v>171</v>
      </c>
      <c r="B15" s="228" t="str">
        <f>'6.2Ratemaking Data'!D$14</f>
        <v>20172</v>
      </c>
      <c r="C15" s="228" t="str">
        <f>'6.2Ratemaking Data'!E$14</f>
        <v>20182</v>
      </c>
      <c r="D15" s="228" t="str">
        <f>'6.2Ratemaking Data'!F$14</f>
        <v>20192</v>
      </c>
      <c r="E15" s="228" t="str">
        <f>'6.2Ratemaking Data'!G$14</f>
        <v>20202</v>
      </c>
      <c r="F15" s="228" t="str">
        <f>'6.2Ratemaking Data'!H$14</f>
        <v>20212</v>
      </c>
      <c r="G15" s="228">
        <f>'6.2Ratemaking Data'!I$14</f>
        <v>20222</v>
      </c>
      <c r="H15" s="91" t="s">
        <v>306</v>
      </c>
    </row>
    <row r="16" spans="1:8" x14ac:dyDescent="0.25">
      <c r="A16" s="114" t="s">
        <v>173</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90390186.269999996</v>
      </c>
      <c r="H16" s="116">
        <f>IF(New_Program=TRUE,'6.2Ratemaking Data'!$K$15,SUM($B16:$G16))</f>
        <v>90390186.269999996</v>
      </c>
    </row>
    <row r="17" spans="1:10" x14ac:dyDescent="0.25">
      <c r="A17" s="117" t="s">
        <v>172</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88738833.760000005</v>
      </c>
      <c r="H17" s="119">
        <f>IF(New_Program=TRUE,'6.2Ratemaking Data'!$K$16,SUM($B17:$G17))</f>
        <v>88738833.760000005</v>
      </c>
    </row>
    <row r="18" spans="1:10" x14ac:dyDescent="0.25">
      <c r="A18" s="117" t="s">
        <v>174</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1.0030433776122234</v>
      </c>
      <c r="H18" s="121"/>
    </row>
    <row r="19" spans="1:10" x14ac:dyDescent="0.25">
      <c r="A19" s="117" t="s">
        <v>175</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1.0078915968638522</v>
      </c>
      <c r="H19" s="127">
        <f>IF(New_Program=TRUE,0,'6.2Ratemaking Data'!$J$18)</f>
        <v>2.9513230952369351E-3</v>
      </c>
    </row>
    <row r="20" spans="1:10" x14ac:dyDescent="0.25">
      <c r="A20" s="117" t="s">
        <v>176</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177</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541333.94999999995</v>
      </c>
      <c r="H21" s="119">
        <f>IF(New_Program=TRUE,'6.2Ratemaking Data'!$K$20,SUM($B21:$G21))</f>
        <v>541333.94999999995</v>
      </c>
      <c r="J21" s="111"/>
    </row>
    <row r="22" spans="1:10" x14ac:dyDescent="0.25">
      <c r="A22" s="117" t="s">
        <v>178</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41112306.979999997</v>
      </c>
      <c r="H22" s="119">
        <f>IF(New_Program=TRUE,'6.2Ratemaking Data'!$K$21,SUM($B22:$G22))</f>
        <v>41112306.979999997</v>
      </c>
      <c r="J22" s="111"/>
    </row>
    <row r="23" spans="1:10" x14ac:dyDescent="0.25">
      <c r="A23" s="117" t="s">
        <v>144</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334101.88</v>
      </c>
      <c r="H23" s="119">
        <f>IF(New_Program=TRUE,'6.2Ratemaking Data'!$K$22,SUM($B23:$G23))</f>
        <v>334101.88</v>
      </c>
      <c r="J23" s="111"/>
    </row>
    <row r="24" spans="1:10" x14ac:dyDescent="0.25">
      <c r="A24" s="117" t="s">
        <v>181</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1.2462101268606165</v>
      </c>
      <c r="H24" s="121"/>
    </row>
    <row r="25" spans="1:10" x14ac:dyDescent="0.25">
      <c r="A25" s="117" t="s">
        <v>182</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5.842402577799886</v>
      </c>
      <c r="H25" s="121"/>
    </row>
    <row r="26" spans="1:10" x14ac:dyDescent="0.25">
      <c r="A26" s="117" t="s">
        <v>179</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1.0354107823078356</v>
      </c>
      <c r="H26" s="127">
        <f>IF(New_Program=TRUE,0,'6.2Ratemaking Data'!$J$25)</f>
        <v>1.3131461319198179E-2</v>
      </c>
    </row>
    <row r="27" spans="1:10" x14ac:dyDescent="0.25">
      <c r="A27" s="117" t="s">
        <v>180</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1.0354107823078356</v>
      </c>
      <c r="H27" s="127">
        <f>IF(New_Program=TRUE,0,'6.2Ratemaking Data'!$J$26)</f>
        <v>1.3131461319198179E-2</v>
      </c>
    </row>
    <row r="28" spans="1:10" x14ac:dyDescent="0.25">
      <c r="A28" s="117" t="s">
        <v>183</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1.0582651631573166</v>
      </c>
      <c r="H28" s="121"/>
    </row>
    <row r="29" spans="1:10" ht="15.75" thickBot="1" x14ac:dyDescent="0.3">
      <c r="A29" s="133" t="s">
        <v>188</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184</v>
      </c>
      <c r="B30" s="122"/>
      <c r="C30" s="122"/>
      <c r="D30" s="122"/>
      <c r="E30" s="122"/>
      <c r="F30" s="122"/>
      <c r="G30" s="122"/>
      <c r="H30" s="127">
        <f>IF(New_Program=TRUE,100%,'6.2Ratemaking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EffStd_Final02</f>
        <v>0.33989442694828298</v>
      </c>
    </row>
    <row r="38" spans="1:9" x14ac:dyDescent="0.25">
      <c r="A38" s="117" t="s">
        <v>191</v>
      </c>
      <c r="B38" s="77"/>
      <c r="C38" s="77"/>
      <c r="D38" s="77"/>
      <c r="E38" s="77"/>
      <c r="F38" s="577" t="s">
        <v>317</v>
      </c>
      <c r="G38" s="578">
        <f>update_leverage</f>
        <v>2021</v>
      </c>
      <c r="H38" s="162">
        <f ca="1">LevFact_Final02</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1/LevFact_Final02</f>
        <v>1.0922734462702384</v>
      </c>
    </row>
    <row r="41" spans="1:9" x14ac:dyDescent="0.25">
      <c r="A41" s="117" t="s">
        <v>198</v>
      </c>
      <c r="B41" s="77"/>
      <c r="C41" s="77"/>
      <c r="D41" s="77"/>
      <c r="E41" s="77"/>
      <c r="F41" s="577" t="s">
        <v>317</v>
      </c>
      <c r="G41" s="578">
        <f>update_reserveratios</f>
        <v>2021</v>
      </c>
      <c r="H41" s="163">
        <f ca="1">ResRatio_UPR02</f>
        <v>0.52182970801271056</v>
      </c>
    </row>
    <row r="42" spans="1:9" x14ac:dyDescent="0.25">
      <c r="A42" s="117" t="s">
        <v>194</v>
      </c>
      <c r="B42" s="77"/>
      <c r="C42" s="77"/>
      <c r="D42" s="77"/>
      <c r="E42" s="77"/>
      <c r="F42" s="577" t="s">
        <v>317</v>
      </c>
      <c r="G42" s="578">
        <f>update_reserveratios</f>
        <v>2021</v>
      </c>
      <c r="H42" s="163">
        <f ca="1">ResRatio_Loss02</f>
        <v>1.3010095886105004</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'6.2Ratemaking Data'!D$14</f>
        <v>20172</v>
      </c>
      <c r="C47" s="228" t="str">
        <f>'6.2Ratemaking Data'!E$14</f>
        <v>20182</v>
      </c>
      <c r="D47" s="228" t="str">
        <f>'6.2Ratemaking Data'!F$14</f>
        <v>20192</v>
      </c>
      <c r="E47" s="228" t="str">
        <f>'6.2Ratemaking Data'!G$14</f>
        <v>20202</v>
      </c>
      <c r="F47" s="228" t="str">
        <f>'6.2Ratemaking Data'!H$14</f>
        <v>20212</v>
      </c>
      <c r="G47" s="228">
        <f>'6.2Ratemaking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89711321.892464802</v>
      </c>
      <c r="H48" s="116">
        <f>IF(New_Program=TRUE,(Prem_Earned+Misc_Fees),SUM($B48:$G48))</f>
        <v>89711321.892464802</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56139728.331776448</v>
      </c>
      <c r="H49" s="119">
        <f>IF(New_Program=TRUE,Losses,SUM($B49:$G49))</f>
        <v>56139728.331776448</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2138836.4749983111</v>
      </c>
      <c r="H50" s="119">
        <f>IF(New_Program=TRUE,DCCE,SUM($B50:$G50))</f>
        <v>2138836.4749983111</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0.64962329812319708</v>
      </c>
      <c r="H51" s="127">
        <f t="shared" si="3"/>
        <v>0.64962329812319708</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165.72269648424012</v>
      </c>
      <c r="H52" s="130">
        <f t="shared" si="4"/>
        <v>165.72269648424012</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107.65732466396162</v>
      </c>
      <c r="H53" s="130">
        <f t="shared" si="5"/>
        <v>107.65732466396162</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108.60146478299848</v>
      </c>
      <c r="H54" s="130">
        <f t="shared" ca="1" si="6"/>
        <v>108.60146478299848</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107.65732466396162</v>
      </c>
      <c r="H55" s="130">
        <f t="shared" ca="1" si="7"/>
        <v>107.65732466396162</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Yield*((1-FIT_Inv)/(1-FIT_UW))*ResRatio_Loss02</f>
        <v>6.0417189562510278E-2</v>
      </c>
    </row>
    <row r="58" spans="1:9" x14ac:dyDescent="0.25">
      <c r="A58" s="117" t="s">
        <v>218</v>
      </c>
      <c r="B58" s="77"/>
      <c r="C58" s="77"/>
      <c r="D58" s="77"/>
      <c r="E58" s="77"/>
      <c r="F58" s="77"/>
      <c r="G58" s="77"/>
      <c r="H58" s="127">
        <f ca="1">Yield*((1-FIT_Inv)/(1-FIT_UW))*(ResRatio_UPR02+SurplusRatio)</f>
        <v>7.4956846666988208E-2</v>
      </c>
    </row>
    <row r="59" spans="1:9" x14ac:dyDescent="0.25">
      <c r="A59" s="117" t="s">
        <v>206</v>
      </c>
      <c r="B59" s="128"/>
      <c r="C59" s="128"/>
      <c r="D59" s="128"/>
      <c r="E59" s="128"/>
      <c r="F59" s="128"/>
      <c r="G59" s="128"/>
      <c r="H59" s="127">
        <f>(1+Loss_AnnualTrend)/(1+Prem_AnnualTrend)-1</f>
        <v>1.0150181758117549E-2</v>
      </c>
    </row>
    <row r="60" spans="1:9" x14ac:dyDescent="0.25">
      <c r="A60" s="117" t="s">
        <v>205</v>
      </c>
      <c r="B60" s="128"/>
      <c r="C60" s="128"/>
      <c r="D60" s="128"/>
      <c r="E60" s="128"/>
      <c r="F60" s="128"/>
      <c r="G60" s="128"/>
      <c r="H60" s="127">
        <f>IF(New_Program=TRUE,0,(1+Net_AnnualTrend)^MIN(4,((EffDate_Proposed-EffDate_Prior02)/365.25))-1)</f>
        <v>3.0283403176109003E-2</v>
      </c>
    </row>
    <row r="61" spans="1:9" x14ac:dyDescent="0.25">
      <c r="A61" s="117" t="s">
        <v>207</v>
      </c>
      <c r="B61" s="128"/>
      <c r="C61" s="128"/>
      <c r="D61" s="128"/>
      <c r="E61" s="128"/>
      <c r="F61" s="128"/>
      <c r="G61" s="128"/>
      <c r="H61" s="127">
        <f ca="1">(ROR_Max)/(LevFact_Final02*(1-FIT_UW))</f>
        <v>0.13743288678387552</v>
      </c>
    </row>
    <row r="62" spans="1:9" x14ac:dyDescent="0.25">
      <c r="A62" s="117" t="s">
        <v>208</v>
      </c>
      <c r="B62" s="77"/>
      <c r="C62" s="77"/>
      <c r="D62" s="77"/>
      <c r="E62" s="77"/>
      <c r="F62" s="77"/>
      <c r="G62" s="77"/>
      <c r="H62" s="127">
        <f ca="1">(ROR_Min)/(LevFact_Final02*(1-FIT_UW))</f>
        <v>-8.2957476931916824E-2</v>
      </c>
    </row>
    <row r="63" spans="1:9" x14ac:dyDescent="0.25">
      <c r="A63" s="117" t="s">
        <v>209</v>
      </c>
      <c r="B63" s="77"/>
      <c r="C63" s="77"/>
      <c r="D63" s="77"/>
      <c r="E63" s="77"/>
      <c r="F63" s="77"/>
      <c r="G63" s="77"/>
      <c r="H63" s="127">
        <f ca="1">1-CredLossDCCE_perExp/Max_Premium-EffStd_Final02</f>
        <v>2.4047179586046186E-2</v>
      </c>
      <c r="I63" s="204"/>
    </row>
    <row r="64" spans="1:9" x14ac:dyDescent="0.25">
      <c r="A64" s="117" t="s">
        <v>211</v>
      </c>
      <c r="B64" s="77"/>
      <c r="C64" s="77"/>
      <c r="D64" s="77"/>
      <c r="E64" s="77"/>
      <c r="F64" s="77"/>
      <c r="G64" s="77"/>
      <c r="H64" s="129">
        <f ca="1">1-EffStd_Final02-Min_Profit+InvInc_Variable</f>
        <v>0.81801989665062202</v>
      </c>
      <c r="I64" s="204"/>
    </row>
    <row r="65" spans="1:9" x14ac:dyDescent="0.25">
      <c r="A65" s="117" t="s">
        <v>210</v>
      </c>
      <c r="B65" s="77"/>
      <c r="C65" s="77"/>
      <c r="D65" s="77"/>
      <c r="E65" s="77"/>
      <c r="F65" s="77"/>
      <c r="G65" s="77"/>
      <c r="H65" s="129">
        <f ca="1">1-EffStd_Final02-Max_Profit+InvInc_Variable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123.65588182648933</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169.25698295933589</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-0.25383858427473299</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2.1326508378602636E-2</v>
      </c>
      <c r="I69" s="396"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233</v>
      </c>
      <c r="B71" s="228" t="str">
        <f>'6.2Ratemaking Data'!D$14</f>
        <v>20172</v>
      </c>
      <c r="C71" s="228" t="str">
        <f>'6.2Ratemaking Data'!E$14</f>
        <v>20182</v>
      </c>
      <c r="D71" s="228" t="str">
        <f>'6.2Ratemaking Data'!F$14</f>
        <v>20192</v>
      </c>
      <c r="E71" s="228" t="str">
        <f>'6.2Ratemaking Data'!G$14</f>
        <v>20202</v>
      </c>
      <c r="F71" s="228" t="str">
        <f>'6.2Ratemaking Data'!H$14</f>
        <v>20212</v>
      </c>
      <c r="G71" s="228">
        <f>'6.2Ratemaking Data'!I$14</f>
        <v>20222</v>
      </c>
    </row>
    <row r="72" spans="1:9" hidden="1" x14ac:dyDescent="0.25">
      <c r="A72" s="114" t="s">
        <v>232</v>
      </c>
      <c r="B72" s="125"/>
      <c r="C72" s="125"/>
      <c r="D72" s="125"/>
      <c r="E72" s="125"/>
      <c r="F72" s="125"/>
      <c r="G72" s="125"/>
      <c r="H72" s="131" t="str">
        <f>IF(ISBLANK('6.2Ratemaking Data'!J44),"",'6.2Ratemaking Data'!J44)</f>
        <v/>
      </c>
    </row>
    <row r="73" spans="1:9" hidden="1" x14ac:dyDescent="0.25">
      <c r="A73" s="117" t="s">
        <v>219</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220</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58" t="s">
        <v>611</v>
      </c>
      <c r="G80" s="658"/>
      <c r="H80" s="658"/>
    </row>
    <row r="81" spans="1:1" x14ac:dyDescent="0.25">
      <c r="A81" s="132"/>
    </row>
  </sheetData>
  <sheetProtection algorithmName="SHA-512" hashValue="kZPBhElnIu0thhepMaCU483Ht1SGKGUptKXw8msNoCMYXOcfYNGoRVf75PQjydm5Q5ByWRbT/X3K5v3Rk/lgHg==" saltValue="po4tO9zShptVA/8/rGvRCA=="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topLeftCell="A42" zoomScaleNormal="100" zoomScaleSheetLayoutView="100" workbookViewId="0">
      <selection activeCell="A32" sqref="A32"/>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IF('6.3Ratemaking Data'!$K$7="","VARIANCE - NONE","VARIANCE "&amp;'6.3Ratemaking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EffDate_Prior03</f>
        <v>45078</v>
      </c>
    </row>
    <row r="10" spans="1:8" ht="15" customHeight="1" x14ac:dyDescent="0.25">
      <c r="A10" s="6" t="s">
        <v>170</v>
      </c>
      <c r="B10" s="52"/>
      <c r="H10" s="161">
        <f>EffDate_Proposed</f>
        <v>45366</v>
      </c>
    </row>
    <row r="11" spans="1:8" ht="15" customHeight="1" x14ac:dyDescent="0.25">
      <c r="A11" s="6" t="s">
        <v>77</v>
      </c>
      <c r="B11" s="52"/>
      <c r="H11" s="23" t="str">
        <f>Detailed_LineDesc03</f>
        <v>Homeowners Multiple Peril</v>
      </c>
    </row>
    <row r="12" spans="1:8" ht="15" customHeight="1" x14ac:dyDescent="0.25">
      <c r="A12" s="6" t="s">
        <v>78</v>
      </c>
      <c r="B12" s="52"/>
      <c r="H12" s="23" t="str">
        <f>Covg03</f>
        <v>Condominium Unitowners</v>
      </c>
    </row>
    <row r="13" spans="1:8" ht="15" customHeight="1" x14ac:dyDescent="0.25">
      <c r="H13" s="511"/>
    </row>
    <row r="14" spans="1:8" ht="9.9499999999999993" customHeight="1" x14ac:dyDescent="0.25"/>
    <row r="15" spans="1:8" ht="15.75" thickBot="1" x14ac:dyDescent="0.3">
      <c r="A15" s="7" t="s">
        <v>171</v>
      </c>
      <c r="B15" s="228" t="str">
        <f>'6.3Ratemaking Data'!D$14</f>
        <v>20172</v>
      </c>
      <c r="C15" s="228" t="str">
        <f>'6.3Ratemaking Data'!E$14</f>
        <v>20182</v>
      </c>
      <c r="D15" s="228" t="str">
        <f>'6.3Ratemaking Data'!F$14</f>
        <v>20192</v>
      </c>
      <c r="E15" s="228" t="str">
        <f>'6.3Ratemaking Data'!G$14</f>
        <v>20202</v>
      </c>
      <c r="F15" s="228" t="str">
        <f>'6.3Ratemaking Data'!H$14</f>
        <v>20212</v>
      </c>
      <c r="G15" s="228">
        <f>'6.3Ratemaking Data'!I$14</f>
        <v>20222</v>
      </c>
      <c r="H15" s="91" t="s">
        <v>306</v>
      </c>
    </row>
    <row r="16" spans="1:8" x14ac:dyDescent="0.25">
      <c r="A16" s="114" t="s">
        <v>173</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103381139.01000001</v>
      </c>
      <c r="H16" s="116">
        <f>IF(New_Program=TRUE,'6.3Ratemaking Data'!$K$15,SUM($B16:$G16))</f>
        <v>103381139.01000001</v>
      </c>
    </row>
    <row r="17" spans="1:10" x14ac:dyDescent="0.25">
      <c r="A17" s="117" t="s">
        <v>172</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97279106.609999999</v>
      </c>
      <c r="H17" s="119">
        <f>IF(New_Program=TRUE,'6.3Ratemaking Data'!$K$16,SUM($B17:$G17))</f>
        <v>97279106.609999999</v>
      </c>
    </row>
    <row r="18" spans="1:10" x14ac:dyDescent="0.25">
      <c r="A18" s="117" t="s">
        <v>174</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1.0703545008635642</v>
      </c>
      <c r="H18" s="121"/>
    </row>
    <row r="19" spans="1:10" x14ac:dyDescent="0.25">
      <c r="A19" s="117" t="s">
        <v>175</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1.0916564682211432</v>
      </c>
      <c r="H19" s="127">
        <f>IF(New_Program=TRUE,0,'6.3Ratemaking Data'!$J$18)</f>
        <v>3.3424092622288404E-2</v>
      </c>
    </row>
    <row r="20" spans="1:10" x14ac:dyDescent="0.25">
      <c r="A20" s="117" t="s">
        <v>176</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177</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152652.13</v>
      </c>
      <c r="H21" s="119">
        <f>IF(New_Program=TRUE,'6.3Ratemaking Data'!$K$20,SUM($B21:$G21))</f>
        <v>152652.13</v>
      </c>
      <c r="J21" s="111"/>
    </row>
    <row r="22" spans="1:10" x14ac:dyDescent="0.25">
      <c r="A22" s="117" t="s">
        <v>178</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61817673.869999997</v>
      </c>
      <c r="H22" s="119">
        <f>IF(New_Program=TRUE,'6.3Ratemaking Data'!$K$21,SUM($B22:$G22))</f>
        <v>61817673.869999997</v>
      </c>
      <c r="J22" s="111"/>
    </row>
    <row r="23" spans="1:10" x14ac:dyDescent="0.25">
      <c r="A23" s="117" t="s">
        <v>144</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742989.87</v>
      </c>
      <c r="H23" s="119">
        <f>IF(New_Program=TRUE,'6.3Ratemaking Data'!$K$22,SUM($B23:$G23))</f>
        <v>742989.87</v>
      </c>
      <c r="J23" s="111"/>
    </row>
    <row r="24" spans="1:10" x14ac:dyDescent="0.25">
      <c r="A24" s="117" t="s">
        <v>181</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1.1310178665795489</v>
      </c>
      <c r="H24" s="121"/>
    </row>
    <row r="25" spans="1:10" x14ac:dyDescent="0.25">
      <c r="A25" s="117" t="s">
        <v>182</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5.1027968051799952</v>
      </c>
      <c r="H25" s="121"/>
    </row>
    <row r="26" spans="1:10" x14ac:dyDescent="0.25">
      <c r="A26" s="117" t="s">
        <v>179</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1.1909574466867601</v>
      </c>
      <c r="H26" s="127">
        <f>IF(New_Program=TRUE,0,'6.3Ratemaking Data'!$J$25)</f>
        <v>6.7711175143383651E-2</v>
      </c>
    </row>
    <row r="27" spans="1:10" x14ac:dyDescent="0.25">
      <c r="A27" s="117" t="s">
        <v>180</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1.1909574466867601</v>
      </c>
      <c r="H27" s="127">
        <f>IF(New_Program=TRUE,0,'6.3Ratemaking Data'!$J$26)</f>
        <v>6.7711175143383651E-2</v>
      </c>
    </row>
    <row r="28" spans="1:10" x14ac:dyDescent="0.25">
      <c r="A28" s="117" t="s">
        <v>183</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1.0290896744097573</v>
      </c>
      <c r="H28" s="121"/>
    </row>
    <row r="29" spans="1:10" ht="15.75" thickBot="1" x14ac:dyDescent="0.3">
      <c r="A29" s="133" t="s">
        <v>188</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184</v>
      </c>
      <c r="B30" s="122"/>
      <c r="C30" s="122"/>
      <c r="D30" s="122"/>
      <c r="E30" s="122"/>
      <c r="F30" s="122"/>
      <c r="G30" s="122"/>
      <c r="H30" s="127">
        <f>IF(New_Program=TRUE,100%,'6.3Ratemaking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EffStd_Final03</f>
        <v>0.33989442694828298</v>
      </c>
    </row>
    <row r="38" spans="1:9" x14ac:dyDescent="0.25">
      <c r="A38" s="117" t="s">
        <v>191</v>
      </c>
      <c r="B38" s="77"/>
      <c r="C38" s="77"/>
      <c r="D38" s="77"/>
      <c r="E38" s="77"/>
      <c r="F38" s="577" t="s">
        <v>317</v>
      </c>
      <c r="G38" s="578">
        <f>update_leverage</f>
        <v>2021</v>
      </c>
      <c r="H38" s="162">
        <f ca="1">LevFact_Final03</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1/LevFact_Final03</f>
        <v>1.0922734462702384</v>
      </c>
    </row>
    <row r="41" spans="1:9" x14ac:dyDescent="0.25">
      <c r="A41" s="117" t="s">
        <v>198</v>
      </c>
      <c r="B41" s="77"/>
      <c r="C41" s="77"/>
      <c r="D41" s="77"/>
      <c r="E41" s="77"/>
      <c r="F41" s="577" t="s">
        <v>317</v>
      </c>
      <c r="G41" s="578">
        <f>update_reserveratios</f>
        <v>2021</v>
      </c>
      <c r="H41" s="163">
        <f ca="1">ResRatio_UPR03</f>
        <v>0.52182970801271056</v>
      </c>
    </row>
    <row r="42" spans="1:9" x14ac:dyDescent="0.25">
      <c r="A42" s="117" t="s">
        <v>194</v>
      </c>
      <c r="B42" s="77"/>
      <c r="C42" s="77"/>
      <c r="D42" s="77"/>
      <c r="E42" s="77"/>
      <c r="F42" s="577" t="s">
        <v>317</v>
      </c>
      <c r="G42" s="578">
        <f>update_reserveratios</f>
        <v>2021</v>
      </c>
      <c r="H42" s="163">
        <f ca="1">ResRatio_Loss03</f>
        <v>1.3010095886105004</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'6.3Ratemaking Data'!D$14</f>
        <v>20172</v>
      </c>
      <c r="C47" s="228" t="str">
        <f>'6.3Ratemaking Data'!E$14</f>
        <v>20182</v>
      </c>
      <c r="D47" s="228" t="str">
        <f>'6.3Ratemaking Data'!F$14</f>
        <v>20192</v>
      </c>
      <c r="E47" s="228" t="str">
        <f>'6.3Ratemaking Data'!G$14</f>
        <v>20202</v>
      </c>
      <c r="F47" s="228" t="str">
        <f>'6.3Ratemaking Data'!H$14</f>
        <v>20212</v>
      </c>
      <c r="G47" s="228">
        <f>'6.3Ratemaking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113666687.91926837</v>
      </c>
      <c r="H48" s="116">
        <f>IF(New_Program=TRUE,(Prem_Earned+Misc_Fees),SUM($B48:$G48))</f>
        <v>113666687.91926837</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85690285.42357558</v>
      </c>
      <c r="H49" s="119">
        <f>IF(New_Program=TRUE,Losses,SUM($B49:$G49))</f>
        <v>85690285.42357558</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4646657.1806089161</v>
      </c>
      <c r="H50" s="119">
        <f>IF(New_Program=TRUE,DCCE,SUM($B50:$G50))</f>
        <v>4646657.1806089161</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0.7947530121432429</v>
      </c>
      <c r="H51" s="127">
        <f t="shared" si="3"/>
        <v>0.7947530121432429</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744.6125246943385</v>
      </c>
      <c r="H52" s="130">
        <f t="shared" si="4"/>
        <v>744.6125246943385</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591.78304688041032</v>
      </c>
      <c r="H53" s="130">
        <f t="shared" si="5"/>
        <v>591.78304688041032</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485.96443791280632</v>
      </c>
      <c r="H54" s="130">
        <f t="shared" ca="1" si="6"/>
        <v>485.96443791280632</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591.78304688041032</v>
      </c>
      <c r="H55" s="130">
        <f t="shared" ca="1" si="7"/>
        <v>591.78304688041032</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Yield*((1-FIT_Inv)/(1-FIT_UW))*ResRatio_Loss03</f>
        <v>6.0417189562510278E-2</v>
      </c>
    </row>
    <row r="58" spans="1:9" x14ac:dyDescent="0.25">
      <c r="A58" s="117" t="s">
        <v>218</v>
      </c>
      <c r="B58" s="77"/>
      <c r="C58" s="77"/>
      <c r="D58" s="77"/>
      <c r="E58" s="77"/>
      <c r="F58" s="77"/>
      <c r="G58" s="77"/>
      <c r="H58" s="127">
        <f ca="1">Yield*((1-FIT_Inv)/(1-FIT_UW))*(ResRatio_UPR03+SurplusRatio)</f>
        <v>7.4956846666988208E-2</v>
      </c>
    </row>
    <row r="59" spans="1:9" x14ac:dyDescent="0.25">
      <c r="A59" s="117" t="s">
        <v>206</v>
      </c>
      <c r="B59" s="128"/>
      <c r="C59" s="128"/>
      <c r="D59" s="128"/>
      <c r="E59" s="128"/>
      <c r="F59" s="128"/>
      <c r="G59" s="128"/>
      <c r="H59" s="127">
        <f>(1+Loss_AnnualTrend)/(1+Prem_AnnualTrend)-1</f>
        <v>3.3178133513505292E-2</v>
      </c>
    </row>
    <row r="60" spans="1:9" x14ac:dyDescent="0.25">
      <c r="A60" s="117" t="s">
        <v>205</v>
      </c>
      <c r="B60" s="128"/>
      <c r="C60" s="128"/>
      <c r="D60" s="128"/>
      <c r="E60" s="128"/>
      <c r="F60" s="128"/>
      <c r="G60" s="128"/>
      <c r="H60" s="127">
        <f>IF(New_Program=TRUE,0,(1+Net_AnnualTrend)^MIN(4,((EffDate_Proposed-EffDate_Prior03)/365.25))-1)</f>
        <v>2.6070412372350305E-2</v>
      </c>
    </row>
    <row r="61" spans="1:9" x14ac:dyDescent="0.25">
      <c r="A61" s="117" t="s">
        <v>207</v>
      </c>
      <c r="B61" s="128"/>
      <c r="C61" s="128"/>
      <c r="D61" s="128"/>
      <c r="E61" s="128"/>
      <c r="F61" s="128"/>
      <c r="G61" s="128"/>
      <c r="H61" s="127">
        <f ca="1">(ROR_Max)/(LevFact_Final03*(1-FIT_UW))</f>
        <v>0.13743288678387552</v>
      </c>
    </row>
    <row r="62" spans="1:9" x14ac:dyDescent="0.25">
      <c r="A62" s="117" t="s">
        <v>208</v>
      </c>
      <c r="B62" s="77"/>
      <c r="C62" s="77"/>
      <c r="D62" s="77"/>
      <c r="E62" s="77"/>
      <c r="F62" s="77"/>
      <c r="G62" s="77"/>
      <c r="H62" s="127">
        <f ca="1">(ROR_Min)/(LevFact_Final03*(1-FIT_UW))</f>
        <v>-8.2957476931916824E-2</v>
      </c>
    </row>
    <row r="63" spans="1:9" x14ac:dyDescent="0.25">
      <c r="A63" s="117" t="s">
        <v>209</v>
      </c>
      <c r="B63" s="77"/>
      <c r="C63" s="77"/>
      <c r="D63" s="77"/>
      <c r="E63" s="77"/>
      <c r="F63" s="77"/>
      <c r="G63" s="77"/>
      <c r="H63" s="127">
        <f ca="1">1-CredLossDCCE_perExp/Max_Premium-EffStd_Final03</f>
        <v>2.4047179586046075E-2</v>
      </c>
      <c r="I63" s="204"/>
    </row>
    <row r="64" spans="1:9" x14ac:dyDescent="0.25">
      <c r="A64" s="117" t="s">
        <v>211</v>
      </c>
      <c r="B64" s="77"/>
      <c r="C64" s="77"/>
      <c r="D64" s="77"/>
      <c r="E64" s="77"/>
      <c r="F64" s="77"/>
      <c r="G64" s="77"/>
      <c r="H64" s="129">
        <f ca="1">1-EffStd_Final03-Min_Profit+InvInc_Variable</f>
        <v>0.81801989665062202</v>
      </c>
      <c r="I64" s="204"/>
    </row>
    <row r="65" spans="1:9" x14ac:dyDescent="0.25">
      <c r="A65" s="117" t="s">
        <v>210</v>
      </c>
      <c r="B65" s="77"/>
      <c r="C65" s="77"/>
      <c r="D65" s="77"/>
      <c r="E65" s="77"/>
      <c r="F65" s="77"/>
      <c r="G65" s="77"/>
      <c r="H65" s="129">
        <f ca="1">1-EffStd_Final03-Max_Profit+InvInc_Variable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679.72573849831167</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930.3910662289685</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-8.7141679792000132E-2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0.24949693347005089</v>
      </c>
      <c r="I69" s="396"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233</v>
      </c>
      <c r="B71" s="228" t="str">
        <f>'6.3Ratemaking Data'!D$14</f>
        <v>20172</v>
      </c>
      <c r="C71" s="228" t="str">
        <f>'6.3Ratemaking Data'!E$14</f>
        <v>20182</v>
      </c>
      <c r="D71" s="228" t="str">
        <f>'6.3Ratemaking Data'!F$14</f>
        <v>20192</v>
      </c>
      <c r="E71" s="228" t="str">
        <f>'6.3Ratemaking Data'!G$14</f>
        <v>20202</v>
      </c>
      <c r="F71" s="228" t="str">
        <f>'6.3Ratemaking Data'!H$14</f>
        <v>20212</v>
      </c>
      <c r="G71" s="228">
        <f>'6.3Ratemaking Data'!I$14</f>
        <v>20222</v>
      </c>
    </row>
    <row r="72" spans="1:9" hidden="1" x14ac:dyDescent="0.25">
      <c r="A72" s="114" t="s">
        <v>232</v>
      </c>
      <c r="B72" s="125"/>
      <c r="C72" s="125"/>
      <c r="D72" s="125"/>
      <c r="E72" s="125"/>
      <c r="F72" s="125"/>
      <c r="G72" s="125"/>
      <c r="H72" s="131" t="str">
        <f>IF(ISBLANK('6.3Ratemaking Data'!J44),"",'6.3Ratemaking Data'!J44)</f>
        <v/>
      </c>
    </row>
    <row r="73" spans="1:9" hidden="1" x14ac:dyDescent="0.25">
      <c r="A73" s="117" t="s">
        <v>219</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 ca="1">IF(RIGHT(Detailed_LineCode03,1)="R",IF(New_Program=TRUE,'6.3Ratemaking Data'!$K$45,SUM($B73:$G73)),"")</f>
        <v/>
      </c>
    </row>
    <row r="74" spans="1:9" hidden="1" x14ac:dyDescent="0.25">
      <c r="A74" s="117" t="s">
        <v>220</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58" t="s">
        <v>621</v>
      </c>
      <c r="G80" s="658"/>
      <c r="H80" s="658"/>
    </row>
    <row r="81" spans="1:1" x14ac:dyDescent="0.25">
      <c r="A81" s="132"/>
    </row>
  </sheetData>
  <sheetProtection algorithmName="SHA-512" hashValue="25YkxDpAN+u9qj0srfkMSbeiePZvSDNVXO4cB0lDdYpI2E7e9JMg4f5vCj/AVFip9Wl51fKRt0eF5Cri+X3XdA==" saltValue="cLocwuuU4fXY0LaGO2yMyA=="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IF('6.4Ratemaking Data'!$K$7="","VARIANCE - NONE","VARIANCE "&amp;'6.4Ratemaking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EffDate_Prior04</f>
        <v/>
      </c>
    </row>
    <row r="10" spans="1:8" ht="15" customHeight="1" x14ac:dyDescent="0.25">
      <c r="A10" s="6" t="s">
        <v>170</v>
      </c>
      <c r="B10" s="52"/>
      <c r="H10" s="161">
        <f>EffDate_Proposed</f>
        <v>45366</v>
      </c>
    </row>
    <row r="11" spans="1:8" ht="15" customHeight="1" x14ac:dyDescent="0.25">
      <c r="A11" s="6" t="s">
        <v>77</v>
      </c>
      <c r="B11" s="52"/>
      <c r="H11" s="23" t="str">
        <f>Detailed_LineDesc04</f>
        <v/>
      </c>
    </row>
    <row r="12" spans="1:8" ht="15" customHeight="1" x14ac:dyDescent="0.25">
      <c r="A12" s="6" t="s">
        <v>78</v>
      </c>
      <c r="B12" s="52"/>
      <c r="H12" s="23" t="str">
        <f>Covg04</f>
        <v/>
      </c>
    </row>
    <row r="13" spans="1:8" ht="15" customHeight="1" x14ac:dyDescent="0.25">
      <c r="H13" s="511"/>
    </row>
    <row r="14" spans="1:8" ht="9.9499999999999993" customHeight="1" x14ac:dyDescent="0.25"/>
    <row r="15" spans="1:8" ht="15.75" thickBot="1" x14ac:dyDescent="0.3">
      <c r="A15" s="7" t="s">
        <v>171</v>
      </c>
      <c r="B15" s="228" t="str">
        <f>'6.4Ratemaking Data'!D$14</f>
        <v>20172</v>
      </c>
      <c r="C15" s="228" t="str">
        <f>'6.4Ratemaking Data'!E$14</f>
        <v>20182</v>
      </c>
      <c r="D15" s="228" t="str">
        <f>'6.4Ratemaking Data'!F$14</f>
        <v>20192</v>
      </c>
      <c r="E15" s="228" t="str">
        <f>'6.4Ratemaking Data'!G$14</f>
        <v>20202</v>
      </c>
      <c r="F15" s="228" t="str">
        <f>'6.4Ratemaking Data'!H$14</f>
        <v>20212</v>
      </c>
      <c r="G15" s="228">
        <f>'6.4Ratemaking Data'!I$14</f>
        <v>20222</v>
      </c>
      <c r="H15" s="91" t="s">
        <v>306</v>
      </c>
    </row>
    <row r="16" spans="1:8" x14ac:dyDescent="0.25">
      <c r="A16" s="114" t="s">
        <v>173</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25">
      <c r="A17" s="117" t="s">
        <v>172</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25">
      <c r="A18" s="117" t="s">
        <v>174</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25">
      <c r="A19" s="117" t="s">
        <v>175</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25">
      <c r="A20" s="117" t="s">
        <v>176</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25">
      <c r="A21" s="117" t="s">
        <v>177</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25">
      <c r="A22" s="117" t="s">
        <v>178</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25">
      <c r="A23" s="117" t="s">
        <v>144</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25">
      <c r="A24" s="117" t="s">
        <v>181</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25">
      <c r="A25" s="117" t="s">
        <v>182</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25">
      <c r="A26" s="117" t="s">
        <v>179</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25">
      <c r="A27" s="117" t="s">
        <v>180</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25">
      <c r="A28" s="117" t="s">
        <v>183</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75" thickBot="1" x14ac:dyDescent="0.3">
      <c r="A29" s="133" t="s">
        <v>188</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75" thickTop="1" x14ac:dyDescent="0.25">
      <c r="A30" s="117" t="s">
        <v>184</v>
      </c>
      <c r="B30" s="122"/>
      <c r="C30" s="122"/>
      <c r="D30" s="122"/>
      <c r="E30" s="122"/>
      <c r="F30" s="122"/>
      <c r="G30" s="122"/>
      <c r="H30" s="127">
        <f>IF(New_Program=TRUE,100%,'6.4Ratemaking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EffStd_Final04</f>
        <v/>
      </c>
    </row>
    <row r="38" spans="1:9" x14ac:dyDescent="0.25">
      <c r="A38" s="117" t="s">
        <v>191</v>
      </c>
      <c r="B38" s="77"/>
      <c r="C38" s="77"/>
      <c r="D38" s="77"/>
      <c r="E38" s="77"/>
      <c r="F38" s="577" t="s">
        <v>317</v>
      </c>
      <c r="G38" s="578">
        <f>update_leverage</f>
        <v>2021</v>
      </c>
      <c r="H38" s="162" t="str">
        <f>LevFact_Final04</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1/LevFact_Final04</f>
        <v>#VALUE!</v>
      </c>
    </row>
    <row r="41" spans="1:9" x14ac:dyDescent="0.25">
      <c r="A41" s="117" t="s">
        <v>198</v>
      </c>
      <c r="B41" s="77"/>
      <c r="C41" s="77"/>
      <c r="D41" s="77"/>
      <c r="E41" s="77"/>
      <c r="F41" s="577" t="s">
        <v>317</v>
      </c>
      <c r="G41" s="578">
        <f>update_reserveratios</f>
        <v>2021</v>
      </c>
      <c r="H41" s="163" t="str">
        <f>ResRatio_UPR04</f>
        <v/>
      </c>
    </row>
    <row r="42" spans="1:9" x14ac:dyDescent="0.25">
      <c r="A42" s="117" t="s">
        <v>194</v>
      </c>
      <c r="B42" s="77"/>
      <c r="C42" s="77"/>
      <c r="D42" s="77"/>
      <c r="E42" s="77"/>
      <c r="F42" s="577" t="s">
        <v>317</v>
      </c>
      <c r="G42" s="578">
        <f>update_reserveratios</f>
        <v>2021</v>
      </c>
      <c r="H42" s="163" t="str">
        <f>ResRatio_Loss04</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'6.4Ratemaking Data'!D$14</f>
        <v>20172</v>
      </c>
      <c r="C47" s="228" t="str">
        <f>'6.4Ratemaking Data'!E$14</f>
        <v>20182</v>
      </c>
      <c r="D47" s="228" t="str">
        <f>'6.4Ratemaking Data'!F$14</f>
        <v>20192</v>
      </c>
      <c r="E47" s="228" t="str">
        <f>'6.4Ratemaking Data'!G$14</f>
        <v>20202</v>
      </c>
      <c r="F47" s="228" t="str">
        <f>'6.4Ratemaking Data'!H$14</f>
        <v>20212</v>
      </c>
      <c r="G47" s="228">
        <f>'6.4Ratemaking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Yield*((1-FIT_Inv)/(1-FIT_UW))*ResRatio_Loss04</f>
        <v>#VALUE!</v>
      </c>
    </row>
    <row r="58" spans="1:9" x14ac:dyDescent="0.25">
      <c r="A58" s="117" t="s">
        <v>218</v>
      </c>
      <c r="B58" s="77"/>
      <c r="C58" s="77"/>
      <c r="D58" s="77"/>
      <c r="E58" s="77"/>
      <c r="F58" s="77"/>
      <c r="G58" s="77"/>
      <c r="H58" s="127" t="e">
        <f>Yield*((1-FIT_Inv)/(1-FIT_UW))*(ResRatio_UPR04+SurplusRatio)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IF(New_Program=TRUE,0,(1+Net_AnnualTrend)^MIN(4,((EffDate_Proposed-EffDate_Prior04)/365.25))-1)</f>
        <v>#VALUE!</v>
      </c>
    </row>
    <row r="61" spans="1:9" x14ac:dyDescent="0.25">
      <c r="A61" s="117" t="s">
        <v>207</v>
      </c>
      <c r="B61" s="128"/>
      <c r="C61" s="128"/>
      <c r="D61" s="128"/>
      <c r="E61" s="128"/>
      <c r="F61" s="128"/>
      <c r="G61" s="128"/>
      <c r="H61" s="127" t="e">
        <f>(ROR_Max)/(LevFact_Final04*(1-FIT_UW))</f>
        <v>#VALUE!</v>
      </c>
    </row>
    <row r="62" spans="1:9" x14ac:dyDescent="0.25">
      <c r="A62" s="117" t="s">
        <v>208</v>
      </c>
      <c r="B62" s="77"/>
      <c r="C62" s="77"/>
      <c r="D62" s="77"/>
      <c r="E62" s="77"/>
      <c r="F62" s="77"/>
      <c r="G62" s="77"/>
      <c r="H62" s="127" t="e">
        <f>(ROR_Min)/(LevFact_Final04*(1-FIT_UW))</f>
        <v>#VALUE!</v>
      </c>
    </row>
    <row r="63" spans="1:9" x14ac:dyDescent="0.25">
      <c r="A63" s="117" t="s">
        <v>209</v>
      </c>
      <c r="B63" s="77"/>
      <c r="C63" s="77"/>
      <c r="D63" s="77"/>
      <c r="E63" s="77"/>
      <c r="F63" s="77"/>
      <c r="G63" s="77"/>
      <c r="H63" s="127" t="e">
        <f>1-CredLossDCCE_perExp/Max_Premium-EffStd_Final04</f>
        <v>#VALUE!</v>
      </c>
      <c r="I63" s="204"/>
    </row>
    <row r="64" spans="1:9" x14ac:dyDescent="0.25">
      <c r="A64" s="117" t="s">
        <v>211</v>
      </c>
      <c r="B64" s="77"/>
      <c r="C64" s="77"/>
      <c r="D64" s="77"/>
      <c r="E64" s="77"/>
      <c r="F64" s="77"/>
      <c r="G64" s="77"/>
      <c r="H64" s="129" t="e">
        <f>1-EffStd_Final04-Min_Profit+InvInc_Variable</f>
        <v>#VALUE!</v>
      </c>
      <c r="I64" s="204"/>
    </row>
    <row r="65" spans="1:9" x14ac:dyDescent="0.25">
      <c r="A65" s="117" t="s">
        <v>210</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str">
        <f>IF(AND(I65="",I66="",I67="",I68="",I69=""),(Max_Premium-Prem_Current)/Prem_Current, "Error")</f>
        <v>Error</v>
      </c>
      <c r="I69" s="396"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See Column M of Page '6.4Ratemaking Data' for errors that must be corrected.</v>
      </c>
    </row>
    <row r="70" spans="1:9" ht="5.0999999999999996" hidden="1" customHeight="1" x14ac:dyDescent="0.25"/>
    <row r="71" spans="1:9" ht="15.75" hidden="1" thickBot="1" x14ac:dyDescent="0.3">
      <c r="A71" s="7" t="s">
        <v>233</v>
      </c>
      <c r="B71" s="228" t="str">
        <f>'6.4Ratemaking Data'!D$14</f>
        <v>20172</v>
      </c>
      <c r="C71" s="228" t="str">
        <f>'6.4Ratemaking Data'!E$14</f>
        <v>20182</v>
      </c>
      <c r="D71" s="228" t="str">
        <f>'6.4Ratemaking Data'!F$14</f>
        <v>20192</v>
      </c>
      <c r="E71" s="228" t="str">
        <f>'6.4Ratemaking Data'!G$14</f>
        <v>20202</v>
      </c>
      <c r="F71" s="228" t="str">
        <f>'6.4Ratemaking Data'!H$14</f>
        <v>20212</v>
      </c>
      <c r="G71" s="228">
        <f>'6.4Ratemaking Data'!I$14</f>
        <v>20222</v>
      </c>
    </row>
    <row r="72" spans="1:9" hidden="1" x14ac:dyDescent="0.25">
      <c r="A72" s="114" t="s">
        <v>232</v>
      </c>
      <c r="B72" s="125"/>
      <c r="C72" s="125"/>
      <c r="D72" s="125"/>
      <c r="E72" s="125"/>
      <c r="F72" s="125"/>
      <c r="G72" s="125"/>
      <c r="H72" s="131" t="str">
        <f>IF(ISBLANK('6.4Ratemaking Data'!J44),"",'6.4Ratemaking Data'!J44)</f>
        <v/>
      </c>
    </row>
    <row r="73" spans="1:9" hidden="1" x14ac:dyDescent="0.25">
      <c r="A73" s="117" t="s">
        <v>219</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25">
      <c r="A74" s="117" t="s">
        <v>220</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58" t="s">
        <v>620</v>
      </c>
      <c r="G80" s="658"/>
      <c r="H80" s="658"/>
    </row>
    <row r="81" spans="1:1" x14ac:dyDescent="0.25">
      <c r="A81" s="132"/>
    </row>
  </sheetData>
  <sheetProtection algorithmName="SHA-512" hashValue="ZUXOkYjoxoBLatUtMqnApn2j+W/AUpB4xl13xdo1pgaIcg52/SYQqEqEpbWwejSlyNNxdUu7Yv+HucRReMFHcg==" saltValue="9GLA9WQo4fhoK7nPUoOtpA=="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IF('6.5Ratemaking Data'!$K$7="","VARIANCE - NONE","VARIANCE "&amp;'6.5Ratemaking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EffDate_Prior05</f>
        <v/>
      </c>
    </row>
    <row r="10" spans="1:8" ht="15" customHeight="1" x14ac:dyDescent="0.25">
      <c r="A10" s="6" t="s">
        <v>170</v>
      </c>
      <c r="B10" s="52"/>
      <c r="H10" s="161">
        <f>EffDate_Proposed</f>
        <v>45366</v>
      </c>
    </row>
    <row r="11" spans="1:8" ht="15" customHeight="1" x14ac:dyDescent="0.25">
      <c r="A11" s="6" t="s">
        <v>77</v>
      </c>
      <c r="B11" s="52"/>
      <c r="H11" s="23" t="str">
        <f>Detailed_LineDesc05</f>
        <v/>
      </c>
    </row>
    <row r="12" spans="1:8" ht="15" customHeight="1" x14ac:dyDescent="0.25">
      <c r="A12" s="6" t="s">
        <v>78</v>
      </c>
      <c r="B12" s="52"/>
      <c r="H12" s="23" t="str">
        <f>Covg05</f>
        <v/>
      </c>
    </row>
    <row r="13" spans="1:8" ht="15" customHeight="1" x14ac:dyDescent="0.25">
      <c r="H13" s="511"/>
    </row>
    <row r="14" spans="1:8" ht="9.9499999999999993" customHeight="1" x14ac:dyDescent="0.25"/>
    <row r="15" spans="1:8" ht="15.75" thickBot="1" x14ac:dyDescent="0.3">
      <c r="A15" s="7" t="s">
        <v>171</v>
      </c>
      <c r="B15" s="228" t="str">
        <f>'6.5Ratemaking Data'!D$14</f>
        <v>20172</v>
      </c>
      <c r="C15" s="228" t="str">
        <f>'6.5Ratemaking Data'!E$14</f>
        <v>20182</v>
      </c>
      <c r="D15" s="228" t="str">
        <f>'6.5Ratemaking Data'!F$14</f>
        <v>20192</v>
      </c>
      <c r="E15" s="228" t="str">
        <f>'6.5Ratemaking Data'!G$14</f>
        <v>20202</v>
      </c>
      <c r="F15" s="228" t="str">
        <f>'6.5Ratemaking Data'!H$14</f>
        <v>20212</v>
      </c>
      <c r="G15" s="228">
        <f>'6.5Ratemaking Data'!I$14</f>
        <v>20222</v>
      </c>
      <c r="H15" s="91" t="s">
        <v>306</v>
      </c>
    </row>
    <row r="16" spans="1:8" x14ac:dyDescent="0.25">
      <c r="A16" s="114" t="s">
        <v>173</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25">
      <c r="A17" s="117" t="s">
        <v>172</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25">
      <c r="A18" s="117" t="s">
        <v>174</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25">
      <c r="A19" s="117" t="s">
        <v>175</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25">
      <c r="A20" s="117" t="s">
        <v>176</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25">
      <c r="A21" s="117" t="s">
        <v>177</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25">
      <c r="A22" s="117" t="s">
        <v>178</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25">
      <c r="A23" s="117" t="s">
        <v>144</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25">
      <c r="A24" s="117" t="s">
        <v>181</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25">
      <c r="A25" s="117" t="s">
        <v>182</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25">
      <c r="A26" s="117" t="s">
        <v>179</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25">
      <c r="A27" s="117" t="s">
        <v>180</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25">
      <c r="A28" s="117" t="s">
        <v>183</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75" thickBot="1" x14ac:dyDescent="0.3">
      <c r="A29" s="133" t="s">
        <v>188</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75" thickTop="1" x14ac:dyDescent="0.25">
      <c r="A30" s="117" t="s">
        <v>184</v>
      </c>
      <c r="B30" s="122"/>
      <c r="C30" s="122"/>
      <c r="D30" s="122"/>
      <c r="E30" s="122"/>
      <c r="F30" s="122"/>
      <c r="G30" s="122"/>
      <c r="H30" s="127">
        <f>IF(New_Program=TRUE,100%,'6.5Ratemaking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EffStd_Final05</f>
        <v/>
      </c>
    </row>
    <row r="38" spans="1:9" x14ac:dyDescent="0.25">
      <c r="A38" s="117" t="s">
        <v>191</v>
      </c>
      <c r="B38" s="77"/>
      <c r="C38" s="77"/>
      <c r="D38" s="77"/>
      <c r="E38" s="77"/>
      <c r="F38" s="577" t="s">
        <v>317</v>
      </c>
      <c r="G38" s="578">
        <f>update_leverage</f>
        <v>2021</v>
      </c>
      <c r="H38" s="162" t="str">
        <f>LevFact_Final05</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1/LevFact_Final05</f>
        <v>#VALUE!</v>
      </c>
    </row>
    <row r="41" spans="1:9" x14ac:dyDescent="0.25">
      <c r="A41" s="117" t="s">
        <v>198</v>
      </c>
      <c r="B41" s="77"/>
      <c r="C41" s="77"/>
      <c r="D41" s="77"/>
      <c r="E41" s="77"/>
      <c r="F41" s="577" t="s">
        <v>317</v>
      </c>
      <c r="G41" s="578">
        <f>update_reserveratios</f>
        <v>2021</v>
      </c>
      <c r="H41" s="163" t="str">
        <f>ResRatio_UPR05</f>
        <v/>
      </c>
    </row>
    <row r="42" spans="1:9" x14ac:dyDescent="0.25">
      <c r="A42" s="117" t="s">
        <v>194</v>
      </c>
      <c r="B42" s="77"/>
      <c r="C42" s="77"/>
      <c r="D42" s="77"/>
      <c r="E42" s="77"/>
      <c r="F42" s="577" t="s">
        <v>317</v>
      </c>
      <c r="G42" s="578">
        <f>update_reserveratios</f>
        <v>2021</v>
      </c>
      <c r="H42" s="163" t="str">
        <f>ResRatio_Loss05</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'6.5Ratemaking Data'!D$14</f>
        <v>20172</v>
      </c>
      <c r="C47" s="228" t="str">
        <f>'6.5Ratemaking Data'!E$14</f>
        <v>20182</v>
      </c>
      <c r="D47" s="228" t="str">
        <f>'6.5Ratemaking Data'!F$14</f>
        <v>20192</v>
      </c>
      <c r="E47" s="228" t="str">
        <f>'6.5Ratemaking Data'!G$14</f>
        <v>20202</v>
      </c>
      <c r="F47" s="228" t="str">
        <f>'6.5Ratemaking Data'!H$14</f>
        <v>20212</v>
      </c>
      <c r="G47" s="228">
        <f>'6.5Ratemaking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Yield*((1-FIT_Inv)/(1-FIT_UW))*ResRatio_Loss05</f>
        <v>#VALUE!</v>
      </c>
    </row>
    <row r="58" spans="1:9" x14ac:dyDescent="0.25">
      <c r="A58" s="117" t="s">
        <v>218</v>
      </c>
      <c r="B58" s="77"/>
      <c r="C58" s="77"/>
      <c r="D58" s="77"/>
      <c r="E58" s="77"/>
      <c r="F58" s="77"/>
      <c r="G58" s="77"/>
      <c r="H58" s="127" t="e">
        <f>Yield*((1-FIT_Inv)/(1-FIT_UW))*(ResRatio_UPR05+SurplusRatio)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IF(New_Program=TRUE,0,(1+Net_AnnualTrend)^MIN(4,((EffDate_Proposed-EffDate_Prior05)/365.25))-1)</f>
        <v>#VALUE!</v>
      </c>
    </row>
    <row r="61" spans="1:9" x14ac:dyDescent="0.25">
      <c r="A61" s="117" t="s">
        <v>207</v>
      </c>
      <c r="B61" s="128"/>
      <c r="C61" s="128"/>
      <c r="D61" s="128"/>
      <c r="E61" s="128"/>
      <c r="F61" s="128"/>
      <c r="G61" s="128"/>
      <c r="H61" s="127" t="e">
        <f>(ROR_Max)/(LevFact_Final05*(1-FIT_UW))</f>
        <v>#VALUE!</v>
      </c>
    </row>
    <row r="62" spans="1:9" x14ac:dyDescent="0.25">
      <c r="A62" s="117" t="s">
        <v>208</v>
      </c>
      <c r="B62" s="77"/>
      <c r="C62" s="77"/>
      <c r="D62" s="77"/>
      <c r="E62" s="77"/>
      <c r="F62" s="77"/>
      <c r="G62" s="77"/>
      <c r="H62" s="127" t="e">
        <f>(ROR_Min)/(LevFact_Final05*(1-FIT_UW))</f>
        <v>#VALUE!</v>
      </c>
    </row>
    <row r="63" spans="1:9" x14ac:dyDescent="0.25">
      <c r="A63" s="117" t="s">
        <v>209</v>
      </c>
      <c r="B63" s="77"/>
      <c r="C63" s="77"/>
      <c r="D63" s="77"/>
      <c r="E63" s="77"/>
      <c r="F63" s="77"/>
      <c r="G63" s="77"/>
      <c r="H63" s="127" t="e">
        <f>1-CredLossDCCE_perExp/Max_Premium-EffStd_Final05</f>
        <v>#VALUE!</v>
      </c>
      <c r="I63" s="204"/>
    </row>
    <row r="64" spans="1:9" x14ac:dyDescent="0.25">
      <c r="A64" s="117" t="s">
        <v>211</v>
      </c>
      <c r="B64" s="77"/>
      <c r="C64" s="77"/>
      <c r="D64" s="77"/>
      <c r="E64" s="77"/>
      <c r="F64" s="77"/>
      <c r="G64" s="77"/>
      <c r="H64" s="129" t="e">
        <f>1-EffStd_Final05-Min_Profit+InvInc_Variable</f>
        <v>#VALUE!</v>
      </c>
      <c r="I64" s="204"/>
    </row>
    <row r="65" spans="1:9" x14ac:dyDescent="0.25">
      <c r="A65" s="117" t="s">
        <v>210</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str">
        <f>IF(AND(I65="",I66="",I67="",I68="",I69=""),(Max_Premium-Prem_Current)/Prem_Current, "Error")</f>
        <v>Error</v>
      </c>
      <c r="I69" s="396"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See Column M of Page '6.5Ratemaking Data' for errors that must be corrected.</v>
      </c>
    </row>
    <row r="70" spans="1:9" ht="5.0999999999999996" hidden="1" customHeight="1" x14ac:dyDescent="0.25"/>
    <row r="71" spans="1:9" ht="15.75" hidden="1" thickBot="1" x14ac:dyDescent="0.3">
      <c r="A71" s="7" t="s">
        <v>233</v>
      </c>
      <c r="B71" s="228" t="str">
        <f>'6.5Ratemaking Data'!D$14</f>
        <v>20172</v>
      </c>
      <c r="C71" s="228" t="str">
        <f>'6.5Ratemaking Data'!E$14</f>
        <v>20182</v>
      </c>
      <c r="D71" s="228" t="str">
        <f>'6.5Ratemaking Data'!F$14</f>
        <v>20192</v>
      </c>
      <c r="E71" s="228" t="str">
        <f>'6.5Ratemaking Data'!G$14</f>
        <v>20202</v>
      </c>
      <c r="F71" s="228" t="str">
        <f>'6.5Ratemaking Data'!H$14</f>
        <v>20212</v>
      </c>
      <c r="G71" s="228">
        <f>'6.5Ratemaking Data'!I$14</f>
        <v>20222</v>
      </c>
    </row>
    <row r="72" spans="1:9" hidden="1" x14ac:dyDescent="0.25">
      <c r="A72" s="114" t="s">
        <v>232</v>
      </c>
      <c r="B72" s="125"/>
      <c r="C72" s="125"/>
      <c r="D72" s="125"/>
      <c r="E72" s="125"/>
      <c r="F72" s="125"/>
      <c r="G72" s="125"/>
      <c r="H72" s="131" t="str">
        <f>IF(ISBLANK('6.5Ratemaking Data'!J44),"",'6.5Ratemaking Data'!J44)</f>
        <v/>
      </c>
    </row>
    <row r="73" spans="1:9" hidden="1" x14ac:dyDescent="0.25">
      <c r="A73" s="117" t="s">
        <v>219</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25">
      <c r="A74" s="117" t="s">
        <v>220</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58" t="s">
        <v>619</v>
      </c>
      <c r="G80" s="658"/>
      <c r="H80" s="658"/>
    </row>
    <row r="81" spans="1:1" x14ac:dyDescent="0.25">
      <c r="A81" s="132"/>
    </row>
  </sheetData>
  <sheetProtection algorithmName="SHA-512" hashValue="lvMfONfw/CtTtF3LtimF5gGmC3ZqBFAY/UVA4HwuAYodrDv5ILUeyAMf1mouuptrPZu6Gn/IagdR/yIWPnYWqQ==" saltValue="uJrgI3O39r0J0KXkr9f1tw=="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IF('6.6Ratemaking Data'!$K$7="","VARIANCE - NONE","VARIANCE "&amp;'6.6Ratemaking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EffDate_Prior06</f>
        <v/>
      </c>
    </row>
    <row r="10" spans="1:8" ht="15" customHeight="1" x14ac:dyDescent="0.25">
      <c r="A10" s="6" t="s">
        <v>170</v>
      </c>
      <c r="B10" s="52"/>
      <c r="H10" s="161">
        <f>EffDate_Proposed</f>
        <v>45366</v>
      </c>
    </row>
    <row r="11" spans="1:8" ht="15" customHeight="1" x14ac:dyDescent="0.25">
      <c r="A11" s="6" t="s">
        <v>77</v>
      </c>
      <c r="B11" s="52"/>
      <c r="H11" s="23" t="str">
        <f>Detailed_LineDesc06</f>
        <v/>
      </c>
    </row>
    <row r="12" spans="1:8" ht="15" customHeight="1" x14ac:dyDescent="0.25">
      <c r="A12" s="6" t="s">
        <v>78</v>
      </c>
      <c r="B12" s="52"/>
      <c r="H12" s="23" t="str">
        <f>Covg06</f>
        <v/>
      </c>
    </row>
    <row r="13" spans="1:8" ht="15" customHeight="1" x14ac:dyDescent="0.25">
      <c r="H13" s="511"/>
    </row>
    <row r="14" spans="1:8" ht="9.9499999999999993" customHeight="1" x14ac:dyDescent="0.25"/>
    <row r="15" spans="1:8" ht="15.75" thickBot="1" x14ac:dyDescent="0.3">
      <c r="A15" s="7" t="s">
        <v>171</v>
      </c>
      <c r="B15" s="228" t="str">
        <f>'6.6Ratemaking Data'!D$14</f>
        <v>20172</v>
      </c>
      <c r="C15" s="228" t="str">
        <f>'6.6Ratemaking Data'!E$14</f>
        <v>20182</v>
      </c>
      <c r="D15" s="228" t="str">
        <f>'6.6Ratemaking Data'!F$14</f>
        <v>20192</v>
      </c>
      <c r="E15" s="228" t="str">
        <f>'6.6Ratemaking Data'!G$14</f>
        <v>20202</v>
      </c>
      <c r="F15" s="228" t="str">
        <f>'6.6Ratemaking Data'!H$14</f>
        <v>20212</v>
      </c>
      <c r="G15" s="228">
        <f>'6.6Ratemaking Data'!I$14</f>
        <v>20222</v>
      </c>
      <c r="H15" s="91" t="s">
        <v>306</v>
      </c>
    </row>
    <row r="16" spans="1:8" x14ac:dyDescent="0.25">
      <c r="A16" s="114" t="s">
        <v>173</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25">
      <c r="A17" s="117" t="s">
        <v>172</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25">
      <c r="A18" s="117" t="s">
        <v>174</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25">
      <c r="A19" s="117" t="s">
        <v>175</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25">
      <c r="A20" s="117" t="s">
        <v>176</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25">
      <c r="A21" s="117" t="s">
        <v>177</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25">
      <c r="A22" s="117" t="s">
        <v>178</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25">
      <c r="A23" s="117" t="s">
        <v>144</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25">
      <c r="A24" s="117" t="s">
        <v>181</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25">
      <c r="A25" s="117" t="s">
        <v>182</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25">
      <c r="A26" s="117" t="s">
        <v>179</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25">
      <c r="A27" s="117" t="s">
        <v>180</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25">
      <c r="A28" s="117" t="s">
        <v>183</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75" thickBot="1" x14ac:dyDescent="0.3">
      <c r="A29" s="133" t="s">
        <v>188</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75" thickTop="1" x14ac:dyDescent="0.25">
      <c r="A30" s="117" t="s">
        <v>184</v>
      </c>
      <c r="B30" s="122"/>
      <c r="C30" s="122"/>
      <c r="D30" s="122"/>
      <c r="E30" s="122"/>
      <c r="F30" s="122"/>
      <c r="G30" s="122"/>
      <c r="H30" s="127">
        <f>IF(New_Program=TRUE,100%,'6.6Ratemaking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EffStd_Final06</f>
        <v/>
      </c>
    </row>
    <row r="38" spans="1:9" x14ac:dyDescent="0.25">
      <c r="A38" s="117" t="s">
        <v>191</v>
      </c>
      <c r="B38" s="77"/>
      <c r="C38" s="77"/>
      <c r="D38" s="77"/>
      <c r="E38" s="77"/>
      <c r="F38" s="577" t="s">
        <v>317</v>
      </c>
      <c r="G38" s="578">
        <f>update_leverage</f>
        <v>2021</v>
      </c>
      <c r="H38" s="162" t="str">
        <f>LevFact_Final06</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1/LevFact_Final06</f>
        <v>#VALUE!</v>
      </c>
    </row>
    <row r="41" spans="1:9" x14ac:dyDescent="0.25">
      <c r="A41" s="117" t="s">
        <v>198</v>
      </c>
      <c r="B41" s="77"/>
      <c r="C41" s="77"/>
      <c r="D41" s="77"/>
      <c r="E41" s="77"/>
      <c r="F41" s="577" t="s">
        <v>317</v>
      </c>
      <c r="G41" s="578">
        <f>update_reserveratios</f>
        <v>2021</v>
      </c>
      <c r="H41" s="163" t="str">
        <f>ResRatio_UPR06</f>
        <v/>
      </c>
    </row>
    <row r="42" spans="1:9" x14ac:dyDescent="0.25">
      <c r="A42" s="117" t="s">
        <v>194</v>
      </c>
      <c r="B42" s="77"/>
      <c r="C42" s="77"/>
      <c r="D42" s="77"/>
      <c r="E42" s="77"/>
      <c r="F42" s="577" t="s">
        <v>317</v>
      </c>
      <c r="G42" s="578">
        <f>update_reserveratios</f>
        <v>2021</v>
      </c>
      <c r="H42" s="163" t="str">
        <f>ResRatio_Loss06</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'6.6Ratemaking Data'!D$14</f>
        <v>20172</v>
      </c>
      <c r="C47" s="228" t="str">
        <f>'6.6Ratemaking Data'!E$14</f>
        <v>20182</v>
      </c>
      <c r="D47" s="228" t="str">
        <f>'6.6Ratemaking Data'!F$14</f>
        <v>20192</v>
      </c>
      <c r="E47" s="228" t="str">
        <f>'6.6Ratemaking Data'!G$14</f>
        <v>20202</v>
      </c>
      <c r="F47" s="228" t="str">
        <f>'6.6Ratemaking Data'!H$14</f>
        <v>20212</v>
      </c>
      <c r="G47" s="228">
        <f>'6.6Ratemaking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Yield*((1-FIT_Inv)/(1-FIT_UW))*ResRatio_Loss06</f>
        <v>#VALUE!</v>
      </c>
    </row>
    <row r="58" spans="1:9" x14ac:dyDescent="0.25">
      <c r="A58" s="117" t="s">
        <v>218</v>
      </c>
      <c r="B58" s="77"/>
      <c r="C58" s="77"/>
      <c r="D58" s="77"/>
      <c r="E58" s="77"/>
      <c r="F58" s="77"/>
      <c r="G58" s="77"/>
      <c r="H58" s="127" t="e">
        <f>Yield*((1-FIT_Inv)/(1-FIT_UW))*(ResRatio_UPR06+SurplusRatio)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IF(New_Program=TRUE,0,(1+Net_AnnualTrend)^MIN(4,((EffDate_Proposed-EffDate_Prior06)/365.25))-1)</f>
        <v>#VALUE!</v>
      </c>
    </row>
    <row r="61" spans="1:9" x14ac:dyDescent="0.25">
      <c r="A61" s="117" t="s">
        <v>207</v>
      </c>
      <c r="B61" s="128"/>
      <c r="C61" s="128"/>
      <c r="D61" s="128"/>
      <c r="E61" s="128"/>
      <c r="F61" s="128"/>
      <c r="G61" s="128"/>
      <c r="H61" s="127" t="e">
        <f>(ROR_Max)/(LevFact_Final06*(1-FIT_UW))</f>
        <v>#VALUE!</v>
      </c>
    </row>
    <row r="62" spans="1:9" x14ac:dyDescent="0.25">
      <c r="A62" s="117" t="s">
        <v>208</v>
      </c>
      <c r="B62" s="77"/>
      <c r="C62" s="77"/>
      <c r="D62" s="77"/>
      <c r="E62" s="77"/>
      <c r="F62" s="77"/>
      <c r="G62" s="77"/>
      <c r="H62" s="127" t="e">
        <f>(ROR_Min)/(LevFact_Final06*(1-FIT_UW))</f>
        <v>#VALUE!</v>
      </c>
    </row>
    <row r="63" spans="1:9" x14ac:dyDescent="0.25">
      <c r="A63" s="117" t="s">
        <v>209</v>
      </c>
      <c r="B63" s="77"/>
      <c r="C63" s="77"/>
      <c r="D63" s="77"/>
      <c r="E63" s="77"/>
      <c r="F63" s="77"/>
      <c r="G63" s="77"/>
      <c r="H63" s="127" t="e">
        <f>1-CredLossDCCE_perExp/Max_Premium-EffStd_Final06</f>
        <v>#VALUE!</v>
      </c>
      <c r="I63" s="204"/>
    </row>
    <row r="64" spans="1:9" x14ac:dyDescent="0.25">
      <c r="A64" s="117" t="s">
        <v>211</v>
      </c>
      <c r="B64" s="77"/>
      <c r="C64" s="77"/>
      <c r="D64" s="77"/>
      <c r="E64" s="77"/>
      <c r="F64" s="77"/>
      <c r="G64" s="77"/>
      <c r="H64" s="129" t="e">
        <f>1-EffStd_Final06-Min_Profit+InvInc_Variable</f>
        <v>#VALUE!</v>
      </c>
      <c r="I64" s="204"/>
    </row>
    <row r="65" spans="1:9" x14ac:dyDescent="0.25">
      <c r="A65" s="117" t="s">
        <v>210</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str">
        <f>IF(AND(I65="",I66="",I67="",I68="",I69=""),(Max_Premium-Prem_Current)/Prem_Current, "Error")</f>
        <v>Error</v>
      </c>
      <c r="I69" s="396"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See Column M of Page '6.6Ratemaking Data' for errors that must be corrected.</v>
      </c>
    </row>
    <row r="70" spans="1:9" ht="5.0999999999999996" hidden="1" customHeight="1" x14ac:dyDescent="0.25"/>
    <row r="71" spans="1:9" ht="15.75" hidden="1" thickBot="1" x14ac:dyDescent="0.3">
      <c r="A71" s="7" t="s">
        <v>233</v>
      </c>
      <c r="B71" s="228" t="str">
        <f>'6.6Ratemaking Data'!D$14</f>
        <v>20172</v>
      </c>
      <c r="C71" s="228" t="str">
        <f>'6.6Ratemaking Data'!E$14</f>
        <v>20182</v>
      </c>
      <c r="D71" s="228" t="str">
        <f>'6.6Ratemaking Data'!F$14</f>
        <v>20192</v>
      </c>
      <c r="E71" s="228" t="str">
        <f>'6.6Ratemaking Data'!G$14</f>
        <v>20202</v>
      </c>
      <c r="F71" s="228" t="str">
        <f>'6.6Ratemaking Data'!H$14</f>
        <v>20212</v>
      </c>
      <c r="G71" s="228">
        <f>'6.6Ratemaking Data'!I$14</f>
        <v>20222</v>
      </c>
    </row>
    <row r="72" spans="1:9" hidden="1" x14ac:dyDescent="0.25">
      <c r="A72" s="114" t="s">
        <v>232</v>
      </c>
      <c r="B72" s="125"/>
      <c r="C72" s="125"/>
      <c r="D72" s="125"/>
      <c r="E72" s="125"/>
      <c r="F72" s="125"/>
      <c r="G72" s="125"/>
      <c r="H72" s="131" t="str">
        <f>IF(ISBLANK('6.6Ratemaking Data'!J44),"",'6.6Ratemaking Data'!J44)</f>
        <v/>
      </c>
    </row>
    <row r="73" spans="1:9" hidden="1" x14ac:dyDescent="0.25">
      <c r="A73" s="117" t="s">
        <v>219</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25">
      <c r="A74" s="117" t="s">
        <v>220</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58" t="s">
        <v>618</v>
      </c>
      <c r="G80" s="658"/>
      <c r="H80" s="658"/>
    </row>
    <row r="81" spans="1:1" x14ac:dyDescent="0.25">
      <c r="A81" s="132"/>
    </row>
  </sheetData>
  <sheetProtection algorithmName="SHA-512" hashValue="Kck7yvueRPUw+b9QMabFftGN61z9Ia51NnD+KalSewFg9fXQ2+gKUrjOHZY/c9LwyIDrw6eZhf7hF0uS/ZvKuA==" saltValue="3rM8YrKXXSgZxOunKQxT+w=="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IF('6.7Ratemaking Data'!$K$7="","VARIANCE - NONE","VARIANCE "&amp;'6.7Ratemaking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EffDate_Prior07</f>
        <v/>
      </c>
    </row>
    <row r="10" spans="1:8" ht="15" customHeight="1" x14ac:dyDescent="0.25">
      <c r="A10" s="6" t="s">
        <v>170</v>
      </c>
      <c r="B10" s="52"/>
      <c r="H10" s="161">
        <f>EffDate_Proposed</f>
        <v>45366</v>
      </c>
    </row>
    <row r="11" spans="1:8" ht="15" customHeight="1" x14ac:dyDescent="0.25">
      <c r="A11" s="6" t="s">
        <v>77</v>
      </c>
      <c r="B11" s="52"/>
      <c r="H11" s="23" t="str">
        <f>Detailed_LineDesc07</f>
        <v/>
      </c>
    </row>
    <row r="12" spans="1:8" ht="15" customHeight="1" x14ac:dyDescent="0.25">
      <c r="A12" s="6" t="s">
        <v>78</v>
      </c>
      <c r="B12" s="52"/>
      <c r="H12" s="23" t="str">
        <f>Covg07</f>
        <v/>
      </c>
    </row>
    <row r="13" spans="1:8" ht="15" customHeight="1" x14ac:dyDescent="0.25">
      <c r="H13" s="511"/>
    </row>
    <row r="14" spans="1:8" ht="9.9499999999999993" customHeight="1" x14ac:dyDescent="0.25"/>
    <row r="15" spans="1:8" ht="15.75" thickBot="1" x14ac:dyDescent="0.3">
      <c r="A15" s="7" t="s">
        <v>171</v>
      </c>
      <c r="B15" s="228" t="str">
        <f>'6.7Ratemaking Data'!D$14</f>
        <v>20172</v>
      </c>
      <c r="C15" s="228" t="str">
        <f>'6.7Ratemaking Data'!E$14</f>
        <v>20182</v>
      </c>
      <c r="D15" s="228" t="str">
        <f>'6.7Ratemaking Data'!F$14</f>
        <v>20192</v>
      </c>
      <c r="E15" s="228" t="str">
        <f>'6.7Ratemaking Data'!G$14</f>
        <v>20202</v>
      </c>
      <c r="F15" s="228" t="str">
        <f>'6.7Ratemaking Data'!H$14</f>
        <v>20212</v>
      </c>
      <c r="G15" s="228">
        <f>'6.7Ratemaking Data'!I$14</f>
        <v>20222</v>
      </c>
      <c r="H15" s="91" t="s">
        <v>306</v>
      </c>
    </row>
    <row r="16" spans="1:8" x14ac:dyDescent="0.25">
      <c r="A16" s="114" t="s">
        <v>173</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25">
      <c r="A17" s="117" t="s">
        <v>172</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25">
      <c r="A18" s="117" t="s">
        <v>174</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25">
      <c r="A19" s="117" t="s">
        <v>175</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25">
      <c r="A20" s="117" t="s">
        <v>176</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25">
      <c r="A21" s="117" t="s">
        <v>177</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25">
      <c r="A22" s="117" t="s">
        <v>178</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25">
      <c r="A23" s="117" t="s">
        <v>144</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25">
      <c r="A24" s="117" t="s">
        <v>181</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25">
      <c r="A25" s="117" t="s">
        <v>182</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25">
      <c r="A26" s="117" t="s">
        <v>179</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25">
      <c r="A27" s="117" t="s">
        <v>180</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25">
      <c r="A28" s="117" t="s">
        <v>183</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75" thickBot="1" x14ac:dyDescent="0.3">
      <c r="A29" s="133" t="s">
        <v>188</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75" thickTop="1" x14ac:dyDescent="0.25">
      <c r="A30" s="117" t="s">
        <v>184</v>
      </c>
      <c r="B30" s="122"/>
      <c r="C30" s="122"/>
      <c r="D30" s="122"/>
      <c r="E30" s="122"/>
      <c r="F30" s="122"/>
      <c r="G30" s="122"/>
      <c r="H30" s="127">
        <f>IF(New_Program=TRUE,100%,'6.7Ratemaking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EffStd_Final07</f>
        <v/>
      </c>
    </row>
    <row r="38" spans="1:9" x14ac:dyDescent="0.25">
      <c r="A38" s="117" t="s">
        <v>191</v>
      </c>
      <c r="B38" s="77"/>
      <c r="C38" s="77"/>
      <c r="D38" s="77"/>
      <c r="E38" s="77"/>
      <c r="F38" s="577" t="s">
        <v>317</v>
      </c>
      <c r="G38" s="578">
        <f>update_leverage</f>
        <v>2021</v>
      </c>
      <c r="H38" s="162" t="str">
        <f>LevFact_Final07</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1/LevFact_Final07</f>
        <v>#VALUE!</v>
      </c>
    </row>
    <row r="41" spans="1:9" x14ac:dyDescent="0.25">
      <c r="A41" s="117" t="s">
        <v>198</v>
      </c>
      <c r="B41" s="77"/>
      <c r="C41" s="77"/>
      <c r="D41" s="77"/>
      <c r="E41" s="77"/>
      <c r="F41" s="577" t="s">
        <v>317</v>
      </c>
      <c r="G41" s="578">
        <f>update_reserveratios</f>
        <v>2021</v>
      </c>
      <c r="H41" s="163" t="str">
        <f>ResRatio_UPR07</f>
        <v/>
      </c>
    </row>
    <row r="42" spans="1:9" x14ac:dyDescent="0.25">
      <c r="A42" s="117" t="s">
        <v>194</v>
      </c>
      <c r="B42" s="77"/>
      <c r="C42" s="77"/>
      <c r="D42" s="77"/>
      <c r="E42" s="77"/>
      <c r="F42" s="577" t="s">
        <v>317</v>
      </c>
      <c r="G42" s="578">
        <f>update_reserveratios</f>
        <v>2021</v>
      </c>
      <c r="H42" s="163" t="str">
        <f>ResRatio_Loss07</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'6.7Ratemaking Data'!D$14</f>
        <v>20172</v>
      </c>
      <c r="C47" s="228" t="str">
        <f>'6.7Ratemaking Data'!E$14</f>
        <v>20182</v>
      </c>
      <c r="D47" s="228" t="str">
        <f>'6.7Ratemaking Data'!F$14</f>
        <v>20192</v>
      </c>
      <c r="E47" s="228" t="str">
        <f>'6.7Ratemaking Data'!G$14</f>
        <v>20202</v>
      </c>
      <c r="F47" s="228" t="str">
        <f>'6.7Ratemaking Data'!H$14</f>
        <v>20212</v>
      </c>
      <c r="G47" s="228">
        <f>'6.7Ratemaking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Yield*((1-FIT_Inv)/(1-FIT_UW))*ResRatio_Loss07</f>
        <v>#VALUE!</v>
      </c>
    </row>
    <row r="58" spans="1:9" x14ac:dyDescent="0.25">
      <c r="A58" s="117" t="s">
        <v>218</v>
      </c>
      <c r="B58" s="77"/>
      <c r="C58" s="77"/>
      <c r="D58" s="77"/>
      <c r="E58" s="77"/>
      <c r="F58" s="77"/>
      <c r="G58" s="77"/>
      <c r="H58" s="127" t="e">
        <f>Yield*((1-FIT_Inv)/(1-FIT_UW))*(ResRatio_UPR07+SurplusRatio)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IF(New_Program=TRUE,0,(1+Net_AnnualTrend)^MIN(4,((EffDate_Proposed-EffDate_Prior07)/365.25))-1)</f>
        <v>#VALUE!</v>
      </c>
    </row>
    <row r="61" spans="1:9" x14ac:dyDescent="0.25">
      <c r="A61" s="117" t="s">
        <v>207</v>
      </c>
      <c r="B61" s="128"/>
      <c r="C61" s="128"/>
      <c r="D61" s="128"/>
      <c r="E61" s="128"/>
      <c r="F61" s="128"/>
      <c r="G61" s="128"/>
      <c r="H61" s="127" t="e">
        <f>(ROR_Max)/(LevFact_Final07*(1-FIT_UW))</f>
        <v>#VALUE!</v>
      </c>
    </row>
    <row r="62" spans="1:9" x14ac:dyDescent="0.25">
      <c r="A62" s="117" t="s">
        <v>208</v>
      </c>
      <c r="B62" s="77"/>
      <c r="C62" s="77"/>
      <c r="D62" s="77"/>
      <c r="E62" s="77"/>
      <c r="F62" s="77"/>
      <c r="G62" s="77"/>
      <c r="H62" s="127" t="e">
        <f>(ROR_Min)/(LevFact_Final07*(1-FIT_UW))</f>
        <v>#VALUE!</v>
      </c>
    </row>
    <row r="63" spans="1:9" x14ac:dyDescent="0.25">
      <c r="A63" s="117" t="s">
        <v>209</v>
      </c>
      <c r="B63" s="77"/>
      <c r="C63" s="77"/>
      <c r="D63" s="77"/>
      <c r="E63" s="77"/>
      <c r="F63" s="77"/>
      <c r="G63" s="77"/>
      <c r="H63" s="127" t="e">
        <f>1-CredLossDCCE_perExp/Max_Premium-EffStd_Final07</f>
        <v>#VALUE!</v>
      </c>
      <c r="I63" s="204"/>
    </row>
    <row r="64" spans="1:9" x14ac:dyDescent="0.25">
      <c r="A64" s="117" t="s">
        <v>211</v>
      </c>
      <c r="B64" s="77"/>
      <c r="C64" s="77"/>
      <c r="D64" s="77"/>
      <c r="E64" s="77"/>
      <c r="F64" s="77"/>
      <c r="G64" s="77"/>
      <c r="H64" s="129" t="e">
        <f>1-EffStd_Final07-Min_Profit+InvInc_Variable</f>
        <v>#VALUE!</v>
      </c>
      <c r="I64" s="204"/>
    </row>
    <row r="65" spans="1:9" x14ac:dyDescent="0.25">
      <c r="A65" s="117" t="s">
        <v>210</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str">
        <f>IF(AND(I65="",I66="",I67="",I68="",I69=""),(Max_Premium-Prem_Current)/Prem_Current, "Error")</f>
        <v>Error</v>
      </c>
      <c r="I69" s="396"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See Column M of Page '6.7Ratemaking Data' for errors that must be corrected.</v>
      </c>
    </row>
    <row r="70" spans="1:9" ht="5.0999999999999996" hidden="1" customHeight="1" x14ac:dyDescent="0.25"/>
    <row r="71" spans="1:9" ht="15.75" hidden="1" thickBot="1" x14ac:dyDescent="0.3">
      <c r="A71" s="7" t="s">
        <v>233</v>
      </c>
      <c r="B71" s="228" t="str">
        <f>'6.7Ratemaking Data'!D$14</f>
        <v>20172</v>
      </c>
      <c r="C71" s="228" t="str">
        <f>'6.7Ratemaking Data'!E$14</f>
        <v>20182</v>
      </c>
      <c r="D71" s="228" t="str">
        <f>'6.7Ratemaking Data'!F$14</f>
        <v>20192</v>
      </c>
      <c r="E71" s="228" t="str">
        <f>'6.7Ratemaking Data'!G$14</f>
        <v>20202</v>
      </c>
      <c r="F71" s="228" t="str">
        <f>'6.7Ratemaking Data'!H$14</f>
        <v>20212</v>
      </c>
      <c r="G71" s="228">
        <f>'6.7Ratemaking Data'!I$14</f>
        <v>20222</v>
      </c>
    </row>
    <row r="72" spans="1:9" hidden="1" x14ac:dyDescent="0.25">
      <c r="A72" s="114" t="s">
        <v>232</v>
      </c>
      <c r="B72" s="125"/>
      <c r="C72" s="125"/>
      <c r="D72" s="125"/>
      <c r="E72" s="125"/>
      <c r="F72" s="125"/>
      <c r="G72" s="125"/>
      <c r="H72" s="131" t="str">
        <f>IF(ISBLANK('6.7Ratemaking Data'!J44),"",'6.7Ratemaking Data'!J44)</f>
        <v/>
      </c>
    </row>
    <row r="73" spans="1:9" hidden="1" x14ac:dyDescent="0.25">
      <c r="A73" s="117" t="s">
        <v>219</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25">
      <c r="A74" s="117" t="s">
        <v>220</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58" t="s">
        <v>617</v>
      </c>
      <c r="G80" s="658"/>
      <c r="H80" s="658"/>
    </row>
    <row r="81" spans="1:1" x14ac:dyDescent="0.25">
      <c r="A81" s="132"/>
    </row>
  </sheetData>
  <sheetProtection algorithmName="SHA-512" hashValue="YsDaDep29DrLMpR2CTPuJLcl2aj7lHjsOBHuWFmrtSW/hO2SQ3Jbe0nC8howgLdvr1z/+vxbxJFwpUoVMJSA2A==" saltValue="+9BNGNAsb3W1hQhvRs6+OQ=="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IF('6.8Ratemaking Data'!$K$7="","VARIANCE - NONE","VARIANCE "&amp;'6.8Ratemaking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EffDate_Prior08</f>
        <v/>
      </c>
    </row>
    <row r="10" spans="1:8" ht="15" customHeight="1" x14ac:dyDescent="0.25">
      <c r="A10" s="6" t="s">
        <v>170</v>
      </c>
      <c r="B10" s="52"/>
      <c r="H10" s="161">
        <f>EffDate_Proposed</f>
        <v>45366</v>
      </c>
    </row>
    <row r="11" spans="1:8" ht="15" customHeight="1" x14ac:dyDescent="0.25">
      <c r="A11" s="6" t="s">
        <v>77</v>
      </c>
      <c r="B11" s="52"/>
      <c r="H11" s="23" t="str">
        <f>Detailed_LineDesc08</f>
        <v/>
      </c>
    </row>
    <row r="12" spans="1:8" ht="15" customHeight="1" x14ac:dyDescent="0.25">
      <c r="A12" s="6" t="s">
        <v>78</v>
      </c>
      <c r="B12" s="52"/>
      <c r="H12" s="23" t="str">
        <f>Covg08</f>
        <v/>
      </c>
    </row>
    <row r="13" spans="1:8" ht="15" customHeight="1" x14ac:dyDescent="0.25">
      <c r="H13" s="511"/>
    </row>
    <row r="14" spans="1:8" ht="9.9499999999999993" customHeight="1" x14ac:dyDescent="0.25"/>
    <row r="15" spans="1:8" ht="15.75" thickBot="1" x14ac:dyDescent="0.3">
      <c r="A15" s="7" t="s">
        <v>171</v>
      </c>
      <c r="B15" s="228" t="str">
        <f>'6.8Ratemaking Data'!D$14</f>
        <v>20172</v>
      </c>
      <c r="C15" s="228" t="str">
        <f>'6.8Ratemaking Data'!E$14</f>
        <v>20182</v>
      </c>
      <c r="D15" s="228" t="str">
        <f>'6.8Ratemaking Data'!F$14</f>
        <v>20192</v>
      </c>
      <c r="E15" s="228" t="str">
        <f>'6.8Ratemaking Data'!G$14</f>
        <v>20202</v>
      </c>
      <c r="F15" s="228" t="str">
        <f>'6.8Ratemaking Data'!H$14</f>
        <v>20212</v>
      </c>
      <c r="G15" s="228">
        <f>'6.8Ratemaking Data'!I$14</f>
        <v>20222</v>
      </c>
      <c r="H15" s="91" t="s">
        <v>306</v>
      </c>
    </row>
    <row r="16" spans="1:8" x14ac:dyDescent="0.25">
      <c r="A16" s="114" t="s">
        <v>173</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172</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174</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175</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176</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177</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178</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144</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181</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182</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179</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180</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183</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188</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184</v>
      </c>
      <c r="B30" s="122"/>
      <c r="C30" s="122"/>
      <c r="D30" s="122"/>
      <c r="E30" s="122"/>
      <c r="F30" s="122"/>
      <c r="G30" s="122"/>
      <c r="H30" s="127">
        <f>IF(New_Program=TRUE,100%,'6.8Ratemaking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EffStd_Final08</f>
        <v/>
      </c>
    </row>
    <row r="38" spans="1:9" x14ac:dyDescent="0.25">
      <c r="A38" s="117" t="s">
        <v>191</v>
      </c>
      <c r="B38" s="77"/>
      <c r="C38" s="77"/>
      <c r="D38" s="77"/>
      <c r="E38" s="77"/>
      <c r="F38" s="577" t="s">
        <v>317</v>
      </c>
      <c r="G38" s="578">
        <f>update_leverage</f>
        <v>2021</v>
      </c>
      <c r="H38" s="162" t="str">
        <f>LevFact_Final08</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1/LevFact_Final08</f>
        <v>#VALUE!</v>
      </c>
    </row>
    <row r="41" spans="1:9" x14ac:dyDescent="0.25">
      <c r="A41" s="117" t="s">
        <v>198</v>
      </c>
      <c r="B41" s="77"/>
      <c r="C41" s="77"/>
      <c r="D41" s="77"/>
      <c r="E41" s="77"/>
      <c r="F41" s="577" t="s">
        <v>317</v>
      </c>
      <c r="G41" s="578">
        <f>update_reserveratios</f>
        <v>2021</v>
      </c>
      <c r="H41" s="163" t="str">
        <f>ResRatio_UPR08</f>
        <v/>
      </c>
    </row>
    <row r="42" spans="1:9" x14ac:dyDescent="0.25">
      <c r="A42" s="117" t="s">
        <v>194</v>
      </c>
      <c r="B42" s="77"/>
      <c r="C42" s="77"/>
      <c r="D42" s="77"/>
      <c r="E42" s="77"/>
      <c r="F42" s="577" t="s">
        <v>317</v>
      </c>
      <c r="G42" s="578">
        <f>update_reserveratios</f>
        <v>2021</v>
      </c>
      <c r="H42" s="163" t="str">
        <f>ResRatio_Loss08</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'6.8Ratemaking Data'!D$14</f>
        <v>20172</v>
      </c>
      <c r="C47" s="228" t="str">
        <f>'6.8Ratemaking Data'!E$14</f>
        <v>20182</v>
      </c>
      <c r="D47" s="228" t="str">
        <f>'6.8Ratemaking Data'!F$14</f>
        <v>20192</v>
      </c>
      <c r="E47" s="228" t="str">
        <f>'6.8Ratemaking Data'!G$14</f>
        <v>20202</v>
      </c>
      <c r="F47" s="228" t="str">
        <f>'6.8Ratemaking Data'!H$14</f>
        <v>20212</v>
      </c>
      <c r="G47" s="228">
        <f>'6.8Ratemaking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Yield*((1-FIT_Inv)/(1-FIT_UW))*ResRatio_Loss08</f>
        <v>#VALUE!</v>
      </c>
    </row>
    <row r="58" spans="1:9" x14ac:dyDescent="0.25">
      <c r="A58" s="117" t="s">
        <v>218</v>
      </c>
      <c r="B58" s="77"/>
      <c r="C58" s="77"/>
      <c r="D58" s="77"/>
      <c r="E58" s="77"/>
      <c r="F58" s="77"/>
      <c r="G58" s="77"/>
      <c r="H58" s="127" t="e">
        <f>Yield*((1-FIT_Inv)/(1-FIT_UW))*(ResRatio_UPR08+SurplusRatio)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IF(New_Program=TRUE,0,(1+Net_AnnualTrend)^MIN(4,((EffDate_Proposed-EffDate_Prior08)/365.25))-1)</f>
        <v>#VALUE!</v>
      </c>
    </row>
    <row r="61" spans="1:9" x14ac:dyDescent="0.25">
      <c r="A61" s="117" t="s">
        <v>207</v>
      </c>
      <c r="B61" s="128"/>
      <c r="C61" s="128"/>
      <c r="D61" s="128"/>
      <c r="E61" s="128"/>
      <c r="F61" s="128"/>
      <c r="G61" s="128"/>
      <c r="H61" s="127" t="e">
        <f>(ROR_Max)/(LevFact_Final08*(1-FIT_UW))</f>
        <v>#VALUE!</v>
      </c>
    </row>
    <row r="62" spans="1:9" x14ac:dyDescent="0.25">
      <c r="A62" s="117" t="s">
        <v>208</v>
      </c>
      <c r="B62" s="77"/>
      <c r="C62" s="77"/>
      <c r="D62" s="77"/>
      <c r="E62" s="77"/>
      <c r="F62" s="77"/>
      <c r="G62" s="77"/>
      <c r="H62" s="127" t="e">
        <f>(ROR_Min)/(LevFact_Final08*(1-FIT_UW))</f>
        <v>#VALUE!</v>
      </c>
    </row>
    <row r="63" spans="1:9" x14ac:dyDescent="0.25">
      <c r="A63" s="117" t="s">
        <v>209</v>
      </c>
      <c r="B63" s="77"/>
      <c r="C63" s="77"/>
      <c r="D63" s="77"/>
      <c r="E63" s="77"/>
      <c r="F63" s="77"/>
      <c r="G63" s="77"/>
      <c r="H63" s="127" t="e">
        <f>1-CredLossDCCE_perExp/Max_Premium-EffStd_Final08</f>
        <v>#VALUE!</v>
      </c>
      <c r="I63" s="204"/>
    </row>
    <row r="64" spans="1:9" x14ac:dyDescent="0.25">
      <c r="A64" s="117" t="s">
        <v>211</v>
      </c>
      <c r="B64" s="77"/>
      <c r="C64" s="77"/>
      <c r="D64" s="77"/>
      <c r="E64" s="77"/>
      <c r="F64" s="77"/>
      <c r="G64" s="77"/>
      <c r="H64" s="129" t="e">
        <f>1-EffStd_Final08-Min_Profit+InvInc_Variable</f>
        <v>#VALUE!</v>
      </c>
      <c r="I64" s="204"/>
    </row>
    <row r="65" spans="1:9" x14ac:dyDescent="0.25">
      <c r="A65" s="117" t="s">
        <v>210</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str">
        <f>IF(AND(I65="",I66="",I67="",I68="",I69=""),(Max_Premium-Prem_Current)/Prem_Current, "Error")</f>
        <v>Error</v>
      </c>
      <c r="I69" s="396"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7" t="s">
        <v>233</v>
      </c>
      <c r="B71" s="228" t="str">
        <f>'6.8Ratemaking Data'!D$14</f>
        <v>20172</v>
      </c>
      <c r="C71" s="228" t="str">
        <f>'6.8Ratemaking Data'!E$14</f>
        <v>20182</v>
      </c>
      <c r="D71" s="228" t="str">
        <f>'6.8Ratemaking Data'!F$14</f>
        <v>20192</v>
      </c>
      <c r="E71" s="228" t="str">
        <f>'6.8Ratemaking Data'!G$14</f>
        <v>20202</v>
      </c>
      <c r="F71" s="228" t="str">
        <f>'6.8Ratemaking Data'!H$14</f>
        <v>20212</v>
      </c>
      <c r="G71" s="228">
        <f>'6.8Ratemaking Data'!I$14</f>
        <v>20222</v>
      </c>
    </row>
    <row r="72" spans="1:9" hidden="1" x14ac:dyDescent="0.25">
      <c r="A72" s="114" t="s">
        <v>232</v>
      </c>
      <c r="B72" s="125"/>
      <c r="C72" s="125"/>
      <c r="D72" s="125"/>
      <c r="E72" s="125"/>
      <c r="F72" s="125"/>
      <c r="G72" s="125"/>
      <c r="H72" s="131" t="str">
        <f>IF(ISBLANK('6.8Ratemaking Data'!J44),"",'6.8Ratemaking Data'!J44)</f>
        <v/>
      </c>
    </row>
    <row r="73" spans="1:9" hidden="1" x14ac:dyDescent="0.25">
      <c r="A73" s="117" t="s">
        <v>219</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220</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58" t="s">
        <v>616</v>
      </c>
      <c r="G80" s="658"/>
      <c r="H80" s="658"/>
    </row>
    <row r="81" spans="1:1" x14ac:dyDescent="0.25">
      <c r="A81" s="132"/>
    </row>
  </sheetData>
  <sheetProtection algorithmName="SHA-512" hashValue="Cjj8S16TvRn5/5teGrZF39F2YYbPSeS/8cPyjQorh53zrbRT9e80j7dpuGfiqWs2FUk9PR7UNUqqb6ifw6GkjQ==" saltValue="3u3/Zii49v3VNllt/7nBKA=="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IF('6.9Ratemaking Data'!$K$7="","VARIANCE - NONE","VARIANCE "&amp;'6.9Ratemaking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EffDate_Prior09</f>
        <v/>
      </c>
    </row>
    <row r="10" spans="1:8" ht="15" customHeight="1" x14ac:dyDescent="0.25">
      <c r="A10" s="6" t="s">
        <v>170</v>
      </c>
      <c r="B10" s="52"/>
      <c r="H10" s="161">
        <f>EffDate_Proposed</f>
        <v>45366</v>
      </c>
    </row>
    <row r="11" spans="1:8" ht="15" customHeight="1" x14ac:dyDescent="0.25">
      <c r="A11" s="6" t="s">
        <v>77</v>
      </c>
      <c r="B11" s="52"/>
      <c r="H11" s="23" t="str">
        <f>Detailed_LineDesc09</f>
        <v/>
      </c>
    </row>
    <row r="12" spans="1:8" ht="15" customHeight="1" x14ac:dyDescent="0.25">
      <c r="A12" s="6" t="s">
        <v>78</v>
      </c>
      <c r="B12" s="52"/>
      <c r="H12" s="23" t="str">
        <f>Covg09</f>
        <v/>
      </c>
    </row>
    <row r="13" spans="1:8" ht="15" customHeight="1" x14ac:dyDescent="0.25">
      <c r="H13" s="511"/>
    </row>
    <row r="14" spans="1:8" ht="9.9499999999999993" customHeight="1" x14ac:dyDescent="0.25"/>
    <row r="15" spans="1:8" ht="15.75" thickBot="1" x14ac:dyDescent="0.3">
      <c r="A15" s="7" t="s">
        <v>171</v>
      </c>
      <c r="B15" s="228" t="str">
        <f>'6.9Ratemaking Data'!D$14</f>
        <v>20172</v>
      </c>
      <c r="C15" s="228" t="str">
        <f>'6.9Ratemaking Data'!E$14</f>
        <v>20182</v>
      </c>
      <c r="D15" s="228" t="str">
        <f>'6.9Ratemaking Data'!F$14</f>
        <v>20192</v>
      </c>
      <c r="E15" s="228" t="str">
        <f>'6.9Ratemaking Data'!G$14</f>
        <v>20202</v>
      </c>
      <c r="F15" s="228" t="str">
        <f>'6.9Ratemaking Data'!H$14</f>
        <v>20212</v>
      </c>
      <c r="G15" s="228">
        <f>'6.9Ratemaking Data'!I$14</f>
        <v>20222</v>
      </c>
      <c r="H15" s="91" t="s">
        <v>306</v>
      </c>
    </row>
    <row r="16" spans="1:8" x14ac:dyDescent="0.25">
      <c r="A16" s="114" t="s">
        <v>173</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172</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174</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175</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176</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177</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178</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144</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181</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182</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179</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180</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183</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188</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184</v>
      </c>
      <c r="B30" s="122"/>
      <c r="C30" s="122"/>
      <c r="D30" s="122"/>
      <c r="E30" s="122"/>
      <c r="F30" s="122"/>
      <c r="G30" s="122"/>
      <c r="H30" s="127">
        <f>IF(New_Program=TRUE,100%,'6.9Ratemaking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EffStd_Final09</f>
        <v/>
      </c>
    </row>
    <row r="38" spans="1:9" x14ac:dyDescent="0.25">
      <c r="A38" s="117" t="s">
        <v>191</v>
      </c>
      <c r="B38" s="77"/>
      <c r="C38" s="77"/>
      <c r="D38" s="77"/>
      <c r="E38" s="77"/>
      <c r="F38" s="577" t="s">
        <v>317</v>
      </c>
      <c r="G38" s="578">
        <f>update_leverage</f>
        <v>2021</v>
      </c>
      <c r="H38" s="162" t="str">
        <f>LevFact_Final09</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1/LevFact_Final09</f>
        <v>#VALUE!</v>
      </c>
    </row>
    <row r="41" spans="1:9" x14ac:dyDescent="0.25">
      <c r="A41" s="117" t="s">
        <v>198</v>
      </c>
      <c r="B41" s="77"/>
      <c r="C41" s="77"/>
      <c r="D41" s="77"/>
      <c r="E41" s="77"/>
      <c r="F41" s="577" t="s">
        <v>317</v>
      </c>
      <c r="G41" s="578">
        <f>update_reserveratios</f>
        <v>2021</v>
      </c>
      <c r="H41" s="163" t="str">
        <f>ResRatio_UPR09</f>
        <v/>
      </c>
    </row>
    <row r="42" spans="1:9" x14ac:dyDescent="0.25">
      <c r="A42" s="117" t="s">
        <v>194</v>
      </c>
      <c r="B42" s="77"/>
      <c r="C42" s="77"/>
      <c r="D42" s="77"/>
      <c r="E42" s="77"/>
      <c r="F42" s="577" t="s">
        <v>317</v>
      </c>
      <c r="G42" s="578">
        <f>update_reserveratios</f>
        <v>2021</v>
      </c>
      <c r="H42" s="163" t="str">
        <f>ResRatio_Loss09</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'6.9Ratemaking Data'!D$14</f>
        <v>20172</v>
      </c>
      <c r="C47" s="228" t="str">
        <f>'6.9Ratemaking Data'!E$14</f>
        <v>20182</v>
      </c>
      <c r="D47" s="228" t="str">
        <f>'6.9Ratemaking Data'!F$14</f>
        <v>20192</v>
      </c>
      <c r="E47" s="228" t="str">
        <f>'6.9Ratemaking Data'!G$14</f>
        <v>20202</v>
      </c>
      <c r="F47" s="228" t="str">
        <f>'6.9Ratemaking Data'!H$14</f>
        <v>20212</v>
      </c>
      <c r="G47" s="228">
        <f>'6.9Ratemaking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Yield*((1-FIT_Inv)/(1-FIT_UW))*ResRatio_Loss09</f>
        <v>#VALUE!</v>
      </c>
    </row>
    <row r="58" spans="1:9" x14ac:dyDescent="0.25">
      <c r="A58" s="117" t="s">
        <v>218</v>
      </c>
      <c r="B58" s="77"/>
      <c r="C58" s="77"/>
      <c r="D58" s="77"/>
      <c r="E58" s="77"/>
      <c r="F58" s="77"/>
      <c r="G58" s="77"/>
      <c r="H58" s="127" t="e">
        <f>Yield*((1-FIT_Inv)/(1-FIT_UW))*(ResRatio_UPR09+SurplusRatio)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IF(New_Program=TRUE,0,(1+Net_AnnualTrend)^MIN(4,((EffDate_Proposed-EffDate_Prior09)/365.25))-1)</f>
        <v>#VALUE!</v>
      </c>
    </row>
    <row r="61" spans="1:9" x14ac:dyDescent="0.25">
      <c r="A61" s="117" t="s">
        <v>207</v>
      </c>
      <c r="B61" s="128"/>
      <c r="C61" s="128"/>
      <c r="D61" s="128"/>
      <c r="E61" s="128"/>
      <c r="F61" s="128"/>
      <c r="G61" s="128"/>
      <c r="H61" s="127" t="e">
        <f>(ROR_Max)/(LevFact_Final09*(1-FIT_UW))</f>
        <v>#VALUE!</v>
      </c>
    </row>
    <row r="62" spans="1:9" x14ac:dyDescent="0.25">
      <c r="A62" s="117" t="s">
        <v>208</v>
      </c>
      <c r="B62" s="77"/>
      <c r="C62" s="77"/>
      <c r="D62" s="77"/>
      <c r="E62" s="77"/>
      <c r="F62" s="77"/>
      <c r="G62" s="77"/>
      <c r="H62" s="127" t="e">
        <f>(ROR_Min)/(LevFact_Final09*(1-FIT_UW))</f>
        <v>#VALUE!</v>
      </c>
    </row>
    <row r="63" spans="1:9" x14ac:dyDescent="0.25">
      <c r="A63" s="117" t="s">
        <v>209</v>
      </c>
      <c r="B63" s="77"/>
      <c r="C63" s="77"/>
      <c r="D63" s="77"/>
      <c r="E63" s="77"/>
      <c r="F63" s="77"/>
      <c r="G63" s="77"/>
      <c r="H63" s="127" t="e">
        <f>1-CredLossDCCE_perExp/Max_Premium-EffStd_Final09</f>
        <v>#VALUE!</v>
      </c>
      <c r="I63" s="204"/>
    </row>
    <row r="64" spans="1:9" x14ac:dyDescent="0.25">
      <c r="A64" s="117" t="s">
        <v>211</v>
      </c>
      <c r="B64" s="77"/>
      <c r="C64" s="77"/>
      <c r="D64" s="77"/>
      <c r="E64" s="77"/>
      <c r="F64" s="77"/>
      <c r="G64" s="77"/>
      <c r="H64" s="129" t="e">
        <f>1-EffStd_Final09-Min_Profit+InvInc_Variable</f>
        <v>#VALUE!</v>
      </c>
      <c r="I64" s="204"/>
    </row>
    <row r="65" spans="1:9" x14ac:dyDescent="0.25">
      <c r="A65" s="117" t="s">
        <v>210</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str">
        <f>IF(AND(I65="",I66="",I67="",I68="",I69=""),(Max_Premium-Prem_Current)/Prem_Current, "Error")</f>
        <v>Error</v>
      </c>
      <c r="I69" s="396"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7" t="s">
        <v>233</v>
      </c>
      <c r="B71" s="228" t="str">
        <f>'6.9Ratemaking Data'!D$14</f>
        <v>20172</v>
      </c>
      <c r="C71" s="228" t="str">
        <f>'6.9Ratemaking Data'!E$14</f>
        <v>20182</v>
      </c>
      <c r="D71" s="228" t="str">
        <f>'6.9Ratemaking Data'!F$14</f>
        <v>20192</v>
      </c>
      <c r="E71" s="228" t="str">
        <f>'6.9Ratemaking Data'!G$14</f>
        <v>20202</v>
      </c>
      <c r="F71" s="228" t="str">
        <f>'6.9Ratemaking Data'!H$14</f>
        <v>20212</v>
      </c>
      <c r="G71" s="228">
        <f>'6.9Ratemaking Data'!I$14</f>
        <v>20222</v>
      </c>
    </row>
    <row r="72" spans="1:9" hidden="1" x14ac:dyDescent="0.25">
      <c r="A72" s="114" t="s">
        <v>232</v>
      </c>
      <c r="B72" s="125"/>
      <c r="C72" s="125"/>
      <c r="D72" s="125"/>
      <c r="E72" s="125"/>
      <c r="F72" s="125"/>
      <c r="G72" s="125"/>
      <c r="H72" s="131" t="str">
        <f>IF(ISBLANK('6.9Ratemaking Data'!J44),"",'6.9Ratemaking Data'!J44)</f>
        <v/>
      </c>
    </row>
    <row r="73" spans="1:9" hidden="1" x14ac:dyDescent="0.25">
      <c r="A73" s="117" t="s">
        <v>219</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220</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58" t="s">
        <v>615</v>
      </c>
      <c r="G80" s="658"/>
      <c r="H80" s="658"/>
    </row>
    <row r="81" spans="1:1" x14ac:dyDescent="0.25">
      <c r="A81" s="132"/>
    </row>
  </sheetData>
  <sheetProtection algorithmName="SHA-512" hashValue="CPTjRy9ke1k25pEbCOKqWuFrtzt6F3g18IV7bzaJ0Qcy9jur0FBoS5zWwQ5zcB1IkyNcGTNF/vZdzIuVLeKxfA==" saltValue="qBnGugLZSPUws7Hcv6lMG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IF('6.10Ratemaking Data'!$K$7="","VARIANCE - NONE","VARIANCE "&amp;'6.10Ratemaking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EffDate_Prior10</f>
        <v/>
      </c>
    </row>
    <row r="10" spans="1:8" ht="15" customHeight="1" x14ac:dyDescent="0.25">
      <c r="A10" s="6" t="s">
        <v>170</v>
      </c>
      <c r="B10" s="52"/>
      <c r="H10" s="161">
        <f>EffDate_Proposed</f>
        <v>45366</v>
      </c>
    </row>
    <row r="11" spans="1:8" ht="15" customHeight="1" x14ac:dyDescent="0.25">
      <c r="A11" s="6" t="s">
        <v>77</v>
      </c>
      <c r="B11" s="52"/>
      <c r="H11" s="23" t="str">
        <f>Detailed_LineDesc10</f>
        <v/>
      </c>
    </row>
    <row r="12" spans="1:8" ht="15" customHeight="1" x14ac:dyDescent="0.25">
      <c r="A12" s="6" t="s">
        <v>78</v>
      </c>
      <c r="B12" s="52"/>
      <c r="H12" s="23" t="str">
        <f>Covg10</f>
        <v/>
      </c>
    </row>
    <row r="13" spans="1:8" ht="15" customHeight="1" x14ac:dyDescent="0.25">
      <c r="H13" s="511"/>
    </row>
    <row r="14" spans="1:8" ht="9.9499999999999993" customHeight="1" x14ac:dyDescent="0.25"/>
    <row r="15" spans="1:8" ht="15.75" thickBot="1" x14ac:dyDescent="0.3">
      <c r="A15" s="7" t="s">
        <v>171</v>
      </c>
      <c r="B15" s="228" t="str">
        <f>'6.10Ratemaking Data'!D$14</f>
        <v>20172</v>
      </c>
      <c r="C15" s="228" t="str">
        <f>'6.10Ratemaking Data'!E$14</f>
        <v>20182</v>
      </c>
      <c r="D15" s="228" t="str">
        <f>'6.10Ratemaking Data'!F$14</f>
        <v>20192</v>
      </c>
      <c r="E15" s="228" t="str">
        <f>'6.10Ratemaking Data'!G$14</f>
        <v>20202</v>
      </c>
      <c r="F15" s="228" t="str">
        <f>'6.10Ratemaking Data'!H$14</f>
        <v>20212</v>
      </c>
      <c r="G15" s="228">
        <f>'6.10Ratemaking Data'!I$14</f>
        <v>20222</v>
      </c>
      <c r="H15" s="91" t="s">
        <v>306</v>
      </c>
    </row>
    <row r="16" spans="1:8" x14ac:dyDescent="0.25">
      <c r="A16" s="114" t="s">
        <v>173</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172</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174</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175</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176</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177</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178</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144</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181</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182</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179</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180</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183</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188</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184</v>
      </c>
      <c r="B30" s="122"/>
      <c r="C30" s="122"/>
      <c r="D30" s="122"/>
      <c r="E30" s="122"/>
      <c r="F30" s="122"/>
      <c r="G30" s="122"/>
      <c r="H30" s="127">
        <f>IF(New_Program=TRUE,100%,'6.10Ratemaking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EffStd_Final10</f>
        <v/>
      </c>
    </row>
    <row r="38" spans="1:9" x14ac:dyDescent="0.25">
      <c r="A38" s="117" t="s">
        <v>191</v>
      </c>
      <c r="B38" s="77"/>
      <c r="C38" s="77"/>
      <c r="D38" s="77"/>
      <c r="E38" s="77"/>
      <c r="F38" s="577" t="s">
        <v>317</v>
      </c>
      <c r="G38" s="578">
        <f>update_leverage</f>
        <v>2021</v>
      </c>
      <c r="H38" s="162" t="str">
        <f>LevFact_Final10</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1/LevFact_Final10</f>
        <v>#VALUE!</v>
      </c>
    </row>
    <row r="41" spans="1:9" x14ac:dyDescent="0.25">
      <c r="A41" s="117" t="s">
        <v>198</v>
      </c>
      <c r="B41" s="77"/>
      <c r="C41" s="77"/>
      <c r="D41" s="77"/>
      <c r="E41" s="77"/>
      <c r="F41" s="577" t="s">
        <v>317</v>
      </c>
      <c r="G41" s="578">
        <f>update_reserveratios</f>
        <v>2021</v>
      </c>
      <c r="H41" s="163" t="str">
        <f>ResRatio_UPR10</f>
        <v/>
      </c>
    </row>
    <row r="42" spans="1:9" x14ac:dyDescent="0.25">
      <c r="A42" s="117" t="s">
        <v>194</v>
      </c>
      <c r="B42" s="77"/>
      <c r="C42" s="77"/>
      <c r="D42" s="77"/>
      <c r="E42" s="77"/>
      <c r="F42" s="577" t="s">
        <v>317</v>
      </c>
      <c r="G42" s="578">
        <f>update_reserveratios</f>
        <v>2021</v>
      </c>
      <c r="H42" s="163" t="str">
        <f>ResRatio_Loss10</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'6.10Ratemaking Data'!D$14</f>
        <v>20172</v>
      </c>
      <c r="C47" s="228" t="str">
        <f>'6.10Ratemaking Data'!E$14</f>
        <v>20182</v>
      </c>
      <c r="D47" s="228" t="str">
        <f>'6.10Ratemaking Data'!F$14</f>
        <v>20192</v>
      </c>
      <c r="E47" s="228" t="str">
        <f>'6.10Ratemaking Data'!G$14</f>
        <v>20202</v>
      </c>
      <c r="F47" s="228" t="str">
        <f>'6.10Ratemaking Data'!H$14</f>
        <v>20212</v>
      </c>
      <c r="G47" s="228">
        <f>'6.10Ratemaking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Yield*((1-FIT_Inv)/(1-FIT_UW))*ResRatio_Loss10</f>
        <v>#VALUE!</v>
      </c>
    </row>
    <row r="58" spans="1:9" x14ac:dyDescent="0.25">
      <c r="A58" s="117" t="s">
        <v>218</v>
      </c>
      <c r="B58" s="77"/>
      <c r="C58" s="77"/>
      <c r="D58" s="77"/>
      <c r="E58" s="77"/>
      <c r="F58" s="77"/>
      <c r="G58" s="77"/>
      <c r="H58" s="127" t="e">
        <f>Yield*((1-FIT_Inv)/(1-FIT_UW))*(ResRatio_UPR10+SurplusRatio)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IF(New_Program=TRUE,0,(1+Net_AnnualTrend)^MIN(4,((EffDate_Proposed-EffDate_Prior10)/365.25))-1)</f>
        <v>#VALUE!</v>
      </c>
    </row>
    <row r="61" spans="1:9" x14ac:dyDescent="0.25">
      <c r="A61" s="117" t="s">
        <v>207</v>
      </c>
      <c r="B61" s="128"/>
      <c r="C61" s="128"/>
      <c r="D61" s="128"/>
      <c r="E61" s="128"/>
      <c r="F61" s="128"/>
      <c r="G61" s="128"/>
      <c r="H61" s="127" t="e">
        <f>(ROR_Max)/(LevFact_Final10*(1-FIT_UW))</f>
        <v>#VALUE!</v>
      </c>
    </row>
    <row r="62" spans="1:9" x14ac:dyDescent="0.25">
      <c r="A62" s="117" t="s">
        <v>208</v>
      </c>
      <c r="B62" s="77"/>
      <c r="C62" s="77"/>
      <c r="D62" s="77"/>
      <c r="E62" s="77"/>
      <c r="F62" s="77"/>
      <c r="G62" s="77"/>
      <c r="H62" s="127" t="e">
        <f>(ROR_Min)/(LevFact_Final10*(1-FIT_UW))</f>
        <v>#VALUE!</v>
      </c>
    </row>
    <row r="63" spans="1:9" x14ac:dyDescent="0.25">
      <c r="A63" s="117" t="s">
        <v>209</v>
      </c>
      <c r="B63" s="77"/>
      <c r="C63" s="77"/>
      <c r="D63" s="77"/>
      <c r="E63" s="77"/>
      <c r="F63" s="77"/>
      <c r="G63" s="77"/>
      <c r="H63" s="127" t="e">
        <f>1-CredLossDCCE_perExp/Max_Premium-EffStd_Final10</f>
        <v>#VALUE!</v>
      </c>
      <c r="I63" s="204"/>
    </row>
    <row r="64" spans="1:9" x14ac:dyDescent="0.25">
      <c r="A64" s="117" t="s">
        <v>211</v>
      </c>
      <c r="B64" s="77"/>
      <c r="C64" s="77"/>
      <c r="D64" s="77"/>
      <c r="E64" s="77"/>
      <c r="F64" s="77"/>
      <c r="G64" s="77"/>
      <c r="H64" s="129" t="e">
        <f>1-EffStd_Final10-Min_Profit+InvInc_Variable</f>
        <v>#VALUE!</v>
      </c>
      <c r="I64" s="204"/>
    </row>
    <row r="65" spans="1:9" x14ac:dyDescent="0.25">
      <c r="A65" s="117" t="s">
        <v>210</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str">
        <f>IF(AND(I65="",I66="",I67="",I68="",I69=""),(Max_Premium-Prem_Current)/Prem_Current, "Error")</f>
        <v>Error</v>
      </c>
      <c r="I69" s="396"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7" t="s">
        <v>233</v>
      </c>
      <c r="B71" s="228" t="str">
        <f>'6.10Ratemaking Data'!D$14</f>
        <v>20172</v>
      </c>
      <c r="C71" s="228" t="str">
        <f>'6.10Ratemaking Data'!E$14</f>
        <v>20182</v>
      </c>
      <c r="D71" s="228" t="str">
        <f>'6.10Ratemaking Data'!F$14</f>
        <v>20192</v>
      </c>
      <c r="E71" s="228" t="str">
        <f>'6.10Ratemaking Data'!G$14</f>
        <v>20202</v>
      </c>
      <c r="F71" s="228" t="str">
        <f>'6.10Ratemaking Data'!H$14</f>
        <v>20212</v>
      </c>
      <c r="G71" s="228">
        <f>'6.10Ratemaking Data'!I$14</f>
        <v>20222</v>
      </c>
    </row>
    <row r="72" spans="1:9" hidden="1" x14ac:dyDescent="0.25">
      <c r="A72" s="114" t="s">
        <v>232</v>
      </c>
      <c r="B72" s="125"/>
      <c r="C72" s="125"/>
      <c r="D72" s="125"/>
      <c r="E72" s="125"/>
      <c r="F72" s="125"/>
      <c r="G72" s="125"/>
      <c r="H72" s="131" t="str">
        <f>IF(ISBLANK('6.10Ratemaking Data'!J44),"",'6.10Ratemaking Data'!J44)</f>
        <v/>
      </c>
    </row>
    <row r="73" spans="1:9" hidden="1" x14ac:dyDescent="0.25">
      <c r="A73" s="117" t="s">
        <v>219</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220</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57" t="s">
        <v>614</v>
      </c>
      <c r="G80" s="657"/>
      <c r="H80" s="657"/>
    </row>
    <row r="81" spans="1:1" x14ac:dyDescent="0.25">
      <c r="A81" s="132"/>
    </row>
  </sheetData>
  <sheetProtection algorithmName="SHA-512" hashValue="aKazvjnPu2ocfc20FYX1pRaEFrBotbpc6aE7x9TR37hR6przI/cBBH/m+bCvN2UqT0bJtqAnqiaJ0KGDnqVFUg==" saltValue="TC4q9JU46rECZh45/Ydv9Q=="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Detailed_LineDesc01</f>
        <v>Homeowners Multiple Peril</v>
      </c>
      <c r="F7" s="6" t="s">
        <v>1</v>
      </c>
      <c r="H7" s="13" t="str">
        <f>Completed_By</f>
        <v>Nicole Pettis</v>
      </c>
      <c r="I7" s="216"/>
    </row>
    <row r="8" spans="1:16" x14ac:dyDescent="0.25">
      <c r="A8" s="6" t="s">
        <v>78</v>
      </c>
      <c r="D8" s="6" t="str">
        <f>Covg01</f>
        <v>Non-Tenant Homeowners</v>
      </c>
      <c r="F8" s="6" t="s">
        <v>76</v>
      </c>
      <c r="H8" s="52">
        <f>Completed_Date</f>
        <v>44981</v>
      </c>
      <c r="I8" s="217"/>
      <c r="J8" s="156"/>
    </row>
    <row r="9" spans="1:16" x14ac:dyDescent="0.25">
      <c r="A9" s="6" t="s">
        <v>169</v>
      </c>
      <c r="D9" s="52">
        <f>EffDate_Prior01</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"&amp;Detailed_LineCode01&amp;" Industry P&amp;C"</f>
        <v>Total 2021 Line 4 Industry P&amp;C</v>
      </c>
      <c r="N20" s="153" t="s">
        <v>256</v>
      </c>
    </row>
    <row r="21" spans="1:16" ht="17.25" x14ac:dyDescent="0.25">
      <c r="A21" s="137"/>
      <c r="B21" s="137"/>
      <c r="I21" s="214"/>
      <c r="K21" s="117"/>
      <c r="L21" s="6" t="s">
        <v>289</v>
      </c>
      <c r="M21" s="14">
        <f ca="1">VLOOKUP(Detailed_LineCode01,Table_IncdLossDCCE,2,FALSE)</f>
        <v>78442342</v>
      </c>
      <c r="N21" s="148" t="e">
        <f>VLOOKUP($G$17,$L$16:$N$18,3,FALSE)</f>
        <v>#N/A</v>
      </c>
    </row>
    <row r="22" spans="1:16" ht="18" customHeight="1" thickBot="1" x14ac:dyDescent="0.3">
      <c r="A22" s="137"/>
      <c r="B22" s="81" t="s">
        <v>254</v>
      </c>
      <c r="C22" s="6" t="s">
        <v>299</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VLOOKUP(Detailed_LineCode01,Table_IncdLossDCCE,3,FALSE)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ht="15" customHeight="1"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37" t="s">
        <v>733</v>
      </c>
      <c r="D37" s="637"/>
      <c r="E37" s="637"/>
      <c r="G37" s="190"/>
      <c r="I37" s="214"/>
      <c r="O37" s="11"/>
    </row>
    <row r="38" spans="1:16" x14ac:dyDescent="0.25">
      <c r="B38" s="81"/>
      <c r="C38" s="6" t="s">
        <v>734</v>
      </c>
      <c r="D38" s="164"/>
      <c r="E38" s="164"/>
      <c r="G38" s="598"/>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uT7CQHeYD04aOydDihf0mizVGhvbBQwXoX598U5tyOjRIqhiixDvodFJZpG1CxrNQ0SEfbgU3QhIHa3/PcwJOQ==" saltValue="S/Bu1Bn/l9v9pmDTf8HEdA=="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Detailed_LineDesc02</f>
        <v>Homeowners Multiple Peril</v>
      </c>
      <c r="F7" s="6" t="s">
        <v>1</v>
      </c>
      <c r="H7" s="13" t="str">
        <f>Completed_By</f>
        <v>Nicole Pettis</v>
      </c>
      <c r="I7" s="216"/>
    </row>
    <row r="8" spans="1:16" x14ac:dyDescent="0.25">
      <c r="A8" s="6" t="s">
        <v>78</v>
      </c>
      <c r="D8" s="6" t="str">
        <f>Covg02</f>
        <v>Renters</v>
      </c>
      <c r="F8" s="6" t="s">
        <v>76</v>
      </c>
      <c r="H8" s="52">
        <f>Completed_Date</f>
        <v>44981</v>
      </c>
      <c r="I8" s="217"/>
      <c r="J8" s="156"/>
    </row>
    <row r="9" spans="1:16" x14ac:dyDescent="0.25">
      <c r="A9" s="6" t="s">
        <v>169</v>
      </c>
      <c r="D9" s="52">
        <f>EffDate_Prior02</f>
        <v>44287</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"&amp;Detailed_LineCode02&amp;" Industry P&amp;C"</f>
        <v>Total 2021 Line 4 Industry P&amp;C</v>
      </c>
      <c r="N20" s="153" t="s">
        <v>256</v>
      </c>
    </row>
    <row r="21" spans="1:16" ht="17.25" x14ac:dyDescent="0.25">
      <c r="A21" s="137"/>
      <c r="B21" s="137"/>
      <c r="I21" s="214"/>
      <c r="K21" s="117"/>
      <c r="L21" s="6" t="s">
        <v>289</v>
      </c>
      <c r="M21" s="14">
        <f ca="1">VLOOKUP(Detailed_LineCode02,Table_IncdLossDCCE,2,FALSE)</f>
        <v>78442342</v>
      </c>
      <c r="N21" s="148" t="e">
        <f>VLOOKUP($G$17,$L$16:$N$18,3,FALSE)</f>
        <v>#N/A</v>
      </c>
    </row>
    <row r="22" spans="1:16" ht="18" customHeight="1" thickBot="1" x14ac:dyDescent="0.3">
      <c r="A22" s="137"/>
      <c r="B22" s="81" t="s">
        <v>254</v>
      </c>
      <c r="C22" s="6" t="s">
        <v>299</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VLOOKUP(Detailed_LineCode02,Table_IncdLossDCCE,3,FALSE)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rf6yhjL6B5XEQ9iGEENDeZS4DnhYF6zrRzpO473xWvstosWuBQtNubV6ShfYJNnJtUu83ZdZNPFeXz43NRKXJA==" saltValue="jG19SNOoRWa2nfsPqQ59T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Detailed_LineDesc03</f>
        <v>Homeowners Multiple Peril</v>
      </c>
      <c r="F7" s="6" t="s">
        <v>1</v>
      </c>
      <c r="H7" s="13" t="str">
        <f>Completed_By</f>
        <v>Nicole Pettis</v>
      </c>
      <c r="I7" s="216"/>
    </row>
    <row r="8" spans="1:16" x14ac:dyDescent="0.25">
      <c r="A8" s="6" t="s">
        <v>78</v>
      </c>
      <c r="D8" s="6" t="str">
        <f>Covg03</f>
        <v>Condominium Unitowners</v>
      </c>
      <c r="F8" s="6" t="s">
        <v>76</v>
      </c>
      <c r="H8" s="52">
        <f>Completed_Date</f>
        <v>44981</v>
      </c>
      <c r="I8" s="217"/>
      <c r="J8" s="156"/>
    </row>
    <row r="9" spans="1:16" x14ac:dyDescent="0.25">
      <c r="A9" s="6" t="s">
        <v>169</v>
      </c>
      <c r="D9" s="52">
        <f>EffDate_Prior03</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"&amp;Detailed_LineCode03&amp;" Industry P&amp;C"</f>
        <v>Total 2021 Line 4 Industry P&amp;C</v>
      </c>
      <c r="N20" s="153" t="s">
        <v>256</v>
      </c>
    </row>
    <row r="21" spans="1:16" ht="17.25" x14ac:dyDescent="0.25">
      <c r="A21" s="137"/>
      <c r="B21" s="137"/>
      <c r="I21" s="214"/>
      <c r="K21" s="117"/>
      <c r="L21" s="6" t="s">
        <v>289</v>
      </c>
      <c r="M21" s="14">
        <f ca="1">VLOOKUP(Detailed_LineCode03,Table_IncdLossDCCE,2,FALSE)</f>
        <v>78442342</v>
      </c>
      <c r="N21" s="148" t="e">
        <f>VLOOKUP($G$17,$L$16:$N$18,3,FALSE)</f>
        <v>#N/A</v>
      </c>
    </row>
    <row r="22" spans="1:16" ht="18" customHeight="1" thickBot="1" x14ac:dyDescent="0.3">
      <c r="A22" s="137"/>
      <c r="B22" s="81" t="s">
        <v>254</v>
      </c>
      <c r="C22" s="6" t="s">
        <v>299</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VLOOKUP(Detailed_LineCode03,Table_IncdLossDCCE,3,FALSE)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MOuO814wDsaCd3pK0arczjRfNpcJ4jQrlqZudrrHymKuZL+vNtcTUb0y/kSLyaqvSewv40K8E/4jLVelpsoH1w==" saltValue="yiF0LeETtSwzgF7xcGXDL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Detailed_LineDesc04</f>
        <v/>
      </c>
      <c r="F7" s="6" t="s">
        <v>1</v>
      </c>
      <c r="H7" s="13" t="str">
        <f>Completed_By</f>
        <v>Nicole Pettis</v>
      </c>
      <c r="I7" s="216"/>
    </row>
    <row r="8" spans="1:16" x14ac:dyDescent="0.25">
      <c r="A8" s="6" t="s">
        <v>78</v>
      </c>
      <c r="D8" s="6" t="str">
        <f>Covg04</f>
        <v/>
      </c>
      <c r="F8" s="6" t="s">
        <v>76</v>
      </c>
      <c r="H8" s="52">
        <f>Completed_Date</f>
        <v>44981</v>
      </c>
      <c r="I8" s="217"/>
      <c r="J8" s="156"/>
    </row>
    <row r="9" spans="1:16" x14ac:dyDescent="0.25">
      <c r="A9" s="6" t="s">
        <v>169</v>
      </c>
      <c r="D9" s="52" t="str">
        <f>EffDate_Prior04</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"&amp;Detailed_LineCode04&amp;" Industry P&amp;C"</f>
        <v>Total 2021 Line  Industry P&amp;C</v>
      </c>
      <c r="N20" s="153" t="s">
        <v>256</v>
      </c>
    </row>
    <row r="21" spans="1:16" ht="17.25" x14ac:dyDescent="0.25">
      <c r="A21" s="137"/>
      <c r="B21" s="137"/>
      <c r="I21" s="214"/>
      <c r="K21" s="117"/>
      <c r="L21" s="6" t="s">
        <v>289</v>
      </c>
      <c r="M21" s="14" t="e">
        <f>VLOOKUP(Detailed_LineCode04,Table_IncdLossDCCE,2,FALSE)</f>
        <v>#N/A</v>
      </c>
      <c r="N21" s="148" t="e">
        <f>VLOOKUP($G$17,$L$16:$N$18,3,FALSE)</f>
        <v>#N/A</v>
      </c>
    </row>
    <row r="22" spans="1:16" ht="18" customHeight="1" thickBot="1" x14ac:dyDescent="0.3">
      <c r="A22" s="137"/>
      <c r="B22" s="81" t="s">
        <v>254</v>
      </c>
      <c r="C22" s="6" t="s">
        <v>299</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VLOOKUP(Detailed_LineCode04,Table_IncdLossDCCE,3,FALSE)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vNicE4cM3KBPvglcakabUFGDXJGxyTvIgG1eShDL06aZo5oGrp58DjAMei8ypj+26k+SLDAtDh4UbelGdm3Mpw==" saltValue="6NRd4MkNkkU0Z91DlDa0m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Detailed_LineDesc05</f>
        <v/>
      </c>
      <c r="F7" s="6" t="s">
        <v>1</v>
      </c>
      <c r="H7" s="13" t="str">
        <f>Completed_By</f>
        <v>Nicole Pettis</v>
      </c>
      <c r="I7" s="216"/>
    </row>
    <row r="8" spans="1:16" x14ac:dyDescent="0.25">
      <c r="A8" s="6" t="s">
        <v>78</v>
      </c>
      <c r="D8" s="6" t="str">
        <f>Covg05</f>
        <v/>
      </c>
      <c r="F8" s="6" t="s">
        <v>76</v>
      </c>
      <c r="H8" s="52">
        <f>Completed_Date</f>
        <v>44981</v>
      </c>
      <c r="I8" s="217"/>
      <c r="J8" s="156"/>
    </row>
    <row r="9" spans="1:16" x14ac:dyDescent="0.25">
      <c r="A9" s="6" t="s">
        <v>169</v>
      </c>
      <c r="D9" s="52" t="str">
        <f>EffDate_Prior05</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"&amp;Detailed_LineCode05&amp;" Industry P&amp;C"</f>
        <v>Total 2021 Line  Industry P&amp;C</v>
      </c>
      <c r="N20" s="153" t="s">
        <v>256</v>
      </c>
    </row>
    <row r="21" spans="1:16" ht="17.25" x14ac:dyDescent="0.25">
      <c r="A21" s="137"/>
      <c r="B21" s="137"/>
      <c r="I21" s="214"/>
      <c r="K21" s="117"/>
      <c r="L21" s="6" t="s">
        <v>289</v>
      </c>
      <c r="M21" s="14" t="e">
        <f>VLOOKUP(Detailed_LineCode05,Table_IncdLossDCCE,2,FALSE)</f>
        <v>#N/A</v>
      </c>
      <c r="N21" s="148" t="e">
        <f>VLOOKUP($G$17,$L$16:$N$18,3,FALSE)</f>
        <v>#N/A</v>
      </c>
    </row>
    <row r="22" spans="1:16" ht="18" customHeight="1" thickBot="1" x14ac:dyDescent="0.3">
      <c r="A22" s="137"/>
      <c r="B22" s="81" t="s">
        <v>254</v>
      </c>
      <c r="C22" s="6" t="s">
        <v>299</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VLOOKUP(Detailed_LineCode05,Table_IncdLossDCCE,3,FALSE)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DlOAtrVvrCeJeNYPmC8PIf/7nrEdoZIbKiNjryXmYth09qHkXs2E5rpWeeFa4OWRq3dqlKyhDxqZfjgIlZknww==" saltValue="e/bnValzpGPB0+5BUQqL/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Detailed_LineDesc06</f>
        <v/>
      </c>
      <c r="F7" s="6" t="s">
        <v>1</v>
      </c>
      <c r="H7" s="13" t="str">
        <f>Completed_By</f>
        <v>Nicole Pettis</v>
      </c>
      <c r="I7" s="216"/>
    </row>
    <row r="8" spans="1:16" x14ac:dyDescent="0.25">
      <c r="A8" s="6" t="s">
        <v>78</v>
      </c>
      <c r="D8" s="6" t="str">
        <f>Covg06</f>
        <v/>
      </c>
      <c r="F8" s="6" t="s">
        <v>76</v>
      </c>
      <c r="H8" s="52">
        <f>Completed_Date</f>
        <v>44981</v>
      </c>
      <c r="I8" s="217"/>
      <c r="J8" s="156"/>
    </row>
    <row r="9" spans="1:16" x14ac:dyDescent="0.25">
      <c r="A9" s="6" t="s">
        <v>169</v>
      </c>
      <c r="D9" s="52" t="str">
        <f>EffDate_Prior06</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"&amp;Detailed_LineCode06&amp;" Industry P&amp;C"</f>
        <v>Total 2021 Line  Industry P&amp;C</v>
      </c>
      <c r="N20" s="153" t="s">
        <v>256</v>
      </c>
    </row>
    <row r="21" spans="1:16" ht="17.25" x14ac:dyDescent="0.25">
      <c r="A21" s="137"/>
      <c r="B21" s="137"/>
      <c r="I21" s="214"/>
      <c r="K21" s="117"/>
      <c r="L21" s="6" t="s">
        <v>289</v>
      </c>
      <c r="M21" s="14" t="e">
        <f>VLOOKUP(Detailed_LineCode06,Table_IncdLossDCCE,2,FALSE)</f>
        <v>#N/A</v>
      </c>
      <c r="N21" s="148" t="e">
        <f>VLOOKUP($G$17,$L$16:$N$18,3,FALSE)</f>
        <v>#N/A</v>
      </c>
    </row>
    <row r="22" spans="1:16" ht="18" customHeight="1" thickBot="1" x14ac:dyDescent="0.3">
      <c r="A22" s="137"/>
      <c r="B22" s="81" t="s">
        <v>254</v>
      </c>
      <c r="C22" s="6" t="s">
        <v>299</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VLOOKUP(Detailed_LineCode06,Table_IncdLossDCCE,3,FALSE)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S7p5Z7UZbJLz3ki70pU6TD3DbB8KriB8x95gBiw+HnNf02hJx+p9WbqHL1l1RPiWfdPqwFHxdgYuKNTdAi+NXg==" saltValue="ryikf3bsmlv/dfW6RTQ61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Detailed_LineDesc07</f>
        <v/>
      </c>
      <c r="F7" s="6" t="s">
        <v>1</v>
      </c>
      <c r="H7" s="13" t="str">
        <f>Completed_By</f>
        <v>Nicole Pettis</v>
      </c>
      <c r="I7" s="216"/>
    </row>
    <row r="8" spans="1:16" x14ac:dyDescent="0.25">
      <c r="A8" s="6" t="s">
        <v>78</v>
      </c>
      <c r="D8" s="6" t="str">
        <f>Covg07</f>
        <v/>
      </c>
      <c r="F8" s="6" t="s">
        <v>76</v>
      </c>
      <c r="H8" s="52">
        <f>Completed_Date</f>
        <v>44981</v>
      </c>
      <c r="I8" s="217"/>
      <c r="J8" s="156"/>
    </row>
    <row r="9" spans="1:16" x14ac:dyDescent="0.25">
      <c r="A9" s="6" t="s">
        <v>169</v>
      </c>
      <c r="D9" s="52" t="str">
        <f>EffDate_Prior07</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"&amp;Detailed_LineCode07&amp;" Industry P&amp;C"</f>
        <v>Total 2021 Line  Industry P&amp;C</v>
      </c>
      <c r="N20" s="153" t="s">
        <v>256</v>
      </c>
    </row>
    <row r="21" spans="1:16" ht="17.25" x14ac:dyDescent="0.25">
      <c r="A21" s="137"/>
      <c r="B21" s="137"/>
      <c r="I21" s="214"/>
      <c r="K21" s="117"/>
      <c r="L21" s="6" t="s">
        <v>289</v>
      </c>
      <c r="M21" s="14" t="e">
        <f>VLOOKUP(Detailed_LineCode07,Table_IncdLossDCCE,2,FALSE)</f>
        <v>#N/A</v>
      </c>
      <c r="N21" s="148" t="e">
        <f>VLOOKUP($G$17,$L$16:$N$18,3,FALSE)</f>
        <v>#N/A</v>
      </c>
    </row>
    <row r="22" spans="1:16" ht="18" customHeight="1" thickBot="1" x14ac:dyDescent="0.3">
      <c r="A22" s="137"/>
      <c r="B22" s="81" t="s">
        <v>254</v>
      </c>
      <c r="C22" s="6" t="s">
        <v>299</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VLOOKUP(Detailed_LineCode07,Table_IncdLossDCCE,3,FALSE)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AHEXUb/vto309mNPAEiQiLX5kxkyJdpZdU2ZhNjq2PhEQt5TizDYCbBVhjOX0du+OeD7uomDHVHpCiiOYJfUxw==" saltValue="WnY+BHYpTDUUEufLZvWI0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Detailed_LineDesc08</f>
        <v/>
      </c>
      <c r="F7" s="6" t="s">
        <v>1</v>
      </c>
      <c r="H7" s="13" t="str">
        <f>Completed_By</f>
        <v>Nicole Pettis</v>
      </c>
      <c r="I7" s="216"/>
    </row>
    <row r="8" spans="1:16" x14ac:dyDescent="0.25">
      <c r="A8" s="6" t="s">
        <v>78</v>
      </c>
      <c r="D8" s="6" t="str">
        <f>Covg08</f>
        <v/>
      </c>
      <c r="F8" s="6" t="s">
        <v>76</v>
      </c>
      <c r="H8" s="52">
        <f>Completed_Date</f>
        <v>44981</v>
      </c>
      <c r="I8" s="217"/>
      <c r="J8" s="156"/>
    </row>
    <row r="9" spans="1:16" x14ac:dyDescent="0.25">
      <c r="A9" s="6" t="s">
        <v>169</v>
      </c>
      <c r="D9" s="52" t="str">
        <f>EffDate_Prior08</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"&amp;Detailed_LineCode08&amp;" Industry P&amp;C"</f>
        <v>Total 2021 Line  Industry P&amp;C</v>
      </c>
      <c r="N20" s="153" t="s">
        <v>256</v>
      </c>
    </row>
    <row r="21" spans="1:16" ht="17.25" x14ac:dyDescent="0.25">
      <c r="A21" s="137"/>
      <c r="B21" s="137"/>
      <c r="I21" s="214"/>
      <c r="K21" s="117"/>
      <c r="L21" s="6" t="s">
        <v>289</v>
      </c>
      <c r="M21" s="14" t="e">
        <f>VLOOKUP(Detailed_LineCode08,Table_IncdLossDCCE,2,FALSE)</f>
        <v>#N/A</v>
      </c>
      <c r="N21" s="148" t="e">
        <f>VLOOKUP($G$17,$L$16:$N$18,3,FALSE)</f>
        <v>#N/A</v>
      </c>
    </row>
    <row r="22" spans="1:16" ht="18" customHeight="1" thickBot="1" x14ac:dyDescent="0.3">
      <c r="A22" s="137"/>
      <c r="B22" s="81" t="s">
        <v>254</v>
      </c>
      <c r="C22" s="6" t="s">
        <v>299</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VLOOKUP(Detailed_LineCode08,Table_IncdLossDCCE,3,FALSE)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ulw8a4D95rry0TsL8pKKlItx/xNBieUGBU1d0spEPGeW39o4IvNETo1K7HfItRHbVJE2uJ4ShstjrXZw5OT8ew==" saltValue="m/zwayZPGunzaM+bmQr5B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Detailed_LineDesc09</f>
        <v/>
      </c>
      <c r="F7" s="6" t="s">
        <v>1</v>
      </c>
      <c r="H7" s="13" t="str">
        <f>Completed_By</f>
        <v>Nicole Pettis</v>
      </c>
      <c r="I7" s="216"/>
    </row>
    <row r="8" spans="1:16" x14ac:dyDescent="0.25">
      <c r="A8" s="6" t="s">
        <v>78</v>
      </c>
      <c r="D8" s="6" t="str">
        <f>Covg09</f>
        <v/>
      </c>
      <c r="F8" s="6" t="s">
        <v>76</v>
      </c>
      <c r="H8" s="52">
        <f>Completed_Date</f>
        <v>44981</v>
      </c>
      <c r="I8" s="217"/>
      <c r="J8" s="156"/>
    </row>
    <row r="9" spans="1:16" x14ac:dyDescent="0.25">
      <c r="A9" s="6" t="s">
        <v>169</v>
      </c>
      <c r="D9" s="52" t="str">
        <f>EffDate_Prior09</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"&amp;Detailed_LineCode09&amp;" Industry P&amp;C"</f>
        <v>Total 2021 Line  Industry P&amp;C</v>
      </c>
      <c r="N20" s="153" t="s">
        <v>256</v>
      </c>
    </row>
    <row r="21" spans="1:16" ht="17.25" x14ac:dyDescent="0.25">
      <c r="A21" s="137"/>
      <c r="B21" s="137"/>
      <c r="I21" s="214"/>
      <c r="K21" s="117"/>
      <c r="L21" s="6" t="s">
        <v>289</v>
      </c>
      <c r="M21" s="14" t="e">
        <f>VLOOKUP(Detailed_LineCode09,Table_IncdLossDCCE,2,FALSE)</f>
        <v>#N/A</v>
      </c>
      <c r="N21" s="148" t="e">
        <f>VLOOKUP($G$17,$L$16:$N$18,3,FALSE)</f>
        <v>#N/A</v>
      </c>
    </row>
    <row r="22" spans="1:16" ht="18" customHeight="1" thickBot="1" x14ac:dyDescent="0.3">
      <c r="A22" s="137"/>
      <c r="B22" s="81" t="s">
        <v>254</v>
      </c>
      <c r="C22" s="6" t="s">
        <v>299</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VLOOKUP(Detailed_LineCode09,Table_IncdLossDCCE,3,FALSE)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X+lNLVc5TXJatEpyVvxgS9Yeg2dvWFSXArpMGW145w53Y+i3biZ5fMw8U7dQJFpimO5Y0+ETSoo+X7hzxEJ90w==" saltValue="CuzmvBJmsLxY4V9sriCzB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Detailed_LineDesc10</f>
        <v/>
      </c>
      <c r="F7" s="6" t="s">
        <v>1</v>
      </c>
      <c r="H7" s="13" t="str">
        <f>Completed_By</f>
        <v>Nicole Pettis</v>
      </c>
      <c r="I7" s="216"/>
    </row>
    <row r="8" spans="1:16" x14ac:dyDescent="0.25">
      <c r="A8" s="6" t="s">
        <v>78</v>
      </c>
      <c r="D8" s="6" t="str">
        <f>Covg10</f>
        <v/>
      </c>
      <c r="F8" s="6" t="s">
        <v>76</v>
      </c>
      <c r="H8" s="52">
        <f>Completed_Date</f>
        <v>44981</v>
      </c>
      <c r="I8" s="217"/>
      <c r="J8" s="156"/>
    </row>
    <row r="9" spans="1:16" x14ac:dyDescent="0.25">
      <c r="A9" s="6" t="s">
        <v>169</v>
      </c>
      <c r="D9" s="52" t="str">
        <f>EffDate_Prior10</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"&amp;Detailed_LineCode10&amp;" Industry P&amp;C"</f>
        <v>Total 2021 Line  Industry P&amp;C</v>
      </c>
      <c r="N20" s="153" t="s">
        <v>256</v>
      </c>
    </row>
    <row r="21" spans="1:16" ht="17.25" x14ac:dyDescent="0.25">
      <c r="A21" s="137"/>
      <c r="B21" s="137"/>
      <c r="I21" s="214"/>
      <c r="K21" s="117"/>
      <c r="L21" s="6" t="s">
        <v>289</v>
      </c>
      <c r="M21" s="14" t="e">
        <f>VLOOKUP(Detailed_LineCode10,Table_IncdLossDCCE,2,FALSE)</f>
        <v>#N/A</v>
      </c>
      <c r="N21" s="148" t="e">
        <f>VLOOKUP($G$17,$L$16:$N$18,3,FALSE)</f>
        <v>#N/A</v>
      </c>
    </row>
    <row r="22" spans="1:16" ht="18" customHeight="1" thickBot="1" x14ac:dyDescent="0.3">
      <c r="A22" s="137"/>
      <c r="B22" s="81" t="s">
        <v>254</v>
      </c>
      <c r="C22" s="6" t="s">
        <v>299</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VLOOKUP(Detailed_LineCode10,Table_IncdLossDCCE,3,FALSE)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ht="18" customHeight="1"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wuJ+mlpZorSBMUjFcj3f2BoxbaTbMKZDTSrCGMQ1Wq20A/NSz7+c9WsmyGuLgNqSPPrGbpvs05IsYdAW0YpBsA==" saltValue="88Zyg23P3IgoAgd71zht1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126</v>
      </c>
      <c r="B1" s="57"/>
      <c r="C1" s="65"/>
      <c r="D1" s="65"/>
      <c r="E1" s="6"/>
      <c r="F1" s="6"/>
    </row>
    <row r="2" spans="1:8" x14ac:dyDescent="0.25">
      <c r="A2" s="56" t="s">
        <v>123</v>
      </c>
      <c r="B2" s="448" t="s">
        <v>121</v>
      </c>
      <c r="C2" s="65"/>
      <c r="D2" s="65"/>
      <c r="E2" s="6"/>
      <c r="F2" s="6"/>
    </row>
    <row r="3" spans="1:8" x14ac:dyDescent="0.25">
      <c r="A3" s="56"/>
      <c r="B3" s="448" t="s">
        <v>313</v>
      </c>
      <c r="C3" s="65"/>
      <c r="D3" s="65"/>
      <c r="E3" s="6"/>
      <c r="F3" s="6"/>
    </row>
    <row r="4" spans="1:8" x14ac:dyDescent="0.25">
      <c r="A4" s="56" t="s">
        <v>127</v>
      </c>
      <c r="B4" s="449">
        <v>2020</v>
      </c>
      <c r="C4" s="65"/>
      <c r="D4" s="65"/>
      <c r="E4" s="6"/>
      <c r="F4" s="6"/>
    </row>
    <row r="5" spans="1:8" x14ac:dyDescent="0.25">
      <c r="A5" s="56" t="s">
        <v>122</v>
      </c>
      <c r="B5" s="448" t="s">
        <v>294</v>
      </c>
      <c r="C5" s="65"/>
      <c r="D5" s="65"/>
      <c r="E5" s="6"/>
      <c r="F5" s="6"/>
    </row>
    <row r="6" spans="1:8" x14ac:dyDescent="0.25">
      <c r="A6" s="56" t="s">
        <v>128</v>
      </c>
      <c r="B6" s="450">
        <v>44551</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59</v>
      </c>
      <c r="B9" s="60" t="s">
        <v>117</v>
      </c>
      <c r="C9" s="60" t="s">
        <v>118</v>
      </c>
      <c r="D9" s="60" t="s">
        <v>125</v>
      </c>
      <c r="E9" s="60" t="s">
        <v>119</v>
      </c>
      <c r="F9" s="177"/>
      <c r="G9" s="45"/>
      <c r="H9" s="45"/>
    </row>
    <row r="10" spans="1:8" x14ac:dyDescent="0.25">
      <c r="A10" s="61">
        <v>1</v>
      </c>
      <c r="B10" s="606">
        <v>0.32264057080430214</v>
      </c>
      <c r="C10" s="607">
        <v>0.28579684106741904</v>
      </c>
      <c r="D10" s="607">
        <v>0.32264057080430214</v>
      </c>
      <c r="E10" s="62" t="s">
        <v>17</v>
      </c>
      <c r="F10" s="509"/>
      <c r="G10" s="509"/>
      <c r="H10" s="509"/>
    </row>
    <row r="11" spans="1:8" x14ac:dyDescent="0.25">
      <c r="A11" s="61">
        <v>2.1</v>
      </c>
      <c r="B11" s="608">
        <v>0.32705299209368172</v>
      </c>
      <c r="C11" s="609">
        <v>0.29474007750233949</v>
      </c>
      <c r="D11" s="609">
        <v>0.32705299209368172</v>
      </c>
      <c r="E11" s="62" t="s">
        <v>9</v>
      </c>
      <c r="F11" s="509"/>
      <c r="G11" s="509"/>
      <c r="H11" s="509"/>
    </row>
    <row r="12" spans="1:8" x14ac:dyDescent="0.25">
      <c r="A12" s="61">
        <v>3</v>
      </c>
      <c r="B12" s="608">
        <v>0.38733373273714594</v>
      </c>
      <c r="C12" s="609">
        <v>0.38733373273714594</v>
      </c>
      <c r="D12" s="609">
        <v>0.39095109805250727</v>
      </c>
      <c r="E12" s="62" t="s">
        <v>44</v>
      </c>
      <c r="F12" s="509"/>
      <c r="G12" s="509"/>
      <c r="H12" s="509"/>
    </row>
    <row r="13" spans="1:8" x14ac:dyDescent="0.25">
      <c r="A13" s="61">
        <v>4</v>
      </c>
      <c r="B13" s="608">
        <v>0.35349169170468153</v>
      </c>
      <c r="C13" s="609">
        <v>0.30450233691492307</v>
      </c>
      <c r="D13" s="609">
        <v>0.37957507454237077</v>
      </c>
      <c r="E13" s="62" t="s">
        <v>45</v>
      </c>
      <c r="F13" s="509"/>
      <c r="G13" s="509"/>
      <c r="H13" s="509"/>
    </row>
    <row r="14" spans="1:8" x14ac:dyDescent="0.25">
      <c r="A14" s="61">
        <v>5</v>
      </c>
      <c r="B14" s="608">
        <v>0.38056656334177358</v>
      </c>
      <c r="C14" s="609">
        <v>0.34972458045182453</v>
      </c>
      <c r="D14" s="609">
        <v>0.36988795076778636</v>
      </c>
      <c r="E14" s="62" t="s">
        <v>124</v>
      </c>
      <c r="F14" s="509"/>
      <c r="G14" s="509"/>
      <c r="H14" s="509"/>
    </row>
    <row r="15" spans="1:8" x14ac:dyDescent="0.25">
      <c r="A15" s="61">
        <v>5.0999999999999996</v>
      </c>
      <c r="B15" s="610">
        <v>0.3745301566852699</v>
      </c>
      <c r="C15" s="611">
        <v>0.35457187705951404</v>
      </c>
      <c r="D15" s="611">
        <v>0.35968282489531528</v>
      </c>
      <c r="E15" s="62" t="s">
        <v>43</v>
      </c>
      <c r="F15" s="509"/>
      <c r="G15" s="509"/>
      <c r="H15" s="509"/>
    </row>
    <row r="16" spans="1:8" x14ac:dyDescent="0.25">
      <c r="A16" s="61">
        <v>5.2</v>
      </c>
      <c r="B16" s="610">
        <v>0.39817283158893568</v>
      </c>
      <c r="C16" s="611">
        <v>0.34749382309908511</v>
      </c>
      <c r="D16" s="611">
        <v>0.38531762841141753</v>
      </c>
      <c r="E16" s="62" t="s">
        <v>42</v>
      </c>
      <c r="F16" s="509"/>
      <c r="G16" s="509"/>
      <c r="H16" s="509"/>
    </row>
    <row r="17" spans="1:8" x14ac:dyDescent="0.25">
      <c r="A17" s="61">
        <v>9</v>
      </c>
      <c r="B17" s="608">
        <v>0.28354526722923851</v>
      </c>
      <c r="C17" s="609">
        <v>0.27729260124284777</v>
      </c>
      <c r="D17" s="609">
        <v>0.28354526722923851</v>
      </c>
      <c r="E17" s="62" t="s">
        <v>20</v>
      </c>
      <c r="F17" s="509"/>
      <c r="G17" s="509"/>
      <c r="H17" s="509"/>
    </row>
    <row r="18" spans="1:8" x14ac:dyDescent="0.25">
      <c r="A18" s="61">
        <v>11</v>
      </c>
      <c r="B18" s="608">
        <v>0.40343289491496614</v>
      </c>
      <c r="C18" s="609">
        <v>0.27260526794637335</v>
      </c>
      <c r="D18" s="609">
        <v>0.36666228578975457</v>
      </c>
      <c r="E18" s="63" t="s">
        <v>21</v>
      </c>
      <c r="F18" s="509"/>
      <c r="G18" s="509"/>
      <c r="H18" s="509"/>
    </row>
    <row r="19" spans="1:8" x14ac:dyDescent="0.25">
      <c r="A19" s="61">
        <v>11.1</v>
      </c>
      <c r="B19" s="608">
        <v>0.40343289491496614</v>
      </c>
      <c r="C19" s="609">
        <v>0.27260526794637335</v>
      </c>
      <c r="D19" s="609">
        <v>0.36666228578975457</v>
      </c>
      <c r="E19" s="63" t="s">
        <v>47</v>
      </c>
      <c r="F19" s="509"/>
      <c r="G19" s="509"/>
      <c r="H19" s="509"/>
    </row>
    <row r="20" spans="1:8" x14ac:dyDescent="0.25">
      <c r="A20" s="61">
        <v>11.2</v>
      </c>
      <c r="B20" s="608">
        <v>0.40343289491496614</v>
      </c>
      <c r="C20" s="609">
        <v>0.27260526794637335</v>
      </c>
      <c r="D20" s="609">
        <v>0.36666228578975457</v>
      </c>
      <c r="E20" s="63" t="s">
        <v>46</v>
      </c>
      <c r="F20" s="509"/>
      <c r="G20" s="509"/>
      <c r="H20" s="509"/>
    </row>
    <row r="21" spans="1:8" x14ac:dyDescent="0.25">
      <c r="A21" s="61" t="s">
        <v>328</v>
      </c>
      <c r="B21" s="608">
        <v>0.40343289491496614</v>
      </c>
      <c r="C21" s="609">
        <v>0.27260526794637335</v>
      </c>
      <c r="D21" s="609">
        <v>0.36666228578975457</v>
      </c>
      <c r="E21" s="63" t="s">
        <v>326</v>
      </c>
      <c r="F21" s="509"/>
      <c r="G21" s="509"/>
      <c r="H21" s="509"/>
    </row>
    <row r="22" spans="1:8" x14ac:dyDescent="0.25">
      <c r="A22" s="61" t="s">
        <v>329</v>
      </c>
      <c r="B22" s="608">
        <v>0.40343289491496614</v>
      </c>
      <c r="C22" s="609">
        <v>0.27260526794637335</v>
      </c>
      <c r="D22" s="609">
        <v>0.36666228578975457</v>
      </c>
      <c r="E22" s="63" t="s">
        <v>327</v>
      </c>
      <c r="F22" s="509"/>
      <c r="G22" s="509"/>
      <c r="H22" s="509"/>
    </row>
    <row r="23" spans="1:8" x14ac:dyDescent="0.25">
      <c r="A23" s="61" t="s">
        <v>330</v>
      </c>
      <c r="B23" s="608">
        <v>0.40343289491496614</v>
      </c>
      <c r="C23" s="609">
        <v>0.27260526794637335</v>
      </c>
      <c r="D23" s="609">
        <v>0.36666228578975457</v>
      </c>
      <c r="E23" s="63" t="s">
        <v>324</v>
      </c>
      <c r="F23" s="509"/>
      <c r="G23" s="509"/>
      <c r="H23" s="509"/>
    </row>
    <row r="24" spans="1:8" x14ac:dyDescent="0.25">
      <c r="A24" s="61">
        <v>12</v>
      </c>
      <c r="B24" s="608">
        <v>0.24340754228838934</v>
      </c>
      <c r="C24" s="609">
        <v>0.26606284274177755</v>
      </c>
      <c r="D24" s="609">
        <v>0.27375831026408481</v>
      </c>
      <c r="E24" s="63" t="s">
        <v>14</v>
      </c>
      <c r="F24" s="509"/>
      <c r="G24" s="509"/>
      <c r="H24" s="509"/>
    </row>
    <row r="25" spans="1:8" x14ac:dyDescent="0.25">
      <c r="A25" s="61" t="s">
        <v>331</v>
      </c>
      <c r="B25" s="608">
        <v>0.24340754228838934</v>
      </c>
      <c r="C25" s="609">
        <v>0.26606284274177755</v>
      </c>
      <c r="D25" s="609">
        <v>0.27375831026408481</v>
      </c>
      <c r="E25" s="63" t="s">
        <v>325</v>
      </c>
      <c r="F25" s="509"/>
      <c r="G25" s="509"/>
      <c r="H25" s="509"/>
    </row>
    <row r="26" spans="1:8" x14ac:dyDescent="0.25">
      <c r="A26" s="61">
        <v>17</v>
      </c>
      <c r="B26" s="608">
        <v>0.31140389477587366</v>
      </c>
      <c r="C26" s="609">
        <v>0.31849075950320105</v>
      </c>
      <c r="D26" s="609">
        <v>0.3358560996385816</v>
      </c>
      <c r="E26" s="63" t="s">
        <v>23</v>
      </c>
      <c r="F26" s="509"/>
      <c r="G26" s="509"/>
      <c r="H26" s="509"/>
    </row>
    <row r="27" spans="1:8" x14ac:dyDescent="0.25">
      <c r="A27" s="61">
        <v>17.100000000000001</v>
      </c>
      <c r="B27" s="610">
        <v>0.31358328821404757</v>
      </c>
      <c r="C27" s="611">
        <v>0.2640756898392243</v>
      </c>
      <c r="D27" s="611">
        <v>0.3046244823314368</v>
      </c>
      <c r="E27" s="63" t="s">
        <v>49</v>
      </c>
      <c r="F27" s="509"/>
      <c r="G27" s="509"/>
      <c r="H27" s="509"/>
    </row>
    <row r="28" spans="1:8" x14ac:dyDescent="0.25">
      <c r="A28" s="61">
        <v>17.2</v>
      </c>
      <c r="B28" s="610">
        <v>0.27846536373927272</v>
      </c>
      <c r="C28" s="611">
        <v>0.44398764048589995</v>
      </c>
      <c r="D28" s="611">
        <v>0.37532081186251792</v>
      </c>
      <c r="E28" s="63" t="s">
        <v>48</v>
      </c>
      <c r="F28" s="509"/>
      <c r="G28" s="509"/>
      <c r="H28" s="509"/>
    </row>
    <row r="29" spans="1:8" x14ac:dyDescent="0.25">
      <c r="A29" s="61">
        <v>18</v>
      </c>
      <c r="B29" s="608">
        <v>0.32250884671599844</v>
      </c>
      <c r="C29" s="609">
        <v>0.32250884671599844</v>
      </c>
      <c r="D29" s="609">
        <v>0.32250884671599844</v>
      </c>
      <c r="E29" s="63" t="s">
        <v>24</v>
      </c>
      <c r="F29" s="509"/>
      <c r="G29" s="509"/>
      <c r="H29" s="509"/>
    </row>
    <row r="30" spans="1:8" x14ac:dyDescent="0.25">
      <c r="A30" s="61">
        <v>18.100000000000001</v>
      </c>
      <c r="B30" s="608">
        <v>0.32250884671599844</v>
      </c>
      <c r="C30" s="609">
        <v>0.32250884671599844</v>
      </c>
      <c r="D30" s="609">
        <v>0.32250884671599844</v>
      </c>
      <c r="E30" s="63" t="s">
        <v>53</v>
      </c>
      <c r="F30" s="509"/>
      <c r="G30" s="509"/>
      <c r="H30" s="509"/>
    </row>
    <row r="31" spans="1:8" x14ac:dyDescent="0.25">
      <c r="A31" s="61">
        <v>18.2</v>
      </c>
      <c r="B31" s="608">
        <v>0.32250884671599844</v>
      </c>
      <c r="C31" s="609">
        <v>0.32250884671599844</v>
      </c>
      <c r="D31" s="609">
        <v>0.32250884671599844</v>
      </c>
      <c r="E31" s="63" t="s">
        <v>52</v>
      </c>
      <c r="F31" s="509"/>
      <c r="G31" s="509"/>
      <c r="H31" s="509"/>
    </row>
    <row r="32" spans="1:8" x14ac:dyDescent="0.25">
      <c r="A32" s="61">
        <v>19.2</v>
      </c>
      <c r="B32" s="612">
        <v>0.31092212368038935</v>
      </c>
      <c r="C32" s="613">
        <v>0.26622784813216294</v>
      </c>
      <c r="D32" s="613">
        <v>0.35653087916941489</v>
      </c>
      <c r="E32" s="63" t="s">
        <v>50</v>
      </c>
      <c r="F32" s="509"/>
      <c r="G32" s="509"/>
      <c r="H32" s="509"/>
    </row>
    <row r="33" spans="1:8" x14ac:dyDescent="0.25">
      <c r="A33" s="61">
        <v>19.399999999999999</v>
      </c>
      <c r="B33" s="608">
        <v>0.36988312159365738</v>
      </c>
      <c r="C33" s="609">
        <v>0.26571120433885059</v>
      </c>
      <c r="D33" s="609">
        <v>0.33189577609755033</v>
      </c>
      <c r="E33" s="63" t="s">
        <v>39</v>
      </c>
      <c r="F33" s="509"/>
      <c r="G33" s="509"/>
      <c r="H33" s="509"/>
    </row>
    <row r="34" spans="1:8" x14ac:dyDescent="0.25">
      <c r="A34" s="61">
        <v>21.1</v>
      </c>
      <c r="B34" s="612">
        <v>0.31225781752376819</v>
      </c>
      <c r="C34" s="613">
        <v>0.25586059542168726</v>
      </c>
      <c r="D34" s="613">
        <v>0.35144754344074641</v>
      </c>
      <c r="E34" s="63" t="s">
        <v>51</v>
      </c>
      <c r="F34" s="509"/>
      <c r="G34" s="509"/>
      <c r="H34" s="509"/>
    </row>
    <row r="35" spans="1:8" x14ac:dyDescent="0.25">
      <c r="A35" s="61">
        <v>21.2</v>
      </c>
      <c r="B35" s="608">
        <v>0.35483822794744674</v>
      </c>
      <c r="C35" s="609">
        <v>0.33158840050480298</v>
      </c>
      <c r="D35" s="609">
        <v>0.34154482499729527</v>
      </c>
      <c r="E35" s="63" t="s">
        <v>40</v>
      </c>
      <c r="F35" s="509"/>
      <c r="G35" s="509"/>
      <c r="H35" s="509"/>
    </row>
    <row r="36" spans="1:8" x14ac:dyDescent="0.25">
      <c r="A36" s="61">
        <v>22</v>
      </c>
      <c r="B36" s="612">
        <v>0.32506537946659148</v>
      </c>
      <c r="C36" s="613">
        <v>0.43688479599760016</v>
      </c>
      <c r="D36" s="613">
        <v>0.32267770428390924</v>
      </c>
      <c r="E36" s="63" t="s">
        <v>8</v>
      </c>
      <c r="F36" s="509"/>
      <c r="G36" s="509"/>
      <c r="H36" s="509"/>
    </row>
    <row r="37" spans="1:8" x14ac:dyDescent="0.25">
      <c r="A37" s="61">
        <v>23</v>
      </c>
      <c r="B37" s="608">
        <v>0.37415753593585527</v>
      </c>
      <c r="C37" s="609">
        <v>0.32326291703914967</v>
      </c>
      <c r="D37" s="609">
        <v>0.37793442232116087</v>
      </c>
      <c r="E37" s="63" t="s">
        <v>16</v>
      </c>
      <c r="F37" s="509"/>
      <c r="G37" s="509"/>
      <c r="H37" s="509"/>
    </row>
    <row r="38" spans="1:8" x14ac:dyDescent="0.25">
      <c r="A38" s="61">
        <v>24</v>
      </c>
      <c r="B38" s="612">
        <v>0.45570039826671277</v>
      </c>
      <c r="C38" s="613">
        <v>0.45570039826671277</v>
      </c>
      <c r="D38" s="613">
        <v>0.45570039826671277</v>
      </c>
      <c r="E38" s="63" t="s">
        <v>25</v>
      </c>
      <c r="F38" s="509"/>
      <c r="G38" s="509"/>
      <c r="H38" s="509"/>
    </row>
    <row r="39" spans="1:8" x14ac:dyDescent="0.25">
      <c r="A39" s="64">
        <v>26</v>
      </c>
      <c r="B39" s="608">
        <v>0.40879334795969163</v>
      </c>
      <c r="C39" s="609">
        <v>0.40879334795969163</v>
      </c>
      <c r="D39" s="609">
        <v>0.40879334795969163</v>
      </c>
      <c r="E39" s="63" t="s">
        <v>13</v>
      </c>
      <c r="F39" s="509"/>
      <c r="G39" s="509"/>
      <c r="H39" s="509"/>
    </row>
    <row r="40" spans="1:8" x14ac:dyDescent="0.25">
      <c r="A40" s="64">
        <v>27</v>
      </c>
      <c r="B40" s="608">
        <v>0.37056208371139149</v>
      </c>
      <c r="C40" s="609">
        <v>0.25454478470121661</v>
      </c>
      <c r="D40" s="609">
        <v>0.3541709116108695</v>
      </c>
      <c r="E40" s="63" t="s">
        <v>12</v>
      </c>
      <c r="F40" s="509"/>
      <c r="G40" s="509"/>
      <c r="H40" s="509"/>
    </row>
    <row r="41" spans="1:8" x14ac:dyDescent="0.25">
      <c r="A41" s="6"/>
      <c r="B41" s="6"/>
      <c r="C41" s="6"/>
      <c r="D41" s="6"/>
      <c r="E41" s="6"/>
      <c r="F41" s="6"/>
      <c r="H41" s="43"/>
    </row>
    <row r="42" spans="1:8" x14ac:dyDescent="0.25">
      <c r="A42" s="6"/>
      <c r="B42" s="6"/>
      <c r="C42" s="6"/>
      <c r="D42" s="6"/>
      <c r="E42" s="6"/>
      <c r="F42" s="6"/>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sheetData>
  <sheetProtection algorithmName="SHA-512" hashValue="LngRFoP51Cxg/9pGBpukXlA3wc/4eZPUKGz3vh+CZgLceES3ZjNI7PLJsvUzzAujSFO39erHhPVYkJItdn9TEw==" saltValue="bVhrXZqKincSYl4FHChatw=="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134</v>
      </c>
      <c r="B1" s="57"/>
      <c r="C1" s="6"/>
      <c r="D1" s="42"/>
    </row>
    <row r="2" spans="1:12" x14ac:dyDescent="0.25">
      <c r="A2" s="56" t="s">
        <v>120</v>
      </c>
      <c r="B2" s="448" t="s">
        <v>319</v>
      </c>
      <c r="C2" s="6"/>
      <c r="D2" s="43"/>
    </row>
    <row r="3" spans="1:12" x14ac:dyDescent="0.25">
      <c r="A3" s="56" t="s">
        <v>135</v>
      </c>
      <c r="B3" s="449">
        <v>2022</v>
      </c>
      <c r="C3" s="6"/>
      <c r="D3" s="43"/>
    </row>
    <row r="4" spans="1:12" x14ac:dyDescent="0.25">
      <c r="A4" s="56" t="s">
        <v>127</v>
      </c>
      <c r="B4" s="449">
        <v>2021</v>
      </c>
      <c r="C4" s="6"/>
      <c r="D4" s="43"/>
    </row>
    <row r="5" spans="1:12" x14ac:dyDescent="0.25">
      <c r="A5" s="56" t="s">
        <v>122</v>
      </c>
      <c r="B5" s="448" t="s">
        <v>294</v>
      </c>
      <c r="C5" s="6"/>
      <c r="D5" s="43"/>
    </row>
    <row r="6" spans="1:12" x14ac:dyDescent="0.25">
      <c r="A6" s="56" t="s">
        <v>128</v>
      </c>
      <c r="B6" s="450">
        <v>44854</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59</v>
      </c>
      <c r="B10" s="60" t="s">
        <v>134</v>
      </c>
      <c r="C10" s="60" t="s">
        <v>119</v>
      </c>
      <c r="D10" s="44"/>
    </row>
    <row r="11" spans="1:12" x14ac:dyDescent="0.25">
      <c r="A11" s="61">
        <v>1</v>
      </c>
      <c r="B11" s="539">
        <v>0.81235644058807355</v>
      </c>
      <c r="C11" s="62" t="s">
        <v>17</v>
      </c>
      <c r="D11" s="44"/>
    </row>
    <row r="12" spans="1:12" x14ac:dyDescent="0.25">
      <c r="A12" s="61">
        <v>2.1</v>
      </c>
      <c r="B12" s="539">
        <v>0.93435152504930674</v>
      </c>
      <c r="C12" s="62" t="s">
        <v>9</v>
      </c>
      <c r="D12" s="44"/>
    </row>
    <row r="13" spans="1:12" x14ac:dyDescent="0.25">
      <c r="A13" s="61">
        <v>3</v>
      </c>
      <c r="B13" s="539">
        <v>1.0198850033807605</v>
      </c>
      <c r="C13" s="62" t="s">
        <v>44</v>
      </c>
      <c r="D13" s="44"/>
    </row>
    <row r="14" spans="1:12" x14ac:dyDescent="0.25">
      <c r="A14" s="61">
        <v>4</v>
      </c>
      <c r="B14" s="539">
        <v>0.91552166118720324</v>
      </c>
      <c r="C14" s="62" t="s">
        <v>45</v>
      </c>
      <c r="D14" s="44"/>
      <c r="G14" s="525"/>
      <c r="H14" s="524"/>
      <c r="I14" s="526"/>
      <c r="J14" s="526"/>
      <c r="K14" s="526"/>
      <c r="L14" s="524"/>
    </row>
    <row r="15" spans="1:12" x14ac:dyDescent="0.25">
      <c r="A15" s="61">
        <v>5</v>
      </c>
      <c r="B15" s="539">
        <v>0.64904356508147709</v>
      </c>
      <c r="C15" s="62" t="s">
        <v>124</v>
      </c>
      <c r="D15" s="44"/>
      <c r="G15" s="525"/>
      <c r="H15" s="524"/>
      <c r="I15" s="526"/>
      <c r="J15" s="526"/>
      <c r="K15" s="526"/>
      <c r="L15" s="524"/>
    </row>
    <row r="16" spans="1:12" x14ac:dyDescent="0.25">
      <c r="A16" s="61">
        <v>5.0999999999999996</v>
      </c>
      <c r="B16" s="539">
        <v>0.85959575239859431</v>
      </c>
      <c r="C16" s="62" t="s">
        <v>43</v>
      </c>
      <c r="D16" s="44"/>
      <c r="G16" s="525"/>
      <c r="H16" s="524"/>
      <c r="I16" s="526"/>
      <c r="J16" s="526"/>
      <c r="K16" s="526"/>
      <c r="L16" s="524"/>
    </row>
    <row r="17" spans="1:12" x14ac:dyDescent="0.25">
      <c r="A17" s="61">
        <v>5.2</v>
      </c>
      <c r="B17" s="539">
        <v>0.44524500946674733</v>
      </c>
      <c r="C17" s="62" t="s">
        <v>42</v>
      </c>
      <c r="D17" s="44"/>
      <c r="G17" s="525"/>
      <c r="H17" s="524"/>
      <c r="I17" s="526"/>
      <c r="J17" s="526"/>
      <c r="K17" s="526"/>
      <c r="L17" s="524"/>
    </row>
    <row r="18" spans="1:12" x14ac:dyDescent="0.25">
      <c r="A18" s="61">
        <v>9</v>
      </c>
      <c r="B18" s="539">
        <v>0.99942836921193801</v>
      </c>
      <c r="C18" s="62" t="s">
        <v>20</v>
      </c>
      <c r="D18" s="44"/>
      <c r="G18" s="525"/>
      <c r="H18" s="524"/>
      <c r="I18" s="526"/>
      <c r="J18" s="526"/>
      <c r="K18" s="526"/>
      <c r="L18" s="524"/>
    </row>
    <row r="19" spans="1:12" x14ac:dyDescent="0.25">
      <c r="A19" s="61">
        <v>11</v>
      </c>
      <c r="B19" s="539">
        <v>0.37793006729923817</v>
      </c>
      <c r="C19" s="63" t="s">
        <v>21</v>
      </c>
      <c r="D19" s="44"/>
      <c r="G19" s="525"/>
      <c r="H19" s="524"/>
      <c r="I19" s="526"/>
      <c r="J19" s="526"/>
      <c r="K19" s="526"/>
      <c r="L19" s="524"/>
    </row>
    <row r="20" spans="1:12" x14ac:dyDescent="0.25">
      <c r="A20" s="61">
        <v>11.1</v>
      </c>
      <c r="B20" s="539">
        <v>0.27891657529127117</v>
      </c>
      <c r="C20" s="63" t="s">
        <v>47</v>
      </c>
      <c r="D20" s="44"/>
      <c r="G20" s="525"/>
      <c r="H20" s="524"/>
      <c r="I20" s="526"/>
      <c r="J20" s="526"/>
      <c r="K20" s="526"/>
      <c r="L20" s="524"/>
    </row>
    <row r="21" spans="1:12" x14ac:dyDescent="0.25">
      <c r="A21" s="61">
        <v>11.2</v>
      </c>
      <c r="B21" s="539">
        <v>0.42512058682655723</v>
      </c>
      <c r="C21" s="63" t="s">
        <v>46</v>
      </c>
      <c r="D21" s="44"/>
      <c r="G21" s="525"/>
      <c r="H21" s="524"/>
      <c r="I21" s="526"/>
      <c r="J21" s="526"/>
      <c r="K21" s="526"/>
      <c r="L21" s="524"/>
    </row>
    <row r="22" spans="1:12" x14ac:dyDescent="0.25">
      <c r="A22" s="61" t="s">
        <v>328</v>
      </c>
      <c r="B22" s="539">
        <v>0.37793006729923817</v>
      </c>
      <c r="C22" s="63" t="s">
        <v>326</v>
      </c>
      <c r="D22" s="44"/>
      <c r="G22" s="525"/>
      <c r="H22" s="524"/>
      <c r="I22" s="526"/>
      <c r="J22" s="526"/>
      <c r="K22" s="526"/>
      <c r="L22" s="524"/>
    </row>
    <row r="23" spans="1:12" x14ac:dyDescent="0.25">
      <c r="A23" s="61" t="s">
        <v>329</v>
      </c>
      <c r="B23" s="539">
        <v>0.27891657529127117</v>
      </c>
      <c r="C23" s="63" t="s">
        <v>327</v>
      </c>
      <c r="D23" s="44"/>
      <c r="G23" s="525"/>
      <c r="H23" s="524"/>
      <c r="I23" s="526"/>
      <c r="J23" s="526"/>
      <c r="K23" s="526"/>
      <c r="L23" s="524"/>
    </row>
    <row r="24" spans="1:12" x14ac:dyDescent="0.25">
      <c r="A24" s="61" t="s">
        <v>330</v>
      </c>
      <c r="B24" s="539">
        <v>0.42512058682655723</v>
      </c>
      <c r="C24" s="63" t="s">
        <v>324</v>
      </c>
      <c r="D24" s="44"/>
      <c r="G24" s="525"/>
      <c r="H24" s="524"/>
      <c r="I24" s="526"/>
      <c r="J24" s="526"/>
      <c r="K24" s="526"/>
      <c r="L24" s="524"/>
    </row>
    <row r="25" spans="1:12" x14ac:dyDescent="0.25">
      <c r="A25" s="61">
        <v>12</v>
      </c>
      <c r="B25" s="539">
        <v>1</v>
      </c>
      <c r="C25" s="63" t="s">
        <v>14</v>
      </c>
      <c r="D25" s="44"/>
      <c r="G25" s="525"/>
      <c r="H25" s="524"/>
      <c r="I25" s="526"/>
      <c r="J25" s="526"/>
      <c r="K25" s="526"/>
      <c r="L25" s="524"/>
    </row>
    <row r="26" spans="1:12" x14ac:dyDescent="0.25">
      <c r="A26" s="61" t="s">
        <v>331</v>
      </c>
      <c r="B26" s="539">
        <v>1</v>
      </c>
      <c r="C26" s="63" t="s">
        <v>325</v>
      </c>
      <c r="D26" s="44"/>
      <c r="G26" s="525"/>
      <c r="H26" s="524"/>
      <c r="I26" s="526"/>
      <c r="J26" s="526"/>
      <c r="K26" s="526"/>
      <c r="L26" s="524"/>
    </row>
    <row r="27" spans="1:12" x14ac:dyDescent="0.25">
      <c r="A27" s="61">
        <v>17</v>
      </c>
      <c r="B27" s="539">
        <v>0.46281471895830895</v>
      </c>
      <c r="C27" s="63" t="s">
        <v>23</v>
      </c>
      <c r="D27" s="44"/>
      <c r="G27" s="525"/>
      <c r="H27" s="524"/>
      <c r="I27" s="526"/>
      <c r="J27" s="526"/>
      <c r="K27" s="526"/>
      <c r="L27" s="524"/>
    </row>
    <row r="28" spans="1:12" x14ac:dyDescent="0.25">
      <c r="A28" s="61">
        <v>17.100000000000001</v>
      </c>
      <c r="B28" s="539">
        <v>0.44885827339732171</v>
      </c>
      <c r="C28" s="63" t="s">
        <v>49</v>
      </c>
      <c r="D28" s="44"/>
      <c r="G28" s="525"/>
      <c r="H28" s="524"/>
      <c r="I28" s="526"/>
      <c r="J28" s="526"/>
      <c r="K28" s="526"/>
      <c r="L28" s="524"/>
    </row>
    <row r="29" spans="1:12" x14ac:dyDescent="0.25">
      <c r="A29" s="61">
        <v>17.2</v>
      </c>
      <c r="B29" s="539">
        <v>0.52489488713442756</v>
      </c>
      <c r="C29" s="63" t="s">
        <v>48</v>
      </c>
      <c r="D29" s="44"/>
      <c r="G29" s="525"/>
      <c r="H29" s="524"/>
      <c r="I29" s="526"/>
      <c r="J29" s="526"/>
      <c r="K29" s="526"/>
      <c r="L29" s="524"/>
    </row>
    <row r="30" spans="1:12" x14ac:dyDescent="0.25">
      <c r="A30" s="61">
        <v>18</v>
      </c>
      <c r="B30" s="539">
        <v>0.30408454550823855</v>
      </c>
      <c r="C30" s="63" t="s">
        <v>24</v>
      </c>
      <c r="D30" s="44"/>
      <c r="G30" s="525"/>
      <c r="H30" s="524"/>
      <c r="I30" s="526"/>
      <c r="J30" s="526"/>
      <c r="K30" s="526"/>
      <c r="L30" s="524"/>
    </row>
    <row r="31" spans="1:12" x14ac:dyDescent="0.25">
      <c r="A31" s="61">
        <v>18.100000000000001</v>
      </c>
      <c r="B31" s="539">
        <v>0.28303723223900357</v>
      </c>
      <c r="C31" s="63" t="s">
        <v>53</v>
      </c>
      <c r="D31" s="44"/>
      <c r="G31" s="525"/>
      <c r="H31" s="524"/>
      <c r="I31" s="526"/>
      <c r="J31" s="526"/>
      <c r="K31" s="526"/>
      <c r="L31" s="524"/>
    </row>
    <row r="32" spans="1:12" x14ac:dyDescent="0.25">
      <c r="A32" s="61">
        <v>18.2</v>
      </c>
      <c r="B32" s="539">
        <v>0.47263905766817937</v>
      </c>
      <c r="C32" s="63" t="s">
        <v>52</v>
      </c>
      <c r="D32" s="44"/>
      <c r="G32" s="525"/>
      <c r="H32" s="524"/>
      <c r="I32" s="526"/>
      <c r="J32" s="526"/>
      <c r="K32" s="526"/>
      <c r="L32" s="524"/>
    </row>
    <row r="33" spans="1:12" x14ac:dyDescent="0.25">
      <c r="A33" s="61">
        <v>19.2</v>
      </c>
      <c r="B33" s="539">
        <v>0.7746748896822202</v>
      </c>
      <c r="C33" s="63" t="s">
        <v>50</v>
      </c>
      <c r="D33" s="44"/>
      <c r="G33" s="525"/>
      <c r="H33" s="524"/>
      <c r="I33" s="526"/>
      <c r="J33" s="526"/>
      <c r="K33" s="526"/>
      <c r="L33" s="524"/>
    </row>
    <row r="34" spans="1:12" x14ac:dyDescent="0.25">
      <c r="A34" s="61">
        <v>19.399999999999999</v>
      </c>
      <c r="B34" s="539">
        <v>0.59901615822906618</v>
      </c>
      <c r="C34" s="63" t="s">
        <v>39</v>
      </c>
      <c r="D34" s="44"/>
      <c r="G34" s="525"/>
      <c r="H34" s="524"/>
      <c r="I34" s="526"/>
      <c r="J34" s="526"/>
      <c r="K34" s="526"/>
      <c r="L34" s="524"/>
    </row>
    <row r="35" spans="1:12" x14ac:dyDescent="0.25">
      <c r="A35" s="61">
        <v>21.1</v>
      </c>
      <c r="B35" s="539">
        <v>1.2507122087328104</v>
      </c>
      <c r="C35" s="63" t="s">
        <v>51</v>
      </c>
      <c r="D35" s="44"/>
      <c r="G35" s="525"/>
      <c r="H35" s="524"/>
      <c r="I35" s="526"/>
      <c r="J35" s="526"/>
      <c r="K35" s="526"/>
      <c r="L35" s="524"/>
    </row>
    <row r="36" spans="1:12" x14ac:dyDescent="0.25">
      <c r="A36" s="61">
        <v>21.2</v>
      </c>
      <c r="B36" s="539">
        <v>1.0493049283677423</v>
      </c>
      <c r="C36" s="63" t="s">
        <v>40</v>
      </c>
      <c r="D36" s="44"/>
      <c r="G36" s="525"/>
      <c r="H36" s="524"/>
      <c r="I36" s="526"/>
      <c r="J36" s="526"/>
      <c r="K36" s="526"/>
      <c r="L36" s="524"/>
    </row>
    <row r="37" spans="1:12" x14ac:dyDescent="0.25">
      <c r="A37" s="61">
        <v>22</v>
      </c>
      <c r="B37" s="539">
        <v>0.64009706302218006</v>
      </c>
      <c r="C37" s="63" t="s">
        <v>8</v>
      </c>
      <c r="D37" s="44"/>
      <c r="G37" s="525"/>
      <c r="H37" s="524"/>
      <c r="I37" s="526"/>
      <c r="J37" s="526"/>
      <c r="K37" s="526"/>
      <c r="L37" s="524"/>
    </row>
    <row r="38" spans="1:12" x14ac:dyDescent="0.25">
      <c r="A38" s="61">
        <v>23</v>
      </c>
      <c r="B38" s="539">
        <v>0.66582394844950954</v>
      </c>
      <c r="C38" s="63" t="s">
        <v>16</v>
      </c>
      <c r="D38" s="44"/>
      <c r="G38" s="525"/>
      <c r="H38" s="524"/>
      <c r="I38" s="526"/>
      <c r="J38" s="526"/>
      <c r="K38" s="526"/>
      <c r="L38" s="524"/>
    </row>
    <row r="39" spans="1:12" x14ac:dyDescent="0.25">
      <c r="A39" s="61">
        <v>24</v>
      </c>
      <c r="B39" s="539">
        <v>0.76745623128212148</v>
      </c>
      <c r="C39" s="63" t="s">
        <v>25</v>
      </c>
      <c r="D39" s="44"/>
      <c r="G39" s="525"/>
      <c r="H39" s="524"/>
      <c r="I39" s="526"/>
      <c r="J39" s="526"/>
      <c r="K39" s="526"/>
      <c r="L39" s="524"/>
    </row>
    <row r="40" spans="1:12" x14ac:dyDescent="0.25">
      <c r="A40" s="64">
        <v>26</v>
      </c>
      <c r="B40" s="539">
        <v>0.75476105053395415</v>
      </c>
      <c r="C40" s="63" t="s">
        <v>13</v>
      </c>
      <c r="D40" s="44"/>
      <c r="G40" s="525"/>
      <c r="H40" s="524"/>
      <c r="I40" s="526"/>
      <c r="J40" s="526"/>
      <c r="K40" s="526"/>
      <c r="L40" s="524"/>
    </row>
    <row r="41" spans="1:12" x14ac:dyDescent="0.25">
      <c r="A41" s="64">
        <v>27</v>
      </c>
      <c r="B41" s="539">
        <v>0.93538598940936746</v>
      </c>
      <c r="C41" s="63" t="s">
        <v>12</v>
      </c>
      <c r="D41" s="44"/>
      <c r="G41" s="525"/>
      <c r="H41" s="524"/>
      <c r="I41" s="526"/>
      <c r="J41" s="526"/>
      <c r="K41" s="526"/>
      <c r="L41" s="524"/>
    </row>
    <row r="42" spans="1:12" x14ac:dyDescent="0.25">
      <c r="A42" s="6"/>
      <c r="B42" s="6"/>
      <c r="C42" s="6"/>
      <c r="D42" s="44"/>
    </row>
    <row r="43" spans="1:12" x14ac:dyDescent="0.25">
      <c r="A43" s="6"/>
      <c r="B43" s="6"/>
      <c r="C43" s="6"/>
      <c r="D43" s="4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D47" s="44"/>
    </row>
    <row r="48" spans="1:12" x14ac:dyDescent="0.25">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sheetData>
  <sheetProtection algorithmName="SHA-512" hashValue="W0SN6Uwjgbu20rpWAqQ8H7eRywlOWd+b4AEMYVNJ1IG3vXkad8bREYTP+uEp3ANBA2iascGlWFkxBEIN7/myew==" saltValue="4tVhonCiH1/GRgT+FIvwKQ=="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136</v>
      </c>
      <c r="B1" s="42"/>
      <c r="C1" s="43"/>
      <c r="H1" s="42"/>
    </row>
    <row r="2" spans="1:11" x14ac:dyDescent="0.25">
      <c r="A2" s="41" t="s">
        <v>120</v>
      </c>
      <c r="B2" s="451" t="s">
        <v>320</v>
      </c>
      <c r="C2" s="43"/>
      <c r="H2" s="43"/>
    </row>
    <row r="3" spans="1:11" x14ac:dyDescent="0.25">
      <c r="A3" s="41" t="s">
        <v>137</v>
      </c>
      <c r="B3" s="452" t="s">
        <v>749</v>
      </c>
      <c r="C3" s="54"/>
      <c r="H3" s="43"/>
    </row>
    <row r="4" spans="1:11" x14ac:dyDescent="0.25">
      <c r="A4" s="56" t="s">
        <v>127</v>
      </c>
      <c r="B4" s="54">
        <v>2021</v>
      </c>
      <c r="C4" s="54"/>
      <c r="H4" s="43"/>
    </row>
    <row r="5" spans="1:11" x14ac:dyDescent="0.25">
      <c r="A5" s="56" t="s">
        <v>122</v>
      </c>
      <c r="B5" s="448" t="s">
        <v>294</v>
      </c>
      <c r="C5" s="43"/>
      <c r="H5" s="43"/>
    </row>
    <row r="6" spans="1:11" x14ac:dyDescent="0.25">
      <c r="A6" s="41" t="s">
        <v>128</v>
      </c>
      <c r="B6" s="450">
        <v>44854</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59</v>
      </c>
      <c r="B10" s="615" t="s">
        <v>138</v>
      </c>
      <c r="C10" s="615" t="s">
        <v>139</v>
      </c>
      <c r="D10" s="223" t="s">
        <v>119</v>
      </c>
      <c r="E10" s="45"/>
      <c r="H10" s="44"/>
    </row>
    <row r="11" spans="1:11" x14ac:dyDescent="0.25">
      <c r="A11" s="219">
        <v>1</v>
      </c>
      <c r="B11" s="614">
        <v>0.51516606024523603</v>
      </c>
      <c r="C11" s="616">
        <v>1.7040300096297394</v>
      </c>
      <c r="D11" s="220" t="s">
        <v>17</v>
      </c>
      <c r="E11" s="45"/>
      <c r="I11" s="42"/>
      <c r="J11" s="42"/>
      <c r="K11" s="42"/>
    </row>
    <row r="12" spans="1:11" x14ac:dyDescent="0.25">
      <c r="A12" s="219">
        <v>2.1</v>
      </c>
      <c r="B12" s="614">
        <v>0.49642851354661766</v>
      </c>
      <c r="C12" s="616">
        <v>1.2313835016781414</v>
      </c>
      <c r="D12" s="220" t="s">
        <v>9</v>
      </c>
      <c r="E12" s="45"/>
      <c r="I12" s="42"/>
      <c r="J12" s="42"/>
      <c r="K12" s="42"/>
    </row>
    <row r="13" spans="1:11" x14ac:dyDescent="0.25">
      <c r="A13" s="219">
        <v>3</v>
      </c>
      <c r="B13" s="614">
        <v>0.47510354758054174</v>
      </c>
      <c r="C13" s="616">
        <v>2.8248039649956782</v>
      </c>
      <c r="D13" s="220" t="s">
        <v>44</v>
      </c>
      <c r="E13" s="45"/>
      <c r="I13" s="42"/>
      <c r="J13" s="42"/>
      <c r="K13" s="42"/>
    </row>
    <row r="14" spans="1:11" x14ac:dyDescent="0.25">
      <c r="A14" s="219">
        <v>4</v>
      </c>
      <c r="B14" s="614">
        <v>0.52182970801271056</v>
      </c>
      <c r="C14" s="616">
        <v>1.3010095886105004</v>
      </c>
      <c r="D14" s="220" t="s">
        <v>45</v>
      </c>
      <c r="E14" s="45"/>
      <c r="I14" s="42"/>
      <c r="J14" s="42"/>
      <c r="K14" s="42"/>
    </row>
    <row r="15" spans="1:11" x14ac:dyDescent="0.25">
      <c r="A15" s="219">
        <v>5</v>
      </c>
      <c r="B15" s="614">
        <v>0.48392631846747231</v>
      </c>
      <c r="C15" s="616">
        <v>2.0377358580832317</v>
      </c>
      <c r="D15" s="220" t="s">
        <v>124</v>
      </c>
      <c r="E15" s="45"/>
      <c r="I15" s="42"/>
      <c r="J15" s="42"/>
      <c r="K15" s="42"/>
    </row>
    <row r="16" spans="1:11" x14ac:dyDescent="0.25">
      <c r="A16" s="219">
        <v>5.0999999999999996</v>
      </c>
      <c r="B16" s="614">
        <v>0.48502164469252623</v>
      </c>
      <c r="C16" s="616">
        <v>1.0191601205006116</v>
      </c>
      <c r="D16" s="220" t="s">
        <v>43</v>
      </c>
      <c r="E16" s="45"/>
      <c r="I16" s="42"/>
      <c r="J16" s="42"/>
      <c r="K16" s="42"/>
    </row>
    <row r="17" spans="1:11" x14ac:dyDescent="0.25">
      <c r="A17" s="219">
        <v>5.2</v>
      </c>
      <c r="B17" s="614">
        <v>0.48202380222454394</v>
      </c>
      <c r="C17" s="616">
        <v>3.3123146730476747</v>
      </c>
      <c r="D17" s="220" t="s">
        <v>42</v>
      </c>
      <c r="E17" s="45"/>
      <c r="I17" s="42"/>
      <c r="J17" s="42"/>
      <c r="K17" s="42"/>
    </row>
    <row r="18" spans="1:11" x14ac:dyDescent="0.25">
      <c r="A18" s="219">
        <v>9</v>
      </c>
      <c r="B18" s="614">
        <v>0.27369996801304597</v>
      </c>
      <c r="C18" s="616">
        <v>0.60770239313748553</v>
      </c>
      <c r="D18" s="220" t="s">
        <v>20</v>
      </c>
      <c r="E18" s="45"/>
      <c r="I18" s="42"/>
      <c r="J18" s="42"/>
      <c r="K18" s="42"/>
    </row>
    <row r="19" spans="1:11" x14ac:dyDescent="0.25">
      <c r="A19" s="219">
        <v>11</v>
      </c>
      <c r="B19" s="614">
        <v>0.51579067986210736</v>
      </c>
      <c r="C19" s="616">
        <v>3.7595937759163247</v>
      </c>
      <c r="D19" t="s">
        <v>21</v>
      </c>
      <c r="E19" s="45"/>
      <c r="I19" s="42"/>
      <c r="J19" s="42"/>
      <c r="K19" s="42"/>
    </row>
    <row r="20" spans="1:11" x14ac:dyDescent="0.25">
      <c r="A20" s="219">
        <v>11.1</v>
      </c>
      <c r="B20" s="614">
        <v>0.65070208019710307</v>
      </c>
      <c r="C20" s="616">
        <v>5.681739994784329</v>
      </c>
      <c r="D20" t="s">
        <v>47</v>
      </c>
      <c r="E20" s="45"/>
      <c r="I20" s="42"/>
      <c r="J20" s="42"/>
      <c r="K20" s="42"/>
    </row>
    <row r="21" spans="1:11" x14ac:dyDescent="0.25">
      <c r="A21" s="219">
        <v>11.2</v>
      </c>
      <c r="B21" s="614">
        <v>0.47360440103971485</v>
      </c>
      <c r="C21" s="616">
        <v>3.1834079401988218</v>
      </c>
      <c r="D21" t="s">
        <v>46</v>
      </c>
      <c r="E21" s="45"/>
      <c r="I21" s="42"/>
      <c r="J21" s="42"/>
      <c r="K21" s="42"/>
    </row>
    <row r="22" spans="1:11" x14ac:dyDescent="0.25">
      <c r="A22" s="219" t="s">
        <v>328</v>
      </c>
      <c r="B22" s="614">
        <v>0.51579067986210736</v>
      </c>
      <c r="C22" s="616">
        <v>3.7595937759163247</v>
      </c>
      <c r="D22" s="6" t="s">
        <v>326</v>
      </c>
      <c r="E22" s="45"/>
      <c r="I22" s="42"/>
      <c r="J22" s="42"/>
      <c r="K22" s="42"/>
    </row>
    <row r="23" spans="1:11" x14ac:dyDescent="0.25">
      <c r="A23" s="219" t="s">
        <v>329</v>
      </c>
      <c r="B23" s="614">
        <v>0.65070208019710307</v>
      </c>
      <c r="C23" s="616">
        <v>5.681739994784329</v>
      </c>
      <c r="D23" s="6" t="s">
        <v>327</v>
      </c>
      <c r="E23" s="45"/>
      <c r="I23" s="42"/>
      <c r="J23" s="42"/>
      <c r="K23" s="42"/>
    </row>
    <row r="24" spans="1:11" x14ac:dyDescent="0.25">
      <c r="A24" s="219" t="s">
        <v>330</v>
      </c>
      <c r="B24" s="614">
        <v>0.47360440103971485</v>
      </c>
      <c r="C24" s="616">
        <v>3.1834079401988218</v>
      </c>
      <c r="D24" s="6" t="s">
        <v>324</v>
      </c>
      <c r="E24" s="45"/>
      <c r="I24" s="42"/>
      <c r="J24" s="42"/>
      <c r="K24" s="42"/>
    </row>
    <row r="25" spans="1:11" x14ac:dyDescent="0.25">
      <c r="A25" s="219">
        <v>12</v>
      </c>
      <c r="B25" s="614">
        <v>0.48451621817511087</v>
      </c>
      <c r="C25" s="616">
        <v>1</v>
      </c>
      <c r="D25" t="s">
        <v>14</v>
      </c>
      <c r="E25" s="45"/>
      <c r="I25" s="42"/>
      <c r="J25" s="42"/>
      <c r="K25" s="42"/>
    </row>
    <row r="26" spans="1:11" x14ac:dyDescent="0.25">
      <c r="A26" s="219" t="s">
        <v>331</v>
      </c>
      <c r="B26" s="614">
        <v>0.48451621817511087</v>
      </c>
      <c r="C26" s="616">
        <v>1</v>
      </c>
      <c r="D26" s="6" t="s">
        <v>325</v>
      </c>
      <c r="E26" s="45"/>
      <c r="I26" s="42"/>
      <c r="J26" s="42"/>
      <c r="K26" s="42"/>
    </row>
    <row r="27" spans="1:11" x14ac:dyDescent="0.25">
      <c r="A27" s="219">
        <v>17</v>
      </c>
      <c r="B27" s="614">
        <v>0.58528819990434822</v>
      </c>
      <c r="C27" s="616">
        <v>2.9111888031361275</v>
      </c>
      <c r="D27" t="s">
        <v>23</v>
      </c>
      <c r="E27" s="45"/>
      <c r="I27" s="42"/>
      <c r="J27" s="42"/>
      <c r="K27" s="42"/>
    </row>
    <row r="28" spans="1:11" x14ac:dyDescent="0.25">
      <c r="A28" s="219">
        <v>17.100000000000001</v>
      </c>
      <c r="B28" s="614">
        <v>0.55295503184862405</v>
      </c>
      <c r="C28" s="616">
        <v>3.3465701709731945</v>
      </c>
      <c r="D28" t="s">
        <v>49</v>
      </c>
      <c r="E28" s="45"/>
      <c r="I28" s="42"/>
      <c r="J28" s="42"/>
      <c r="K28" s="42"/>
    </row>
    <row r="29" spans="1:11" x14ac:dyDescent="0.25">
      <c r="A29" s="219">
        <v>17.2</v>
      </c>
      <c r="B29" s="614">
        <v>0.61792808944924293</v>
      </c>
      <c r="C29" s="616">
        <v>2.3649617288307461</v>
      </c>
      <c r="D29" t="s">
        <v>48</v>
      </c>
      <c r="E29" s="45"/>
      <c r="I29" s="42"/>
      <c r="J29" s="42"/>
      <c r="K29" s="42"/>
    </row>
    <row r="30" spans="1:11" x14ac:dyDescent="0.25">
      <c r="A30" s="219">
        <v>18</v>
      </c>
      <c r="B30" s="614">
        <v>0.51413510474410018</v>
      </c>
      <c r="C30" s="616">
        <v>4.8877985793418555</v>
      </c>
      <c r="D30" t="s">
        <v>24</v>
      </c>
      <c r="E30" s="45"/>
      <c r="I30" s="42"/>
      <c r="J30" s="42"/>
      <c r="K30" s="42"/>
    </row>
    <row r="31" spans="1:11" x14ac:dyDescent="0.25">
      <c r="A31" s="219">
        <v>18.100000000000001</v>
      </c>
      <c r="B31" s="614">
        <v>0.51359746993608479</v>
      </c>
      <c r="C31" s="616">
        <v>4.9315489105475434</v>
      </c>
      <c r="D31" t="s">
        <v>53</v>
      </c>
      <c r="E31" s="45"/>
      <c r="I31" s="42"/>
      <c r="J31" s="42"/>
      <c r="K31" s="42"/>
    </row>
    <row r="32" spans="1:11" x14ac:dyDescent="0.25">
      <c r="A32" s="219">
        <v>18.2</v>
      </c>
      <c r="B32" s="614">
        <v>0.51671347366223186</v>
      </c>
      <c r="C32" s="616">
        <v>4.5326794212049251</v>
      </c>
      <c r="D32" t="s">
        <v>52</v>
      </c>
      <c r="E32" s="45"/>
      <c r="I32" s="42"/>
      <c r="J32" s="42"/>
      <c r="K32" s="42"/>
    </row>
    <row r="33" spans="1:14" x14ac:dyDescent="0.25">
      <c r="A33" s="219">
        <v>19.2</v>
      </c>
      <c r="B33" s="614">
        <v>0.32027023269708416</v>
      </c>
      <c r="C33" s="616">
        <v>1.3266740292453059</v>
      </c>
      <c r="D33" t="s">
        <v>50</v>
      </c>
      <c r="E33" s="45"/>
      <c r="I33" s="42"/>
      <c r="J33" s="42"/>
      <c r="K33" s="42"/>
    </row>
    <row r="34" spans="1:14" x14ac:dyDescent="0.25">
      <c r="A34" s="219">
        <v>19.399999999999999</v>
      </c>
      <c r="B34" s="614">
        <v>0.41925110530461207</v>
      </c>
      <c r="C34" s="616">
        <v>1.9240568199838088</v>
      </c>
      <c r="D34" t="s">
        <v>39</v>
      </c>
      <c r="E34" s="45"/>
      <c r="I34" s="42"/>
      <c r="J34" s="42"/>
      <c r="K34" s="42"/>
    </row>
    <row r="35" spans="1:14" x14ac:dyDescent="0.25">
      <c r="A35" s="219">
        <v>21.1</v>
      </c>
      <c r="B35" s="614">
        <v>0.32682025394820319</v>
      </c>
      <c r="C35" s="616">
        <v>9.1896214076458593E-2</v>
      </c>
      <c r="D35" t="s">
        <v>51</v>
      </c>
      <c r="E35" s="45"/>
      <c r="I35" s="42"/>
      <c r="J35" s="42"/>
      <c r="K35" s="42"/>
    </row>
    <row r="36" spans="1:14" x14ac:dyDescent="0.25">
      <c r="A36" s="219">
        <v>21.2</v>
      </c>
      <c r="B36" s="614">
        <v>0.43261817958907034</v>
      </c>
      <c r="C36" s="616">
        <v>0.37318993704908698</v>
      </c>
      <c r="D36" t="s">
        <v>40</v>
      </c>
      <c r="E36" s="45"/>
      <c r="I36" s="42"/>
      <c r="J36" s="42"/>
      <c r="K36" s="42"/>
    </row>
    <row r="37" spans="1:14" x14ac:dyDescent="0.25">
      <c r="A37" s="219">
        <v>22</v>
      </c>
      <c r="B37" s="614">
        <v>0.37709210011505745</v>
      </c>
      <c r="C37" s="616">
        <v>1.6026870856101356</v>
      </c>
      <c r="D37" t="s">
        <v>8</v>
      </c>
      <c r="E37" s="45"/>
      <c r="I37" s="42"/>
      <c r="J37" s="42"/>
      <c r="K37" s="42"/>
    </row>
    <row r="38" spans="1:14" x14ac:dyDescent="0.25">
      <c r="A38" s="219">
        <v>23</v>
      </c>
      <c r="B38" s="614">
        <v>0.58938023445056631</v>
      </c>
      <c r="C38" s="616">
        <v>2.5123822430454048</v>
      </c>
      <c r="D38" t="s">
        <v>16</v>
      </c>
      <c r="E38" s="45"/>
      <c r="I38" s="42"/>
      <c r="J38" s="42"/>
      <c r="K38" s="42"/>
    </row>
    <row r="39" spans="1:14" x14ac:dyDescent="0.25">
      <c r="A39" s="219">
        <v>24</v>
      </c>
      <c r="B39" s="614">
        <v>0.60731910332732419</v>
      </c>
      <c r="C39" s="616">
        <v>5.2003348914235596</v>
      </c>
      <c r="D39" t="s">
        <v>25</v>
      </c>
      <c r="E39" s="45"/>
      <c r="I39" s="42"/>
      <c r="J39" s="42"/>
      <c r="K39" s="42"/>
    </row>
    <row r="40" spans="1:14" x14ac:dyDescent="0.25">
      <c r="A40" s="221">
        <v>26</v>
      </c>
      <c r="B40" s="614">
        <v>0.57014870884824997</v>
      </c>
      <c r="C40" s="616">
        <v>1.0071134162229891</v>
      </c>
      <c r="D40" t="s">
        <v>13</v>
      </c>
      <c r="E40" s="45"/>
      <c r="I40" s="42"/>
      <c r="J40" s="42"/>
      <c r="K40" s="42"/>
    </row>
    <row r="41" spans="1:14" x14ac:dyDescent="0.25">
      <c r="A41" s="221">
        <v>27</v>
      </c>
      <c r="B41" s="614">
        <v>0.55307831943034702</v>
      </c>
      <c r="C41" s="616">
        <v>2.7802793379072308</v>
      </c>
      <c r="D41" t="s">
        <v>12</v>
      </c>
      <c r="E41" s="45"/>
      <c r="I41" s="42"/>
      <c r="J41" s="42"/>
      <c r="K41" s="42"/>
    </row>
    <row r="42" spans="1:14" x14ac:dyDescent="0.25">
      <c r="H42" s="42"/>
    </row>
    <row r="45" spans="1:14" x14ac:dyDescent="0.25">
      <c r="I45" s="42"/>
      <c r="J45" s="42"/>
      <c r="K45" s="42"/>
      <c r="L45" s="45"/>
      <c r="M45" s="45"/>
      <c r="N45" s="45"/>
    </row>
    <row r="46" spans="1:14" x14ac:dyDescent="0.25">
      <c r="E46" s="45"/>
      <c r="I46" s="46"/>
      <c r="J46" s="46"/>
      <c r="K46" s="43"/>
      <c r="L46" s="43"/>
      <c r="M46" s="43"/>
      <c r="N46" s="43"/>
    </row>
    <row r="47" spans="1:14" x14ac:dyDescent="0.25">
      <c r="E47" s="45"/>
    </row>
    <row r="48" spans="1:14" x14ac:dyDescent="0.25">
      <c r="E48" s="45"/>
    </row>
    <row r="49" spans="5:6" x14ac:dyDescent="0.25">
      <c r="E49" s="45"/>
    </row>
    <row r="50" spans="5:6" x14ac:dyDescent="0.25">
      <c r="E50" s="45"/>
    </row>
    <row r="51" spans="5:6" x14ac:dyDescent="0.25">
      <c r="E51" s="45"/>
    </row>
    <row r="52" spans="5:6" x14ac:dyDescent="0.25">
      <c r="E52" s="45"/>
    </row>
    <row r="53" spans="5:6" x14ac:dyDescent="0.25">
      <c r="E53" s="45"/>
      <c r="F53" s="45"/>
    </row>
    <row r="54" spans="5:6" x14ac:dyDescent="0.25">
      <c r="E54" s="45"/>
      <c r="F54" s="45"/>
    </row>
    <row r="55" spans="5:6" x14ac:dyDescent="0.25">
      <c r="E55" s="45"/>
      <c r="F55" s="45"/>
    </row>
  </sheetData>
  <sheetProtection algorithmName="SHA-512" hashValue="gFllhER0Ti6wQwFnNnz1Ja3ZNGqZ92wcrWCVd3CdeQKB3tfvcaVXzjASz38ng/6RFEzUHkuWLZls+SCm4BXnOA==" saltValue="Czwc1N7x7LcI/2HEhrKaeA=="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67" t="s">
        <v>143</v>
      </c>
      <c r="B1" s="57"/>
      <c r="C1" s="65"/>
      <c r="D1" s="6"/>
    </row>
    <row r="2" spans="1:4" x14ac:dyDescent="0.25">
      <c r="A2" s="56" t="s">
        <v>120</v>
      </c>
      <c r="B2" s="451" t="s">
        <v>320</v>
      </c>
      <c r="C2" s="65"/>
      <c r="D2" s="6"/>
    </row>
    <row r="3" spans="1:4" x14ac:dyDescent="0.25">
      <c r="A3" s="56"/>
      <c r="B3" s="448" t="s">
        <v>280</v>
      </c>
      <c r="C3" s="65"/>
      <c r="D3" s="6"/>
    </row>
    <row r="4" spans="1:4" x14ac:dyDescent="0.25">
      <c r="A4" s="41" t="s">
        <v>135</v>
      </c>
      <c r="B4" s="449">
        <v>2022</v>
      </c>
      <c r="C4" s="65"/>
      <c r="D4" s="6"/>
    </row>
    <row r="5" spans="1:4" x14ac:dyDescent="0.25">
      <c r="A5" s="56" t="s">
        <v>127</v>
      </c>
      <c r="B5" s="54">
        <v>2021</v>
      </c>
      <c r="C5" s="65"/>
      <c r="D5" s="6"/>
    </row>
    <row r="6" spans="1:4" x14ac:dyDescent="0.25">
      <c r="A6" s="56" t="s">
        <v>122</v>
      </c>
      <c r="B6" s="448" t="s">
        <v>293</v>
      </c>
      <c r="C6" s="65"/>
      <c r="D6" s="6"/>
    </row>
    <row r="7" spans="1:4" x14ac:dyDescent="0.25">
      <c r="A7" s="56" t="s">
        <v>128</v>
      </c>
      <c r="B7" s="450">
        <v>44854</v>
      </c>
      <c r="C7" s="65"/>
      <c r="D7" s="6"/>
    </row>
    <row r="8" spans="1:4" x14ac:dyDescent="0.25">
      <c r="A8" s="56"/>
      <c r="B8" s="59"/>
      <c r="C8" s="65"/>
      <c r="D8" s="6"/>
    </row>
    <row r="9" spans="1:4" x14ac:dyDescent="0.25">
      <c r="A9" s="53"/>
      <c r="B9" s="53">
        <v>1</v>
      </c>
      <c r="C9" s="53">
        <v>2</v>
      </c>
      <c r="D9" s="53">
        <v>3</v>
      </c>
    </row>
    <row r="10" spans="1:4" ht="30" x14ac:dyDescent="0.25">
      <c r="A10" s="53" t="s">
        <v>59</v>
      </c>
      <c r="B10" s="68" t="s">
        <v>153</v>
      </c>
      <c r="C10" s="68" t="s">
        <v>154</v>
      </c>
      <c r="D10" s="68" t="s">
        <v>119</v>
      </c>
    </row>
    <row r="11" spans="1:4" x14ac:dyDescent="0.25">
      <c r="A11" s="48">
        <v>1</v>
      </c>
      <c r="B11" s="617">
        <v>11826158</v>
      </c>
      <c r="C11" s="617">
        <v>417095</v>
      </c>
      <c r="D11" s="49" t="s">
        <v>17</v>
      </c>
    </row>
    <row r="12" spans="1:4" x14ac:dyDescent="0.25">
      <c r="A12" s="48">
        <v>2.1</v>
      </c>
      <c r="B12" s="617">
        <v>13538386</v>
      </c>
      <c r="C12" s="617">
        <v>532833</v>
      </c>
      <c r="D12" s="49" t="s">
        <v>9</v>
      </c>
    </row>
    <row r="13" spans="1:4" x14ac:dyDescent="0.25">
      <c r="A13" s="48">
        <v>3</v>
      </c>
      <c r="B13" s="617">
        <v>3139891</v>
      </c>
      <c r="C13" s="617">
        <v>60771</v>
      </c>
      <c r="D13" s="49" t="s">
        <v>44</v>
      </c>
    </row>
    <row r="14" spans="1:4" x14ac:dyDescent="0.25">
      <c r="A14" s="48">
        <v>4</v>
      </c>
      <c r="B14" s="617">
        <v>78442342</v>
      </c>
      <c r="C14" s="617">
        <v>2519939</v>
      </c>
      <c r="D14" s="49" t="s">
        <v>45</v>
      </c>
    </row>
    <row r="15" spans="1:4" x14ac:dyDescent="0.25">
      <c r="A15" s="48">
        <v>5</v>
      </c>
      <c r="B15" s="540">
        <v>28993699</v>
      </c>
      <c r="C15" s="540">
        <v>3299910</v>
      </c>
      <c r="D15" s="49" t="s">
        <v>124</v>
      </c>
    </row>
    <row r="16" spans="1:4" x14ac:dyDescent="0.25">
      <c r="A16" s="48">
        <v>5.0999999999999996</v>
      </c>
      <c r="B16" s="617">
        <v>20744380</v>
      </c>
      <c r="C16" s="617">
        <v>720768</v>
      </c>
      <c r="D16" s="49" t="s">
        <v>43</v>
      </c>
    </row>
    <row r="17" spans="1:4" x14ac:dyDescent="0.25">
      <c r="A17" s="48">
        <v>5.2</v>
      </c>
      <c r="B17" s="617">
        <v>8249319</v>
      </c>
      <c r="C17" s="617">
        <v>2579142</v>
      </c>
      <c r="D17" s="49" t="s">
        <v>42</v>
      </c>
    </row>
    <row r="18" spans="1:4" x14ac:dyDescent="0.25">
      <c r="A18" s="48">
        <v>9</v>
      </c>
      <c r="B18" s="617">
        <v>13976435</v>
      </c>
      <c r="C18" s="617">
        <v>437124</v>
      </c>
      <c r="D18" s="49" t="s">
        <v>20</v>
      </c>
    </row>
    <row r="19" spans="1:4" x14ac:dyDescent="0.25">
      <c r="A19" s="48">
        <v>11</v>
      </c>
      <c r="B19" s="617">
        <v>5895978</v>
      </c>
      <c r="C19" s="617">
        <v>2315900</v>
      </c>
      <c r="D19" s="50" t="s">
        <v>21</v>
      </c>
    </row>
    <row r="20" spans="1:4" ht="17.25" x14ac:dyDescent="0.25">
      <c r="A20" s="48">
        <v>11.1</v>
      </c>
      <c r="B20" s="540">
        <v>5895978</v>
      </c>
      <c r="C20" s="540">
        <v>2315900</v>
      </c>
      <c r="D20" s="50" t="s">
        <v>145</v>
      </c>
    </row>
    <row r="21" spans="1:4" ht="17.25" x14ac:dyDescent="0.25">
      <c r="A21" s="48">
        <v>11.2</v>
      </c>
      <c r="B21" s="540">
        <v>5895978</v>
      </c>
      <c r="C21" s="540">
        <v>2315900</v>
      </c>
      <c r="D21" s="50" t="s">
        <v>146</v>
      </c>
    </row>
    <row r="22" spans="1:4" x14ac:dyDescent="0.25">
      <c r="A22" s="48" t="s">
        <v>328</v>
      </c>
      <c r="B22" s="540">
        <v>5895978</v>
      </c>
      <c r="C22" s="540">
        <v>2315900</v>
      </c>
      <c r="D22" s="63" t="s">
        <v>326</v>
      </c>
    </row>
    <row r="23" spans="1:4" ht="17.25" x14ac:dyDescent="0.25">
      <c r="A23" s="48" t="s">
        <v>329</v>
      </c>
      <c r="B23" s="540">
        <v>5895978</v>
      </c>
      <c r="C23" s="540">
        <v>2315900</v>
      </c>
      <c r="D23" s="63" t="s">
        <v>332</v>
      </c>
    </row>
    <row r="24" spans="1:4" ht="17.25" x14ac:dyDescent="0.25">
      <c r="A24" s="48" t="s">
        <v>330</v>
      </c>
      <c r="B24" s="540">
        <v>5895978</v>
      </c>
      <c r="C24" s="540">
        <v>2315900</v>
      </c>
      <c r="D24" s="63" t="s">
        <v>333</v>
      </c>
    </row>
    <row r="25" spans="1:4" x14ac:dyDescent="0.25">
      <c r="A25" s="48">
        <v>12</v>
      </c>
      <c r="B25" s="617">
        <v>104603</v>
      </c>
      <c r="C25" s="617">
        <v>10742</v>
      </c>
      <c r="D25" s="50" t="s">
        <v>14</v>
      </c>
    </row>
    <row r="26" spans="1:4" x14ac:dyDescent="0.25">
      <c r="A26" s="48" t="s">
        <v>331</v>
      </c>
      <c r="B26" s="540">
        <v>104603</v>
      </c>
      <c r="C26" s="540">
        <v>10742</v>
      </c>
      <c r="D26" s="63" t="s">
        <v>325</v>
      </c>
    </row>
    <row r="27" spans="1:4" x14ac:dyDescent="0.25">
      <c r="A27" s="48">
        <v>17</v>
      </c>
      <c r="B27" s="540">
        <v>56824021</v>
      </c>
      <c r="C27" s="540">
        <v>8982312</v>
      </c>
      <c r="D27" s="50" t="s">
        <v>23</v>
      </c>
    </row>
    <row r="28" spans="1:4" ht="17.25" x14ac:dyDescent="0.25">
      <c r="A28" s="48">
        <v>17.100000000000001</v>
      </c>
      <c r="B28" s="617">
        <v>36765600</v>
      </c>
      <c r="C28" s="617">
        <v>4961372</v>
      </c>
      <c r="D28" s="50" t="s">
        <v>147</v>
      </c>
    </row>
    <row r="29" spans="1:4" ht="17.25" x14ac:dyDescent="0.25">
      <c r="A29" s="48">
        <v>17.2</v>
      </c>
      <c r="B29" s="617">
        <v>20058421</v>
      </c>
      <c r="C29" s="617">
        <v>4020940</v>
      </c>
      <c r="D29" s="50" t="s">
        <v>148</v>
      </c>
    </row>
    <row r="30" spans="1:4" x14ac:dyDescent="0.25">
      <c r="A30" s="48">
        <v>18</v>
      </c>
      <c r="B30" s="617">
        <v>2276950</v>
      </c>
      <c r="C30" s="617">
        <v>1064052</v>
      </c>
      <c r="D30" s="50" t="s">
        <v>24</v>
      </c>
    </row>
    <row r="31" spans="1:4" ht="17.25" x14ac:dyDescent="0.25">
      <c r="A31" s="48">
        <v>18.100000000000001</v>
      </c>
      <c r="B31" s="540">
        <v>2276950</v>
      </c>
      <c r="C31" s="540">
        <v>1064052</v>
      </c>
      <c r="D31" s="50" t="s">
        <v>149</v>
      </c>
    </row>
    <row r="32" spans="1:4" ht="17.25" x14ac:dyDescent="0.25">
      <c r="A32" s="48">
        <v>18.2</v>
      </c>
      <c r="B32" s="540">
        <v>2276950</v>
      </c>
      <c r="C32" s="540">
        <v>1064052</v>
      </c>
      <c r="D32" s="50" t="s">
        <v>150</v>
      </c>
    </row>
    <row r="33" spans="1:4" x14ac:dyDescent="0.25">
      <c r="A33" s="48">
        <v>19.2</v>
      </c>
      <c r="B33" s="617">
        <v>87906944</v>
      </c>
      <c r="C33" s="617">
        <v>4620018</v>
      </c>
      <c r="D33" s="50" t="s">
        <v>50</v>
      </c>
    </row>
    <row r="34" spans="1:4" x14ac:dyDescent="0.25">
      <c r="A34" s="48">
        <v>19.399999999999999</v>
      </c>
      <c r="B34" s="617">
        <v>25462076</v>
      </c>
      <c r="C34" s="617">
        <v>2757956</v>
      </c>
      <c r="D34" s="50" t="s">
        <v>39</v>
      </c>
    </row>
    <row r="35" spans="1:4" x14ac:dyDescent="0.25">
      <c r="A35" s="48">
        <v>21.1</v>
      </c>
      <c r="B35" s="617">
        <v>76204554</v>
      </c>
      <c r="C35" s="617">
        <v>338826</v>
      </c>
      <c r="D35" s="50" t="s">
        <v>51</v>
      </c>
    </row>
    <row r="36" spans="1:4" x14ac:dyDescent="0.25">
      <c r="A36" s="48">
        <v>21.2</v>
      </c>
      <c r="B36" s="617">
        <v>6606599</v>
      </c>
      <c r="C36" s="617">
        <v>134860</v>
      </c>
      <c r="D36" s="50" t="s">
        <v>40</v>
      </c>
    </row>
    <row r="37" spans="1:4" x14ac:dyDescent="0.25">
      <c r="A37" s="48">
        <v>22</v>
      </c>
      <c r="B37" s="617">
        <v>1283943</v>
      </c>
      <c r="C37" s="617">
        <v>185169</v>
      </c>
      <c r="D37" s="50" t="s">
        <v>8</v>
      </c>
    </row>
    <row r="38" spans="1:4" x14ac:dyDescent="0.25">
      <c r="A38" s="48">
        <v>23</v>
      </c>
      <c r="B38" s="617">
        <v>391446</v>
      </c>
      <c r="C38" s="617">
        <v>12298</v>
      </c>
      <c r="D38" s="50" t="s">
        <v>16</v>
      </c>
    </row>
    <row r="39" spans="1:4" x14ac:dyDescent="0.25">
      <c r="A39" s="48">
        <v>24</v>
      </c>
      <c r="B39" s="617">
        <v>1249439</v>
      </c>
      <c r="C39" s="617">
        <v>174455</v>
      </c>
      <c r="D39" s="50" t="s">
        <v>25</v>
      </c>
    </row>
    <row r="40" spans="1:4" x14ac:dyDescent="0.25">
      <c r="A40" s="51">
        <v>26</v>
      </c>
      <c r="B40" s="617">
        <v>233734</v>
      </c>
      <c r="C40" s="617">
        <v>3202</v>
      </c>
      <c r="D40" s="50" t="s">
        <v>13</v>
      </c>
    </row>
    <row r="41" spans="1:4" x14ac:dyDescent="0.25">
      <c r="A41" s="51">
        <v>27</v>
      </c>
      <c r="B41" s="617">
        <v>825880</v>
      </c>
      <c r="C41" s="617">
        <v>-12244</v>
      </c>
      <c r="D41" s="50" t="s">
        <v>12</v>
      </c>
    </row>
    <row r="43" spans="1:4" ht="17.25" x14ac:dyDescent="0.25">
      <c r="A43" s="6" t="s">
        <v>151</v>
      </c>
    </row>
    <row r="44" spans="1:4" ht="17.25" customHeight="1" x14ac:dyDescent="0.25">
      <c r="A44" s="2" t="s">
        <v>152</v>
      </c>
    </row>
  </sheetData>
  <sheetProtection algorithmName="SHA-512" hashValue="ySS4/nUkrMhEYe1qDW/1HZicvQZ9PzqXUKl2aEpMnu0YeoI7uMKQLG1FTpVQc9UsiQz3+QKI/mPBjsIJbS1DMw==" saltValue="pZZXQBeU6Btvg1OrOtonwA=="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441</v>
      </c>
      <c r="B1" s="65"/>
      <c r="C1" s="57"/>
      <c r="D1" s="65"/>
    </row>
    <row r="2" spans="1:4" x14ac:dyDescent="0.25">
      <c r="A2" s="56" t="s">
        <v>120</v>
      </c>
      <c r="B2" s="451" t="s">
        <v>721</v>
      </c>
      <c r="C2" s="451"/>
      <c r="D2" s="65"/>
    </row>
    <row r="3" spans="1:4" x14ac:dyDescent="0.25">
      <c r="A3" s="41" t="s">
        <v>135</v>
      </c>
      <c r="B3" s="449">
        <v>2018</v>
      </c>
      <c r="C3" s="449"/>
      <c r="D3" s="65"/>
    </row>
    <row r="4" spans="1:4" x14ac:dyDescent="0.25">
      <c r="A4" s="56" t="s">
        <v>122</v>
      </c>
      <c r="B4" s="448" t="s">
        <v>293</v>
      </c>
      <c r="C4" s="448"/>
      <c r="D4" s="65"/>
    </row>
    <row r="5" spans="1:4" x14ac:dyDescent="0.25">
      <c r="A5" s="56" t="s">
        <v>128</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721</v>
      </c>
      <c r="C8" s="342"/>
      <c r="D8" s="342"/>
    </row>
    <row r="9" spans="1:4" ht="15.75" thickBot="1" x14ac:dyDescent="0.3">
      <c r="A9" s="545"/>
      <c r="B9" s="553">
        <v>0.21</v>
      </c>
      <c r="C9" s="569"/>
      <c r="D9" s="569"/>
    </row>
    <row r="10" spans="1:4" x14ac:dyDescent="0.25">
      <c r="A10" s="558" t="s">
        <v>448</v>
      </c>
      <c r="B10" s="559"/>
      <c r="C10" s="570"/>
      <c r="D10" s="571"/>
    </row>
    <row r="11" spans="1:4" x14ac:dyDescent="0.25">
      <c r="A11" s="560" t="s">
        <v>449</v>
      </c>
      <c r="B11" s="561">
        <v>0.21</v>
      </c>
      <c r="C11" s="571"/>
      <c r="D11" s="571"/>
    </row>
    <row r="12" spans="1:4" x14ac:dyDescent="0.25">
      <c r="A12" s="560" t="s">
        <v>450</v>
      </c>
      <c r="B12" s="561">
        <v>0.21</v>
      </c>
      <c r="C12" s="571"/>
      <c r="D12" s="571"/>
    </row>
    <row r="13" spans="1:4" x14ac:dyDescent="0.25">
      <c r="A13" s="560" t="s">
        <v>451</v>
      </c>
      <c r="B13" s="561">
        <v>0.21</v>
      </c>
      <c r="C13" s="571"/>
      <c r="D13" s="571"/>
    </row>
    <row r="14" spans="1:4" x14ac:dyDescent="0.25">
      <c r="A14" s="562" t="s">
        <v>452</v>
      </c>
      <c r="B14" s="561"/>
      <c r="C14" s="571"/>
      <c r="D14" s="571"/>
    </row>
    <row r="15" spans="1:4" x14ac:dyDescent="0.25">
      <c r="A15" s="560" t="s">
        <v>449</v>
      </c>
      <c r="B15" s="561">
        <v>0.21</v>
      </c>
      <c r="C15" s="571"/>
      <c r="D15" s="571"/>
    </row>
    <row r="16" spans="1:4" x14ac:dyDescent="0.25">
      <c r="A16" s="560" t="s">
        <v>450</v>
      </c>
      <c r="B16" s="561">
        <v>0.21</v>
      </c>
      <c r="C16" s="571"/>
      <c r="D16" s="571"/>
    </row>
    <row r="17" spans="1:4" x14ac:dyDescent="0.25">
      <c r="A17" s="560" t="s">
        <v>451</v>
      </c>
      <c r="B17" s="561">
        <v>0.21</v>
      </c>
      <c r="C17" s="571"/>
      <c r="D17" s="571"/>
    </row>
    <row r="18" spans="1:4" x14ac:dyDescent="0.25">
      <c r="A18" s="563" t="s">
        <v>453</v>
      </c>
      <c r="B18" s="561"/>
      <c r="C18" s="571"/>
      <c r="D18" s="571"/>
    </row>
    <row r="19" spans="1:4" x14ac:dyDescent="0.25">
      <c r="A19" s="560" t="s">
        <v>449</v>
      </c>
      <c r="B19" s="561">
        <f>0.25*21%</f>
        <v>5.2499999999999998E-2</v>
      </c>
      <c r="C19" s="571"/>
      <c r="D19" s="571"/>
    </row>
    <row r="20" spans="1:4" x14ac:dyDescent="0.25">
      <c r="A20" s="560" t="s">
        <v>450</v>
      </c>
      <c r="B20" s="561">
        <f>0.25*21%</f>
        <v>5.2499999999999998E-2</v>
      </c>
      <c r="C20" s="571"/>
      <c r="D20" s="571"/>
    </row>
    <row r="21" spans="1:4" x14ac:dyDescent="0.25">
      <c r="A21" s="560" t="s">
        <v>451</v>
      </c>
      <c r="B21" s="561">
        <f>0.25*21%</f>
        <v>5.2499999999999998E-2</v>
      </c>
      <c r="C21" s="571"/>
      <c r="D21" s="571"/>
    </row>
    <row r="22" spans="1:4" x14ac:dyDescent="0.25">
      <c r="A22" s="564" t="s">
        <v>455</v>
      </c>
      <c r="B22" s="561"/>
      <c r="C22" s="571"/>
      <c r="D22" s="571"/>
    </row>
    <row r="23" spans="1:4" x14ac:dyDescent="0.25">
      <c r="A23" s="560" t="s">
        <v>456</v>
      </c>
      <c r="B23" s="561">
        <v>0.13125000000000001</v>
      </c>
      <c r="C23" s="571"/>
      <c r="D23" s="571"/>
    </row>
    <row r="24" spans="1:4" ht="14.25" customHeight="1" x14ac:dyDescent="0.25">
      <c r="A24" s="560" t="s">
        <v>457</v>
      </c>
      <c r="B24" s="561">
        <v>0.21</v>
      </c>
      <c r="C24" s="571"/>
      <c r="D24" s="571"/>
    </row>
    <row r="25" spans="1:4" x14ac:dyDescent="0.25">
      <c r="A25" s="563" t="s">
        <v>459</v>
      </c>
      <c r="B25" s="561">
        <v>0.13125000000000001</v>
      </c>
      <c r="C25" s="571"/>
      <c r="D25" s="571"/>
    </row>
    <row r="26" spans="1:4" x14ac:dyDescent="0.25">
      <c r="A26" s="563" t="s">
        <v>461</v>
      </c>
      <c r="B26" s="561">
        <v>0.21</v>
      </c>
      <c r="C26" s="571"/>
      <c r="D26" s="571"/>
    </row>
    <row r="27" spans="1:4" x14ac:dyDescent="0.25">
      <c r="A27" s="563" t="s">
        <v>463</v>
      </c>
      <c r="B27" s="561">
        <v>0.21</v>
      </c>
      <c r="C27" s="571"/>
      <c r="D27" s="571"/>
    </row>
    <row r="28" spans="1:4" x14ac:dyDescent="0.25">
      <c r="A28" s="563" t="s">
        <v>465</v>
      </c>
      <c r="B28" s="561">
        <v>0.21</v>
      </c>
      <c r="C28" s="571"/>
      <c r="D28" s="571"/>
    </row>
    <row r="29" spans="1:4" x14ac:dyDescent="0.25">
      <c r="A29" s="563" t="s">
        <v>467</v>
      </c>
      <c r="B29" s="561"/>
      <c r="C29" s="571"/>
      <c r="D29" s="571"/>
    </row>
    <row r="30" spans="1:4" x14ac:dyDescent="0.25">
      <c r="A30" s="560" t="s">
        <v>456</v>
      </c>
      <c r="B30" s="561">
        <v>0.13125000000000001</v>
      </c>
      <c r="C30" s="571"/>
      <c r="D30" s="571"/>
    </row>
    <row r="31" spans="1:4" x14ac:dyDescent="0.25">
      <c r="A31" s="560" t="s">
        <v>457</v>
      </c>
      <c r="B31" s="561">
        <v>0.21</v>
      </c>
      <c r="C31" s="571"/>
      <c r="D31" s="571"/>
    </row>
    <row r="32" spans="1:4" ht="15.75" thickBot="1" x14ac:dyDescent="0.3">
      <c r="A32" s="565" t="s">
        <v>469</v>
      </c>
      <c r="B32" s="566"/>
      <c r="C32" s="571"/>
      <c r="D32" s="571"/>
    </row>
    <row r="33" spans="1:4" ht="16.5" thickTop="1" thickBot="1" x14ac:dyDescent="0.3">
      <c r="A33" s="567" t="s">
        <v>728</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gEdWI4A7T9WEuMdyUFjYzfn3bfKg7pZs6j0rPjq2AEDwHY5LoHkKbs8+Fd0+IgM3ok8IaL3maOmoKmCbsH2BPQ==" saltValue="ldOEQ5SHh5S8OuDScJxAhg=="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Luke Cooley</cp:lastModifiedBy>
  <cp:lastPrinted>2023-12-21T02:52:22Z</cp:lastPrinted>
  <dcterms:created xsi:type="dcterms:W3CDTF">2014-04-24T17:59:28Z</dcterms:created>
  <dcterms:modified xsi:type="dcterms:W3CDTF">2023-12-21T13:46:57Z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2023-01-13T18:23:39Z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d3b0b9a5-ab0d-4147-ac7f-679f452a50e9</vt:lpwstr>
  </property>
  <property fmtid="{D5CDD505-2E9C-101B-9397-08002B2CF9AE}" pid="8" name="MSIP_Label_261ecbe3-7ba9-4124-b9d7-ffd820687beb_ContentBits">
    <vt:lpwstr>0</vt:lpwstr>
  </property>
</Properties>
</file>