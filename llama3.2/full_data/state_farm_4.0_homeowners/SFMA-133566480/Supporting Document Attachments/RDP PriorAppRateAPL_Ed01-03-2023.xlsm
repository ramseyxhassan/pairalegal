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5.xml" ContentType="application/vnd.openxmlformats-officedocument.drawing+xml"/>
  <Override PartName="/xl/ctrlProps/ctrlProp87.xml" ContentType="application/vnd.ms-excel.controlproperties+xml"/>
  <Override PartName="/xl/ctrlProps/ctrlProp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7.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9.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10.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12.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13.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14.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15.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17.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18.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19.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drawings/drawing20.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RDP\Filing\Filing Documents\@WMD Removal and Prop Chg Amendment\Rate App\"/>
    </mc:Choice>
  </mc:AlternateContent>
  <xr:revisionPtr revIDLastSave="0" documentId="13_ncr:1_{3E6596B7-F55F-44C4-B34D-F526B9D8978C}" xr6:coauthVersionLast="47" xr6:coauthVersionMax="47" xr10:uidLastSave="{00000000-0000-0000-0000-000000000000}"/>
  <bookViews>
    <workbookView xWindow="-120" yWindow="-120" windowWidth="29040" windowHeight="15840" tabRatio="848" firstSheet="2" activeTab="6"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5" r:id="rId25"/>
  </sheets>
  <externalReferences>
    <externalReference r:id="rId26"/>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Detail'!$A$1:$J$71</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4" i="55" l="1"/>
  <c r="P1" i="55"/>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J148" i="31" s="1"/>
  <c r="I162" i="31"/>
  <c r="J162" i="31" s="1"/>
  <c r="I190" i="31"/>
  <c r="J190" i="31" s="1"/>
  <c r="I204" i="31"/>
  <c r="J204" i="31" s="1"/>
  <c r="I232" i="31"/>
  <c r="J232" i="31" s="1"/>
  <c r="I92" i="31"/>
  <c r="J92" i="31" s="1"/>
  <c r="H176" i="31"/>
  <c r="F169" i="31"/>
  <c r="F155" i="31"/>
  <c r="F162" i="31"/>
  <c r="I141" i="31"/>
  <c r="J141" i="31" s="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5" s="1"/>
  <c r="D22" i="6"/>
  <c r="H41" i="2" s="1"/>
  <c r="F21" i="6"/>
  <c r="F20" i="6"/>
  <c r="F19" i="6"/>
  <c r="F18" i="6"/>
  <c r="F17" i="6"/>
  <c r="F16" i="6"/>
  <c r="F15" i="6"/>
  <c r="F14" i="6"/>
  <c r="F13" i="6"/>
  <c r="F12" i="6"/>
  <c r="I1" i="2"/>
  <c r="B20" i="1"/>
  <c r="B11" i="30" s="1"/>
  <c r="P2" i="53" l="1"/>
  <c r="P2" i="51"/>
  <c r="P2" i="52"/>
  <c r="P2" i="49"/>
  <c r="P2" i="50"/>
  <c r="P2" i="47"/>
  <c r="P2" i="48"/>
  <c r="P2" i="45"/>
  <c r="P2" i="46"/>
  <c r="P2" i="42"/>
  <c r="J2" i="31"/>
  <c r="B4" i="31" s="1"/>
  <c r="L2" i="21"/>
  <c r="G24" i="15"/>
  <c r="D6" i="6"/>
  <c r="I47" i="55" s="1"/>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3" l="1"/>
  <c r="I47" i="52"/>
  <c r="I47" i="50"/>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<sst xmlns="http://schemas.openxmlformats.org/spreadsheetml/2006/main" count="1785" uniqueCount="575">
  <si>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</si>
  <si>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</si>
  <si>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</si>
  <si>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</si>
  <si>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</si>
  <si>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</si>
  <si>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</si>
  <si>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</si>
  <si>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</si>
  <si>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</si>
  <si>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</si>
  <si>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</si>
  <si>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</si>
  <si>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</si>
  <si>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</si>
  <si>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</si>
  <si>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</si>
  <si>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</si>
  <si>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</si>
  <si>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</si>
  <si>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</si>
  <si>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</si>
  <si>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</si>
  <si>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</si>
  <si>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</si>
  <si>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</si>
  <si>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</si>
  <si>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</si>
  <si>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</si>
  <si>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</si>
  <si>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</si>
  <si>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</si>
  <si>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</si>
  <si>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</si>
  <si>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</si>
  <si>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</si>
  <si>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</si>
  <si>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</si>
  <si>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</si>
  <si>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</si>
  <si>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</si>
  <si>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</si>
  <si>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</si>
  <si>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</si>
  <si>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</si>
  <si>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</si>
  <si>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</si>
  <si>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</si>
  <si>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</si>
  <si>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</si>
  <si>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</si>
  <si>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</si>
  <si>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</si>
  <si>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</si>
  <si>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</si>
  <si>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</si>
  <si>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</si>
  <si>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</si>
  <si>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</si>
  <si>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</si>
  <si>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</si>
  <si>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</si>
  <si>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</si>
  <si>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</si>
  <si>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</si>
  <si>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</si>
  <si>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</si>
  <si>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</si>
  <si>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</si>
  <si>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</si>
  <si>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</si>
  <si>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</si>
  <si>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</si>
  <si>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</si>
  <si>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</si>
  <si>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</si>
  <si>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</si>
  <si>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</si>
  <si>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</si>
  <si>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</si>
  <si>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</si>
  <si>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</si>
  <si>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</si>
  <si>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</si>
  <si>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</si>
  <si>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</si>
  <si>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</si>
  <si>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</si>
  <si>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</si>
  <si>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</si>
  <si>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</si>
  <si>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</si>
  <si>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</si>
  <si>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</si>
  <si>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</si>
  <si>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</si>
  <si>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</si>
  <si>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</si>
  <si>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</si>
  <si>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</si>
  <si>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</si>
  <si>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</si>
  <si>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</si>
  <si>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</si>
  <si>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</si>
  <si>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</si>
  <si>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</si>
  <si>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</si>
  <si>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</si>
  <si>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</si>
  <si>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</si>
  <si>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</si>
  <si>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</si>
  <si>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</si>
  <si>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</si>
  <si>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</si>
  <si>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</si>
  <si>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</si>
  <si>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</si>
  <si>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</si>
  <si>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</si>
  <si>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</si>
  <si>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</si>
  <si>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</si>
  <si>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</si>
  <si>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</si>
  <si>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</si>
  <si>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</si>
  <si>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</si>
  <si>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</si>
  <si>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</si>
  <si>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</si>
  <si>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</si>
  <si>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</si>
  <si>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</si>
  <si>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</si>
  <si>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</si>
  <si>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</si>
  <si>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</si>
  <si>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</si>
  <si>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</si>
  <si>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</si>
  <si>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</si>
  <si>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</si>
  <si>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</si>
  <si>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</si>
  <si>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</si>
  <si>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</si>
  <si>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</si>
  <si>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</si>
  <si>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</si>
  <si>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</si>
  <si>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</si>
  <si>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</si>
  <si>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</si>
  <si>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</si>
  <si>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</si>
  <si>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</si>
  <si>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</si>
  <si>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</si>
  <si>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</si>
  <si>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</si>
  <si>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</si>
  <si>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</si>
  <si>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</si>
  <si>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</si>
  <si>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</si>
  <si>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</si>
  <si>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</si>
  <si>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</si>
  <si>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</si>
  <si>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</si>
  <si>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</si>
  <si>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</si>
  <si>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</si>
  <si>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</si>
  <si>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</si>
  <si>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</si>
  <si>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</si>
  <si>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</si>
  <si>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</si>
  <si>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</si>
  <si>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</si>
  <si>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</si>
  <si>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</si>
  <si>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</si>
  <si>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</si>
  <si>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</si>
  <si>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</si>
  <si>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</si>
  <si>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</si>
  <si>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</si>
  <si>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</si>
  <si>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</si>
  <si>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</si>
  <si>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</si>
  <si>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</si>
  <si>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</si>
  <si>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</si>
  <si>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</si>
  <si>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</si>
  <si>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</si>
  <si>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</si>
  <si>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</si>
  <si>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</si>
  <si>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</si>
  <si>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</si>
  <si>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</si>
  <si>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</si>
  <si>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</si>
  <si>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</si>
  <si>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</si>
  <si>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</si>
  <si>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</si>
  <si>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</si>
  <si>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</si>
  <si>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</si>
  <si>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</si>
  <si>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</si>
  <si>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</si>
  <si>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</si>
  <si>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</si>
  <si>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</si>
  <si>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</si>
  <si>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</si>
  <si>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</si>
  <si>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</si>
  <si>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</si>
  <si>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</si>
  <si>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</si>
  <si>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</si>
  <si>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</si>
  <si>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</si>
  <si>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</si>
  <si>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</si>
  <si>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</si>
  <si>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</si>
  <si>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</si>
  <si>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</si>
  <si>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</si>
  <si>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</si>
  <si>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</si>
  <si>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</si>
  <si>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</si>
  <si>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</si>
  <si>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</si>
  <si>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</si>
  <si>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</si>
  <si>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</si>
  <si>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</si>
  <si>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</si>
  <si>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</si>
  <si>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</si>
  <si>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</si>
  <si>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</si>
  <si>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</si>
  <si>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</si>
  <si>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</si>
  <si>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</si>
  <si>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</si>
  <si>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</si>
  <si>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</si>
  <si>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</si>
  <si>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</si>
  <si>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</si>
  <si>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</si>
  <si>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</si>
  <si>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</si>
  <si>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</si>
  <si>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</si>
  <si>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</si>
  <si>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</si>
  <si>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</si>
  <si>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</si>
  <si>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</si>
  <si>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</si>
  <si>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</si>
  <si>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</si>
  <si>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</si>
  <si>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</si>
  <si>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</si>
  <si>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</si>
  <si>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</si>
  <si>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</si>
  <si>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</si>
  <si>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</si>
  <si>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</si>
  <si>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</si>
  <si>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</si>
  <si>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</si>
  <si>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</si>
  <si>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</si>
  <si>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</si>
  <si>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</si>
  <si>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</si>
  <si>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</si>
  <si>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</si>
  <si>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</si>
  <si>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</si>
  <si>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</si>
  <si>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</si>
  <si>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</si>
  <si>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</si>
  <si>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</si>
  <si>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</si>
  <si>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</si>
  <si>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</si>
  <si>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</si>
  <si>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</si>
  <si>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</si>
  <si>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</si>
  <si>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</si>
  <si>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</si>
  <si>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</si>
  <si>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</si>
  <si>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</si>
  <si>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</si>
  <si>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</si>
  <si>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</si>
  <si>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</si>
  <si>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</si>
  <si>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</si>
  <si>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</si>
  <si>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</si>
  <si>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</si>
  <si>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</si>
  <si>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</si>
  <si>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</si>
  <si>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</si>
  <si>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</si>
  <si>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</si>
  <si>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</si>
  <si>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</si>
  <si>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</si>
  <si>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</si>
  <si>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</si>
  <si>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</si>
  <si>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</si>
  <si>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</si>
  <si>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</si>
  <si>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</si>
  <si>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</si>
  <si>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</si>
  <si>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</si>
  <si>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</si>
  <si>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</si>
  <si>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</si>
  <si>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</si>
  <si>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</si>
  <si>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</si>
  <si>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</si>
  <si>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</si>
  <si>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</si>
  <si>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</si>
  <si>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</si>
  <si>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</si>
  <si>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</si>
  <si>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</si>
  <si>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</si>
  <si>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</si>
  <si>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</si>
  <si>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</si>
  <si>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</si>
  <si>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</si>
  <si>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</si>
  <si>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</si>
  <si>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</si>
  <si>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</si>
  <si>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</si>
  <si>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</si>
  <si>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</si>
  <si>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</si>
  <si>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</si>
  <si>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</si>
  <si>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</si>
  <si>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</si>
  <si>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</si>
  <si>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</si>
  <si>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</si>
  <si>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</si>
  <si>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</si>
  <si>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</si>
  <si>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</si>
  <si>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</si>
  <si>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</si>
  <si>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</si>
  <si>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</si>
  <si>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</si>
  <si>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</si>
  <si>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</si>
  <si>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</si>
  <si>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</si>
  <si>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</si>
  <si>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</si>
  <si>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</si>
  <si>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</si>
  <si>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</si>
  <si>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</si>
  <si>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</si>
  <si>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</si>
  <si>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</si>
  <si>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</si>
  <si>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</si>
  <si>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</si>
  <si>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</si>
  <si>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</si>
  <si>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</si>
  <si>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</si>
  <si>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</si>
  <si>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</si>
  <si>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</si>
  <si>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</si>
  <si>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</si>
  <si>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</si>
  <si>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</si>
  <si>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</si>
  <si>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</si>
  <si>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</si>
  <si>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</si>
  <si>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</si>
  <si>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</si>
  <si>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</si>
  <si>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</si>
  <si>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</si>
  <si>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</si>
  <si>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</si>
  <si>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</si>
  <si>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</si>
  <si>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</si>
  <si>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</si>
  <si>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</si>
  <si>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</si>
  <si>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</si>
  <si>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</si>
  <si>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</si>
  <si>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</si>
  <si>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</si>
  <si>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</si>
  <si>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</si>
  <si>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</si>
  <si>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</si>
  <si>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</si>
  <si>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</si>
  <si>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</si>
  <si>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</si>
  <si>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</si>
  <si>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</si>
  <si>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</si>
  <si>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</si>
  <si>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</si>
  <si>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</si>
  <si>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</si>
  <si>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</si>
  <si>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</si>
  <si>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</si>
  <si>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</si>
  <si>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</si>
  <si>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</si>
  <si>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</si>
  <si>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</si>
  <si>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</si>
  <si>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</si>
  <si>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</si>
  <si>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</si>
  <si>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</si>
  <si>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</si>
  <si>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</si>
  <si>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</si>
  <si>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</si>
  <si>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</si>
  <si>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</si>
  <si>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</si>
  <si>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</si>
  <si>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</si>
  <si>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</si>
  <si>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</si>
  <si>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</si>
  <si>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</si>
  <si>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</si>
  <si>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</si>
  <si>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</si>
  <si>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</si>
  <si>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</si>
  <si>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</si>
  <si>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</si>
  <si>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</si>
  <si>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</si>
  <si>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</si>
  <si>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</si>
  <si>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</si>
  <si>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</si>
  <si>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</si>
  <si>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</si>
  <si>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</si>
  <si>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</si>
  <si>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</si>
  <si>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</si>
  <si>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</si>
  <si>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</si>
  <si>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</si>
  <si>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</si>
  <si>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</si>
  <si>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</si>
  <si>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</si>
  <si>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</si>
  <si>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</si>
  <si>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</si>
  <si>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</si>
  <si>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</si>
  <si>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</si>
  <si>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</si>
  <si>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</si>
  <si>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</si>
  <si>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</si>
  <si>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</si>
  <si>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</si>
  <si>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</si>
  <si>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</si>
  <si>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</si>
  <si>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</si>
  <si>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</si>
  <si>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</si>
  <si>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</si>
  <si>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</si>
  <si>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</si>
  <si>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</si>
  <si>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Nicole Pettis</t>
  </si>
  <si>
    <t>None</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</si>
  <si>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</si>
  <si>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</si>
  <si>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</si>
  <si>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</si>
  <si>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</si>
  <si>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</si>
  <si>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</si>
  <si>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</si>
  <si>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</si>
  <si>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Rental Dwelling</t>
  </si>
  <si>
    <t>RD-45732</t>
  </si>
  <si>
    <t>Non-Tenant Homeowners</t>
  </si>
  <si>
    <t>Renters</t>
  </si>
  <si>
    <t>19-2063</t>
  </si>
  <si>
    <t>Condominium Unitowners</t>
  </si>
  <si>
    <t>Manufactured Homes</t>
  </si>
  <si>
    <t>20-1734</t>
  </si>
  <si>
    <t>19-3750</t>
  </si>
  <si>
    <t>Rental Condo Unitowners</t>
  </si>
  <si>
    <t>20-1733</t>
  </si>
  <si>
    <t>Identity Restoration Coverage</t>
  </si>
  <si>
    <t>08-9010,9011</t>
  </si>
  <si>
    <t>2021</t>
  </si>
  <si>
    <t>22-1514</t>
  </si>
  <si>
    <t>Simulation of stochastic event set</t>
  </si>
  <si>
    <t>SFMA-132077837</t>
  </si>
  <si>
    <t xml:space="preserve">CoreLogic, Inc. </t>
  </si>
  <si>
    <t>N/A</t>
  </si>
  <si>
    <t>AIR Worldwide Corporation</t>
  </si>
  <si>
    <t>RMS RiskLink 17.0.1</t>
  </si>
  <si>
    <t>Risk Management Solutions, Inc</t>
  </si>
  <si>
    <t>CoreLogic RQE v17.0</t>
  </si>
  <si>
    <t>GRID Fire Model</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</si>
  <si>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</si>
  <si>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</si>
  <si>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</si>
  <si>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23-298</t>
  </si>
  <si>
    <t>CoreLogic RQE v19.2</t>
  </si>
  <si>
    <t>AIR Touchstone v8.0</t>
  </si>
  <si>
    <t>AIR Touchstone v9.0</t>
  </si>
  <si>
    <t>AIR Touchstone v6.0</t>
  </si>
  <si>
    <t>Impact Forecasting ELEMENTS v14</t>
  </si>
  <si>
    <t>AON Impact Forecasting</t>
  </si>
  <si>
    <t>RMS RiskLink 21.0</t>
  </si>
  <si>
    <t>CoreLogic RQE v21.0</t>
  </si>
  <si>
    <t>imhIIADd</t>
  </si>
  <si>
    <t xml:space="preserve">Corelogic Brushfire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</si>
</sst>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6">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9" fillId="0" borderId="48" xfId="0" applyFont="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7" borderId="0" xfId="0" applyFont="1" applyFill="1" applyAlignment="1" applyProtection="1">
      <alignment horizontal="center"/>
      <protection locked="0"/>
    </xf>
    <xf numFmtId="0" fontId="23" fillId="0" borderId="0" xfId="0" applyFont="1" applyFill="1" applyAlignment="1" applyProtection="1">
      <alignment horizontal="center"/>
      <protection locked="0"/>
    </xf>
    <xf numFmtId="0" fontId="58"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Fill="1" applyBorder="1" applyAlignment="1" applyProtection="1">
      <alignment horizontal="left" vertical="center" wrapText="1"/>
    </xf>
    <xf numFmtId="49" fontId="58"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6">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fmlaLink="No_Fees"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fmlaLink="Change_Fees" lockText="1"/>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fmlaLink="$E$12"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Drop" dropLines="23" dropStyle="combo" dx="16" fmlaLink="$H$23" fmlaRange="References!$H$6:$H$28" sel="23" val="0"/>
</file>

<file path=xl/ctrlProps/ctrlProp145.xml><?xml version="1.0" encoding="utf-8"?>
<formControlPr xmlns="http://schemas.microsoft.com/office/spreadsheetml/2009/9/main" objectType="Drop" dropLines="23" dropStyle="combo" dx="16" fmlaLink="$H$26" fmlaRange="References!$H$6:$H$28" sel="23" val="0"/>
</file>

<file path=xl/ctrlProps/ctrlProp146.xml><?xml version="1.0" encoding="utf-8"?>
<formControlPr xmlns="http://schemas.microsoft.com/office/spreadsheetml/2009/9/main" objectType="Drop" dropLines="23" dropStyle="combo" dx="16" fmlaLink="$H$29" fmlaRange="References!$H$6:$H$28" sel="23" val="0"/>
</file>

<file path=xl/ctrlProps/ctrlProp147.xml><?xml version="1.0" encoding="utf-8"?>
<formControlPr xmlns="http://schemas.microsoft.com/office/spreadsheetml/2009/9/main" objectType="Drop" dropLines="23" dropStyle="combo" dx="16" fmlaLink="$H$16" fmlaRange="References!$H$6:$H$28" sel="23" val="0"/>
</file>

<file path=xl/ctrlProps/ctrlProp148.xml><?xml version="1.0" encoding="utf-8"?>
<formControlPr xmlns="http://schemas.microsoft.com/office/spreadsheetml/2009/9/main" objectType="Drop" dropLines="23" dropStyle="combo" dx="16" fmlaLink="$H$20" fmlaRange="References!$H$6:$H$28" sel="23" val="0"/>
</file>

<file path=xl/ctrlProps/ctrlProp149.xml><?xml version="1.0" encoding="utf-8"?>
<formControlPr xmlns="http://schemas.microsoft.com/office/spreadsheetml/2009/9/main" objectType="Drop" dropLines="23" dropStyle="combo" dx="16" fmlaLink="$H$32" fmlaRange="References!$H$6:$H$28" sel="23" val="0"/>
</file>

<file path=xl/ctrlProps/ctrlProp150.xml><?xml version="1.0" encoding="utf-8"?>
<formControlPr xmlns="http://schemas.microsoft.com/office/spreadsheetml/2009/9/main" objectType="Drop" dropLines="23" dropStyle="combo" dx="16" fmlaLink="$H$35" fmlaRange="References!$H$6:$H$28" sel="23" val="0"/>
</file>

<file path=xl/ctrlProps/ctrlProp151.xml><?xml version="1.0" encoding="utf-8"?>
<formControlPr xmlns="http://schemas.microsoft.com/office/spreadsheetml/2009/9/main" objectType="Drop" dropLines="23" dropStyle="combo" dx="16" fmlaLink="$H$38" fmlaRange="References!$H$6:$H$28" sel="23" val="0"/>
</file>

<file path=xl/ctrlProps/ctrlProp152.xml><?xml version="1.0" encoding="utf-8"?>
<formControlPr xmlns="http://schemas.microsoft.com/office/spreadsheetml/2009/9/main" objectType="Drop" dropLines="23" dropStyle="combo" dx="16" fmlaLink="$H$41" fmlaRange="References!$H$6:$H$28" sel="23" val="0"/>
</file>

<file path=xl/ctrlProps/ctrlProp153.xml><?xml version="1.0" encoding="utf-8"?>
<formControlPr xmlns="http://schemas.microsoft.com/office/spreadsheetml/2009/9/main" objectType="Drop" dropLines="23" dropStyle="combo" dx="16" fmlaLink="$H$44" fmlaRange="References!$H$6:$H$28" sel="23" val="0"/>
</file>

<file path=xl/ctrlProps/ctrlProp154.xml><?xml version="1.0" encoding="utf-8"?>
<formControlPr xmlns="http://schemas.microsoft.com/office/spreadsheetml/2009/9/main" objectType="CheckBox" checked="Checked" fmlaLink="B9" lockText="1" noThreeD="1"/>
</file>

<file path=xl/ctrlProps/ctrlProp155.xml><?xml version="1.0" encoding="utf-8"?>
<formControlPr xmlns="http://schemas.microsoft.com/office/spreadsheetml/2009/9/main" objectType="CheckBox" fmlaLink="G9" lockText="1" noThreeD="1"/>
</file>

<file path=xl/ctrlProps/ctrlProp156.xml><?xml version="1.0" encoding="utf-8"?>
<formControlPr xmlns="http://schemas.microsoft.com/office/spreadsheetml/2009/9/main" objectType="CheckBox" fmlaLink="G12" lockText="1" noThreeD="1"/>
</file>

<file path=xl/ctrlProps/ctrlProp157.xml><?xml version="1.0" encoding="utf-8"?>
<formControlPr xmlns="http://schemas.microsoft.com/office/spreadsheetml/2009/9/main" objectType="CheckBox" fmlaLink="G13" lockText="1" noThreeD="1"/>
</file>

<file path=xl/ctrlProps/ctrlProp158.xml><?xml version="1.0" encoding="utf-8"?>
<formControlPr xmlns="http://schemas.microsoft.com/office/spreadsheetml/2009/9/main" objectType="CheckBox" fmlaLink="G16" lockText="1" noThreeD="1"/>
</file>

<file path=xl/ctrlProps/ctrlProp159.xml><?xml version="1.0" encoding="utf-8"?>
<formControlPr xmlns="http://schemas.microsoft.com/office/spreadsheetml/2009/9/main" objectType="CheckBox" checked="Checked" fmlaLink="G17" lockText="1" noThreeD="1"/>
</file>

<file path=xl/ctrlProps/ctrlProp160.xml><?xml version="1.0" encoding="utf-8"?>
<formControlPr xmlns="http://schemas.microsoft.com/office/spreadsheetml/2009/9/main" objectType="CheckBox" fmlaLink="L16" lockText="1" noThreeD="1"/>
</file>

<file path=xl/ctrlProps/ctrlProp161.xml><?xml version="1.0" encoding="utf-8"?>
<formControlPr xmlns="http://schemas.microsoft.com/office/spreadsheetml/2009/9/main" objectType="CheckBox" fmlaLink="L17" lockText="1" noThreeD="1"/>
</file>

<file path=xl/ctrlProps/ctrlProp162.xml><?xml version="1.0" encoding="utf-8"?>
<formControlPr xmlns="http://schemas.microsoft.com/office/spreadsheetml/2009/9/main" objectType="CheckBox" fmlaLink="B16" lockText="1" noThreeD="1"/>
</file>

<file path=xl/ctrlProps/ctrlProp163.xml><?xml version="1.0" encoding="utf-8"?>
<formControlPr xmlns="http://schemas.microsoft.com/office/spreadsheetml/2009/9/main" objectType="CheckBox" fmlaLink="B17" lockText="1" noThreeD="1"/>
</file>

<file path=xl/ctrlProps/ctrlProp164.xml><?xml version="1.0" encoding="utf-8"?>
<formControlPr xmlns="http://schemas.microsoft.com/office/spreadsheetml/2009/9/main" objectType="CheckBox" fmlaLink="B12" lockText="1" noThreeD="1"/>
</file>

<file path=xl/ctrlProps/ctrlProp165.xml><?xml version="1.0" encoding="utf-8"?>
<formControlPr xmlns="http://schemas.microsoft.com/office/spreadsheetml/2009/9/main" objectType="CheckBox" checked="Checked" fmlaLink="B13" lockText="1" noThreeD="1"/>
</file>

<file path=xl/ctrlProps/ctrlProp166.xml><?xml version="1.0" encoding="utf-8"?>
<formControlPr xmlns="http://schemas.microsoft.com/office/spreadsheetml/2009/9/main" objectType="CheckBox" fmlaLink="B21" lockText="1" noThreeD="1"/>
</file>

<file path=xl/ctrlProps/ctrlProp167.xml><?xml version="1.0" encoding="utf-8"?>
<formControlPr xmlns="http://schemas.microsoft.com/office/spreadsheetml/2009/9/main" objectType="CheckBox" fmlaLink="B25" lockText="1" noThreeD="1"/>
</file>

<file path=xl/ctrlProps/ctrlProp168.xml><?xml version="1.0" encoding="utf-8"?>
<formControlPr xmlns="http://schemas.microsoft.com/office/spreadsheetml/2009/9/main" objectType="CheckBox" fmlaLink="G25" lockText="1" noThreeD="1"/>
</file>

<file path=xl/ctrlProps/ctrlProp169.xml><?xml version="1.0" encoding="utf-8"?>
<formControlPr xmlns="http://schemas.microsoft.com/office/spreadsheetml/2009/9/main" objectType="CheckBox" fmlaLink="L25" lockText="1" noThreeD="1"/>
</file>

<file path=xl/ctrlProps/ctrlProp170.xml><?xml version="1.0" encoding="utf-8"?>
<formControlPr xmlns="http://schemas.microsoft.com/office/spreadsheetml/2009/9/main" objectType="CheckBox" checked="Checked" fmlaLink="G21" lockText="1" noThreeD="1"/>
</file>

<file path=xl/ctrlProps/ctrlProp171.xml><?xml version="1.0" encoding="utf-8"?>
<formControlPr xmlns="http://schemas.microsoft.com/office/spreadsheetml/2009/9/main" objectType="CheckBox" fmlaLink="B29" lockText="1" noThreeD="1"/>
</file>

<file path=xl/ctrlProps/ctrlProp172.xml><?xml version="1.0" encoding="utf-8"?>
<formControlPr xmlns="http://schemas.microsoft.com/office/spreadsheetml/2009/9/main" objectType="CheckBox" fmlaLink="G29" lockText="1" noThreeD="1"/>
</file>

<file path=xl/ctrlProps/ctrlProp173.xml><?xml version="1.0" encoding="utf-8"?>
<formControlPr xmlns="http://schemas.microsoft.com/office/spreadsheetml/2009/9/main" objectType="CheckBox" checked="Checked" fmlaLink="L29" lockText="1" noThreeD="1"/>
</file>

<file path=xl/ctrlProps/ctrlProp174.xml><?xml version="1.0" encoding="utf-8"?>
<formControlPr xmlns="http://schemas.microsoft.com/office/spreadsheetml/2009/9/main" objectType="CheckBox" fmlaLink="B38" lockText="1" noThreeD="1"/>
</file>

<file path=xl/ctrlProps/ctrlProp175.xml><?xml version="1.0" encoding="utf-8"?>
<formControlPr xmlns="http://schemas.microsoft.com/office/spreadsheetml/2009/9/main" objectType="CheckBox" checked="Checked" fmlaLink="G38" lockText="1" noThreeD="1"/>
</file>

<file path=xl/ctrlProps/ctrlProp176.xml><?xml version="1.0" encoding="utf-8"?>
<formControlPr xmlns="http://schemas.microsoft.com/office/spreadsheetml/2009/9/main" objectType="CheckBox" fmlaLink="L38" lockText="1" noThreeD="1"/>
</file>

<file path=xl/ctrlProps/ctrlProp177.xml><?xml version="1.0" encoding="utf-8"?>
<formControlPr xmlns="http://schemas.microsoft.com/office/spreadsheetml/2009/9/main" objectType="CheckBox" fmlaLink="B44" lockText="1" noThreeD="1"/>
</file>

<file path=xl/ctrlProps/ctrlProp178.xml><?xml version="1.0" encoding="utf-8"?>
<formControlPr xmlns="http://schemas.microsoft.com/office/spreadsheetml/2009/9/main" objectType="CheckBox" checked="Checked" fmlaLink="G44" lockText="1" noThreeD="1"/>
</file>

<file path=xl/ctrlProps/ctrlProp179.xml><?xml version="1.0" encoding="utf-8"?>
<formControlPr xmlns="http://schemas.microsoft.com/office/spreadsheetml/2009/9/main" objectType="CheckBox" fmlaLink="B39" lockText="1" noThreeD="1"/>
</file>

<file path=xl/ctrlProps/ctrlProp180.xml><?xml version="1.0" encoding="utf-8"?>
<formControlPr xmlns="http://schemas.microsoft.com/office/spreadsheetml/2009/9/main" objectType="CheckBox" fmlaLink="B18" lockText="1" noThreeD="1"/>
</file>

<file path=xl/ctrlProps/ctrlProp181.xml><?xml version="1.0" encoding="utf-8"?>
<formControlPr xmlns="http://schemas.microsoft.com/office/spreadsheetml/2009/9/main" objectType="CheckBox" fmlaLink="B32" lockText="1" noThreeD="1"/>
</file>

<file path=xl/ctrlProps/ctrlProp182.xml><?xml version="1.0" encoding="utf-8"?>
<formControlPr xmlns="http://schemas.microsoft.com/office/spreadsheetml/2009/9/main" objectType="CheckBox" fmlaLink="B33" lockText="1" noThreeD="1"/>
</file>

<file path=xl/ctrlProps/ctrlProp183.xml><?xml version="1.0" encoding="utf-8"?>
<formControlPr xmlns="http://schemas.microsoft.com/office/spreadsheetml/2009/9/main" objectType="CheckBox" fmlaLink="B34" lockText="1" noThreeD="1"/>
</file>

<file path=xl/ctrlProps/ctrlProp184.xml><?xml version="1.0" encoding="utf-8"?>
<formControlPr xmlns="http://schemas.microsoft.com/office/spreadsheetml/2009/9/main" objectType="CheckBox" fmlaLink="G32" lockText="1" noThreeD="1"/>
</file>

<file path=xl/ctrlProps/ctrlProp185.xml><?xml version="1.0" encoding="utf-8"?>
<formControlPr xmlns="http://schemas.microsoft.com/office/spreadsheetml/2009/9/main" objectType="CheckBox" fmlaLink="G33" lockText="1" noThreeD="1"/>
</file>

<file path=xl/ctrlProps/ctrlProp186.xml><?xml version="1.0" encoding="utf-8"?>
<formControlPr xmlns="http://schemas.microsoft.com/office/spreadsheetml/2009/9/main" objectType="CheckBox" fmlaLink="G34" lockText="1" noThreeD="1"/>
</file>

<file path=xl/ctrlProps/ctrlProp187.xml><?xml version="1.0" encoding="utf-8"?>
<formControlPr xmlns="http://schemas.microsoft.com/office/spreadsheetml/2009/9/main" objectType="CheckBox" fmlaLink="L32" lockText="1" noThreeD="1"/>
</file>

<file path=xl/ctrlProps/ctrlProp188.xml><?xml version="1.0" encoding="utf-8"?>
<formControlPr xmlns="http://schemas.microsoft.com/office/spreadsheetml/2009/9/main" objectType="CheckBox" checked="Checked" fmlaLink="L33" lockText="1" noThreeD="1"/>
</file>

<file path=xl/ctrlProps/ctrlProp189.xml><?xml version="1.0" encoding="utf-8"?>
<formControlPr xmlns="http://schemas.microsoft.com/office/spreadsheetml/2009/9/main" objectType="CheckBox" checked="Checked" fmlaLink="B9" lockText="1" noThreeD="1"/>
</file>

<file path=xl/ctrlProps/ctrlProp190.xml><?xml version="1.0" encoding="utf-8"?>
<formControlPr xmlns="http://schemas.microsoft.com/office/spreadsheetml/2009/9/main" objectType="CheckBox" fmlaLink="G9" lockText="1" noThreeD="1"/>
</file>

<file path=xl/ctrlProps/ctrlProp191.xml><?xml version="1.0" encoding="utf-8"?>
<formControlPr xmlns="http://schemas.microsoft.com/office/spreadsheetml/2009/9/main" objectType="CheckBox" fmlaLink="G12" lockText="1" noThreeD="1"/>
</file>

<file path=xl/ctrlProps/ctrlProp192.xml><?xml version="1.0" encoding="utf-8"?>
<formControlPr xmlns="http://schemas.microsoft.com/office/spreadsheetml/2009/9/main" objectType="CheckBox" fmlaLink="G13" lockText="1" noThreeD="1"/>
</file>

<file path=xl/ctrlProps/ctrlProp193.xml><?xml version="1.0" encoding="utf-8"?>
<formControlPr xmlns="http://schemas.microsoft.com/office/spreadsheetml/2009/9/main" objectType="CheckBox" fmlaLink="G16" lockText="1" noThreeD="1"/>
</file>

<file path=xl/ctrlProps/ctrlProp194.xml><?xml version="1.0" encoding="utf-8"?>
<formControlPr xmlns="http://schemas.microsoft.com/office/spreadsheetml/2009/9/main" objectType="CheckBox" checked="Checked" fmlaLink="G17" lockText="1" noThreeD="1"/>
</file>

<file path=xl/ctrlProps/ctrlProp195.xml><?xml version="1.0" encoding="utf-8"?>
<formControlPr xmlns="http://schemas.microsoft.com/office/spreadsheetml/2009/9/main" objectType="CheckBox" fmlaLink="L16" lockText="1" noThreeD="1"/>
</file>

<file path=xl/ctrlProps/ctrlProp196.xml><?xml version="1.0" encoding="utf-8"?>
<formControlPr xmlns="http://schemas.microsoft.com/office/spreadsheetml/2009/9/main" objectType="CheckBox" fmlaLink="L17" lockText="1" noThreeD="1"/>
</file>

<file path=xl/ctrlProps/ctrlProp197.xml><?xml version="1.0" encoding="utf-8"?>
<formControlPr xmlns="http://schemas.microsoft.com/office/spreadsheetml/2009/9/main" objectType="CheckBox" fmlaLink="B16" lockText="1" noThreeD="1"/>
</file>

<file path=xl/ctrlProps/ctrlProp198.xml><?xml version="1.0" encoding="utf-8"?>
<formControlPr xmlns="http://schemas.microsoft.com/office/spreadsheetml/2009/9/main" objectType="CheckBox" fmlaLink="B17" lockText="1" noThreeD="1"/>
</file>

<file path=xl/ctrlProps/ctrlProp199.xml><?xml version="1.0" encoding="utf-8"?>
<formControlPr xmlns="http://schemas.microsoft.com/office/spreadsheetml/2009/9/main" objectType="CheckBox" fmlaLink="B12" lockText="1" noThreeD="1"/>
</file>

<file path=xl/ctrlProps/ctrlProp200.xml><?xml version="1.0" encoding="utf-8"?>
<formControlPr xmlns="http://schemas.microsoft.com/office/spreadsheetml/2009/9/main" objectType="CheckBox" checked="Checked" fmlaLink="B13" lockText="1" noThreeD="1"/>
</file>

<file path=xl/ctrlProps/ctrlProp201.xml><?xml version="1.0" encoding="utf-8"?>
<formControlPr xmlns="http://schemas.microsoft.com/office/spreadsheetml/2009/9/main" objectType="CheckBox" fmlaLink="B21" lockText="1" noThreeD="1"/>
</file>

<file path=xl/ctrlProps/ctrlProp202.xml><?xml version="1.0" encoding="utf-8"?>
<formControlPr xmlns="http://schemas.microsoft.com/office/spreadsheetml/2009/9/main" objectType="CheckBox" fmlaLink="B25" lockText="1" noThreeD="1"/>
</file>

<file path=xl/ctrlProps/ctrlProp203.xml><?xml version="1.0" encoding="utf-8"?>
<formControlPr xmlns="http://schemas.microsoft.com/office/spreadsheetml/2009/9/main" objectType="CheckBox" fmlaLink="G25" lockText="1" noThreeD="1"/>
</file>

<file path=xl/ctrlProps/ctrlProp204.xml><?xml version="1.0" encoding="utf-8"?>
<formControlPr xmlns="http://schemas.microsoft.com/office/spreadsheetml/2009/9/main" objectType="CheckBox" fmlaLink="L25" lockText="1" noThreeD="1"/>
</file>

<file path=xl/ctrlProps/ctrlProp205.xml><?xml version="1.0" encoding="utf-8"?>
<formControlPr xmlns="http://schemas.microsoft.com/office/spreadsheetml/2009/9/main" objectType="CheckBox" fmlaLink="G21" lockText="1" noThreeD="1"/>
</file>

<file path=xl/ctrlProps/ctrlProp206.xml><?xml version="1.0" encoding="utf-8"?>
<formControlPr xmlns="http://schemas.microsoft.com/office/spreadsheetml/2009/9/main" objectType="CheckBox" fmlaLink="B29" lockText="1" noThreeD="1"/>
</file>

<file path=xl/ctrlProps/ctrlProp207.xml><?xml version="1.0" encoding="utf-8"?>
<formControlPr xmlns="http://schemas.microsoft.com/office/spreadsheetml/2009/9/main" objectType="CheckBox" fmlaLink="G29" lockText="1" noThreeD="1"/>
</file>

<file path=xl/ctrlProps/ctrlProp208.xml><?xml version="1.0" encoding="utf-8"?>
<formControlPr xmlns="http://schemas.microsoft.com/office/spreadsheetml/2009/9/main" objectType="CheckBox" checked="Checked" fmlaLink="L29" lockText="1" noThreeD="1"/>
</file>

<file path=xl/ctrlProps/ctrlProp209.xml><?xml version="1.0" encoding="utf-8"?>
<formControlPr xmlns="http://schemas.microsoft.com/office/spreadsheetml/2009/9/main" objectType="CheckBox" fmlaLink="B38" lockText="1" noThreeD="1"/>
</file>

<file path=xl/ctrlProps/ctrlProp210.xml><?xml version="1.0" encoding="utf-8"?>
<formControlPr xmlns="http://schemas.microsoft.com/office/spreadsheetml/2009/9/main" objectType="CheckBox" checked="Checked" fmlaLink="G38" lockText="1" noThreeD="1"/>
</file>

<file path=xl/ctrlProps/ctrlProp211.xml><?xml version="1.0" encoding="utf-8"?>
<formControlPr xmlns="http://schemas.microsoft.com/office/spreadsheetml/2009/9/main" objectType="CheckBox" fmlaLink="L38" lockText="1" noThreeD="1"/>
</file>

<file path=xl/ctrlProps/ctrlProp212.xml><?xml version="1.0" encoding="utf-8"?>
<formControlPr xmlns="http://schemas.microsoft.com/office/spreadsheetml/2009/9/main" objectType="CheckBox" fmlaLink="B44" lockText="1" noThreeD="1"/>
</file>

<file path=xl/ctrlProps/ctrlProp213.xml><?xml version="1.0" encoding="utf-8"?>
<formControlPr xmlns="http://schemas.microsoft.com/office/spreadsheetml/2009/9/main" objectType="CheckBox" checked="Checked" fmlaLink="G44" lockText="1" noThreeD="1"/>
</file>

<file path=xl/ctrlProps/ctrlProp214.xml><?xml version="1.0" encoding="utf-8"?>
<formControlPr xmlns="http://schemas.microsoft.com/office/spreadsheetml/2009/9/main" objectType="CheckBox" fmlaLink="B39" lockText="1" noThreeD="1"/>
</file>

<file path=xl/ctrlProps/ctrlProp215.xml><?xml version="1.0" encoding="utf-8"?>
<formControlPr xmlns="http://schemas.microsoft.com/office/spreadsheetml/2009/9/main" objectType="CheckBox" fmlaLink="B18" lockText="1" noThreeD="1"/>
</file>

<file path=xl/ctrlProps/ctrlProp216.xml><?xml version="1.0" encoding="utf-8"?>
<formControlPr xmlns="http://schemas.microsoft.com/office/spreadsheetml/2009/9/main" objectType="CheckBox" fmlaLink="B32" lockText="1" noThreeD="1"/>
</file>

<file path=xl/ctrlProps/ctrlProp217.xml><?xml version="1.0" encoding="utf-8"?>
<formControlPr xmlns="http://schemas.microsoft.com/office/spreadsheetml/2009/9/main" objectType="CheckBox" fmlaLink="B33" lockText="1" noThreeD="1"/>
</file>

<file path=xl/ctrlProps/ctrlProp218.xml><?xml version="1.0" encoding="utf-8"?>
<formControlPr xmlns="http://schemas.microsoft.com/office/spreadsheetml/2009/9/main" objectType="CheckBox" fmlaLink="B34" lockText="1" noThreeD="1"/>
</file>

<file path=xl/ctrlProps/ctrlProp219.xml><?xml version="1.0" encoding="utf-8"?>
<formControlPr xmlns="http://schemas.microsoft.com/office/spreadsheetml/2009/9/main" objectType="CheckBox" fmlaLink="G32" lockText="1" noThreeD="1"/>
</file>

<file path=xl/ctrlProps/ctrlProp220.xml><?xml version="1.0" encoding="utf-8"?>
<formControlPr xmlns="http://schemas.microsoft.com/office/spreadsheetml/2009/9/main" objectType="CheckBox" fmlaLink="G33" lockText="1" noThreeD="1"/>
</file>

<file path=xl/ctrlProps/ctrlProp221.xml><?xml version="1.0" encoding="utf-8"?>
<formControlPr xmlns="http://schemas.microsoft.com/office/spreadsheetml/2009/9/main" objectType="CheckBox" fmlaLink="G34" lockText="1" noThreeD="1"/>
</file>

<file path=xl/ctrlProps/ctrlProp222.xml><?xml version="1.0" encoding="utf-8"?>
<formControlPr xmlns="http://schemas.microsoft.com/office/spreadsheetml/2009/9/main" objectType="CheckBox" fmlaLink="L32" lockText="1" noThreeD="1"/>
</file>

<file path=xl/ctrlProps/ctrlProp223.xml><?xml version="1.0" encoding="utf-8"?>
<formControlPr xmlns="http://schemas.microsoft.com/office/spreadsheetml/2009/9/main" objectType="CheckBox" checked="Checked" fmlaLink="L33" lockText="1" noThreeD="1"/>
</file>

<file path=xl/ctrlProps/ctrlProp224.xml><?xml version="1.0" encoding="utf-8"?>
<formControlPr xmlns="http://schemas.microsoft.com/office/spreadsheetml/2009/9/main" objectType="CheckBox" checked="Checked" fmlaLink="B9" lockText="1" noThreeD="1"/>
</file>

<file path=xl/ctrlProps/ctrlProp225.xml><?xml version="1.0" encoding="utf-8"?>
<formControlPr xmlns="http://schemas.microsoft.com/office/spreadsheetml/2009/9/main" objectType="CheckBox" fmlaLink="G9" lockText="1" noThreeD="1"/>
</file>

<file path=xl/ctrlProps/ctrlProp226.xml><?xml version="1.0" encoding="utf-8"?>
<formControlPr xmlns="http://schemas.microsoft.com/office/spreadsheetml/2009/9/main" objectType="CheckBox" fmlaLink="G12" lockText="1" noThreeD="1"/>
</file>

<file path=xl/ctrlProps/ctrlProp227.xml><?xml version="1.0" encoding="utf-8"?>
<formControlPr xmlns="http://schemas.microsoft.com/office/spreadsheetml/2009/9/main" objectType="CheckBox" fmlaLink="G13" lockText="1" noThreeD="1"/>
</file>

<file path=xl/ctrlProps/ctrlProp228.xml><?xml version="1.0" encoding="utf-8"?>
<formControlPr xmlns="http://schemas.microsoft.com/office/spreadsheetml/2009/9/main" objectType="CheckBox" fmlaLink="G16" lockText="1" noThreeD="1"/>
</file>

<file path=xl/ctrlProps/ctrlProp229.xml><?xml version="1.0" encoding="utf-8"?>
<formControlPr xmlns="http://schemas.microsoft.com/office/spreadsheetml/2009/9/main" objectType="CheckBox" fmlaLink="G17" lockText="1" noThreeD="1"/>
</file>

<file path=xl/ctrlProps/ctrlProp230.xml><?xml version="1.0" encoding="utf-8"?>
<formControlPr xmlns="http://schemas.microsoft.com/office/spreadsheetml/2009/9/main" objectType="CheckBox" checked="Checked" fmlaLink="L16" lockText="1" noThreeD="1"/>
</file>

<file path=xl/ctrlProps/ctrlProp231.xml><?xml version="1.0" encoding="utf-8"?>
<formControlPr xmlns="http://schemas.microsoft.com/office/spreadsheetml/2009/9/main" objectType="CheckBox" fmlaLink="L17" lockText="1" noThreeD="1"/>
</file>

<file path=xl/ctrlProps/ctrlProp232.xml><?xml version="1.0" encoding="utf-8"?>
<formControlPr xmlns="http://schemas.microsoft.com/office/spreadsheetml/2009/9/main" objectType="CheckBox" fmlaLink="B16" lockText="1" noThreeD="1"/>
</file>

<file path=xl/ctrlProps/ctrlProp233.xml><?xml version="1.0" encoding="utf-8"?>
<formControlPr xmlns="http://schemas.microsoft.com/office/spreadsheetml/2009/9/main" objectType="CheckBox" fmlaLink="B17" lockText="1" noThreeD="1"/>
</file>

<file path=xl/ctrlProps/ctrlProp234.xml><?xml version="1.0" encoding="utf-8"?>
<formControlPr xmlns="http://schemas.microsoft.com/office/spreadsheetml/2009/9/main" objectType="CheckBox" fmlaLink="B12" lockText="1" noThreeD="1"/>
</file>

<file path=xl/ctrlProps/ctrlProp235.xml><?xml version="1.0" encoding="utf-8"?>
<formControlPr xmlns="http://schemas.microsoft.com/office/spreadsheetml/2009/9/main" objectType="CheckBox" checked="Checked" fmlaLink="B13" lockText="1" noThreeD="1"/>
</file>

<file path=xl/ctrlProps/ctrlProp236.xml><?xml version="1.0" encoding="utf-8"?>
<formControlPr xmlns="http://schemas.microsoft.com/office/spreadsheetml/2009/9/main" objectType="CheckBox" fmlaLink="B21" lockText="1" noThreeD="1"/>
</file>

<file path=xl/ctrlProps/ctrlProp237.xml><?xml version="1.0" encoding="utf-8"?>
<formControlPr xmlns="http://schemas.microsoft.com/office/spreadsheetml/2009/9/main" objectType="CheckBox" fmlaLink="B25" lockText="1" noThreeD="1"/>
</file>

<file path=xl/ctrlProps/ctrlProp238.xml><?xml version="1.0" encoding="utf-8"?>
<formControlPr xmlns="http://schemas.microsoft.com/office/spreadsheetml/2009/9/main" objectType="CheckBox" fmlaLink="G25" lockText="1" noThreeD="1"/>
</file>

<file path=xl/ctrlProps/ctrlProp239.xml><?xml version="1.0" encoding="utf-8"?>
<formControlPr xmlns="http://schemas.microsoft.com/office/spreadsheetml/2009/9/main" objectType="CheckBox" fmlaLink="L25" lockText="1" noThreeD="1"/>
</file>

<file path=xl/ctrlProps/ctrlProp240.xml><?xml version="1.0" encoding="utf-8"?>
<formControlPr xmlns="http://schemas.microsoft.com/office/spreadsheetml/2009/9/main" objectType="CheckBox" checked="Checked" fmlaLink="G21" lockText="1" noThreeD="1"/>
</file>

<file path=xl/ctrlProps/ctrlProp241.xml><?xml version="1.0" encoding="utf-8"?>
<formControlPr xmlns="http://schemas.microsoft.com/office/spreadsheetml/2009/9/main" objectType="CheckBox" fmlaLink="B29" lockText="1" noThreeD="1"/>
</file>

<file path=xl/ctrlProps/ctrlProp242.xml><?xml version="1.0" encoding="utf-8"?>
<formControlPr xmlns="http://schemas.microsoft.com/office/spreadsheetml/2009/9/main" objectType="CheckBox" fmlaLink="G29" lockText="1" noThreeD="1"/>
</file>

<file path=xl/ctrlProps/ctrlProp243.xml><?xml version="1.0" encoding="utf-8"?>
<formControlPr xmlns="http://schemas.microsoft.com/office/spreadsheetml/2009/9/main" objectType="CheckBox" checked="Checked" fmlaLink="L29" lockText="1" noThreeD="1"/>
</file>

<file path=xl/ctrlProps/ctrlProp244.xml><?xml version="1.0" encoding="utf-8"?>
<formControlPr xmlns="http://schemas.microsoft.com/office/spreadsheetml/2009/9/main" objectType="CheckBox" fmlaLink="B38" lockText="1" noThreeD="1"/>
</file>

<file path=xl/ctrlProps/ctrlProp245.xml><?xml version="1.0" encoding="utf-8"?>
<formControlPr xmlns="http://schemas.microsoft.com/office/spreadsheetml/2009/9/main" objectType="CheckBox" fmlaLink="G38" lockText="1" noThreeD="1"/>
</file>

<file path=xl/ctrlProps/ctrlProp246.xml><?xml version="1.0" encoding="utf-8"?>
<formControlPr xmlns="http://schemas.microsoft.com/office/spreadsheetml/2009/9/main" objectType="CheckBox" fmlaLink="L38" lockText="1" noThreeD="1"/>
</file>

<file path=xl/ctrlProps/ctrlProp247.xml><?xml version="1.0" encoding="utf-8"?>
<formControlPr xmlns="http://schemas.microsoft.com/office/spreadsheetml/2009/9/main" objectType="CheckBox" fmlaLink="B44" lockText="1" noThreeD="1"/>
</file>

<file path=xl/ctrlProps/ctrlProp248.xml><?xml version="1.0" encoding="utf-8"?>
<formControlPr xmlns="http://schemas.microsoft.com/office/spreadsheetml/2009/9/main" objectType="CheckBox" checked="Checked" fmlaLink="G44" lockText="1" noThreeD="1"/>
</file>

<file path=xl/ctrlProps/ctrlProp249.xml><?xml version="1.0" encoding="utf-8"?>
<formControlPr xmlns="http://schemas.microsoft.com/office/spreadsheetml/2009/9/main" objectType="CheckBox" checked="Checked" fmlaLink="B39" lockText="1" noThreeD="1"/>
</file>

<file path=xl/ctrlProps/ctrlProp250.xml><?xml version="1.0" encoding="utf-8"?>
<formControlPr xmlns="http://schemas.microsoft.com/office/spreadsheetml/2009/9/main" objectType="CheckBox" fmlaLink="B18" lockText="1" noThreeD="1"/>
</file>

<file path=xl/ctrlProps/ctrlProp251.xml><?xml version="1.0" encoding="utf-8"?>
<formControlPr xmlns="http://schemas.microsoft.com/office/spreadsheetml/2009/9/main" objectType="CheckBox" fmlaLink="B32" lockText="1" noThreeD="1"/>
</file>

<file path=xl/ctrlProps/ctrlProp252.xml><?xml version="1.0" encoding="utf-8"?>
<formControlPr xmlns="http://schemas.microsoft.com/office/spreadsheetml/2009/9/main" objectType="CheckBox" fmlaLink="B33" lockText="1" noThreeD="1"/>
</file>

<file path=xl/ctrlProps/ctrlProp253.xml><?xml version="1.0" encoding="utf-8"?>
<formControlPr xmlns="http://schemas.microsoft.com/office/spreadsheetml/2009/9/main" objectType="CheckBox" fmlaLink="B34" lockText="1" noThreeD="1"/>
</file>

<file path=xl/ctrlProps/ctrlProp254.xml><?xml version="1.0" encoding="utf-8"?>
<formControlPr xmlns="http://schemas.microsoft.com/office/spreadsheetml/2009/9/main" objectType="CheckBox" fmlaLink="G32" lockText="1" noThreeD="1"/>
</file>

<file path=xl/ctrlProps/ctrlProp255.xml><?xml version="1.0" encoding="utf-8"?>
<formControlPr xmlns="http://schemas.microsoft.com/office/spreadsheetml/2009/9/main" objectType="CheckBox" fmlaLink="G33" lockText="1" noThreeD="1"/>
</file>

<file path=xl/ctrlProps/ctrlProp256.xml><?xml version="1.0" encoding="utf-8"?>
<formControlPr xmlns="http://schemas.microsoft.com/office/spreadsheetml/2009/9/main" objectType="CheckBox" fmlaLink="G34" lockText="1" noThreeD="1"/>
</file>

<file path=xl/ctrlProps/ctrlProp257.xml><?xml version="1.0" encoding="utf-8"?>
<formControlPr xmlns="http://schemas.microsoft.com/office/spreadsheetml/2009/9/main" objectType="CheckBox" fmlaLink="L32" lockText="1" noThreeD="1"/>
</file>

<file path=xl/ctrlProps/ctrlProp258.xml><?xml version="1.0" encoding="utf-8"?>
<formControlPr xmlns="http://schemas.microsoft.com/office/spreadsheetml/2009/9/main" objectType="CheckBox" checked="Checked" fmlaLink="L33" lockText="1" noThreeD="1"/>
</file>

<file path=xl/ctrlProps/ctrlProp259.xml><?xml version="1.0" encoding="utf-8"?>
<formControlPr xmlns="http://schemas.microsoft.com/office/spreadsheetml/2009/9/main" objectType="CheckBox" checked="Checked" fmlaLink="B9" lockText="1" noThreeD="1"/>
</file>

<file path=xl/ctrlProps/ctrlProp260.xml><?xml version="1.0" encoding="utf-8"?>
<formControlPr xmlns="http://schemas.microsoft.com/office/spreadsheetml/2009/9/main" objectType="CheckBox" fmlaLink="G9" lockText="1" noThreeD="1"/>
</file>

<file path=xl/ctrlProps/ctrlProp261.xml><?xml version="1.0" encoding="utf-8"?>
<formControlPr xmlns="http://schemas.microsoft.com/office/spreadsheetml/2009/9/main" objectType="CheckBox" fmlaLink="G12" lockText="1" noThreeD="1"/>
</file>

<file path=xl/ctrlProps/ctrlProp262.xml><?xml version="1.0" encoding="utf-8"?>
<formControlPr xmlns="http://schemas.microsoft.com/office/spreadsheetml/2009/9/main" objectType="CheckBox" fmlaLink="G13" lockText="1" noThreeD="1"/>
</file>

<file path=xl/ctrlProps/ctrlProp263.xml><?xml version="1.0" encoding="utf-8"?>
<formControlPr xmlns="http://schemas.microsoft.com/office/spreadsheetml/2009/9/main" objectType="CheckBox" fmlaLink="G16" lockText="1" noThreeD="1"/>
</file>

<file path=xl/ctrlProps/ctrlProp264.xml><?xml version="1.0" encoding="utf-8"?>
<formControlPr xmlns="http://schemas.microsoft.com/office/spreadsheetml/2009/9/main" objectType="CheckBox" fmlaLink="G17" lockText="1" noThreeD="1"/>
</file>

<file path=xl/ctrlProps/ctrlProp265.xml><?xml version="1.0" encoding="utf-8"?>
<formControlPr xmlns="http://schemas.microsoft.com/office/spreadsheetml/2009/9/main" objectType="CheckBox" checked="Checked" fmlaLink="L16" lockText="1" noThreeD="1"/>
</file>

<file path=xl/ctrlProps/ctrlProp266.xml><?xml version="1.0" encoding="utf-8"?>
<formControlPr xmlns="http://schemas.microsoft.com/office/spreadsheetml/2009/9/main" objectType="CheckBox" fmlaLink="L17" lockText="1" noThreeD="1"/>
</file>

<file path=xl/ctrlProps/ctrlProp267.xml><?xml version="1.0" encoding="utf-8"?>
<formControlPr xmlns="http://schemas.microsoft.com/office/spreadsheetml/2009/9/main" objectType="CheckBox" fmlaLink="B16" lockText="1" noThreeD="1"/>
</file>

<file path=xl/ctrlProps/ctrlProp268.xml><?xml version="1.0" encoding="utf-8"?>
<formControlPr xmlns="http://schemas.microsoft.com/office/spreadsheetml/2009/9/main" objectType="CheckBox" fmlaLink="B17" lockText="1" noThreeD="1"/>
</file>

<file path=xl/ctrlProps/ctrlProp269.xml><?xml version="1.0" encoding="utf-8"?>
<formControlPr xmlns="http://schemas.microsoft.com/office/spreadsheetml/2009/9/main" objectType="CheckBox" fmlaLink="B12" lockText="1" noThreeD="1"/>
</file>

<file path=xl/ctrlProps/ctrlProp270.xml><?xml version="1.0" encoding="utf-8"?>
<formControlPr xmlns="http://schemas.microsoft.com/office/spreadsheetml/2009/9/main" objectType="CheckBox" checked="Checked" fmlaLink="B13" lockText="1" noThreeD="1"/>
</file>

<file path=xl/ctrlProps/ctrlProp271.xml><?xml version="1.0" encoding="utf-8"?>
<formControlPr xmlns="http://schemas.microsoft.com/office/spreadsheetml/2009/9/main" objectType="CheckBox" fmlaLink="B21" lockText="1" noThreeD="1"/>
</file>

<file path=xl/ctrlProps/ctrlProp272.xml><?xml version="1.0" encoding="utf-8"?>
<formControlPr xmlns="http://schemas.microsoft.com/office/spreadsheetml/2009/9/main" objectType="CheckBox" fmlaLink="B25" lockText="1" noThreeD="1"/>
</file>

<file path=xl/ctrlProps/ctrlProp273.xml><?xml version="1.0" encoding="utf-8"?>
<formControlPr xmlns="http://schemas.microsoft.com/office/spreadsheetml/2009/9/main" objectType="CheckBox" fmlaLink="G25" lockText="1" noThreeD="1"/>
</file>

<file path=xl/ctrlProps/ctrlProp274.xml><?xml version="1.0" encoding="utf-8"?>
<formControlPr xmlns="http://schemas.microsoft.com/office/spreadsheetml/2009/9/main" objectType="CheckBox" fmlaLink="L25" lockText="1" noThreeD="1"/>
</file>

<file path=xl/ctrlProps/ctrlProp275.xml><?xml version="1.0" encoding="utf-8"?>
<formControlPr xmlns="http://schemas.microsoft.com/office/spreadsheetml/2009/9/main" objectType="CheckBox" checked="Checked" fmlaLink="G21" lockText="1" noThreeD="1"/>
</file>

<file path=xl/ctrlProps/ctrlProp276.xml><?xml version="1.0" encoding="utf-8"?>
<formControlPr xmlns="http://schemas.microsoft.com/office/spreadsheetml/2009/9/main" objectType="CheckBox" fmlaLink="B29" lockText="1" noThreeD="1"/>
</file>

<file path=xl/ctrlProps/ctrlProp277.xml><?xml version="1.0" encoding="utf-8"?>
<formControlPr xmlns="http://schemas.microsoft.com/office/spreadsheetml/2009/9/main" objectType="CheckBox" fmlaLink="G29" lockText="1" noThreeD="1"/>
</file>

<file path=xl/ctrlProps/ctrlProp278.xml><?xml version="1.0" encoding="utf-8"?>
<formControlPr xmlns="http://schemas.microsoft.com/office/spreadsheetml/2009/9/main" objectType="CheckBox" checked="Checked" fmlaLink="L29" lockText="1" noThreeD="1"/>
</file>

<file path=xl/ctrlProps/ctrlProp279.xml><?xml version="1.0" encoding="utf-8"?>
<formControlPr xmlns="http://schemas.microsoft.com/office/spreadsheetml/2009/9/main" objectType="CheckBox" fmlaLink="B38" lockText="1" noThreeD="1"/>
</file>

<file path=xl/ctrlProps/ctrlProp280.xml><?xml version="1.0" encoding="utf-8"?>
<formControlPr xmlns="http://schemas.microsoft.com/office/spreadsheetml/2009/9/main" objectType="CheckBox" fmlaLink="G38" lockText="1" noThreeD="1"/>
</file>

<file path=xl/ctrlProps/ctrlProp281.xml><?xml version="1.0" encoding="utf-8"?>
<formControlPr xmlns="http://schemas.microsoft.com/office/spreadsheetml/2009/9/main" objectType="CheckBox" fmlaLink="L38" lockText="1" noThreeD="1"/>
</file>

<file path=xl/ctrlProps/ctrlProp282.xml><?xml version="1.0" encoding="utf-8"?>
<formControlPr xmlns="http://schemas.microsoft.com/office/spreadsheetml/2009/9/main" objectType="CheckBox" fmlaLink="B44" lockText="1" noThreeD="1"/>
</file>

<file path=xl/ctrlProps/ctrlProp283.xml><?xml version="1.0" encoding="utf-8"?>
<formControlPr xmlns="http://schemas.microsoft.com/office/spreadsheetml/2009/9/main" objectType="CheckBox" checked="Checked" fmlaLink="G44" lockText="1" noThreeD="1"/>
</file>

<file path=xl/ctrlProps/ctrlProp284.xml><?xml version="1.0" encoding="utf-8"?>
<formControlPr xmlns="http://schemas.microsoft.com/office/spreadsheetml/2009/9/main" objectType="CheckBox" checked="Checked" fmlaLink="B39" lockText="1" noThreeD="1"/>
</file>

<file path=xl/ctrlProps/ctrlProp285.xml><?xml version="1.0" encoding="utf-8"?>
<formControlPr xmlns="http://schemas.microsoft.com/office/spreadsheetml/2009/9/main" objectType="CheckBox" fmlaLink="B18" lockText="1" noThreeD="1"/>
</file>

<file path=xl/ctrlProps/ctrlProp286.xml><?xml version="1.0" encoding="utf-8"?>
<formControlPr xmlns="http://schemas.microsoft.com/office/spreadsheetml/2009/9/main" objectType="CheckBox" fmlaLink="B32" lockText="1" noThreeD="1"/>
</file>

<file path=xl/ctrlProps/ctrlProp287.xml><?xml version="1.0" encoding="utf-8"?>
<formControlPr xmlns="http://schemas.microsoft.com/office/spreadsheetml/2009/9/main" objectType="CheckBox" fmlaLink="B33" lockText="1" noThreeD="1"/>
</file>

<file path=xl/ctrlProps/ctrlProp288.xml><?xml version="1.0" encoding="utf-8"?>
<formControlPr xmlns="http://schemas.microsoft.com/office/spreadsheetml/2009/9/main" objectType="CheckBox" fmlaLink="B34" lockText="1" noThreeD="1"/>
</file>

<file path=xl/ctrlProps/ctrlProp289.xml><?xml version="1.0" encoding="utf-8"?>
<formControlPr xmlns="http://schemas.microsoft.com/office/spreadsheetml/2009/9/main" objectType="CheckBox" fmlaLink="G32" lockText="1" noThreeD="1"/>
</file>

<file path=xl/ctrlProps/ctrlProp290.xml><?xml version="1.0" encoding="utf-8"?>
<formControlPr xmlns="http://schemas.microsoft.com/office/spreadsheetml/2009/9/main" objectType="CheckBox" fmlaLink="G33" lockText="1" noThreeD="1"/>
</file>

<file path=xl/ctrlProps/ctrlProp291.xml><?xml version="1.0" encoding="utf-8"?>
<formControlPr xmlns="http://schemas.microsoft.com/office/spreadsheetml/2009/9/main" objectType="CheckBox" fmlaLink="G34" lockText="1" noThreeD="1"/>
</file>

<file path=xl/ctrlProps/ctrlProp292.xml><?xml version="1.0" encoding="utf-8"?>
<formControlPr xmlns="http://schemas.microsoft.com/office/spreadsheetml/2009/9/main" objectType="CheckBox" fmlaLink="L32" lockText="1" noThreeD="1"/>
</file>

<file path=xl/ctrlProps/ctrlProp293.xml><?xml version="1.0" encoding="utf-8"?>
<formControlPr xmlns="http://schemas.microsoft.com/office/spreadsheetml/2009/9/main" objectType="CheckBox" checked="Checked" fmlaLink="L33" lockText="1" noThreeD="1"/>
</file>

<file path=xl/ctrlProps/ctrlProp294.xml><?xml version="1.0" encoding="utf-8"?>
<formControlPr xmlns="http://schemas.microsoft.com/office/spreadsheetml/2009/9/main" objectType="CheckBox" checked="Checked" fmlaLink="B9" lockText="1" noThreeD="1"/>
</file>

<file path=xl/ctrlProps/ctrlProp295.xml><?xml version="1.0" encoding="utf-8"?>
<formControlPr xmlns="http://schemas.microsoft.com/office/spreadsheetml/2009/9/main" objectType="CheckBox" fmlaLink="G9" lockText="1" noThreeD="1"/>
</file>

<file path=xl/ctrlProps/ctrlProp296.xml><?xml version="1.0" encoding="utf-8"?>
<formControlPr xmlns="http://schemas.microsoft.com/office/spreadsheetml/2009/9/main" objectType="CheckBox" checked="Checked" fmlaLink="G12" lockText="1" noThreeD="1"/>
</file>

<file path=xl/ctrlProps/ctrlProp297.xml><?xml version="1.0" encoding="utf-8"?>
<formControlPr xmlns="http://schemas.microsoft.com/office/spreadsheetml/2009/9/main" objectType="CheckBox" fmlaLink="G13" lockText="1" noThreeD="1"/>
</file>

<file path=xl/ctrlProps/ctrlProp298.xml><?xml version="1.0" encoding="utf-8"?>
<formControlPr xmlns="http://schemas.microsoft.com/office/spreadsheetml/2009/9/main" objectType="CheckBox" fmlaLink="G16" lockText="1" noThreeD="1"/>
</file>

<file path=xl/ctrlProps/ctrlProp299.xml><?xml version="1.0" encoding="utf-8"?>
<formControlPr xmlns="http://schemas.microsoft.com/office/spreadsheetml/2009/9/main" objectType="CheckBox" fmlaLink="G17" lockText="1" noThreeD="1"/>
</file>

<file path=xl/ctrlProps/ctrlProp300.xml><?xml version="1.0" encoding="utf-8"?>
<formControlPr xmlns="http://schemas.microsoft.com/office/spreadsheetml/2009/9/main" objectType="CheckBox" fmlaLink="L16" lockText="1" noThreeD="1"/>
</file>

<file path=xl/ctrlProps/ctrlProp301.xml><?xml version="1.0" encoding="utf-8"?>
<formControlPr xmlns="http://schemas.microsoft.com/office/spreadsheetml/2009/9/main" objectType="CheckBox" fmlaLink="L17" lockText="1" noThreeD="1"/>
</file>

<file path=xl/ctrlProps/ctrlProp302.xml><?xml version="1.0" encoding="utf-8"?>
<formControlPr xmlns="http://schemas.microsoft.com/office/spreadsheetml/2009/9/main" objectType="CheckBox" fmlaLink="B16" lockText="1" noThreeD="1"/>
</file>

<file path=xl/ctrlProps/ctrlProp303.xml><?xml version="1.0" encoding="utf-8"?>
<formControlPr xmlns="http://schemas.microsoft.com/office/spreadsheetml/2009/9/main" objectType="CheckBox" fmlaLink="B17" lockText="1" noThreeD="1"/>
</file>

<file path=xl/ctrlProps/ctrlProp304.xml><?xml version="1.0" encoding="utf-8"?>
<formControlPr xmlns="http://schemas.microsoft.com/office/spreadsheetml/2009/9/main" objectType="CheckBox" fmlaLink="B12" lockText="1" noThreeD="1"/>
</file>

<file path=xl/ctrlProps/ctrlProp305.xml><?xml version="1.0" encoding="utf-8"?>
<formControlPr xmlns="http://schemas.microsoft.com/office/spreadsheetml/2009/9/main" objectType="CheckBox" fmlaLink="B13" lockText="1" noThreeD="1"/>
</file>

<file path=xl/ctrlProps/ctrlProp306.xml><?xml version="1.0" encoding="utf-8"?>
<formControlPr xmlns="http://schemas.microsoft.com/office/spreadsheetml/2009/9/main" objectType="CheckBox" fmlaLink="B21" lockText="1" noThreeD="1"/>
</file>

<file path=xl/ctrlProps/ctrlProp307.xml><?xml version="1.0" encoding="utf-8"?>
<formControlPr xmlns="http://schemas.microsoft.com/office/spreadsheetml/2009/9/main" objectType="CheckBox" fmlaLink="B25" lockText="1" noThreeD="1"/>
</file>

<file path=xl/ctrlProps/ctrlProp308.xml><?xml version="1.0" encoding="utf-8"?>
<formControlPr xmlns="http://schemas.microsoft.com/office/spreadsheetml/2009/9/main" objectType="CheckBox" fmlaLink="G25" lockText="1" noThreeD="1"/>
</file>

<file path=xl/ctrlProps/ctrlProp309.xml><?xml version="1.0" encoding="utf-8"?>
<formControlPr xmlns="http://schemas.microsoft.com/office/spreadsheetml/2009/9/main" objectType="CheckBox" fmlaLink="L25" lockText="1" noThreeD="1"/>
</file>

<file path=xl/ctrlProps/ctrlProp310.xml><?xml version="1.0" encoding="utf-8"?>
<formControlPr xmlns="http://schemas.microsoft.com/office/spreadsheetml/2009/9/main" objectType="CheckBox" checked="Checked" fmlaLink="G21" lockText="1" noThreeD="1"/>
</file>

<file path=xl/ctrlProps/ctrlProp311.xml><?xml version="1.0" encoding="utf-8"?>
<formControlPr xmlns="http://schemas.microsoft.com/office/spreadsheetml/2009/9/main" objectType="CheckBox" fmlaLink="B29" lockText="1" noThreeD="1"/>
</file>

<file path=xl/ctrlProps/ctrlProp312.xml><?xml version="1.0" encoding="utf-8"?>
<formControlPr xmlns="http://schemas.microsoft.com/office/spreadsheetml/2009/9/main" objectType="CheckBox" fmlaLink="G29" lockText="1" noThreeD="1"/>
</file>

<file path=xl/ctrlProps/ctrlProp313.xml><?xml version="1.0" encoding="utf-8"?>
<formControlPr xmlns="http://schemas.microsoft.com/office/spreadsheetml/2009/9/main" objectType="CheckBox" checked="Checked" fmlaLink="L29" lockText="1" noThreeD="1"/>
</file>

<file path=xl/ctrlProps/ctrlProp314.xml><?xml version="1.0" encoding="utf-8"?>
<formControlPr xmlns="http://schemas.microsoft.com/office/spreadsheetml/2009/9/main" objectType="CheckBox" fmlaLink="B38" lockText="1" noThreeD="1"/>
</file>

<file path=xl/ctrlProps/ctrlProp315.xml><?xml version="1.0" encoding="utf-8"?>
<formControlPr xmlns="http://schemas.microsoft.com/office/spreadsheetml/2009/9/main" objectType="CheckBox" checked="Checked" fmlaLink="G38" lockText="1" noThreeD="1"/>
</file>

<file path=xl/ctrlProps/ctrlProp316.xml><?xml version="1.0" encoding="utf-8"?>
<formControlPr xmlns="http://schemas.microsoft.com/office/spreadsheetml/2009/9/main" objectType="CheckBox" checked="Checked" fmlaLink="L38" lockText="1" noThreeD="1"/>
</file>

<file path=xl/ctrlProps/ctrlProp317.xml><?xml version="1.0" encoding="utf-8"?>
<formControlPr xmlns="http://schemas.microsoft.com/office/spreadsheetml/2009/9/main" objectType="CheckBox" fmlaLink="B44" lockText="1" noThreeD="1"/>
</file>

<file path=xl/ctrlProps/ctrlProp318.xml><?xml version="1.0" encoding="utf-8"?>
<formControlPr xmlns="http://schemas.microsoft.com/office/spreadsheetml/2009/9/main" objectType="CheckBox" checked="Checked" fmlaLink="G44" lockText="1" noThreeD="1"/>
</file>

<file path=xl/ctrlProps/ctrlProp319.xml><?xml version="1.0" encoding="utf-8"?>
<formControlPr xmlns="http://schemas.microsoft.com/office/spreadsheetml/2009/9/main" objectType="CheckBox" fmlaLink="B39" lockText="1" noThreeD="1"/>
</file>

<file path=xl/ctrlProps/ctrlProp320.xml><?xml version="1.0" encoding="utf-8"?>
<formControlPr xmlns="http://schemas.microsoft.com/office/spreadsheetml/2009/9/main" objectType="CheckBox" fmlaLink="B18" lockText="1" noThreeD="1"/>
</file>

<file path=xl/ctrlProps/ctrlProp321.xml><?xml version="1.0" encoding="utf-8"?>
<formControlPr xmlns="http://schemas.microsoft.com/office/spreadsheetml/2009/9/main" objectType="CheckBox" fmlaLink="B32" lockText="1" noThreeD="1"/>
</file>

<file path=xl/ctrlProps/ctrlProp322.xml><?xml version="1.0" encoding="utf-8"?>
<formControlPr xmlns="http://schemas.microsoft.com/office/spreadsheetml/2009/9/main" objectType="CheckBox" fmlaLink="B33" lockText="1" noThreeD="1"/>
</file>

<file path=xl/ctrlProps/ctrlProp323.xml><?xml version="1.0" encoding="utf-8"?>
<formControlPr xmlns="http://schemas.microsoft.com/office/spreadsheetml/2009/9/main" objectType="CheckBox" fmlaLink="B34" lockText="1" noThreeD="1"/>
</file>

<file path=xl/ctrlProps/ctrlProp324.xml><?xml version="1.0" encoding="utf-8"?>
<formControlPr xmlns="http://schemas.microsoft.com/office/spreadsheetml/2009/9/main" objectType="CheckBox" fmlaLink="G32" lockText="1" noThreeD="1"/>
</file>

<file path=xl/ctrlProps/ctrlProp325.xml><?xml version="1.0" encoding="utf-8"?>
<formControlPr xmlns="http://schemas.microsoft.com/office/spreadsheetml/2009/9/main" objectType="CheckBox" fmlaLink="G33"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2" lockText="1" noThreeD="1"/>
</file>

<file path=xl/ctrlProps/ctrlProp328.xml><?xml version="1.0" encoding="utf-8"?>
<formControlPr xmlns="http://schemas.microsoft.com/office/spreadsheetml/2009/9/main" objectType="CheckBox" checked="Checked" fmlaLink="L33" lockText="1" noThreeD="1"/>
</file>

<file path=xl/ctrlProps/ctrlProp329.xml><?xml version="1.0" encoding="utf-8"?>
<formControlPr xmlns="http://schemas.microsoft.com/office/spreadsheetml/2009/9/main" objectType="CheckBox" checked="Checked" fmlaLink="B9" lockText="1" noThreeD="1"/>
</file>

<file path=xl/ctrlProps/ctrlProp330.xml><?xml version="1.0" encoding="utf-8"?>
<formControlPr xmlns="http://schemas.microsoft.com/office/spreadsheetml/2009/9/main" objectType="CheckBox" fmlaLink="G9" lockText="1" noThreeD="1"/>
</file>

<file path=xl/ctrlProps/ctrlProp331.xml><?xml version="1.0" encoding="utf-8"?>
<formControlPr xmlns="http://schemas.microsoft.com/office/spreadsheetml/2009/9/main" objectType="CheckBox" fmlaLink="G12" lockText="1" noThreeD="1"/>
</file>

<file path=xl/ctrlProps/ctrlProp332.xml><?xml version="1.0" encoding="utf-8"?>
<formControlPr xmlns="http://schemas.microsoft.com/office/spreadsheetml/2009/9/main" objectType="CheckBox" fmlaLink="G13" lockText="1" noThreeD="1"/>
</file>

<file path=xl/ctrlProps/ctrlProp333.xml><?xml version="1.0" encoding="utf-8"?>
<formControlPr xmlns="http://schemas.microsoft.com/office/spreadsheetml/2009/9/main" objectType="CheckBox" fmlaLink="G16" lockText="1" noThreeD="1"/>
</file>

<file path=xl/ctrlProps/ctrlProp334.xml><?xml version="1.0" encoding="utf-8"?>
<formControlPr xmlns="http://schemas.microsoft.com/office/spreadsheetml/2009/9/main" objectType="CheckBox" fmlaLink="G17" lockText="1" noThreeD="1"/>
</file>

<file path=xl/ctrlProps/ctrlProp335.xml><?xml version="1.0" encoding="utf-8"?>
<formControlPr xmlns="http://schemas.microsoft.com/office/spreadsheetml/2009/9/main" objectType="CheckBox" checked="Checked" fmlaLink="L16" lockText="1" noThreeD="1"/>
</file>

<file path=xl/ctrlProps/ctrlProp336.xml><?xml version="1.0" encoding="utf-8"?>
<formControlPr xmlns="http://schemas.microsoft.com/office/spreadsheetml/2009/9/main" objectType="CheckBox" fmlaLink="L17" lockText="1" noThreeD="1"/>
</file>

<file path=xl/ctrlProps/ctrlProp337.xml><?xml version="1.0" encoding="utf-8"?>
<formControlPr xmlns="http://schemas.microsoft.com/office/spreadsheetml/2009/9/main" objectType="CheckBox" fmlaLink="B16" lockText="1" noThreeD="1"/>
</file>

<file path=xl/ctrlProps/ctrlProp338.xml><?xml version="1.0" encoding="utf-8"?>
<formControlPr xmlns="http://schemas.microsoft.com/office/spreadsheetml/2009/9/main" objectType="CheckBox" fmlaLink="B17" lockText="1" noThreeD="1"/>
</file>

<file path=xl/ctrlProps/ctrlProp339.xml><?xml version="1.0" encoding="utf-8"?>
<formControlPr xmlns="http://schemas.microsoft.com/office/spreadsheetml/2009/9/main" objectType="CheckBox" fmlaLink="B12" lockText="1" noThreeD="1"/>
</file>

<file path=xl/ctrlProps/ctrlProp340.xml><?xml version="1.0" encoding="utf-8"?>
<formControlPr xmlns="http://schemas.microsoft.com/office/spreadsheetml/2009/9/main" objectType="CheckBox" checked="Checked" fmlaLink="B13" lockText="1" noThreeD="1"/>
</file>

<file path=xl/ctrlProps/ctrlProp341.xml><?xml version="1.0" encoding="utf-8"?>
<formControlPr xmlns="http://schemas.microsoft.com/office/spreadsheetml/2009/9/main" objectType="CheckBox" fmlaLink="B21" lockText="1" noThreeD="1"/>
</file>

<file path=xl/ctrlProps/ctrlProp342.xml><?xml version="1.0" encoding="utf-8"?>
<formControlPr xmlns="http://schemas.microsoft.com/office/spreadsheetml/2009/9/main" objectType="CheckBox" fmlaLink="B25" lockText="1" noThreeD="1"/>
</file>

<file path=xl/ctrlProps/ctrlProp343.xml><?xml version="1.0" encoding="utf-8"?>
<formControlPr xmlns="http://schemas.microsoft.com/office/spreadsheetml/2009/9/main" objectType="CheckBox" fmlaLink="G25" lockText="1" noThreeD="1"/>
</file>

<file path=xl/ctrlProps/ctrlProp344.xml><?xml version="1.0" encoding="utf-8"?>
<formControlPr xmlns="http://schemas.microsoft.com/office/spreadsheetml/2009/9/main" objectType="CheckBox" fmlaLink="L25" lockText="1" noThreeD="1"/>
</file>

<file path=xl/ctrlProps/ctrlProp345.xml><?xml version="1.0" encoding="utf-8"?>
<formControlPr xmlns="http://schemas.microsoft.com/office/spreadsheetml/2009/9/main" objectType="CheckBox" fmlaLink="G21" lockText="1" noThreeD="1"/>
</file>

<file path=xl/ctrlProps/ctrlProp346.xml><?xml version="1.0" encoding="utf-8"?>
<formControlPr xmlns="http://schemas.microsoft.com/office/spreadsheetml/2009/9/main" objectType="CheckBox" fmlaLink="B29" lockText="1" noThreeD="1"/>
</file>

<file path=xl/ctrlProps/ctrlProp347.xml><?xml version="1.0" encoding="utf-8"?>
<formControlPr xmlns="http://schemas.microsoft.com/office/spreadsheetml/2009/9/main" objectType="CheckBox" fmlaLink="G29" lockText="1" noThreeD="1"/>
</file>

<file path=xl/ctrlProps/ctrlProp348.xml><?xml version="1.0" encoding="utf-8"?>
<formControlPr xmlns="http://schemas.microsoft.com/office/spreadsheetml/2009/9/main" objectType="CheckBox" checked="Checked" fmlaLink="L29" lockText="1" noThreeD="1"/>
</file>

<file path=xl/ctrlProps/ctrlProp349.xml><?xml version="1.0" encoding="utf-8"?>
<formControlPr xmlns="http://schemas.microsoft.com/office/spreadsheetml/2009/9/main" objectType="CheckBox" fmlaLink="B38" lockText="1" noThreeD="1"/>
</file>

<file path=xl/ctrlProps/ctrlProp350.xml><?xml version="1.0" encoding="utf-8"?>
<formControlPr xmlns="http://schemas.microsoft.com/office/spreadsheetml/2009/9/main" objectType="CheckBox" checked="Checked" fmlaLink="G38" lockText="1" noThreeD="1"/>
</file>

<file path=xl/ctrlProps/ctrlProp351.xml><?xml version="1.0" encoding="utf-8"?>
<formControlPr xmlns="http://schemas.microsoft.com/office/spreadsheetml/2009/9/main" objectType="CheckBox" fmlaLink="L38" lockText="1" noThreeD="1"/>
</file>

<file path=xl/ctrlProps/ctrlProp352.xml><?xml version="1.0" encoding="utf-8"?>
<formControlPr xmlns="http://schemas.microsoft.com/office/spreadsheetml/2009/9/main" objectType="CheckBox" fmlaLink="B44" lockText="1" noThreeD="1"/>
</file>

<file path=xl/ctrlProps/ctrlProp353.xml><?xml version="1.0" encoding="utf-8"?>
<formControlPr xmlns="http://schemas.microsoft.com/office/spreadsheetml/2009/9/main" objectType="CheckBox" checked="Checked" fmlaLink="G44" lockText="1" noThreeD="1"/>
</file>

<file path=xl/ctrlProps/ctrlProp354.xml><?xml version="1.0" encoding="utf-8"?>
<formControlPr xmlns="http://schemas.microsoft.com/office/spreadsheetml/2009/9/main" objectType="CheckBox" fmlaLink="B39" lockText="1" noThreeD="1"/>
</file>

<file path=xl/ctrlProps/ctrlProp355.xml><?xml version="1.0" encoding="utf-8"?>
<formControlPr xmlns="http://schemas.microsoft.com/office/spreadsheetml/2009/9/main" objectType="CheckBox" fmlaLink="B18" lockText="1" noThreeD="1"/>
</file>

<file path=xl/ctrlProps/ctrlProp356.xml><?xml version="1.0" encoding="utf-8"?>
<formControlPr xmlns="http://schemas.microsoft.com/office/spreadsheetml/2009/9/main" objectType="CheckBox" fmlaLink="B32" lockText="1" noThreeD="1"/>
</file>

<file path=xl/ctrlProps/ctrlProp357.xml><?xml version="1.0" encoding="utf-8"?>
<formControlPr xmlns="http://schemas.microsoft.com/office/spreadsheetml/2009/9/main" objectType="CheckBox" fmlaLink="B33" lockText="1" noThreeD="1"/>
</file>

<file path=xl/ctrlProps/ctrlProp358.xml><?xml version="1.0" encoding="utf-8"?>
<formControlPr xmlns="http://schemas.microsoft.com/office/spreadsheetml/2009/9/main" objectType="CheckBox" fmlaLink="B34" lockText="1" noThreeD="1"/>
</file>

<file path=xl/ctrlProps/ctrlProp359.xml><?xml version="1.0" encoding="utf-8"?>
<formControlPr xmlns="http://schemas.microsoft.com/office/spreadsheetml/2009/9/main" objectType="CheckBox" fmlaLink="G32" lockText="1" noThreeD="1"/>
</file>

<file path=xl/ctrlProps/ctrlProp360.xml><?xml version="1.0" encoding="utf-8"?>
<formControlPr xmlns="http://schemas.microsoft.com/office/spreadsheetml/2009/9/main" objectType="CheckBox" fmlaLink="G33" lockText="1" noThreeD="1"/>
</file>

<file path=xl/ctrlProps/ctrlProp361.xml><?xml version="1.0" encoding="utf-8"?>
<formControlPr xmlns="http://schemas.microsoft.com/office/spreadsheetml/2009/9/main" objectType="CheckBox" fmlaLink="G34" lockText="1" noThreeD="1"/>
</file>

<file path=xl/ctrlProps/ctrlProp362.xml><?xml version="1.0" encoding="utf-8"?>
<formControlPr xmlns="http://schemas.microsoft.com/office/spreadsheetml/2009/9/main" objectType="CheckBox" fmlaLink="L32" lockText="1" noThreeD="1"/>
</file>

<file path=xl/ctrlProps/ctrlProp363.xml><?xml version="1.0" encoding="utf-8"?>
<formControlPr xmlns="http://schemas.microsoft.com/office/spreadsheetml/2009/9/main" objectType="CheckBox" checked="Checked" fmlaLink="L33" lockText="1" noThreeD="1"/>
</file>

<file path=xl/ctrlProps/ctrlProp364.xml><?xml version="1.0" encoding="utf-8"?>
<formControlPr xmlns="http://schemas.microsoft.com/office/spreadsheetml/2009/9/main" objectType="CheckBox" fmlaLink="B9" lockText="1" noThreeD="1"/>
</file>

<file path=xl/ctrlProps/ctrlProp365.xml><?xml version="1.0" encoding="utf-8"?>
<formControlPr xmlns="http://schemas.microsoft.com/office/spreadsheetml/2009/9/main" objectType="CheckBox" checked="Checked"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checked="Checked"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checked="Checked" fmlaLink="B25" lockText="1" noThreeD="1"/>
</file>

<file path=xl/ctrlProps/ctrlProp378.xml><?xml version="1.0" encoding="utf-8"?>
<formControlPr xmlns="http://schemas.microsoft.com/office/spreadsheetml/2009/9/main" objectType="CheckBox" checked="Checked"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checked="Checked" fmlaLink="G29" lockText="1" noThreeD="1"/>
</file>

<file path=xl/ctrlProps/ctrlProp383.xml><?xml version="1.0" encoding="utf-8"?>
<formControlPr xmlns="http://schemas.microsoft.com/office/spreadsheetml/2009/9/main" objectType="CheckBox" fmlaLink="L29" lockText="1" noThreeD="1"/>
</file>

<file path=xl/ctrlProps/ctrlProp384.xml><?xml version="1.0" encoding="utf-8"?>
<formControlPr xmlns="http://schemas.microsoft.com/office/spreadsheetml/2009/9/main" objectType="CheckBox" fmlaLink="B38" lockText="1" noThreeD="1"/>
</file>

<file path=xl/ctrlProps/ctrlProp385.xml><?xml version="1.0" encoding="utf-8"?>
<formControlPr xmlns="http://schemas.microsoft.com/office/spreadsheetml/2009/9/main" objectType="CheckBox" fmlaLink="G38" lockText="1" noThreeD="1"/>
</file>

<file path=xl/ctrlProps/ctrlProp386.xml><?xml version="1.0" encoding="utf-8"?>
<formControlPr xmlns="http://schemas.microsoft.com/office/spreadsheetml/2009/9/main" objectType="CheckBox" fmlaLink="L38" lockText="1" noThreeD="1"/>
</file>

<file path=xl/ctrlProps/ctrlProp387.xml><?xml version="1.0" encoding="utf-8"?>
<formControlPr xmlns="http://schemas.microsoft.com/office/spreadsheetml/2009/9/main" objectType="CheckBox" checked="Checked" fmlaLink="B44" lockText="1" noThreeD="1"/>
</file>

<file path=xl/ctrlProps/ctrlProp388.xml><?xml version="1.0" encoding="utf-8"?>
<formControlPr xmlns="http://schemas.microsoft.com/office/spreadsheetml/2009/9/main" objectType="CheckBox" fmlaLink="G44" lockText="1" noThreeD="1"/>
</file>

<file path=xl/ctrlProps/ctrlProp389.xml><?xml version="1.0" encoding="utf-8"?>
<formControlPr xmlns="http://schemas.microsoft.com/office/spreadsheetml/2009/9/main" objectType="CheckBox" checked="Checked" fmlaLink="B39" lockText="1" noThreeD="1"/>
</file>

<file path=xl/ctrlProps/ctrlProp390.xml><?xml version="1.0" encoding="utf-8"?>
<formControlPr xmlns="http://schemas.microsoft.com/office/spreadsheetml/2009/9/main" objectType="CheckBox" fmlaLink="B18" lockText="1" noThreeD="1"/>
</file>

<file path=xl/ctrlProps/ctrlProp391.xml><?xml version="1.0" encoding="utf-8"?>
<formControlPr xmlns="http://schemas.microsoft.com/office/spreadsheetml/2009/9/main" objectType="CheckBox" fmlaLink="B32" lockText="1" noThreeD="1"/>
</file>

<file path=xl/ctrlProps/ctrlProp392.xml><?xml version="1.0" encoding="utf-8"?>
<formControlPr xmlns="http://schemas.microsoft.com/office/spreadsheetml/2009/9/main" objectType="CheckBox" fmlaLink="B33" lockText="1" noThreeD="1"/>
</file>

<file path=xl/ctrlProps/ctrlProp393.xml><?xml version="1.0" encoding="utf-8"?>
<formControlPr xmlns="http://schemas.microsoft.com/office/spreadsheetml/2009/9/main" objectType="CheckBox" fmlaLink="B34" lockText="1" noThreeD="1"/>
</file>

<file path=xl/ctrlProps/ctrlProp394.xml><?xml version="1.0" encoding="utf-8"?>
<formControlPr xmlns="http://schemas.microsoft.com/office/spreadsheetml/2009/9/main" objectType="CheckBox" checked="Checked" fmlaLink="G32" lockText="1" noThreeD="1"/>
</file>

<file path=xl/ctrlProps/ctrlProp395.xml><?xml version="1.0" encoding="utf-8"?>
<formControlPr xmlns="http://schemas.microsoft.com/office/spreadsheetml/2009/9/main" objectType="CheckBox" fmlaLink="G33" lockText="1" noThreeD="1"/>
</file>

<file path=xl/ctrlProps/ctrlProp396.xml><?xml version="1.0" encoding="utf-8"?>
<formControlPr xmlns="http://schemas.microsoft.com/office/spreadsheetml/2009/9/main" objectType="CheckBox" fmlaLink="G34" lockText="1" noThreeD="1"/>
</file>

<file path=xl/ctrlProps/ctrlProp397.xml><?xml version="1.0" encoding="utf-8"?>
<formControlPr xmlns="http://schemas.microsoft.com/office/spreadsheetml/2009/9/main" objectType="CheckBox" fmlaLink="L32" lockText="1" noThreeD="1"/>
</file>

<file path=xl/ctrlProps/ctrlProp398.xml><?xml version="1.0" encoding="utf-8"?>
<formControlPr xmlns="http://schemas.microsoft.com/office/spreadsheetml/2009/9/main" objectType="CheckBox" fmlaLink="L33" lockText="1" noThreeD="1"/>
</file>

<file path=xl/ctrlProps/ctrlProp399.xml><?xml version="1.0" encoding="utf-8"?>
<formControlPr xmlns="http://schemas.microsoft.com/office/spreadsheetml/2009/9/main" objectType="CheckBox" fmlaLink="B9" lockText="1" noThreeD="1"/>
</file>

<file path=xl/ctrlProps/ctrlProp400.xml><?xml version="1.0" encoding="utf-8"?>
<formControlPr xmlns="http://schemas.microsoft.com/office/spreadsheetml/2009/9/main" objectType="CheckBox" checked="Checked" fmlaLink="G9" lockText="1" noThreeD="1"/>
</file>

<file path=xl/ctrlProps/ctrlProp401.xml><?xml version="1.0" encoding="utf-8"?>
<formControlPr xmlns="http://schemas.microsoft.com/office/spreadsheetml/2009/9/main" objectType="CheckBox" fmlaLink="G12" lockText="1" noThreeD="1"/>
</file>

<file path=xl/ctrlProps/ctrlProp402.xml><?xml version="1.0" encoding="utf-8"?>
<formControlPr xmlns="http://schemas.microsoft.com/office/spreadsheetml/2009/9/main" objectType="CheckBox" fmlaLink="G13" lockText="1" noThreeD="1"/>
</file>

<file path=xl/ctrlProps/ctrlProp403.xml><?xml version="1.0" encoding="utf-8"?>
<formControlPr xmlns="http://schemas.microsoft.com/office/spreadsheetml/2009/9/main" objectType="CheckBox" fmlaLink="G16" lockText="1" noThreeD="1"/>
</file>

<file path=xl/ctrlProps/ctrlProp404.xml><?xml version="1.0" encoding="utf-8"?>
<formControlPr xmlns="http://schemas.microsoft.com/office/spreadsheetml/2009/9/main" objectType="CheckBox" fmlaLink="G17" lockText="1" noThreeD="1"/>
</file>

<file path=xl/ctrlProps/ctrlProp405.xml><?xml version="1.0" encoding="utf-8"?>
<formControlPr xmlns="http://schemas.microsoft.com/office/spreadsheetml/2009/9/main" objectType="CheckBox" fmlaLink="L16" lockText="1" noThreeD="1"/>
</file>

<file path=xl/ctrlProps/ctrlProp406.xml><?xml version="1.0" encoding="utf-8"?>
<formControlPr xmlns="http://schemas.microsoft.com/office/spreadsheetml/2009/9/main" objectType="CheckBox" fmlaLink="L17" lockText="1" noThreeD="1"/>
</file>

<file path=xl/ctrlProps/ctrlProp407.xml><?xml version="1.0" encoding="utf-8"?>
<formControlPr xmlns="http://schemas.microsoft.com/office/spreadsheetml/2009/9/main" objectType="CheckBox" fmlaLink="B16" lockText="1" noThreeD="1"/>
</file>

<file path=xl/ctrlProps/ctrlProp408.xml><?xml version="1.0" encoding="utf-8"?>
<formControlPr xmlns="http://schemas.microsoft.com/office/spreadsheetml/2009/9/main" objectType="CheckBox" fmlaLink="B17" lockText="1" noThreeD="1"/>
</file>

<file path=xl/ctrlProps/ctrlProp409.xml><?xml version="1.0" encoding="utf-8"?>
<formControlPr xmlns="http://schemas.microsoft.com/office/spreadsheetml/2009/9/main" objectType="CheckBox" checked="Checked" fmlaLink="B12" lockText="1" noThreeD="1"/>
</file>

<file path=xl/ctrlProps/ctrlProp410.xml><?xml version="1.0" encoding="utf-8"?>
<formControlPr xmlns="http://schemas.microsoft.com/office/spreadsheetml/2009/9/main" objectType="CheckBox" fmlaLink="B13" lockText="1" noThreeD="1"/>
</file>

<file path=xl/ctrlProps/ctrlProp411.xml><?xml version="1.0" encoding="utf-8"?>
<formControlPr xmlns="http://schemas.microsoft.com/office/spreadsheetml/2009/9/main" objectType="CheckBox" fmlaLink="B21" lockText="1" noThreeD="1"/>
</file>

<file path=xl/ctrlProps/ctrlProp412.xml><?xml version="1.0" encoding="utf-8"?>
<formControlPr xmlns="http://schemas.microsoft.com/office/spreadsheetml/2009/9/main" objectType="CheckBox" fmlaLink="B25" lockText="1" noThreeD="1"/>
</file>

<file path=xl/ctrlProps/ctrlProp413.xml><?xml version="1.0" encoding="utf-8"?>
<formControlPr xmlns="http://schemas.microsoft.com/office/spreadsheetml/2009/9/main" objectType="CheckBox" fmlaLink="G25" lockText="1" noThreeD="1"/>
</file>

<file path=xl/ctrlProps/ctrlProp414.xml><?xml version="1.0" encoding="utf-8"?>
<formControlPr xmlns="http://schemas.microsoft.com/office/spreadsheetml/2009/9/main" objectType="CheckBox" checked="Checked" fmlaLink="L25" lockText="1" noThreeD="1"/>
</file>

<file path=xl/ctrlProps/ctrlProp415.xml><?xml version="1.0" encoding="utf-8"?>
<formControlPr xmlns="http://schemas.microsoft.com/office/spreadsheetml/2009/9/main" objectType="CheckBox" fmlaLink="G21" lockText="1" noThreeD="1"/>
</file>

<file path=xl/ctrlProps/ctrlProp416.xml><?xml version="1.0" encoding="utf-8"?>
<formControlPr xmlns="http://schemas.microsoft.com/office/spreadsheetml/2009/9/main" objectType="CheckBox" fmlaLink="B29" lockText="1" noThreeD="1"/>
</file>

<file path=xl/ctrlProps/ctrlProp417.xml><?xml version="1.0" encoding="utf-8"?>
<formControlPr xmlns="http://schemas.microsoft.com/office/spreadsheetml/2009/9/main" objectType="CheckBox" fmlaLink="G29" lockText="1" noThreeD="1"/>
</file>

<file path=xl/ctrlProps/ctrlProp418.xml><?xml version="1.0" encoding="utf-8"?>
<formControlPr xmlns="http://schemas.microsoft.com/office/spreadsheetml/2009/9/main" objectType="CheckBox" checked="Checked" fmlaLink="L29" lockText="1" noThreeD="1"/>
</file>

<file path=xl/ctrlProps/ctrlProp419.xml><?xml version="1.0" encoding="utf-8"?>
<formControlPr xmlns="http://schemas.microsoft.com/office/spreadsheetml/2009/9/main" objectType="CheckBox" fmlaLink="B38" lockText="1" noThreeD="1"/>
</file>

<file path=xl/ctrlProps/ctrlProp420.xml><?xml version="1.0" encoding="utf-8"?>
<formControlPr xmlns="http://schemas.microsoft.com/office/spreadsheetml/2009/9/main" objectType="CheckBox" fmlaLink="G38" lockText="1" noThreeD="1"/>
</file>

<file path=xl/ctrlProps/ctrlProp421.xml><?xml version="1.0" encoding="utf-8"?>
<formControlPr xmlns="http://schemas.microsoft.com/office/spreadsheetml/2009/9/main" objectType="CheckBox" checked="Checked" fmlaLink="L38" lockText="1" noThreeD="1"/>
</file>

<file path=xl/ctrlProps/ctrlProp422.xml><?xml version="1.0" encoding="utf-8"?>
<formControlPr xmlns="http://schemas.microsoft.com/office/spreadsheetml/2009/9/main" objectType="CheckBox" fmlaLink="B44" lockText="1" noThreeD="1"/>
</file>

<file path=xl/ctrlProps/ctrlProp423.xml><?xml version="1.0" encoding="utf-8"?>
<formControlPr xmlns="http://schemas.microsoft.com/office/spreadsheetml/2009/9/main" objectType="CheckBox" checked="Checked" fmlaLink="G44" lockText="1" noThreeD="1"/>
</file>

<file path=xl/ctrlProps/ctrlProp424.xml><?xml version="1.0" encoding="utf-8"?>
<formControlPr xmlns="http://schemas.microsoft.com/office/spreadsheetml/2009/9/main" objectType="CheckBox" checked="Checked" fmlaLink="B39" lockText="1" noThreeD="1"/>
</file>

<file path=xl/ctrlProps/ctrlProp425.xml><?xml version="1.0" encoding="utf-8"?>
<formControlPr xmlns="http://schemas.microsoft.com/office/spreadsheetml/2009/9/main" objectType="CheckBox" fmlaLink="B18" lockText="1" noThreeD="1"/>
</file>

<file path=xl/ctrlProps/ctrlProp426.xml><?xml version="1.0" encoding="utf-8"?>
<formControlPr xmlns="http://schemas.microsoft.com/office/spreadsheetml/2009/9/main" objectType="CheckBox" fmlaLink="B32" lockText="1" noThreeD="1"/>
</file>

<file path=xl/ctrlProps/ctrlProp427.xml><?xml version="1.0" encoding="utf-8"?>
<formControlPr xmlns="http://schemas.microsoft.com/office/spreadsheetml/2009/9/main" objectType="CheckBox" fmlaLink="B33" lockText="1" noThreeD="1"/>
</file>

<file path=xl/ctrlProps/ctrlProp428.xml><?xml version="1.0" encoding="utf-8"?>
<formControlPr xmlns="http://schemas.microsoft.com/office/spreadsheetml/2009/9/main" objectType="CheckBox" fmlaLink="B34" lockText="1" noThreeD="1"/>
</file>

<file path=xl/ctrlProps/ctrlProp429.xml><?xml version="1.0" encoding="utf-8"?>
<formControlPr xmlns="http://schemas.microsoft.com/office/spreadsheetml/2009/9/main" objectType="CheckBox" fmlaLink="G32" lockText="1" noThreeD="1"/>
</file>

<file path=xl/ctrlProps/ctrlProp430.xml><?xml version="1.0" encoding="utf-8"?>
<formControlPr xmlns="http://schemas.microsoft.com/office/spreadsheetml/2009/9/main" objectType="CheckBox" fmlaLink="G33" lockText="1" noThreeD="1"/>
</file>

<file path=xl/ctrlProps/ctrlProp431.xml><?xml version="1.0" encoding="utf-8"?>
<formControlPr xmlns="http://schemas.microsoft.com/office/spreadsheetml/2009/9/main" objectType="CheckBox" checked="Checked" fmlaLink="G34" lockText="1" noThreeD="1"/>
</file>

<file path=xl/ctrlProps/ctrlProp432.xml><?xml version="1.0" encoding="utf-8"?>
<formControlPr xmlns="http://schemas.microsoft.com/office/spreadsheetml/2009/9/main" objectType="CheckBox" fmlaLink="L32" lockText="1" noThreeD="1"/>
</file>

<file path=xl/ctrlProps/ctrlProp433.xml><?xml version="1.0" encoding="utf-8"?>
<formControlPr xmlns="http://schemas.microsoft.com/office/spreadsheetml/2009/9/main" objectType="CheckBox" fmlaLink="L33" lockText="1" noThreeD="1"/>
</file>

<file path=xl/ctrlProps/ctrlProp434.xml><?xml version="1.0" encoding="utf-8"?>
<formControlPr xmlns="http://schemas.microsoft.com/office/spreadsheetml/2009/9/main" objectType="CheckBox" checked="Checked" fmlaLink="B9" lockText="1" noThreeD="1"/>
</file>

<file path=xl/ctrlProps/ctrlProp435.xml><?xml version="1.0" encoding="utf-8"?>
<formControlPr xmlns="http://schemas.microsoft.com/office/spreadsheetml/2009/9/main" objectType="CheckBox" fmlaLink="G9" lockText="1" noThreeD="1"/>
</file>

<file path=xl/ctrlProps/ctrlProp436.xml><?xml version="1.0" encoding="utf-8"?>
<formControlPr xmlns="http://schemas.microsoft.com/office/spreadsheetml/2009/9/main" objectType="CheckBox" fmlaLink="G12" lockText="1" noThreeD="1"/>
</file>

<file path=xl/ctrlProps/ctrlProp437.xml><?xml version="1.0" encoding="utf-8"?>
<formControlPr xmlns="http://schemas.microsoft.com/office/spreadsheetml/2009/9/main" objectType="CheckBox" fmlaLink="G13" lockText="1" noThreeD="1"/>
</file>

<file path=xl/ctrlProps/ctrlProp438.xml><?xml version="1.0" encoding="utf-8"?>
<formControlPr xmlns="http://schemas.microsoft.com/office/spreadsheetml/2009/9/main" objectType="CheckBox" fmlaLink="G16" lockText="1" noThreeD="1"/>
</file>

<file path=xl/ctrlProps/ctrlProp439.xml><?xml version="1.0" encoding="utf-8"?>
<formControlPr xmlns="http://schemas.microsoft.com/office/spreadsheetml/2009/9/main" objectType="CheckBox" checked="Checked" fmlaLink="G17" lockText="1" noThreeD="1"/>
</file>

<file path=xl/ctrlProps/ctrlProp440.xml><?xml version="1.0" encoding="utf-8"?>
<formControlPr xmlns="http://schemas.microsoft.com/office/spreadsheetml/2009/9/main" objectType="CheckBox" fmlaLink="L16" lockText="1" noThreeD="1"/>
</file>

<file path=xl/ctrlProps/ctrlProp441.xml><?xml version="1.0" encoding="utf-8"?>
<formControlPr xmlns="http://schemas.microsoft.com/office/spreadsheetml/2009/9/main" objectType="CheckBox" fmlaLink="L17" lockText="1" noThreeD="1"/>
</file>

<file path=xl/ctrlProps/ctrlProp442.xml><?xml version="1.0" encoding="utf-8"?>
<formControlPr xmlns="http://schemas.microsoft.com/office/spreadsheetml/2009/9/main" objectType="CheckBox" fmlaLink="B16" lockText="1" noThreeD="1"/>
</file>

<file path=xl/ctrlProps/ctrlProp443.xml><?xml version="1.0" encoding="utf-8"?>
<formControlPr xmlns="http://schemas.microsoft.com/office/spreadsheetml/2009/9/main" objectType="CheckBox" fmlaLink="B17" lockText="1" noThreeD="1"/>
</file>

<file path=xl/ctrlProps/ctrlProp444.xml><?xml version="1.0" encoding="utf-8"?>
<formControlPr xmlns="http://schemas.microsoft.com/office/spreadsheetml/2009/9/main" objectType="CheckBox" fmlaLink="B12" lockText="1" noThreeD="1"/>
</file>

<file path=xl/ctrlProps/ctrlProp445.xml><?xml version="1.0" encoding="utf-8"?>
<formControlPr xmlns="http://schemas.microsoft.com/office/spreadsheetml/2009/9/main" objectType="CheckBox" checked="Checked" fmlaLink="B13" lockText="1" noThreeD="1"/>
</file>

<file path=xl/ctrlProps/ctrlProp446.xml><?xml version="1.0" encoding="utf-8"?>
<formControlPr xmlns="http://schemas.microsoft.com/office/spreadsheetml/2009/9/main" objectType="CheckBox" fmlaLink="B21" lockText="1" noThreeD="1"/>
</file>

<file path=xl/ctrlProps/ctrlProp447.xml><?xml version="1.0" encoding="utf-8"?>
<formControlPr xmlns="http://schemas.microsoft.com/office/spreadsheetml/2009/9/main" objectType="CheckBox" fmlaLink="B25" lockText="1" noThreeD="1"/>
</file>

<file path=xl/ctrlProps/ctrlProp448.xml><?xml version="1.0" encoding="utf-8"?>
<formControlPr xmlns="http://schemas.microsoft.com/office/spreadsheetml/2009/9/main" objectType="CheckBox" fmlaLink="G25" lockText="1" noThreeD="1"/>
</file>

<file path=xl/ctrlProps/ctrlProp449.xml><?xml version="1.0" encoding="utf-8"?>
<formControlPr xmlns="http://schemas.microsoft.com/office/spreadsheetml/2009/9/main" objectType="CheckBox" fmlaLink="L25" lockText="1" noThreeD="1"/>
</file>

<file path=xl/ctrlProps/ctrlProp450.xml><?xml version="1.0" encoding="utf-8"?>
<formControlPr xmlns="http://schemas.microsoft.com/office/spreadsheetml/2009/9/main" objectType="CheckBox" fmlaLink="G21" lockText="1" noThreeD="1"/>
</file>

<file path=xl/ctrlProps/ctrlProp451.xml><?xml version="1.0" encoding="utf-8"?>
<formControlPr xmlns="http://schemas.microsoft.com/office/spreadsheetml/2009/9/main" objectType="CheckBox" fmlaLink="B29" lockText="1" noThreeD="1"/>
</file>

<file path=xl/ctrlProps/ctrlProp452.xml><?xml version="1.0" encoding="utf-8"?>
<formControlPr xmlns="http://schemas.microsoft.com/office/spreadsheetml/2009/9/main" objectType="CheckBox" fmlaLink="G29" lockText="1" noThreeD="1"/>
</file>

<file path=xl/ctrlProps/ctrlProp453.xml><?xml version="1.0" encoding="utf-8"?>
<formControlPr xmlns="http://schemas.microsoft.com/office/spreadsheetml/2009/9/main" objectType="CheckBox" checked="Checked" fmlaLink="L29" lockText="1" noThreeD="1"/>
</file>

<file path=xl/ctrlProps/ctrlProp454.xml><?xml version="1.0" encoding="utf-8"?>
<formControlPr xmlns="http://schemas.microsoft.com/office/spreadsheetml/2009/9/main" objectType="CheckBox" checked="Checked" fmlaLink="B38" lockText="1" noThreeD="1"/>
</file>

<file path=xl/ctrlProps/ctrlProp455.xml><?xml version="1.0" encoding="utf-8"?>
<formControlPr xmlns="http://schemas.microsoft.com/office/spreadsheetml/2009/9/main" objectType="CheckBox" fmlaLink="G38" lockText="1" noThreeD="1"/>
</file>

<file path=xl/ctrlProps/ctrlProp456.xml><?xml version="1.0" encoding="utf-8"?>
<formControlPr xmlns="http://schemas.microsoft.com/office/spreadsheetml/2009/9/main" objectType="CheckBox" fmlaLink="L38" lockText="1" noThreeD="1"/>
</file>

<file path=xl/ctrlProps/ctrlProp457.xml><?xml version="1.0" encoding="utf-8"?>
<formControlPr xmlns="http://schemas.microsoft.com/office/spreadsheetml/2009/9/main" objectType="CheckBox" fmlaLink="B44" lockText="1" noThreeD="1"/>
</file>

<file path=xl/ctrlProps/ctrlProp458.xml><?xml version="1.0" encoding="utf-8"?>
<formControlPr xmlns="http://schemas.microsoft.com/office/spreadsheetml/2009/9/main" objectType="CheckBox" checked="Checked" fmlaLink="G44" lockText="1" noThreeD="1"/>
</file>

<file path=xl/ctrlProps/ctrlProp459.xml><?xml version="1.0" encoding="utf-8"?>
<formControlPr xmlns="http://schemas.microsoft.com/office/spreadsheetml/2009/9/main" objectType="CheckBox" fmlaLink="B39" lockText="1" noThreeD="1"/>
</file>

<file path=xl/ctrlProps/ctrlProp460.xml><?xml version="1.0" encoding="utf-8"?>
<formControlPr xmlns="http://schemas.microsoft.com/office/spreadsheetml/2009/9/main" objectType="CheckBox" fmlaLink="B18" lockText="1" noThreeD="1"/>
</file>

<file path=xl/ctrlProps/ctrlProp461.xml><?xml version="1.0" encoding="utf-8"?>
<formControlPr xmlns="http://schemas.microsoft.com/office/spreadsheetml/2009/9/main" objectType="CheckBox" fmlaLink="B32" lockText="1" noThreeD="1"/>
</file>

<file path=xl/ctrlProps/ctrlProp462.xml><?xml version="1.0" encoding="utf-8"?>
<formControlPr xmlns="http://schemas.microsoft.com/office/spreadsheetml/2009/9/main" objectType="CheckBox" fmlaLink="B33" lockText="1" noThreeD="1"/>
</file>

<file path=xl/ctrlProps/ctrlProp463.xml><?xml version="1.0" encoding="utf-8"?>
<formControlPr xmlns="http://schemas.microsoft.com/office/spreadsheetml/2009/9/main" objectType="CheckBox" fmlaLink="B34" lockText="1" noThreeD="1"/>
</file>

<file path=xl/ctrlProps/ctrlProp464.xml><?xml version="1.0" encoding="utf-8"?>
<formControlPr xmlns="http://schemas.microsoft.com/office/spreadsheetml/2009/9/main" objectType="CheckBox" fmlaLink="G32" lockText="1" noThreeD="1"/>
</file>

<file path=xl/ctrlProps/ctrlProp465.xml><?xml version="1.0" encoding="utf-8"?>
<formControlPr xmlns="http://schemas.microsoft.com/office/spreadsheetml/2009/9/main" objectType="CheckBox" fmlaLink="G33" lockText="1" noThreeD="1"/>
</file>

<file path=xl/ctrlProps/ctrlProp466.xml><?xml version="1.0" encoding="utf-8"?>
<formControlPr xmlns="http://schemas.microsoft.com/office/spreadsheetml/2009/9/main" objectType="CheckBox" fmlaLink="G34" lockText="1" noThreeD="1"/>
</file>

<file path=xl/ctrlProps/ctrlProp467.xml><?xml version="1.0" encoding="utf-8"?>
<formControlPr xmlns="http://schemas.microsoft.com/office/spreadsheetml/2009/9/main" objectType="CheckBox" fmlaLink="L32" lockText="1" noThreeD="1"/>
</file>

<file path=xl/ctrlProps/ctrlProp468.xml><?xml version="1.0" encoding="utf-8"?>
<formControlPr xmlns="http://schemas.microsoft.com/office/spreadsheetml/2009/9/main" objectType="CheckBox" checked="Checked" fmlaLink="L33" lockText="1" noThreeD="1"/>
</file>

<file path=xl/ctrlProps/ctrlProp469.xml><?xml version="1.0" encoding="utf-8"?>
<formControlPr xmlns="http://schemas.microsoft.com/office/spreadsheetml/2009/9/main" objectType="CheckBox" checked="Checked" fmlaLink="B9" lockText="1" noThreeD="1"/>
</file>

<file path=xl/ctrlProps/ctrlProp470.xml><?xml version="1.0" encoding="utf-8"?>
<formControlPr xmlns="http://schemas.microsoft.com/office/spreadsheetml/2009/9/main" objectType="CheckBox" fmlaLink="G9" lockText="1" noThreeD="1"/>
</file>

<file path=xl/ctrlProps/ctrlProp471.xml><?xml version="1.0" encoding="utf-8"?>
<formControlPr xmlns="http://schemas.microsoft.com/office/spreadsheetml/2009/9/main" objectType="CheckBox" checked="Checked" fmlaLink="G12" lockText="1" noThreeD="1"/>
</file>

<file path=xl/ctrlProps/ctrlProp472.xml><?xml version="1.0" encoding="utf-8"?>
<formControlPr xmlns="http://schemas.microsoft.com/office/spreadsheetml/2009/9/main" objectType="CheckBox" fmlaLink="G13" lockText="1" noThreeD="1"/>
</file>

<file path=xl/ctrlProps/ctrlProp473.xml><?xml version="1.0" encoding="utf-8"?>
<formControlPr xmlns="http://schemas.microsoft.com/office/spreadsheetml/2009/9/main" objectType="CheckBox" fmlaLink="G16" lockText="1" noThreeD="1"/>
</file>

<file path=xl/ctrlProps/ctrlProp474.xml><?xml version="1.0" encoding="utf-8"?>
<formControlPr xmlns="http://schemas.microsoft.com/office/spreadsheetml/2009/9/main" objectType="CheckBox" fmlaLink="G17" lockText="1" noThreeD="1"/>
</file>

<file path=xl/ctrlProps/ctrlProp475.xml><?xml version="1.0" encoding="utf-8"?>
<formControlPr xmlns="http://schemas.microsoft.com/office/spreadsheetml/2009/9/main" objectType="CheckBox" fmlaLink="L16" lockText="1" noThreeD="1"/>
</file>

<file path=xl/ctrlProps/ctrlProp476.xml><?xml version="1.0" encoding="utf-8"?>
<formControlPr xmlns="http://schemas.microsoft.com/office/spreadsheetml/2009/9/main" objectType="CheckBox" fmlaLink="L17" lockText="1" noThreeD="1"/>
</file>

<file path=xl/ctrlProps/ctrlProp477.xml><?xml version="1.0" encoding="utf-8"?>
<formControlPr xmlns="http://schemas.microsoft.com/office/spreadsheetml/2009/9/main" objectType="CheckBox" fmlaLink="B16" lockText="1" noThreeD="1"/>
</file>

<file path=xl/ctrlProps/ctrlProp478.xml><?xml version="1.0" encoding="utf-8"?>
<formControlPr xmlns="http://schemas.microsoft.com/office/spreadsheetml/2009/9/main" objectType="CheckBox" fmlaLink="B17" lockText="1" noThreeD="1"/>
</file>

<file path=xl/ctrlProps/ctrlProp479.xml><?xml version="1.0" encoding="utf-8"?>
<formControlPr xmlns="http://schemas.microsoft.com/office/spreadsheetml/2009/9/main" objectType="CheckBox" fmlaLink="B12" lockText="1" noThreeD="1"/>
</file>

<file path=xl/ctrlProps/ctrlProp480.xml><?xml version="1.0" encoding="utf-8"?>
<formControlPr xmlns="http://schemas.microsoft.com/office/spreadsheetml/2009/9/main" objectType="CheckBox" fmlaLink="B13" lockText="1" noThreeD="1"/>
</file>

<file path=xl/ctrlProps/ctrlProp481.xml><?xml version="1.0" encoding="utf-8"?>
<formControlPr xmlns="http://schemas.microsoft.com/office/spreadsheetml/2009/9/main" objectType="CheckBox" fmlaLink="B21" lockText="1" noThreeD="1"/>
</file>

<file path=xl/ctrlProps/ctrlProp482.xml><?xml version="1.0" encoding="utf-8"?>
<formControlPr xmlns="http://schemas.microsoft.com/office/spreadsheetml/2009/9/main" objectType="CheckBox" fmlaLink="B25" lockText="1" noThreeD="1"/>
</file>

<file path=xl/ctrlProps/ctrlProp483.xml><?xml version="1.0" encoding="utf-8"?>
<formControlPr xmlns="http://schemas.microsoft.com/office/spreadsheetml/2009/9/main" objectType="CheckBox" fmlaLink="G25" lockText="1" noThreeD="1"/>
</file>

<file path=xl/ctrlProps/ctrlProp484.xml><?xml version="1.0" encoding="utf-8"?>
<formControlPr xmlns="http://schemas.microsoft.com/office/spreadsheetml/2009/9/main" objectType="CheckBox" fmlaLink="L25" lockText="1" noThreeD="1"/>
</file>

<file path=xl/ctrlProps/ctrlProp485.xml><?xml version="1.0" encoding="utf-8"?>
<formControlPr xmlns="http://schemas.microsoft.com/office/spreadsheetml/2009/9/main" objectType="CheckBox" checked="Checked" fmlaLink="G21" lockText="1" noThreeD="1"/>
</file>

<file path=xl/ctrlProps/ctrlProp486.xml><?xml version="1.0" encoding="utf-8"?>
<formControlPr xmlns="http://schemas.microsoft.com/office/spreadsheetml/2009/9/main" objectType="CheckBox" fmlaLink="B29" lockText="1" noThreeD="1"/>
</file>

<file path=xl/ctrlProps/ctrlProp487.xml><?xml version="1.0" encoding="utf-8"?>
<formControlPr xmlns="http://schemas.microsoft.com/office/spreadsheetml/2009/9/main" objectType="CheckBox" fmlaLink="G29" lockText="1" noThreeD="1"/>
</file>

<file path=xl/ctrlProps/ctrlProp488.xml><?xml version="1.0" encoding="utf-8"?>
<formControlPr xmlns="http://schemas.microsoft.com/office/spreadsheetml/2009/9/main" objectType="CheckBox" checked="Checked" fmlaLink="L29" lockText="1" noThreeD="1"/>
</file>

<file path=xl/ctrlProps/ctrlProp489.xml><?xml version="1.0" encoding="utf-8"?>
<formControlPr xmlns="http://schemas.microsoft.com/office/spreadsheetml/2009/9/main" objectType="CheckBox" fmlaLink="B38" lockText="1" noThreeD="1"/>
</file>

<file path=xl/ctrlProps/ctrlProp490.xml><?xml version="1.0" encoding="utf-8"?>
<formControlPr xmlns="http://schemas.microsoft.com/office/spreadsheetml/2009/9/main" objectType="CheckBox" checked="Checked" fmlaLink="G38" lockText="1" noThreeD="1"/>
</file>

<file path=xl/ctrlProps/ctrlProp491.xml><?xml version="1.0" encoding="utf-8"?>
<formControlPr xmlns="http://schemas.microsoft.com/office/spreadsheetml/2009/9/main" objectType="CheckBox" checked="Checked" fmlaLink="L38" lockText="1" noThreeD="1"/>
</file>

<file path=xl/ctrlProps/ctrlProp492.xml><?xml version="1.0" encoding="utf-8"?>
<formControlPr xmlns="http://schemas.microsoft.com/office/spreadsheetml/2009/9/main" objectType="CheckBox" fmlaLink="B44" lockText="1" noThreeD="1"/>
</file>

<file path=xl/ctrlProps/ctrlProp493.xml><?xml version="1.0" encoding="utf-8"?>
<formControlPr xmlns="http://schemas.microsoft.com/office/spreadsheetml/2009/9/main" objectType="CheckBox" checked="Checked" fmlaLink="G44" lockText="1" noThreeD="1"/>
</file>

<file path=xl/ctrlProps/ctrlProp494.xml><?xml version="1.0" encoding="utf-8"?>
<formControlPr xmlns="http://schemas.microsoft.com/office/spreadsheetml/2009/9/main" objectType="CheckBox" fmlaLink="B39" lockText="1" noThreeD="1"/>
</file>

<file path=xl/ctrlProps/ctrlProp495.xml><?xml version="1.0" encoding="utf-8"?>
<formControlPr xmlns="http://schemas.microsoft.com/office/spreadsheetml/2009/9/main" objectType="CheckBox" fmlaLink="B18" lockText="1" noThreeD="1"/>
</file>

<file path=xl/ctrlProps/ctrlProp496.xml><?xml version="1.0" encoding="utf-8"?>
<formControlPr xmlns="http://schemas.microsoft.com/office/spreadsheetml/2009/9/main" objectType="CheckBox" fmlaLink="B32" lockText="1" noThreeD="1"/>
</file>

<file path=xl/ctrlProps/ctrlProp497.xml><?xml version="1.0" encoding="utf-8"?>
<formControlPr xmlns="http://schemas.microsoft.com/office/spreadsheetml/2009/9/main" objectType="CheckBox" fmlaLink="B33" lockText="1" noThreeD="1"/>
</file>

<file path=xl/ctrlProps/ctrlProp498.xml><?xml version="1.0" encoding="utf-8"?>
<formControlPr xmlns="http://schemas.microsoft.com/office/spreadsheetml/2009/9/main" objectType="CheckBox" fmlaLink="B34" lockText="1" noThreeD="1"/>
</file>

<file path=xl/ctrlProps/ctrlProp499.xml><?xml version="1.0" encoding="utf-8"?>
<formControlPr xmlns="http://schemas.microsoft.com/office/spreadsheetml/2009/9/main" objectType="CheckBox" fmlaLink="G32" lockText="1" noThreeD="1"/>
</file>

<file path=xl/ctrlProps/ctrlProp500.xml><?xml version="1.0" encoding="utf-8"?>
<formControlPr xmlns="http://schemas.microsoft.com/office/spreadsheetml/2009/9/main" objectType="CheckBox" fmlaLink="G33" lockText="1" noThreeD="1"/>
</file>

<file path=xl/ctrlProps/ctrlProp501.xml><?xml version="1.0" encoding="utf-8"?>
<formControlPr xmlns="http://schemas.microsoft.com/office/spreadsheetml/2009/9/main" objectType="CheckBox" fmlaLink="G34" lockText="1" noThreeD="1"/>
</file>

<file path=xl/ctrlProps/ctrlProp502.xml><?xml version="1.0" encoding="utf-8"?>
<formControlPr xmlns="http://schemas.microsoft.com/office/spreadsheetml/2009/9/main" objectType="CheckBox" fmlaLink="L32" lockText="1" noThreeD="1"/>
</file>

<file path=xl/ctrlProps/ctrlProp503.xml><?xml version="1.0" encoding="utf-8"?>
<formControlPr xmlns="http://schemas.microsoft.com/office/spreadsheetml/2009/9/main" objectType="CheckBox" checked="Checked" fmlaLink="L33" lockText="1" noThreeD="1"/>
</file>

<file path=xl/ctrlProps/ctrlProp504.xml><?xml version="1.0" encoding="utf-8"?>
<formControlPr xmlns="http://schemas.microsoft.com/office/spreadsheetml/2009/9/main" objectType="CheckBox" checked="Checked" fmlaLink="B9" lockText="1" noThreeD="1"/>
</file>

<file path=xl/ctrlProps/ctrlProp505.xml><?xml version="1.0" encoding="utf-8"?>
<formControlPr xmlns="http://schemas.microsoft.com/office/spreadsheetml/2009/9/main" objectType="CheckBox" fmlaLink="G9" lockText="1" noThreeD="1"/>
</file>

<file path=xl/ctrlProps/ctrlProp506.xml><?xml version="1.0" encoding="utf-8"?>
<formControlPr xmlns="http://schemas.microsoft.com/office/spreadsheetml/2009/9/main" objectType="CheckBox" checked="Checked" fmlaLink="G12" lockText="1" noThreeD="1"/>
</file>

<file path=xl/ctrlProps/ctrlProp507.xml><?xml version="1.0" encoding="utf-8"?>
<formControlPr xmlns="http://schemas.microsoft.com/office/spreadsheetml/2009/9/main" objectType="CheckBox" fmlaLink="G13" lockText="1" noThreeD="1"/>
</file>

<file path=xl/ctrlProps/ctrlProp508.xml><?xml version="1.0" encoding="utf-8"?>
<formControlPr xmlns="http://schemas.microsoft.com/office/spreadsheetml/2009/9/main" objectType="CheckBox" fmlaLink="G16" lockText="1" noThreeD="1"/>
</file>

<file path=xl/ctrlProps/ctrlProp509.xml><?xml version="1.0" encoding="utf-8"?>
<formControlPr xmlns="http://schemas.microsoft.com/office/spreadsheetml/2009/9/main" objectType="CheckBox" fmlaLink="G17" lockText="1" noThreeD="1"/>
</file>

<file path=xl/ctrlProps/ctrlProp510.xml><?xml version="1.0" encoding="utf-8"?>
<formControlPr xmlns="http://schemas.microsoft.com/office/spreadsheetml/2009/9/main" objectType="CheckBox" fmlaLink="L16" lockText="1" noThreeD="1"/>
</file>

<file path=xl/ctrlProps/ctrlProp511.xml><?xml version="1.0" encoding="utf-8"?>
<formControlPr xmlns="http://schemas.microsoft.com/office/spreadsheetml/2009/9/main" objectType="CheckBox" fmlaLink="L17" lockText="1" noThreeD="1"/>
</file>

<file path=xl/ctrlProps/ctrlProp512.xml><?xml version="1.0" encoding="utf-8"?>
<formControlPr xmlns="http://schemas.microsoft.com/office/spreadsheetml/2009/9/main" objectType="CheckBox" fmlaLink="B16" lockText="1" noThreeD="1"/>
</file>

<file path=xl/ctrlProps/ctrlProp513.xml><?xml version="1.0" encoding="utf-8"?>
<formControlPr xmlns="http://schemas.microsoft.com/office/spreadsheetml/2009/9/main" objectType="CheckBox" fmlaLink="B17" lockText="1" noThreeD="1"/>
</file>

<file path=xl/ctrlProps/ctrlProp514.xml><?xml version="1.0" encoding="utf-8"?>
<formControlPr xmlns="http://schemas.microsoft.com/office/spreadsheetml/2009/9/main" objectType="CheckBox" fmlaLink="B12" lockText="1" noThreeD="1"/>
</file>

<file path=xl/ctrlProps/ctrlProp515.xml><?xml version="1.0" encoding="utf-8"?>
<formControlPr xmlns="http://schemas.microsoft.com/office/spreadsheetml/2009/9/main" objectType="CheckBox" fmlaLink="B13" lockText="1" noThreeD="1"/>
</file>

<file path=xl/ctrlProps/ctrlProp516.xml><?xml version="1.0" encoding="utf-8"?>
<formControlPr xmlns="http://schemas.microsoft.com/office/spreadsheetml/2009/9/main" objectType="CheckBox" fmlaLink="B21" lockText="1" noThreeD="1"/>
</file>

<file path=xl/ctrlProps/ctrlProp517.xml><?xml version="1.0" encoding="utf-8"?>
<formControlPr xmlns="http://schemas.microsoft.com/office/spreadsheetml/2009/9/main" objectType="CheckBox" fmlaLink="B25" lockText="1" noThreeD="1"/>
</file>

<file path=xl/ctrlProps/ctrlProp518.xml><?xml version="1.0" encoding="utf-8"?>
<formControlPr xmlns="http://schemas.microsoft.com/office/spreadsheetml/2009/9/main" objectType="CheckBox" fmlaLink="G25" lockText="1" noThreeD="1"/>
</file>

<file path=xl/ctrlProps/ctrlProp519.xml><?xml version="1.0" encoding="utf-8"?>
<formControlPr xmlns="http://schemas.microsoft.com/office/spreadsheetml/2009/9/main" objectType="CheckBox" fmlaLink="L25" lockText="1" noThreeD="1"/>
</file>

<file path=xl/ctrlProps/ctrlProp520.xml><?xml version="1.0" encoding="utf-8"?>
<formControlPr xmlns="http://schemas.microsoft.com/office/spreadsheetml/2009/9/main" objectType="CheckBox" checked="Checked" fmlaLink="G21" lockText="1" noThreeD="1"/>
</file>

<file path=xl/ctrlProps/ctrlProp521.xml><?xml version="1.0" encoding="utf-8"?>
<formControlPr xmlns="http://schemas.microsoft.com/office/spreadsheetml/2009/9/main" objectType="CheckBox" fmlaLink="B29" lockText="1" noThreeD="1"/>
</file>

<file path=xl/ctrlProps/ctrlProp522.xml><?xml version="1.0" encoding="utf-8"?>
<formControlPr xmlns="http://schemas.microsoft.com/office/spreadsheetml/2009/9/main" objectType="CheckBox" fmlaLink="G29" lockText="1" noThreeD="1"/>
</file>

<file path=xl/ctrlProps/ctrlProp523.xml><?xml version="1.0" encoding="utf-8"?>
<formControlPr xmlns="http://schemas.microsoft.com/office/spreadsheetml/2009/9/main" objectType="CheckBox" checked="Checked" fmlaLink="L29" lockText="1" noThreeD="1"/>
</file>

<file path=xl/ctrlProps/ctrlProp524.xml><?xml version="1.0" encoding="utf-8"?>
<formControlPr xmlns="http://schemas.microsoft.com/office/spreadsheetml/2009/9/main" objectType="CheckBox" fmlaLink="B38" lockText="1" noThreeD="1"/>
</file>

<file path=xl/ctrlProps/ctrlProp525.xml><?xml version="1.0" encoding="utf-8"?>
<formControlPr xmlns="http://schemas.microsoft.com/office/spreadsheetml/2009/9/main" objectType="CheckBox" checked="Checked" fmlaLink="G38" lockText="1" noThreeD="1"/>
</file>

<file path=xl/ctrlProps/ctrlProp526.xml><?xml version="1.0" encoding="utf-8"?>
<formControlPr xmlns="http://schemas.microsoft.com/office/spreadsheetml/2009/9/main" objectType="CheckBox" checked="Checked" fmlaLink="L38" lockText="1" noThreeD="1"/>
</file>

<file path=xl/ctrlProps/ctrlProp527.xml><?xml version="1.0" encoding="utf-8"?>
<formControlPr xmlns="http://schemas.microsoft.com/office/spreadsheetml/2009/9/main" objectType="CheckBox" fmlaLink="B44" lockText="1" noThreeD="1"/>
</file>

<file path=xl/ctrlProps/ctrlProp528.xml><?xml version="1.0" encoding="utf-8"?>
<formControlPr xmlns="http://schemas.microsoft.com/office/spreadsheetml/2009/9/main" objectType="CheckBox" checked="Checked" fmlaLink="G44" lockText="1" noThreeD="1"/>
</file>

<file path=xl/ctrlProps/ctrlProp529.xml><?xml version="1.0" encoding="utf-8"?>
<formControlPr xmlns="http://schemas.microsoft.com/office/spreadsheetml/2009/9/main" objectType="CheckBox" fmlaLink="B39" lockText="1" noThreeD="1"/>
</file>

<file path=xl/ctrlProps/ctrlProp530.xml><?xml version="1.0" encoding="utf-8"?>
<formControlPr xmlns="http://schemas.microsoft.com/office/spreadsheetml/2009/9/main" objectType="CheckBox" fmlaLink="B18" lockText="1" noThreeD="1"/>
</file>

<file path=xl/ctrlProps/ctrlProp531.xml><?xml version="1.0" encoding="utf-8"?>
<formControlPr xmlns="http://schemas.microsoft.com/office/spreadsheetml/2009/9/main" objectType="CheckBox" fmlaLink="B32" lockText="1" noThreeD="1"/>
</file>

<file path=xl/ctrlProps/ctrlProp532.xml><?xml version="1.0" encoding="utf-8"?>
<formControlPr xmlns="http://schemas.microsoft.com/office/spreadsheetml/2009/9/main" objectType="CheckBox" fmlaLink="B33" lockText="1" noThreeD="1"/>
</file>

<file path=xl/ctrlProps/ctrlProp533.xml><?xml version="1.0" encoding="utf-8"?>
<formControlPr xmlns="http://schemas.microsoft.com/office/spreadsheetml/2009/9/main" objectType="CheckBox" fmlaLink="B34" lockText="1" noThreeD="1"/>
</file>

<file path=xl/ctrlProps/ctrlProp534.xml><?xml version="1.0" encoding="utf-8"?>
<formControlPr xmlns="http://schemas.microsoft.com/office/spreadsheetml/2009/9/main" objectType="CheckBox" fmlaLink="G32" lockText="1" noThreeD="1"/>
</file>

<file path=xl/ctrlProps/ctrlProp535.xml><?xml version="1.0" encoding="utf-8"?>
<formControlPr xmlns="http://schemas.microsoft.com/office/spreadsheetml/2009/9/main" objectType="CheckBox" fmlaLink="G33" lockText="1" noThreeD="1"/>
</file>

<file path=xl/ctrlProps/ctrlProp536.xml><?xml version="1.0" encoding="utf-8"?>
<formControlPr xmlns="http://schemas.microsoft.com/office/spreadsheetml/2009/9/main" objectType="CheckBox" fmlaLink="G34" lockText="1" noThreeD="1"/>
</file>

<file path=xl/ctrlProps/ctrlProp537.xml><?xml version="1.0" encoding="utf-8"?>
<formControlPr xmlns="http://schemas.microsoft.com/office/spreadsheetml/2009/9/main" objectType="CheckBox" fmlaLink="L32" lockText="1" noThreeD="1"/>
</file>

<file path=xl/ctrlProps/ctrlProp538.xml><?xml version="1.0" encoding="utf-8"?>
<formControlPr xmlns="http://schemas.microsoft.com/office/spreadsheetml/2009/9/main" objectType="CheckBox" checked="Checked"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269" name="Check Box 189" hidden="1">
              <a:extLst>
                <a:ext uri="{63B3BB69-23CF-44E3-9099-C40C66FF867C}">
                  <a14:compatExt spid="_x0000_s174269"/>
                </a:ext>
                <a:ext uri="{FF2B5EF4-FFF2-40B4-BE49-F238E27FC236}">
                  <a16:creationId xmlns:a16="http://schemas.microsoft.com/office/drawing/2014/main" id="{00000000-0008-0000-0500-0000B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270" name="Check Box 190" hidden="1">
              <a:extLst>
                <a:ext uri="{63B3BB69-23CF-44E3-9099-C40C66FF867C}">
                  <a14:compatExt spid="_x0000_s174270"/>
                </a:ext>
                <a:ext uri="{FF2B5EF4-FFF2-40B4-BE49-F238E27FC236}">
                  <a16:creationId xmlns:a16="http://schemas.microsoft.com/office/drawing/2014/main" id="{00000000-0008-0000-0500-0000B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4271" name="Check Box 191" hidden="1">
              <a:extLst>
                <a:ext uri="{63B3BB69-23CF-44E3-9099-C40C66FF867C}">
                  <a14:compatExt spid="_x0000_s174271"/>
                </a:ext>
                <a:ext uri="{FF2B5EF4-FFF2-40B4-BE49-F238E27FC236}">
                  <a16:creationId xmlns:a16="http://schemas.microsoft.com/office/drawing/2014/main" id="{00000000-0008-0000-0500-0000B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4272" name="Check Box 192" hidden="1">
              <a:extLst>
                <a:ext uri="{63B3BB69-23CF-44E3-9099-C40C66FF867C}">
                  <a14:compatExt spid="_x0000_s174272"/>
                </a:ext>
                <a:ext uri="{FF2B5EF4-FFF2-40B4-BE49-F238E27FC236}">
                  <a16:creationId xmlns:a16="http://schemas.microsoft.com/office/drawing/2014/main" id="{00000000-0008-0000-0500-0000C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4273" name="Check Box 193" hidden="1">
              <a:extLst>
                <a:ext uri="{63B3BB69-23CF-44E3-9099-C40C66FF867C}">
                  <a14:compatExt spid="_x0000_s174273"/>
                </a:ext>
                <a:ext uri="{FF2B5EF4-FFF2-40B4-BE49-F238E27FC236}">
                  <a16:creationId xmlns:a16="http://schemas.microsoft.com/office/drawing/2014/main" id="{00000000-0008-0000-0500-0000C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4274" name="Check Box 194" hidden="1">
              <a:extLst>
                <a:ext uri="{63B3BB69-23CF-44E3-9099-C40C66FF867C}">
                  <a14:compatExt spid="_x0000_s174274"/>
                </a:ext>
                <a:ext uri="{FF2B5EF4-FFF2-40B4-BE49-F238E27FC236}">
                  <a16:creationId xmlns:a16="http://schemas.microsoft.com/office/drawing/2014/main" id="{00000000-0008-0000-0500-0000C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4275" name="Check Box 195" hidden="1">
              <a:extLst>
                <a:ext uri="{63B3BB69-23CF-44E3-9099-C40C66FF867C}">
                  <a14:compatExt spid="_x0000_s174275"/>
                </a:ext>
                <a:ext uri="{FF2B5EF4-FFF2-40B4-BE49-F238E27FC236}">
                  <a16:creationId xmlns:a16="http://schemas.microsoft.com/office/drawing/2014/main" id="{00000000-0008-0000-0500-0000C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4276" name="Check Box 196" hidden="1">
              <a:extLst>
                <a:ext uri="{63B3BB69-23CF-44E3-9099-C40C66FF867C}">
                  <a14:compatExt spid="_x0000_s174276"/>
                </a:ext>
                <a:ext uri="{FF2B5EF4-FFF2-40B4-BE49-F238E27FC236}">
                  <a16:creationId xmlns:a16="http://schemas.microsoft.com/office/drawing/2014/main" id="{00000000-0008-0000-0500-0000C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4277" name="Check Box 197" hidden="1">
              <a:extLst>
                <a:ext uri="{63B3BB69-23CF-44E3-9099-C40C66FF867C}">
                  <a14:compatExt spid="_x0000_s174277"/>
                </a:ext>
                <a:ext uri="{FF2B5EF4-FFF2-40B4-BE49-F238E27FC236}">
                  <a16:creationId xmlns:a16="http://schemas.microsoft.com/office/drawing/2014/main" id="{00000000-0008-0000-0500-0000C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4278" name="Check Box 198" hidden="1">
              <a:extLst>
                <a:ext uri="{63B3BB69-23CF-44E3-9099-C40C66FF867C}">
                  <a14:compatExt spid="_x0000_s174278"/>
                </a:ext>
                <a:ext uri="{FF2B5EF4-FFF2-40B4-BE49-F238E27FC236}">
                  <a16:creationId xmlns:a16="http://schemas.microsoft.com/office/drawing/2014/main" id="{00000000-0008-0000-0500-0000C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4279" name="Check Box 199" hidden="1">
              <a:extLst>
                <a:ext uri="{63B3BB69-23CF-44E3-9099-C40C66FF867C}">
                  <a14:compatExt spid="_x0000_s174279"/>
                </a:ext>
                <a:ext uri="{FF2B5EF4-FFF2-40B4-BE49-F238E27FC236}">
                  <a16:creationId xmlns:a16="http://schemas.microsoft.com/office/drawing/2014/main" id="{00000000-0008-0000-0500-0000C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4280" name="Check Box 200" hidden="1">
              <a:extLst>
                <a:ext uri="{63B3BB69-23CF-44E3-9099-C40C66FF867C}">
                  <a14:compatExt spid="_x0000_s174280"/>
                </a:ext>
                <a:ext uri="{FF2B5EF4-FFF2-40B4-BE49-F238E27FC236}">
                  <a16:creationId xmlns:a16="http://schemas.microsoft.com/office/drawing/2014/main" id="{00000000-0008-0000-0500-0000C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28</xdr:row>
          <xdr:rowOff>19050</xdr:rowOff>
        </xdr:to>
        <xdr:sp macro="" textlink="">
          <xdr:nvSpPr>
            <xdr:cNvPr id="174281" name="Check Box 201" hidden="1">
              <a:extLst>
                <a:ext uri="{63B3BB69-23CF-44E3-9099-C40C66FF867C}">
                  <a14:compatExt spid="_x0000_s174281"/>
                </a:ext>
                <a:ext uri="{FF2B5EF4-FFF2-40B4-BE49-F238E27FC236}">
                  <a16:creationId xmlns:a16="http://schemas.microsoft.com/office/drawing/2014/main" id="{00000000-0008-0000-0500-0000C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28</xdr:row>
          <xdr:rowOff>19050</xdr:rowOff>
        </xdr:to>
        <xdr:sp macro="" textlink="">
          <xdr:nvSpPr>
            <xdr:cNvPr id="174282" name="Check Box 202" hidden="1">
              <a:extLst>
                <a:ext uri="{63B3BB69-23CF-44E3-9099-C40C66FF867C}">
                  <a14:compatExt spid="_x0000_s174282"/>
                </a:ext>
                <a:ext uri="{FF2B5EF4-FFF2-40B4-BE49-F238E27FC236}">
                  <a16:creationId xmlns:a16="http://schemas.microsoft.com/office/drawing/2014/main" id="{00000000-0008-0000-0500-0000C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283" name="Check Box 203" hidden="1">
              <a:extLst>
                <a:ext uri="{63B3BB69-23CF-44E3-9099-C40C66FF867C}">
                  <a14:compatExt spid="_x0000_s174283"/>
                </a:ext>
                <a:ext uri="{FF2B5EF4-FFF2-40B4-BE49-F238E27FC236}">
                  <a16:creationId xmlns:a16="http://schemas.microsoft.com/office/drawing/2014/main" id="{00000000-0008-0000-0500-0000C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284" name="Check Box 204" hidden="1">
              <a:extLst>
                <a:ext uri="{63B3BB69-23CF-44E3-9099-C40C66FF867C}">
                  <a14:compatExt spid="_x0000_s174284"/>
                </a:ext>
                <a:ext uri="{FF2B5EF4-FFF2-40B4-BE49-F238E27FC236}">
                  <a16:creationId xmlns:a16="http://schemas.microsoft.com/office/drawing/2014/main" id="{00000000-0008-0000-0500-0000C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285" name="Check Box 205" hidden="1">
              <a:extLst>
                <a:ext uri="{63B3BB69-23CF-44E3-9099-C40C66FF867C}">
                  <a14:compatExt spid="_x0000_s174285"/>
                </a:ext>
                <a:ext uri="{FF2B5EF4-FFF2-40B4-BE49-F238E27FC236}">
                  <a16:creationId xmlns:a16="http://schemas.microsoft.com/office/drawing/2014/main" id="{00000000-0008-0000-0500-0000C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286" name="Check Box 206" hidden="1">
              <a:extLst>
                <a:ext uri="{63B3BB69-23CF-44E3-9099-C40C66FF867C}">
                  <a14:compatExt spid="_x0000_s174286"/>
                </a:ext>
                <a:ext uri="{FF2B5EF4-FFF2-40B4-BE49-F238E27FC236}">
                  <a16:creationId xmlns:a16="http://schemas.microsoft.com/office/drawing/2014/main" id="{00000000-0008-0000-0500-0000C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4287" name="Check Box 207" hidden="1">
              <a:extLst>
                <a:ext uri="{63B3BB69-23CF-44E3-9099-C40C66FF867C}">
                  <a14:compatExt spid="_x0000_s174287"/>
                </a:ext>
                <a:ext uri="{FF2B5EF4-FFF2-40B4-BE49-F238E27FC236}">
                  <a16:creationId xmlns:a16="http://schemas.microsoft.com/office/drawing/2014/main" id="{00000000-0008-0000-0500-0000C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4288" name="Check Box 208" hidden="1">
              <a:extLst>
                <a:ext uri="{63B3BB69-23CF-44E3-9099-C40C66FF867C}">
                  <a14:compatExt spid="_x0000_s174288"/>
                </a:ext>
                <a:ext uri="{FF2B5EF4-FFF2-40B4-BE49-F238E27FC236}">
                  <a16:creationId xmlns:a16="http://schemas.microsoft.com/office/drawing/2014/main" id="{00000000-0008-0000-0500-0000D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289" name="Check Box 209" hidden="1">
              <a:extLst>
                <a:ext uri="{63B3BB69-23CF-44E3-9099-C40C66FF867C}">
                  <a14:compatExt spid="_x0000_s174289"/>
                </a:ext>
                <a:ext uri="{FF2B5EF4-FFF2-40B4-BE49-F238E27FC236}">
                  <a16:creationId xmlns:a16="http://schemas.microsoft.com/office/drawing/2014/main" id="{00000000-0008-0000-0500-0000D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4290" name="Check Box 210" hidden="1">
              <a:extLst>
                <a:ext uri="{63B3BB69-23CF-44E3-9099-C40C66FF867C}">
                  <a14:compatExt spid="_x0000_s174290"/>
                </a:ext>
                <a:ext uri="{FF2B5EF4-FFF2-40B4-BE49-F238E27FC236}">
                  <a16:creationId xmlns:a16="http://schemas.microsoft.com/office/drawing/2014/main" id="{00000000-0008-0000-0500-0000D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4291" name="Check Box 211" hidden="1">
              <a:extLst>
                <a:ext uri="{63B3BB69-23CF-44E3-9099-C40C66FF867C}">
                  <a14:compatExt spid="_x0000_s174291"/>
                </a:ext>
                <a:ext uri="{FF2B5EF4-FFF2-40B4-BE49-F238E27FC236}">
                  <a16:creationId xmlns:a16="http://schemas.microsoft.com/office/drawing/2014/main" id="{00000000-0008-0000-0500-0000D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4292" name="Check Box 212" hidden="1">
              <a:extLst>
                <a:ext uri="{63B3BB69-23CF-44E3-9099-C40C66FF867C}">
                  <a14:compatExt spid="_x0000_s174292"/>
                </a:ext>
                <a:ext uri="{FF2B5EF4-FFF2-40B4-BE49-F238E27FC236}">
                  <a16:creationId xmlns:a16="http://schemas.microsoft.com/office/drawing/2014/main" id="{00000000-0008-0000-0500-0000D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4293" name="Check Box 213" hidden="1">
              <a:extLst>
                <a:ext uri="{63B3BB69-23CF-44E3-9099-C40C66FF867C}">
                  <a14:compatExt spid="_x0000_s174293"/>
                </a:ext>
                <a:ext uri="{FF2B5EF4-FFF2-40B4-BE49-F238E27FC236}">
                  <a16:creationId xmlns:a16="http://schemas.microsoft.com/office/drawing/2014/main" id="{00000000-0008-0000-0500-0000D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4294" name="Check Box 214" hidden="1">
              <a:extLst>
                <a:ext uri="{63B3BB69-23CF-44E3-9099-C40C66FF867C}">
                  <a14:compatExt spid="_x0000_s174294"/>
                </a:ext>
                <a:ext uri="{FF2B5EF4-FFF2-40B4-BE49-F238E27FC236}">
                  <a16:creationId xmlns:a16="http://schemas.microsoft.com/office/drawing/2014/main" id="{00000000-0008-0000-0500-0000D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4295" name="Check Box 215" hidden="1">
              <a:extLst>
                <a:ext uri="{63B3BB69-23CF-44E3-9099-C40C66FF867C}">
                  <a14:compatExt spid="_x0000_s174295"/>
                </a:ext>
                <a:ext uri="{FF2B5EF4-FFF2-40B4-BE49-F238E27FC236}">
                  <a16:creationId xmlns:a16="http://schemas.microsoft.com/office/drawing/2014/main" id="{00000000-0008-0000-0500-0000D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4296" name="Check Box 216" hidden="1">
              <a:extLst>
                <a:ext uri="{63B3BB69-23CF-44E3-9099-C40C66FF867C}">
                  <a14:compatExt spid="_x0000_s174296"/>
                </a:ext>
                <a:ext uri="{FF2B5EF4-FFF2-40B4-BE49-F238E27FC236}">
                  <a16:creationId xmlns:a16="http://schemas.microsoft.com/office/drawing/2014/main" id="{00000000-0008-0000-0500-0000D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4297" name="Check Box 217" hidden="1">
              <a:extLst>
                <a:ext uri="{63B3BB69-23CF-44E3-9099-C40C66FF867C}">
                  <a14:compatExt spid="_x0000_s174297"/>
                </a:ext>
                <a:ext uri="{FF2B5EF4-FFF2-40B4-BE49-F238E27FC236}">
                  <a16:creationId xmlns:a16="http://schemas.microsoft.com/office/drawing/2014/main" id="{00000000-0008-0000-0500-0000D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4298" name="Check Box 218" hidden="1">
              <a:extLst>
                <a:ext uri="{63B3BB69-23CF-44E3-9099-C40C66FF867C}">
                  <a14:compatExt spid="_x0000_s174298"/>
                </a:ext>
                <a:ext uri="{FF2B5EF4-FFF2-40B4-BE49-F238E27FC236}">
                  <a16:creationId xmlns:a16="http://schemas.microsoft.com/office/drawing/2014/main" id="{00000000-0008-0000-0500-0000D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4299" name="Check Box 219" hidden="1">
              <a:extLst>
                <a:ext uri="{63B3BB69-23CF-44E3-9099-C40C66FF867C}">
                  <a14:compatExt spid="_x0000_s174299"/>
                </a:ext>
                <a:ext uri="{FF2B5EF4-FFF2-40B4-BE49-F238E27FC236}">
                  <a16:creationId xmlns:a16="http://schemas.microsoft.com/office/drawing/2014/main" id="{00000000-0008-0000-0500-0000D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4300" name="Check Box 220" hidden="1">
              <a:extLst>
                <a:ext uri="{63B3BB69-23CF-44E3-9099-C40C66FF867C}">
                  <a14:compatExt spid="_x0000_s174300"/>
                </a:ext>
                <a:ext uri="{FF2B5EF4-FFF2-40B4-BE49-F238E27FC236}">
                  <a16:creationId xmlns:a16="http://schemas.microsoft.com/office/drawing/2014/main" id="{00000000-0008-0000-0500-0000D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4301" name="Check Box 221" hidden="1">
              <a:extLst>
                <a:ext uri="{63B3BB69-23CF-44E3-9099-C40C66FF867C}">
                  <a14:compatExt spid="_x0000_s174301"/>
                </a:ext>
                <a:ext uri="{FF2B5EF4-FFF2-40B4-BE49-F238E27FC236}">
                  <a16:creationId xmlns:a16="http://schemas.microsoft.com/office/drawing/2014/main" id="{00000000-0008-0000-0500-0000D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4302" name="Check Box 222" hidden="1">
              <a:extLst>
                <a:ext uri="{63B3BB69-23CF-44E3-9099-C40C66FF867C}">
                  <a14:compatExt spid="_x0000_s174302"/>
                </a:ext>
                <a:ext uri="{FF2B5EF4-FFF2-40B4-BE49-F238E27FC236}">
                  <a16:creationId xmlns:a16="http://schemas.microsoft.com/office/drawing/2014/main" id="{00000000-0008-0000-0500-0000D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4303" name="Check Box 223" hidden="1">
              <a:extLst>
                <a:ext uri="{63B3BB69-23CF-44E3-9099-C40C66FF867C}">
                  <a14:compatExt spid="_x0000_s174303"/>
                </a:ext>
                <a:ext uri="{FF2B5EF4-FFF2-40B4-BE49-F238E27FC236}">
                  <a16:creationId xmlns:a16="http://schemas.microsoft.com/office/drawing/2014/main" id="{00000000-0008-0000-0500-0000D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4304" name="Check Box 224" hidden="1">
              <a:extLst>
                <a:ext uri="{63B3BB69-23CF-44E3-9099-C40C66FF867C}">
                  <a14:compatExt spid="_x0000_s174304"/>
                </a:ext>
                <a:ext uri="{FF2B5EF4-FFF2-40B4-BE49-F238E27FC236}">
                  <a16:creationId xmlns:a16="http://schemas.microsoft.com/office/drawing/2014/main" id="{00000000-0008-0000-0500-0000E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4305" name="Check Box 225" hidden="1">
              <a:extLst>
                <a:ext uri="{63B3BB69-23CF-44E3-9099-C40C66FF867C}">
                  <a14:compatExt spid="_x0000_s174305"/>
                </a:ext>
                <a:ext uri="{FF2B5EF4-FFF2-40B4-BE49-F238E27FC236}">
                  <a16:creationId xmlns:a16="http://schemas.microsoft.com/office/drawing/2014/main" id="{00000000-0008-0000-0500-0000E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4306" name="Check Box 226" hidden="1">
              <a:extLst>
                <a:ext uri="{63B3BB69-23CF-44E3-9099-C40C66FF867C}">
                  <a14:compatExt spid="_x0000_s174306"/>
                </a:ext>
                <a:ext uri="{FF2B5EF4-FFF2-40B4-BE49-F238E27FC236}">
                  <a16:creationId xmlns:a16="http://schemas.microsoft.com/office/drawing/2014/main" id="{00000000-0008-0000-0500-0000E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4307" name="Check Box 227" hidden="1">
              <a:extLst>
                <a:ext uri="{63B3BB69-23CF-44E3-9099-C40C66FF867C}">
                  <a14:compatExt spid="_x0000_s174307"/>
                </a:ext>
                <a:ext uri="{FF2B5EF4-FFF2-40B4-BE49-F238E27FC236}">
                  <a16:creationId xmlns:a16="http://schemas.microsoft.com/office/drawing/2014/main" id="{00000000-0008-0000-0500-0000E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4308" name="Check Box 228" hidden="1">
              <a:extLst>
                <a:ext uri="{63B3BB69-23CF-44E3-9099-C40C66FF867C}">
                  <a14:compatExt spid="_x0000_s174308"/>
                </a:ext>
                <a:ext uri="{FF2B5EF4-FFF2-40B4-BE49-F238E27FC236}">
                  <a16:creationId xmlns:a16="http://schemas.microsoft.com/office/drawing/2014/main" id="{00000000-0008-0000-0500-0000E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4309" name="Check Box 229" hidden="1">
              <a:extLst>
                <a:ext uri="{63B3BB69-23CF-44E3-9099-C40C66FF867C}">
                  <a14:compatExt spid="_x0000_s174309"/>
                </a:ext>
                <a:ext uri="{FF2B5EF4-FFF2-40B4-BE49-F238E27FC236}">
                  <a16:creationId xmlns:a16="http://schemas.microsoft.com/office/drawing/2014/main" id="{00000000-0008-0000-0500-0000E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4310" name="Check Box 230" hidden="1">
              <a:extLst>
                <a:ext uri="{63B3BB69-23CF-44E3-9099-C40C66FF867C}">
                  <a14:compatExt spid="_x0000_s174310"/>
                </a:ext>
                <a:ext uri="{FF2B5EF4-FFF2-40B4-BE49-F238E27FC236}">
                  <a16:creationId xmlns:a16="http://schemas.microsoft.com/office/drawing/2014/main" id="{00000000-0008-0000-0500-0000E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48</xdr:row>
          <xdr:rowOff>19050</xdr:rowOff>
        </xdr:to>
        <xdr:sp macro="" textlink="">
          <xdr:nvSpPr>
            <xdr:cNvPr id="174311" name="Check Box 231" hidden="1">
              <a:extLst>
                <a:ext uri="{63B3BB69-23CF-44E3-9099-C40C66FF867C}">
                  <a14:compatExt spid="_x0000_s174311"/>
                </a:ext>
                <a:ext uri="{FF2B5EF4-FFF2-40B4-BE49-F238E27FC236}">
                  <a16:creationId xmlns:a16="http://schemas.microsoft.com/office/drawing/2014/main" id="{00000000-0008-0000-0500-0000E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48</xdr:row>
          <xdr:rowOff>19050</xdr:rowOff>
        </xdr:to>
        <xdr:sp macro="" textlink="">
          <xdr:nvSpPr>
            <xdr:cNvPr id="174312" name="Check Box 232" hidden="1">
              <a:extLst>
                <a:ext uri="{63B3BB69-23CF-44E3-9099-C40C66FF867C}">
                  <a14:compatExt spid="_x0000_s174312"/>
                </a:ext>
                <a:ext uri="{FF2B5EF4-FFF2-40B4-BE49-F238E27FC236}">
                  <a16:creationId xmlns:a16="http://schemas.microsoft.com/office/drawing/2014/main" id="{00000000-0008-0000-0500-0000E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4313" name="Check Box 233" hidden="1">
              <a:extLst>
                <a:ext uri="{63B3BB69-23CF-44E3-9099-C40C66FF867C}">
                  <a14:compatExt spid="_x0000_s174313"/>
                </a:ext>
                <a:ext uri="{FF2B5EF4-FFF2-40B4-BE49-F238E27FC236}">
                  <a16:creationId xmlns:a16="http://schemas.microsoft.com/office/drawing/2014/main" id="{00000000-0008-0000-0500-0000E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4314" name="Check Box 234" hidden="1">
              <a:extLst>
                <a:ext uri="{63B3BB69-23CF-44E3-9099-C40C66FF867C}">
                  <a14:compatExt spid="_x0000_s174314"/>
                </a:ext>
                <a:ext uri="{FF2B5EF4-FFF2-40B4-BE49-F238E27FC236}">
                  <a16:creationId xmlns:a16="http://schemas.microsoft.com/office/drawing/2014/main" id="{00000000-0008-0000-0500-0000E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4315" name="Check Box 235" hidden="1">
              <a:extLst>
                <a:ext uri="{63B3BB69-23CF-44E3-9099-C40C66FF867C}">
                  <a14:compatExt spid="_x0000_s174315"/>
                </a:ext>
                <a:ext uri="{FF2B5EF4-FFF2-40B4-BE49-F238E27FC236}">
                  <a16:creationId xmlns:a16="http://schemas.microsoft.com/office/drawing/2014/main" id="{00000000-0008-0000-0500-0000E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4316" name="Check Box 236" hidden="1">
              <a:extLst>
                <a:ext uri="{63B3BB69-23CF-44E3-9099-C40C66FF867C}">
                  <a14:compatExt spid="_x0000_s174316"/>
                </a:ext>
                <a:ext uri="{FF2B5EF4-FFF2-40B4-BE49-F238E27FC236}">
                  <a16:creationId xmlns:a16="http://schemas.microsoft.com/office/drawing/2014/main" id="{00000000-0008-0000-0500-0000E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317" name="Check Box 237" hidden="1">
              <a:extLst>
                <a:ext uri="{63B3BB69-23CF-44E3-9099-C40C66FF867C}">
                  <a14:compatExt spid="_x0000_s174317"/>
                </a:ext>
                <a:ext uri="{FF2B5EF4-FFF2-40B4-BE49-F238E27FC236}">
                  <a16:creationId xmlns:a16="http://schemas.microsoft.com/office/drawing/2014/main" id="{00000000-0008-0000-0500-0000E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4318" name="Check Box 238" hidden="1">
              <a:extLst>
                <a:ext uri="{63B3BB69-23CF-44E3-9099-C40C66FF867C}">
                  <a14:compatExt spid="_x0000_s174318"/>
                </a:ext>
                <a:ext uri="{FF2B5EF4-FFF2-40B4-BE49-F238E27FC236}">
                  <a16:creationId xmlns:a16="http://schemas.microsoft.com/office/drawing/2014/main" id="{00000000-0008-0000-0500-0000E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4319" name="Check Box 239" hidden="1">
              <a:extLst>
                <a:ext uri="{63B3BB69-23CF-44E3-9099-C40C66FF867C}">
                  <a14:compatExt spid="_x0000_s174319"/>
                </a:ext>
                <a:ext uri="{FF2B5EF4-FFF2-40B4-BE49-F238E27FC236}">
                  <a16:creationId xmlns:a16="http://schemas.microsoft.com/office/drawing/2014/main" id="{00000000-0008-0000-0500-0000E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4320" name="Check Box 240" hidden="1">
              <a:extLst>
                <a:ext uri="{63B3BB69-23CF-44E3-9099-C40C66FF867C}">
                  <a14:compatExt spid="_x0000_s174320"/>
                </a:ext>
                <a:ext uri="{FF2B5EF4-FFF2-40B4-BE49-F238E27FC236}">
                  <a16:creationId xmlns:a16="http://schemas.microsoft.com/office/drawing/2014/main" id="{00000000-0008-0000-0500-0000F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4321" name="Check Box 241" hidden="1">
              <a:extLst>
                <a:ext uri="{63B3BB69-23CF-44E3-9099-C40C66FF867C}">
                  <a14:compatExt spid="_x0000_s174321"/>
                </a:ext>
                <a:ext uri="{FF2B5EF4-FFF2-40B4-BE49-F238E27FC236}">
                  <a16:creationId xmlns:a16="http://schemas.microsoft.com/office/drawing/2014/main" id="{00000000-0008-0000-0500-0000F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4322" name="Check Box 242" hidden="1">
              <a:extLst>
                <a:ext uri="{63B3BB69-23CF-44E3-9099-C40C66FF867C}">
                  <a14:compatExt spid="_x0000_s174322"/>
                </a:ext>
                <a:ext uri="{FF2B5EF4-FFF2-40B4-BE49-F238E27FC236}">
                  <a16:creationId xmlns:a16="http://schemas.microsoft.com/office/drawing/2014/main" id="{00000000-0008-0000-0500-0000F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4323" name="Check Box 243" hidden="1">
              <a:extLst>
                <a:ext uri="{63B3BB69-23CF-44E3-9099-C40C66FF867C}">
                  <a14:compatExt spid="_x0000_s174323"/>
                </a:ext>
                <a:ext uri="{FF2B5EF4-FFF2-40B4-BE49-F238E27FC236}">
                  <a16:creationId xmlns:a16="http://schemas.microsoft.com/office/drawing/2014/main" id="{00000000-0008-0000-0500-0000F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4324" name="Check Box 244" hidden="1">
              <a:extLst>
                <a:ext uri="{63B3BB69-23CF-44E3-9099-C40C66FF867C}">
                  <a14:compatExt spid="_x0000_s174324"/>
                </a:ext>
                <a:ext uri="{FF2B5EF4-FFF2-40B4-BE49-F238E27FC236}">
                  <a16:creationId xmlns:a16="http://schemas.microsoft.com/office/drawing/2014/main" id="{00000000-0008-0000-0500-0000F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4325" name="Check Box 245" hidden="1">
              <a:extLst>
                <a:ext uri="{63B3BB69-23CF-44E3-9099-C40C66FF867C}">
                  <a14:compatExt spid="_x0000_s174325"/>
                </a:ext>
                <a:ext uri="{FF2B5EF4-FFF2-40B4-BE49-F238E27FC236}">
                  <a16:creationId xmlns:a16="http://schemas.microsoft.com/office/drawing/2014/main" id="{00000000-0008-0000-0500-0000F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4326" name="Check Box 246" hidden="1">
              <a:extLst>
                <a:ext uri="{63B3BB69-23CF-44E3-9099-C40C66FF867C}">
                  <a14:compatExt spid="_x0000_s174326"/>
                </a:ext>
                <a:ext uri="{FF2B5EF4-FFF2-40B4-BE49-F238E27FC236}">
                  <a16:creationId xmlns:a16="http://schemas.microsoft.com/office/drawing/2014/main" id="{00000000-0008-0000-0500-0000F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327" name="Check Box 247" hidden="1">
              <a:extLst>
                <a:ext uri="{63B3BB69-23CF-44E3-9099-C40C66FF867C}">
                  <a14:compatExt spid="_x0000_s174327"/>
                </a:ext>
                <a:ext uri="{FF2B5EF4-FFF2-40B4-BE49-F238E27FC236}">
                  <a16:creationId xmlns:a16="http://schemas.microsoft.com/office/drawing/2014/main" id="{00000000-0008-0000-0500-0000F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4328" name="Check Box 248" hidden="1">
              <a:extLst>
                <a:ext uri="{63B3BB69-23CF-44E3-9099-C40C66FF867C}">
                  <a14:compatExt spid="_x0000_s174328"/>
                </a:ext>
                <a:ext uri="{FF2B5EF4-FFF2-40B4-BE49-F238E27FC236}">
                  <a16:creationId xmlns:a16="http://schemas.microsoft.com/office/drawing/2014/main" id="{00000000-0008-0000-0500-0000F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4329" name="Check Box 249" hidden="1">
              <a:extLst>
                <a:ext uri="{63B3BB69-23CF-44E3-9099-C40C66FF867C}">
                  <a14:compatExt spid="_x0000_s174329"/>
                </a:ext>
                <a:ext uri="{FF2B5EF4-FFF2-40B4-BE49-F238E27FC236}">
                  <a16:creationId xmlns:a16="http://schemas.microsoft.com/office/drawing/2014/main" id="{00000000-0008-0000-0500-0000F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6609" name="Check Box Cat" descr="Catastrophe Model" hidden="1">
              <a:extLst>
                <a:ext uri="{63B3BB69-23CF-44E3-9099-C40C66FF867C}">
                  <a14:compatExt spid="_x0000_s196609"/>
                </a:ext>
                <a:ext uri="{FF2B5EF4-FFF2-40B4-BE49-F238E27FC236}">
                  <a16:creationId xmlns:a16="http://schemas.microsoft.com/office/drawing/2014/main" id="{00000000-0008-0000-1800-00000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6610" name="Check Box NonCat" descr="Non-Catastrophe Model" hidden="1">
              <a:extLst>
                <a:ext uri="{63B3BB69-23CF-44E3-9099-C40C66FF867C}">
                  <a14:compatExt spid="_x0000_s196610"/>
                </a:ext>
                <a:ext uri="{FF2B5EF4-FFF2-40B4-BE49-F238E27FC236}">
                  <a16:creationId xmlns:a16="http://schemas.microsoft.com/office/drawing/2014/main" id="{00000000-0008-0000-1800-00000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6611" name="Check Box OverallRateLvl" descr="Overall Rate Level" hidden="1">
              <a:extLst>
                <a:ext uri="{63B3BB69-23CF-44E3-9099-C40C66FF867C}">
                  <a14:compatExt spid="_x0000_s196611"/>
                </a:ext>
                <a:ext uri="{FF2B5EF4-FFF2-40B4-BE49-F238E27FC236}">
                  <a16:creationId xmlns:a16="http://schemas.microsoft.com/office/drawing/2014/main" id="{00000000-0008-0000-1800-00000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6612" name="Check Box 4" descr="Other Model Usage" hidden="1">
              <a:extLst>
                <a:ext uri="{63B3BB69-23CF-44E3-9099-C40C66FF867C}">
                  <a14:compatExt spid="_x0000_s196612"/>
                </a:ext>
                <a:ext uri="{FF2B5EF4-FFF2-40B4-BE49-F238E27FC236}">
                  <a16:creationId xmlns:a16="http://schemas.microsoft.com/office/drawing/2014/main" id="{00000000-0008-0000-1800-000004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6613" name="Check Box 5" hidden="1">
              <a:extLst>
                <a:ext uri="{63B3BB69-23CF-44E3-9099-C40C66FF867C}">
                  <a14:compatExt spid="_x0000_s196613"/>
                </a:ext>
                <a:ext uri="{FF2B5EF4-FFF2-40B4-BE49-F238E27FC236}">
                  <a16:creationId xmlns:a16="http://schemas.microsoft.com/office/drawing/2014/main" id="{00000000-0008-0000-1800-000005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6614" name="Check Box 6" hidden="1">
              <a:extLst>
                <a:ext uri="{63B3BB69-23CF-44E3-9099-C40C66FF867C}">
                  <a14:compatExt spid="_x0000_s196614"/>
                </a:ext>
                <a:ext uri="{FF2B5EF4-FFF2-40B4-BE49-F238E27FC236}">
                  <a16:creationId xmlns:a16="http://schemas.microsoft.com/office/drawing/2014/main" id="{00000000-0008-0000-1800-000006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6615" name="Check Box 7" hidden="1">
              <a:extLst>
                <a:ext uri="{63B3BB69-23CF-44E3-9099-C40C66FF867C}">
                  <a14:compatExt spid="_x0000_s196615"/>
                </a:ext>
                <a:ext uri="{FF2B5EF4-FFF2-40B4-BE49-F238E27FC236}">
                  <a16:creationId xmlns:a16="http://schemas.microsoft.com/office/drawing/2014/main" id="{00000000-0008-0000-1800-000007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6616" name="Check Box 8" hidden="1">
              <a:extLst>
                <a:ext uri="{63B3BB69-23CF-44E3-9099-C40C66FF867C}">
                  <a14:compatExt spid="_x0000_s196616"/>
                </a:ext>
                <a:ext uri="{FF2B5EF4-FFF2-40B4-BE49-F238E27FC236}">
                  <a16:creationId xmlns:a16="http://schemas.microsoft.com/office/drawing/2014/main" id="{00000000-0008-0000-1800-000008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6617" name="Check Box 9" hidden="1">
              <a:extLst>
                <a:ext uri="{63B3BB69-23CF-44E3-9099-C40C66FF867C}">
                  <a14:compatExt spid="_x0000_s196617"/>
                </a:ext>
                <a:ext uri="{FF2B5EF4-FFF2-40B4-BE49-F238E27FC236}">
                  <a16:creationId xmlns:a16="http://schemas.microsoft.com/office/drawing/2014/main" id="{00000000-0008-0000-1800-000009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6618" name="Check Box 10" hidden="1">
              <a:extLst>
                <a:ext uri="{63B3BB69-23CF-44E3-9099-C40C66FF867C}">
                  <a14:compatExt spid="_x0000_s196618"/>
                </a:ext>
                <a:ext uri="{FF2B5EF4-FFF2-40B4-BE49-F238E27FC236}">
                  <a16:creationId xmlns:a16="http://schemas.microsoft.com/office/drawing/2014/main" id="{00000000-0008-0000-1800-00000A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6619" name="Check Box 11" descr="Underwriting Eligibility" hidden="1">
              <a:extLst>
                <a:ext uri="{63B3BB69-23CF-44E3-9099-C40C66FF867C}">
                  <a14:compatExt spid="_x0000_s196619"/>
                </a:ext>
                <a:ext uri="{FF2B5EF4-FFF2-40B4-BE49-F238E27FC236}">
                  <a16:creationId xmlns:a16="http://schemas.microsoft.com/office/drawing/2014/main" id="{00000000-0008-0000-1800-00000B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6620" name="Check Box RateSeg" descr="Rate Segmentation" hidden="1">
              <a:extLst>
                <a:ext uri="{63B3BB69-23CF-44E3-9099-C40C66FF867C}">
                  <a14:compatExt spid="_x0000_s196620"/>
                </a:ext>
                <a:ext uri="{FF2B5EF4-FFF2-40B4-BE49-F238E27FC236}">
                  <a16:creationId xmlns:a16="http://schemas.microsoft.com/office/drawing/2014/main" id="{00000000-0008-0000-1800-00000C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6621" name="Check Box 13" hidden="1">
              <a:extLst>
                <a:ext uri="{63B3BB69-23CF-44E3-9099-C40C66FF867C}">
                  <a14:compatExt spid="_x0000_s196621"/>
                </a:ext>
                <a:ext uri="{FF2B5EF4-FFF2-40B4-BE49-F238E27FC236}">
                  <a16:creationId xmlns:a16="http://schemas.microsoft.com/office/drawing/2014/main" id="{00000000-0008-0000-1800-00000D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6622" name="Check Box 14" hidden="1">
              <a:extLst>
                <a:ext uri="{63B3BB69-23CF-44E3-9099-C40C66FF867C}">
                  <a14:compatExt spid="_x0000_s196622"/>
                </a:ext>
                <a:ext uri="{FF2B5EF4-FFF2-40B4-BE49-F238E27FC236}">
                  <a16:creationId xmlns:a16="http://schemas.microsoft.com/office/drawing/2014/main" id="{00000000-0008-0000-1800-00000E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6623" name="Check Box 15" hidden="1">
              <a:extLst>
                <a:ext uri="{63B3BB69-23CF-44E3-9099-C40C66FF867C}">
                  <a14:compatExt spid="_x0000_s196623"/>
                </a:ext>
                <a:ext uri="{FF2B5EF4-FFF2-40B4-BE49-F238E27FC236}">
                  <a16:creationId xmlns:a16="http://schemas.microsoft.com/office/drawing/2014/main" id="{00000000-0008-0000-1800-00000F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6624" name="Check Box 16" hidden="1">
              <a:extLst>
                <a:ext uri="{63B3BB69-23CF-44E3-9099-C40C66FF867C}">
                  <a14:compatExt spid="_x0000_s196624"/>
                </a:ext>
                <a:ext uri="{FF2B5EF4-FFF2-40B4-BE49-F238E27FC236}">
                  <a16:creationId xmlns:a16="http://schemas.microsoft.com/office/drawing/2014/main" id="{00000000-0008-0000-1800-000010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6625" name="Check Box 17" hidden="1">
              <a:extLst>
                <a:ext uri="{63B3BB69-23CF-44E3-9099-C40C66FF867C}">
                  <a14:compatExt spid="_x0000_s196625"/>
                </a:ext>
                <a:ext uri="{FF2B5EF4-FFF2-40B4-BE49-F238E27FC236}">
                  <a16:creationId xmlns:a16="http://schemas.microsoft.com/office/drawing/2014/main" id="{00000000-0008-0000-1800-00001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6626" name="Check Box 18" descr="Cluster Analysis" hidden="1">
              <a:extLst>
                <a:ext uri="{63B3BB69-23CF-44E3-9099-C40C66FF867C}">
                  <a14:compatExt spid="_x0000_s196626"/>
                </a:ext>
                <a:ext uri="{FF2B5EF4-FFF2-40B4-BE49-F238E27FC236}">
                  <a16:creationId xmlns:a16="http://schemas.microsoft.com/office/drawing/2014/main" id="{00000000-0008-0000-1800-00001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6627" name="Check Box 19" descr="Decision Trees" hidden="1">
              <a:extLst>
                <a:ext uri="{63B3BB69-23CF-44E3-9099-C40C66FF867C}">
                  <a14:compatExt spid="_x0000_s196627"/>
                </a:ext>
                <a:ext uri="{FF2B5EF4-FFF2-40B4-BE49-F238E27FC236}">
                  <a16:creationId xmlns:a16="http://schemas.microsoft.com/office/drawing/2014/main" id="{00000000-0008-0000-1800-00001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6628" name="Check Box 20" descr="Generalized Linear Model" hidden="1">
              <a:extLst>
                <a:ext uri="{63B3BB69-23CF-44E3-9099-C40C66FF867C}">
                  <a14:compatExt spid="_x0000_s196628"/>
                </a:ext>
                <a:ext uri="{FF2B5EF4-FFF2-40B4-BE49-F238E27FC236}">
                  <a16:creationId xmlns:a16="http://schemas.microsoft.com/office/drawing/2014/main" id="{00000000-0008-0000-1800-000014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6629" name="Check Box 21" descr="New/Initial" hidden="1">
              <a:extLst>
                <a:ext uri="{63B3BB69-23CF-44E3-9099-C40C66FF867C}">
                  <a14:compatExt spid="_x0000_s196629"/>
                </a:ext>
                <a:ext uri="{FF2B5EF4-FFF2-40B4-BE49-F238E27FC236}">
                  <a16:creationId xmlns:a16="http://schemas.microsoft.com/office/drawing/2014/main" id="{00000000-0008-0000-1800-000015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6630" name="Check Box 22" descr="Revision to Existing Model" hidden="1">
              <a:extLst>
                <a:ext uri="{63B3BB69-23CF-44E3-9099-C40C66FF867C}">
                  <a14:compatExt spid="_x0000_s196630"/>
                </a:ext>
                <a:ext uri="{FF2B5EF4-FFF2-40B4-BE49-F238E27FC236}">
                  <a16:creationId xmlns:a16="http://schemas.microsoft.com/office/drawing/2014/main" id="{00000000-0008-0000-1800-000016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6631" name="Check Box 23" descr="Refresh of Data to Existing Model" hidden="1">
              <a:extLst>
                <a:ext uri="{63B3BB69-23CF-44E3-9099-C40C66FF867C}">
                  <a14:compatExt spid="_x0000_s196631"/>
                </a:ext>
                <a:ext uri="{FF2B5EF4-FFF2-40B4-BE49-F238E27FC236}">
                  <a16:creationId xmlns:a16="http://schemas.microsoft.com/office/drawing/2014/main" id="{00000000-0008-0000-1800-000017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6632" name="Check Box 24" descr="Company Developed (&quot;In-House&quot;)" hidden="1">
              <a:extLst>
                <a:ext uri="{63B3BB69-23CF-44E3-9099-C40C66FF867C}">
                  <a14:compatExt spid="_x0000_s196632"/>
                </a:ext>
                <a:ext uri="{FF2B5EF4-FFF2-40B4-BE49-F238E27FC236}">
                  <a16:creationId xmlns:a16="http://schemas.microsoft.com/office/drawing/2014/main" id="{00000000-0008-0000-1800-000018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6633" name="Check Box 25" descr="Outside Firm" hidden="1">
              <a:extLst>
                <a:ext uri="{63B3BB69-23CF-44E3-9099-C40C66FF867C}">
                  <a14:compatExt spid="_x0000_s196633"/>
                </a:ext>
                <a:ext uri="{FF2B5EF4-FFF2-40B4-BE49-F238E27FC236}">
                  <a16:creationId xmlns:a16="http://schemas.microsoft.com/office/drawing/2014/main" id="{00000000-0008-0000-1800-000019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6634" name="Check Box 26" descr="No Revision to Existing Model" hidden="1">
              <a:extLst>
                <a:ext uri="{63B3BB69-23CF-44E3-9099-C40C66FF867C}">
                  <a14:compatExt spid="_x0000_s196634"/>
                </a:ext>
                <a:ext uri="{FF2B5EF4-FFF2-40B4-BE49-F238E27FC236}">
                  <a16:creationId xmlns:a16="http://schemas.microsoft.com/office/drawing/2014/main" id="{00000000-0008-0000-1800-00001A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6635" name="Check Box 27" hidden="1">
              <a:extLst>
                <a:ext uri="{63B3BB69-23CF-44E3-9099-C40C66FF867C}">
                  <a14:compatExt spid="_x0000_s196635"/>
                </a:ext>
                <a:ext uri="{FF2B5EF4-FFF2-40B4-BE49-F238E27FC236}">
                  <a16:creationId xmlns:a16="http://schemas.microsoft.com/office/drawing/2014/main" id="{00000000-0008-0000-1800-00001B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6636" name="Check Box 28" descr="Cluster Analysis" hidden="1">
              <a:extLst>
                <a:ext uri="{63B3BB69-23CF-44E3-9099-C40C66FF867C}">
                  <a14:compatExt spid="_x0000_s196636"/>
                </a:ext>
                <a:ext uri="{FF2B5EF4-FFF2-40B4-BE49-F238E27FC236}">
                  <a16:creationId xmlns:a16="http://schemas.microsoft.com/office/drawing/2014/main" id="{00000000-0008-0000-1800-00001C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6637" name="Check Box 29" descr="Logistic Regression" hidden="1">
              <a:extLst>
                <a:ext uri="{63B3BB69-23CF-44E3-9099-C40C66FF867C}">
                  <a14:compatExt spid="_x0000_s196637"/>
                </a:ext>
                <a:ext uri="{FF2B5EF4-FFF2-40B4-BE49-F238E27FC236}">
                  <a16:creationId xmlns:a16="http://schemas.microsoft.com/office/drawing/2014/main" id="{00000000-0008-0000-1800-00001D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6638" name="Check Box 30" descr="Neural Network" hidden="1">
              <a:extLst>
                <a:ext uri="{63B3BB69-23CF-44E3-9099-C40C66FF867C}">
                  <a14:compatExt spid="_x0000_s196638"/>
                </a:ext>
                <a:ext uri="{FF2B5EF4-FFF2-40B4-BE49-F238E27FC236}">
                  <a16:creationId xmlns:a16="http://schemas.microsoft.com/office/drawing/2014/main" id="{00000000-0008-0000-1800-00001E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6639" name="Check Box 31" descr="Decision Trees" hidden="1">
              <a:extLst>
                <a:ext uri="{63B3BB69-23CF-44E3-9099-C40C66FF867C}">
                  <a14:compatExt spid="_x0000_s196639"/>
                </a:ext>
                <a:ext uri="{FF2B5EF4-FFF2-40B4-BE49-F238E27FC236}">
                  <a16:creationId xmlns:a16="http://schemas.microsoft.com/office/drawing/2014/main" id="{00000000-0008-0000-1800-00001F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6640" name="Check Box 32" descr="Machine Learning" hidden="1">
              <a:extLst>
                <a:ext uri="{63B3BB69-23CF-44E3-9099-C40C66FF867C}">
                  <a14:compatExt spid="_x0000_s196640"/>
                </a:ext>
                <a:ext uri="{FF2B5EF4-FFF2-40B4-BE49-F238E27FC236}">
                  <a16:creationId xmlns:a16="http://schemas.microsoft.com/office/drawing/2014/main" id="{00000000-0008-0000-1800-000020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6641" name="Check Box 33" descr="Machine Learning" hidden="1">
              <a:extLst>
                <a:ext uri="{63B3BB69-23CF-44E3-9099-C40C66FF867C}">
                  <a14:compatExt spid="_x0000_s196641"/>
                </a:ext>
                <a:ext uri="{FF2B5EF4-FFF2-40B4-BE49-F238E27FC236}">
                  <a16:creationId xmlns:a16="http://schemas.microsoft.com/office/drawing/2014/main" id="{00000000-0008-0000-1800-00002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6642" name="Check Box 34" descr="Logistic Regression" hidden="1">
              <a:extLst>
                <a:ext uri="{63B3BB69-23CF-44E3-9099-C40C66FF867C}">
                  <a14:compatExt spid="_x0000_s196642"/>
                </a:ext>
                <a:ext uri="{FF2B5EF4-FFF2-40B4-BE49-F238E27FC236}">
                  <a16:creationId xmlns:a16="http://schemas.microsoft.com/office/drawing/2014/main" id="{00000000-0008-0000-1800-00002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6643" name="Check Box 35" descr="Neural Network" hidden="1">
              <a:extLst>
                <a:ext uri="{63B3BB69-23CF-44E3-9099-C40C66FF867C}">
                  <a14:compatExt spid="_x0000_s196643"/>
                </a:ext>
                <a:ext uri="{FF2B5EF4-FFF2-40B4-BE49-F238E27FC236}">
                  <a16:creationId xmlns:a16="http://schemas.microsoft.com/office/drawing/2014/main" id="{00000000-0008-0000-1800-00002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8.xml"/><Relationship Id="rId18" Type="http://schemas.openxmlformats.org/officeDocument/2006/relationships/ctrlProp" Target="../ctrlProps/ctrlProp103.xml"/><Relationship Id="rId26" Type="http://schemas.openxmlformats.org/officeDocument/2006/relationships/ctrlProp" Target="../ctrlProps/ctrlProp111.xml"/><Relationship Id="rId39" Type="http://schemas.openxmlformats.org/officeDocument/2006/relationships/ctrlProp" Target="../ctrlProps/ctrlProp124.xml"/><Relationship Id="rId21" Type="http://schemas.openxmlformats.org/officeDocument/2006/relationships/ctrlProp" Target="../ctrlProps/ctrlProp106.xml"/><Relationship Id="rId34" Type="http://schemas.openxmlformats.org/officeDocument/2006/relationships/ctrlProp" Target="../ctrlProps/ctrlProp119.xml"/><Relationship Id="rId42" Type="http://schemas.openxmlformats.org/officeDocument/2006/relationships/ctrlProp" Target="../ctrlProps/ctrlProp127.xml"/><Relationship Id="rId47" Type="http://schemas.openxmlformats.org/officeDocument/2006/relationships/ctrlProp" Target="../ctrlProps/ctrlProp132.xml"/><Relationship Id="rId7" Type="http://schemas.openxmlformats.org/officeDocument/2006/relationships/ctrlProp" Target="../ctrlProps/ctrlProp92.xml"/><Relationship Id="rId2" Type="http://schemas.openxmlformats.org/officeDocument/2006/relationships/drawing" Target="../drawings/drawing6.xml"/><Relationship Id="rId16" Type="http://schemas.openxmlformats.org/officeDocument/2006/relationships/ctrlProp" Target="../ctrlProps/ctrlProp101.xml"/><Relationship Id="rId29" Type="http://schemas.openxmlformats.org/officeDocument/2006/relationships/ctrlProp" Target="../ctrlProps/ctrlProp114.xml"/><Relationship Id="rId1" Type="http://schemas.openxmlformats.org/officeDocument/2006/relationships/printerSettings" Target="../printerSettings/printerSettings11.bin"/><Relationship Id="rId6" Type="http://schemas.openxmlformats.org/officeDocument/2006/relationships/ctrlProp" Target="../ctrlProps/ctrlProp91.xml"/><Relationship Id="rId11" Type="http://schemas.openxmlformats.org/officeDocument/2006/relationships/ctrlProp" Target="../ctrlProps/ctrlProp96.xml"/><Relationship Id="rId24" Type="http://schemas.openxmlformats.org/officeDocument/2006/relationships/ctrlProp" Target="../ctrlProps/ctrlProp109.xml"/><Relationship Id="rId32" Type="http://schemas.openxmlformats.org/officeDocument/2006/relationships/ctrlProp" Target="../ctrlProps/ctrlProp117.xml"/><Relationship Id="rId37" Type="http://schemas.openxmlformats.org/officeDocument/2006/relationships/ctrlProp" Target="../ctrlProps/ctrlProp122.xml"/><Relationship Id="rId40" Type="http://schemas.openxmlformats.org/officeDocument/2006/relationships/ctrlProp" Target="../ctrlProps/ctrlProp125.xml"/><Relationship Id="rId45" Type="http://schemas.openxmlformats.org/officeDocument/2006/relationships/ctrlProp" Target="../ctrlProps/ctrlProp130.xml"/><Relationship Id="rId5" Type="http://schemas.openxmlformats.org/officeDocument/2006/relationships/ctrlProp" Target="../ctrlProps/ctrlProp90.xml"/><Relationship Id="rId15" Type="http://schemas.openxmlformats.org/officeDocument/2006/relationships/ctrlProp" Target="../ctrlProps/ctrlProp100.xml"/><Relationship Id="rId23" Type="http://schemas.openxmlformats.org/officeDocument/2006/relationships/ctrlProp" Target="../ctrlProps/ctrlProp108.xml"/><Relationship Id="rId28" Type="http://schemas.openxmlformats.org/officeDocument/2006/relationships/ctrlProp" Target="../ctrlProps/ctrlProp113.xml"/><Relationship Id="rId36" Type="http://schemas.openxmlformats.org/officeDocument/2006/relationships/ctrlProp" Target="../ctrlProps/ctrlProp121.xml"/><Relationship Id="rId10" Type="http://schemas.openxmlformats.org/officeDocument/2006/relationships/ctrlProp" Target="../ctrlProps/ctrlProp95.xml"/><Relationship Id="rId19" Type="http://schemas.openxmlformats.org/officeDocument/2006/relationships/ctrlProp" Target="../ctrlProps/ctrlProp104.xml"/><Relationship Id="rId31" Type="http://schemas.openxmlformats.org/officeDocument/2006/relationships/ctrlProp" Target="../ctrlProps/ctrlProp116.xml"/><Relationship Id="rId44" Type="http://schemas.openxmlformats.org/officeDocument/2006/relationships/ctrlProp" Target="../ctrlProps/ctrlProp129.xml"/><Relationship Id="rId4" Type="http://schemas.openxmlformats.org/officeDocument/2006/relationships/ctrlProp" Target="../ctrlProps/ctrlProp89.xml"/><Relationship Id="rId9" Type="http://schemas.openxmlformats.org/officeDocument/2006/relationships/ctrlProp" Target="../ctrlProps/ctrlProp94.xml"/><Relationship Id="rId14" Type="http://schemas.openxmlformats.org/officeDocument/2006/relationships/ctrlProp" Target="../ctrlProps/ctrlProp99.xml"/><Relationship Id="rId22" Type="http://schemas.openxmlformats.org/officeDocument/2006/relationships/ctrlProp" Target="../ctrlProps/ctrlProp107.xml"/><Relationship Id="rId27" Type="http://schemas.openxmlformats.org/officeDocument/2006/relationships/ctrlProp" Target="../ctrlProps/ctrlProp112.xml"/><Relationship Id="rId30" Type="http://schemas.openxmlformats.org/officeDocument/2006/relationships/ctrlProp" Target="../ctrlProps/ctrlProp115.xml"/><Relationship Id="rId35" Type="http://schemas.openxmlformats.org/officeDocument/2006/relationships/ctrlProp" Target="../ctrlProps/ctrlProp120.xml"/><Relationship Id="rId43" Type="http://schemas.openxmlformats.org/officeDocument/2006/relationships/ctrlProp" Target="../ctrlProps/ctrlProp128.xml"/><Relationship Id="rId8" Type="http://schemas.openxmlformats.org/officeDocument/2006/relationships/ctrlProp" Target="../ctrlProps/ctrlProp93.xml"/><Relationship Id="rId3" Type="http://schemas.openxmlformats.org/officeDocument/2006/relationships/vmlDrawing" Target="../drawings/vmlDrawing6.vml"/><Relationship Id="rId12" Type="http://schemas.openxmlformats.org/officeDocument/2006/relationships/ctrlProp" Target="../ctrlProps/ctrlProp97.xml"/><Relationship Id="rId17" Type="http://schemas.openxmlformats.org/officeDocument/2006/relationships/ctrlProp" Target="../ctrlProps/ctrlProp102.xml"/><Relationship Id="rId25" Type="http://schemas.openxmlformats.org/officeDocument/2006/relationships/ctrlProp" Target="../ctrlProps/ctrlProp110.xml"/><Relationship Id="rId33" Type="http://schemas.openxmlformats.org/officeDocument/2006/relationships/ctrlProp" Target="../ctrlProps/ctrlProp118.xml"/><Relationship Id="rId38" Type="http://schemas.openxmlformats.org/officeDocument/2006/relationships/ctrlProp" Target="../ctrlProps/ctrlProp123.xml"/><Relationship Id="rId46" Type="http://schemas.openxmlformats.org/officeDocument/2006/relationships/ctrlProp" Target="../ctrlProps/ctrlProp131.xml"/><Relationship Id="rId20" Type="http://schemas.openxmlformats.org/officeDocument/2006/relationships/ctrlProp" Target="../ctrlProps/ctrlProp105.xml"/><Relationship Id="rId41" Type="http://schemas.openxmlformats.org/officeDocument/2006/relationships/ctrlProp" Target="../ctrlProps/ctrlProp1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6.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8.vml"/><Relationship Id="rId7" Type="http://schemas.openxmlformats.org/officeDocument/2006/relationships/ctrlProp" Target="../ctrlProps/ctrlProp140.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9.xml"/><Relationship Id="rId5" Type="http://schemas.openxmlformats.org/officeDocument/2006/relationships/ctrlProp" Target="../ctrlProps/ctrlProp138.xml"/><Relationship Id="rId10" Type="http://schemas.openxmlformats.org/officeDocument/2006/relationships/ctrlProp" Target="../ctrlProps/ctrlProp143.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9.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3.xml"/><Relationship Id="rId18" Type="http://schemas.openxmlformats.org/officeDocument/2006/relationships/ctrlProp" Target="../ctrlProps/ctrlProp168.xml"/><Relationship Id="rId26" Type="http://schemas.openxmlformats.org/officeDocument/2006/relationships/ctrlProp" Target="../ctrlProps/ctrlProp176.xml"/><Relationship Id="rId21" Type="http://schemas.openxmlformats.org/officeDocument/2006/relationships/ctrlProp" Target="../ctrlProps/ctrlProp171.xml"/><Relationship Id="rId34" Type="http://schemas.openxmlformats.org/officeDocument/2006/relationships/ctrlProp" Target="../ctrlProps/ctrlProp184.x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5" Type="http://schemas.openxmlformats.org/officeDocument/2006/relationships/ctrlProp" Target="../ctrlProps/ctrlProp175.xml"/><Relationship Id="rId33" Type="http://schemas.openxmlformats.org/officeDocument/2006/relationships/ctrlProp" Target="../ctrlProps/ctrlProp183.xml"/><Relationship Id="rId38" Type="http://schemas.openxmlformats.org/officeDocument/2006/relationships/ctrlProp" Target="../ctrlProps/ctrlProp188.xml"/><Relationship Id="rId2" Type="http://schemas.openxmlformats.org/officeDocument/2006/relationships/drawing" Target="../drawings/drawing10.xml"/><Relationship Id="rId16" Type="http://schemas.openxmlformats.org/officeDocument/2006/relationships/ctrlProp" Target="../ctrlProps/ctrlProp166.xml"/><Relationship Id="rId20" Type="http://schemas.openxmlformats.org/officeDocument/2006/relationships/ctrlProp" Target="../ctrlProps/ctrlProp170.xml"/><Relationship Id="rId29" Type="http://schemas.openxmlformats.org/officeDocument/2006/relationships/ctrlProp" Target="../ctrlProps/ctrlProp179.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11" Type="http://schemas.openxmlformats.org/officeDocument/2006/relationships/ctrlProp" Target="../ctrlProps/ctrlProp161.xml"/><Relationship Id="rId24" Type="http://schemas.openxmlformats.org/officeDocument/2006/relationships/ctrlProp" Target="../ctrlProps/ctrlProp174.xml"/><Relationship Id="rId32" Type="http://schemas.openxmlformats.org/officeDocument/2006/relationships/ctrlProp" Target="../ctrlProps/ctrlProp182.xml"/><Relationship Id="rId37" Type="http://schemas.openxmlformats.org/officeDocument/2006/relationships/ctrlProp" Target="../ctrlProps/ctrlProp187.xml"/><Relationship Id="rId5" Type="http://schemas.openxmlformats.org/officeDocument/2006/relationships/ctrlProp" Target="../ctrlProps/ctrlProp155.xml"/><Relationship Id="rId15" Type="http://schemas.openxmlformats.org/officeDocument/2006/relationships/ctrlProp" Target="../ctrlProps/ctrlProp165.xml"/><Relationship Id="rId23" Type="http://schemas.openxmlformats.org/officeDocument/2006/relationships/ctrlProp" Target="../ctrlProps/ctrlProp173.xml"/><Relationship Id="rId28" Type="http://schemas.openxmlformats.org/officeDocument/2006/relationships/ctrlProp" Target="../ctrlProps/ctrlProp178.xml"/><Relationship Id="rId36" Type="http://schemas.openxmlformats.org/officeDocument/2006/relationships/ctrlProp" Target="../ctrlProps/ctrlProp186.xml"/><Relationship Id="rId10" Type="http://schemas.openxmlformats.org/officeDocument/2006/relationships/ctrlProp" Target="../ctrlProps/ctrlProp160.xml"/><Relationship Id="rId19" Type="http://schemas.openxmlformats.org/officeDocument/2006/relationships/ctrlProp" Target="../ctrlProps/ctrlProp169.xml"/><Relationship Id="rId31" Type="http://schemas.openxmlformats.org/officeDocument/2006/relationships/ctrlProp" Target="../ctrlProps/ctrlProp181.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 Id="rId22" Type="http://schemas.openxmlformats.org/officeDocument/2006/relationships/ctrlProp" Target="../ctrlProps/ctrlProp172.xml"/><Relationship Id="rId27" Type="http://schemas.openxmlformats.org/officeDocument/2006/relationships/ctrlProp" Target="../ctrlProps/ctrlProp177.xml"/><Relationship Id="rId30" Type="http://schemas.openxmlformats.org/officeDocument/2006/relationships/ctrlProp" Target="../ctrlProps/ctrlProp180.xml"/><Relationship Id="rId35" Type="http://schemas.openxmlformats.org/officeDocument/2006/relationships/ctrlProp" Target="../ctrlProps/ctrlProp185.xml"/><Relationship Id="rId8" Type="http://schemas.openxmlformats.org/officeDocument/2006/relationships/ctrlProp" Target="../ctrlProps/ctrlProp158.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38" Type="http://schemas.openxmlformats.org/officeDocument/2006/relationships/ctrlProp" Target="../ctrlProps/ctrlProp223.xml"/><Relationship Id="rId2" Type="http://schemas.openxmlformats.org/officeDocument/2006/relationships/drawing" Target="../drawings/drawing11.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6.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37" Type="http://schemas.openxmlformats.org/officeDocument/2006/relationships/ctrlProp" Target="../ctrlProps/ctrlProp222.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36" Type="http://schemas.openxmlformats.org/officeDocument/2006/relationships/ctrlProp" Target="../ctrlProps/ctrlProp221.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3.xml"/><Relationship Id="rId18" Type="http://schemas.openxmlformats.org/officeDocument/2006/relationships/ctrlProp" Target="../ctrlProps/ctrlProp238.xml"/><Relationship Id="rId26" Type="http://schemas.openxmlformats.org/officeDocument/2006/relationships/ctrlProp" Target="../ctrlProps/ctrlProp246.xml"/><Relationship Id="rId21" Type="http://schemas.openxmlformats.org/officeDocument/2006/relationships/ctrlProp" Target="../ctrlProps/ctrlProp241.xml"/><Relationship Id="rId34" Type="http://schemas.openxmlformats.org/officeDocument/2006/relationships/ctrlProp" Target="../ctrlProps/ctrlProp254.xml"/><Relationship Id="rId7" Type="http://schemas.openxmlformats.org/officeDocument/2006/relationships/ctrlProp" Target="../ctrlProps/ctrlProp227.xml"/><Relationship Id="rId12" Type="http://schemas.openxmlformats.org/officeDocument/2006/relationships/ctrlProp" Target="../ctrlProps/ctrlProp232.xml"/><Relationship Id="rId17" Type="http://schemas.openxmlformats.org/officeDocument/2006/relationships/ctrlProp" Target="../ctrlProps/ctrlProp237.xml"/><Relationship Id="rId25" Type="http://schemas.openxmlformats.org/officeDocument/2006/relationships/ctrlProp" Target="../ctrlProps/ctrlProp245.xml"/><Relationship Id="rId33" Type="http://schemas.openxmlformats.org/officeDocument/2006/relationships/ctrlProp" Target="../ctrlProps/ctrlProp253.xml"/><Relationship Id="rId38" Type="http://schemas.openxmlformats.org/officeDocument/2006/relationships/ctrlProp" Target="../ctrlProps/ctrlProp258.xml"/><Relationship Id="rId2" Type="http://schemas.openxmlformats.org/officeDocument/2006/relationships/drawing" Target="../drawings/drawing12.xml"/><Relationship Id="rId16" Type="http://schemas.openxmlformats.org/officeDocument/2006/relationships/ctrlProp" Target="../ctrlProps/ctrlProp236.xml"/><Relationship Id="rId20" Type="http://schemas.openxmlformats.org/officeDocument/2006/relationships/ctrlProp" Target="../ctrlProps/ctrlProp240.xml"/><Relationship Id="rId29" Type="http://schemas.openxmlformats.org/officeDocument/2006/relationships/ctrlProp" Target="../ctrlProps/ctrlProp249.xml"/><Relationship Id="rId1" Type="http://schemas.openxmlformats.org/officeDocument/2006/relationships/printerSettings" Target="../printerSettings/printerSettings17.bin"/><Relationship Id="rId6" Type="http://schemas.openxmlformats.org/officeDocument/2006/relationships/ctrlProp" Target="../ctrlProps/ctrlProp226.xml"/><Relationship Id="rId11" Type="http://schemas.openxmlformats.org/officeDocument/2006/relationships/ctrlProp" Target="../ctrlProps/ctrlProp231.xml"/><Relationship Id="rId24" Type="http://schemas.openxmlformats.org/officeDocument/2006/relationships/ctrlProp" Target="../ctrlProps/ctrlProp244.xml"/><Relationship Id="rId32" Type="http://schemas.openxmlformats.org/officeDocument/2006/relationships/ctrlProp" Target="../ctrlProps/ctrlProp252.xml"/><Relationship Id="rId37" Type="http://schemas.openxmlformats.org/officeDocument/2006/relationships/ctrlProp" Target="../ctrlProps/ctrlProp257.xml"/><Relationship Id="rId5" Type="http://schemas.openxmlformats.org/officeDocument/2006/relationships/ctrlProp" Target="../ctrlProps/ctrlProp225.xml"/><Relationship Id="rId15" Type="http://schemas.openxmlformats.org/officeDocument/2006/relationships/ctrlProp" Target="../ctrlProps/ctrlProp235.xml"/><Relationship Id="rId23" Type="http://schemas.openxmlformats.org/officeDocument/2006/relationships/ctrlProp" Target="../ctrlProps/ctrlProp243.xml"/><Relationship Id="rId28" Type="http://schemas.openxmlformats.org/officeDocument/2006/relationships/ctrlProp" Target="../ctrlProps/ctrlProp248.xml"/><Relationship Id="rId36" Type="http://schemas.openxmlformats.org/officeDocument/2006/relationships/ctrlProp" Target="../ctrlProps/ctrlProp256.xml"/><Relationship Id="rId10" Type="http://schemas.openxmlformats.org/officeDocument/2006/relationships/ctrlProp" Target="../ctrlProps/ctrlProp230.xml"/><Relationship Id="rId19" Type="http://schemas.openxmlformats.org/officeDocument/2006/relationships/ctrlProp" Target="../ctrlProps/ctrlProp239.xml"/><Relationship Id="rId31" Type="http://schemas.openxmlformats.org/officeDocument/2006/relationships/ctrlProp" Target="../ctrlProps/ctrlProp251.xml"/><Relationship Id="rId4" Type="http://schemas.openxmlformats.org/officeDocument/2006/relationships/ctrlProp" Target="../ctrlProps/ctrlProp224.xml"/><Relationship Id="rId9" Type="http://schemas.openxmlformats.org/officeDocument/2006/relationships/ctrlProp" Target="../ctrlProps/ctrlProp229.xml"/><Relationship Id="rId14" Type="http://schemas.openxmlformats.org/officeDocument/2006/relationships/ctrlProp" Target="../ctrlProps/ctrlProp234.xml"/><Relationship Id="rId22" Type="http://schemas.openxmlformats.org/officeDocument/2006/relationships/ctrlProp" Target="../ctrlProps/ctrlProp242.xml"/><Relationship Id="rId27" Type="http://schemas.openxmlformats.org/officeDocument/2006/relationships/ctrlProp" Target="../ctrlProps/ctrlProp247.xml"/><Relationship Id="rId30" Type="http://schemas.openxmlformats.org/officeDocument/2006/relationships/ctrlProp" Target="../ctrlProps/ctrlProp250.xml"/><Relationship Id="rId35" Type="http://schemas.openxmlformats.org/officeDocument/2006/relationships/ctrlProp" Target="../ctrlProps/ctrlProp255.xml"/><Relationship Id="rId8" Type="http://schemas.openxmlformats.org/officeDocument/2006/relationships/ctrlProp" Target="../ctrlProps/ctrlProp228.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21" Type="http://schemas.openxmlformats.org/officeDocument/2006/relationships/ctrlProp" Target="../ctrlProps/ctrlProp276.xml"/><Relationship Id="rId34" Type="http://schemas.openxmlformats.org/officeDocument/2006/relationships/ctrlProp" Target="../ctrlProps/ctrlProp289.xml"/><Relationship Id="rId7" Type="http://schemas.openxmlformats.org/officeDocument/2006/relationships/ctrlProp" Target="../ctrlProps/ctrlProp262.x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2" Type="http://schemas.openxmlformats.org/officeDocument/2006/relationships/drawing" Target="../drawings/drawing13.xml"/><Relationship Id="rId16" Type="http://schemas.openxmlformats.org/officeDocument/2006/relationships/ctrlProp" Target="../ctrlProps/ctrlProp271.xml"/><Relationship Id="rId20" Type="http://schemas.openxmlformats.org/officeDocument/2006/relationships/ctrlProp" Target="../ctrlProps/ctrlProp275.xml"/><Relationship Id="rId29" Type="http://schemas.openxmlformats.org/officeDocument/2006/relationships/ctrlProp" Target="../ctrlProps/ctrlProp284.xml"/><Relationship Id="rId1" Type="http://schemas.openxmlformats.org/officeDocument/2006/relationships/printerSettings" Target="../printerSettings/printerSettings18.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8" Type="http://schemas.openxmlformats.org/officeDocument/2006/relationships/ctrlProp" Target="../ctrlProps/ctrlProp263.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3.xml"/><Relationship Id="rId18" Type="http://schemas.openxmlformats.org/officeDocument/2006/relationships/ctrlProp" Target="../ctrlProps/ctrlProp308.xml"/><Relationship Id="rId26" Type="http://schemas.openxmlformats.org/officeDocument/2006/relationships/ctrlProp" Target="../ctrlProps/ctrlProp316.xml"/><Relationship Id="rId21" Type="http://schemas.openxmlformats.org/officeDocument/2006/relationships/ctrlProp" Target="../ctrlProps/ctrlProp311.xml"/><Relationship Id="rId34" Type="http://schemas.openxmlformats.org/officeDocument/2006/relationships/ctrlProp" Target="../ctrlProps/ctrlProp324.xml"/><Relationship Id="rId7" Type="http://schemas.openxmlformats.org/officeDocument/2006/relationships/ctrlProp" Target="../ctrlProps/ctrlProp297.xml"/><Relationship Id="rId12" Type="http://schemas.openxmlformats.org/officeDocument/2006/relationships/ctrlProp" Target="../ctrlProps/ctrlProp302.xml"/><Relationship Id="rId17" Type="http://schemas.openxmlformats.org/officeDocument/2006/relationships/ctrlProp" Target="../ctrlProps/ctrlProp307.xml"/><Relationship Id="rId25" Type="http://schemas.openxmlformats.org/officeDocument/2006/relationships/ctrlProp" Target="../ctrlProps/ctrlProp315.xml"/><Relationship Id="rId33" Type="http://schemas.openxmlformats.org/officeDocument/2006/relationships/ctrlProp" Target="../ctrlProps/ctrlProp323.xml"/><Relationship Id="rId38" Type="http://schemas.openxmlformats.org/officeDocument/2006/relationships/ctrlProp" Target="../ctrlProps/ctrlProp328.xml"/><Relationship Id="rId2" Type="http://schemas.openxmlformats.org/officeDocument/2006/relationships/drawing" Target="../drawings/drawing14.xml"/><Relationship Id="rId16" Type="http://schemas.openxmlformats.org/officeDocument/2006/relationships/ctrlProp" Target="../ctrlProps/ctrlProp306.xml"/><Relationship Id="rId20" Type="http://schemas.openxmlformats.org/officeDocument/2006/relationships/ctrlProp" Target="../ctrlProps/ctrlProp310.xml"/><Relationship Id="rId29" Type="http://schemas.openxmlformats.org/officeDocument/2006/relationships/ctrlProp" Target="../ctrlProps/ctrlProp319.xml"/><Relationship Id="rId1" Type="http://schemas.openxmlformats.org/officeDocument/2006/relationships/printerSettings" Target="../printerSettings/printerSettings19.bin"/><Relationship Id="rId6" Type="http://schemas.openxmlformats.org/officeDocument/2006/relationships/ctrlProp" Target="../ctrlProps/ctrlProp296.xml"/><Relationship Id="rId11" Type="http://schemas.openxmlformats.org/officeDocument/2006/relationships/ctrlProp" Target="../ctrlProps/ctrlProp301.xml"/><Relationship Id="rId24" Type="http://schemas.openxmlformats.org/officeDocument/2006/relationships/ctrlProp" Target="../ctrlProps/ctrlProp314.xml"/><Relationship Id="rId32" Type="http://schemas.openxmlformats.org/officeDocument/2006/relationships/ctrlProp" Target="../ctrlProps/ctrlProp322.xml"/><Relationship Id="rId37" Type="http://schemas.openxmlformats.org/officeDocument/2006/relationships/ctrlProp" Target="../ctrlProps/ctrlProp327.xml"/><Relationship Id="rId5" Type="http://schemas.openxmlformats.org/officeDocument/2006/relationships/ctrlProp" Target="../ctrlProps/ctrlProp295.xml"/><Relationship Id="rId15" Type="http://schemas.openxmlformats.org/officeDocument/2006/relationships/ctrlProp" Target="../ctrlProps/ctrlProp305.xml"/><Relationship Id="rId23" Type="http://schemas.openxmlformats.org/officeDocument/2006/relationships/ctrlProp" Target="../ctrlProps/ctrlProp313.xml"/><Relationship Id="rId28" Type="http://schemas.openxmlformats.org/officeDocument/2006/relationships/ctrlProp" Target="../ctrlProps/ctrlProp318.xml"/><Relationship Id="rId36" Type="http://schemas.openxmlformats.org/officeDocument/2006/relationships/ctrlProp" Target="../ctrlProps/ctrlProp326.xml"/><Relationship Id="rId10" Type="http://schemas.openxmlformats.org/officeDocument/2006/relationships/ctrlProp" Target="../ctrlProps/ctrlProp300.xml"/><Relationship Id="rId19" Type="http://schemas.openxmlformats.org/officeDocument/2006/relationships/ctrlProp" Target="../ctrlProps/ctrlProp309.xml"/><Relationship Id="rId31" Type="http://schemas.openxmlformats.org/officeDocument/2006/relationships/ctrlProp" Target="../ctrlProps/ctrlProp321.xml"/><Relationship Id="rId4" Type="http://schemas.openxmlformats.org/officeDocument/2006/relationships/ctrlProp" Target="../ctrlProps/ctrlProp294.xml"/><Relationship Id="rId9" Type="http://schemas.openxmlformats.org/officeDocument/2006/relationships/ctrlProp" Target="../ctrlProps/ctrlProp299.xml"/><Relationship Id="rId14" Type="http://schemas.openxmlformats.org/officeDocument/2006/relationships/ctrlProp" Target="../ctrlProps/ctrlProp304.xml"/><Relationship Id="rId22" Type="http://schemas.openxmlformats.org/officeDocument/2006/relationships/ctrlProp" Target="../ctrlProps/ctrlProp312.xml"/><Relationship Id="rId27" Type="http://schemas.openxmlformats.org/officeDocument/2006/relationships/ctrlProp" Target="../ctrlProps/ctrlProp317.xml"/><Relationship Id="rId30" Type="http://schemas.openxmlformats.org/officeDocument/2006/relationships/ctrlProp" Target="../ctrlProps/ctrlProp320.xml"/><Relationship Id="rId35" Type="http://schemas.openxmlformats.org/officeDocument/2006/relationships/ctrlProp" Target="../ctrlProps/ctrlProp325.xml"/><Relationship Id="rId8" Type="http://schemas.openxmlformats.org/officeDocument/2006/relationships/ctrlProp" Target="../ctrlProps/ctrlProp298.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8.xml"/><Relationship Id="rId18" Type="http://schemas.openxmlformats.org/officeDocument/2006/relationships/ctrlProp" Target="../ctrlProps/ctrlProp343.xml"/><Relationship Id="rId26" Type="http://schemas.openxmlformats.org/officeDocument/2006/relationships/ctrlProp" Target="../ctrlProps/ctrlProp351.xml"/><Relationship Id="rId21" Type="http://schemas.openxmlformats.org/officeDocument/2006/relationships/ctrlProp" Target="../ctrlProps/ctrlProp346.xml"/><Relationship Id="rId34" Type="http://schemas.openxmlformats.org/officeDocument/2006/relationships/ctrlProp" Target="../ctrlProps/ctrlProp359.xml"/><Relationship Id="rId7" Type="http://schemas.openxmlformats.org/officeDocument/2006/relationships/ctrlProp" Target="../ctrlProps/ctrlProp332.xm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2" Type="http://schemas.openxmlformats.org/officeDocument/2006/relationships/drawing" Target="../drawings/drawing15.xml"/><Relationship Id="rId16" Type="http://schemas.openxmlformats.org/officeDocument/2006/relationships/ctrlProp" Target="../ctrlProps/ctrlProp341.xml"/><Relationship Id="rId20" Type="http://schemas.openxmlformats.org/officeDocument/2006/relationships/ctrlProp" Target="../ctrlProps/ctrlProp345.xml"/><Relationship Id="rId29" Type="http://schemas.openxmlformats.org/officeDocument/2006/relationships/ctrlProp" Target="../ctrlProps/ctrlProp354.xml"/><Relationship Id="rId1" Type="http://schemas.openxmlformats.org/officeDocument/2006/relationships/printerSettings" Target="../printerSettings/printerSettings20.bin"/><Relationship Id="rId6" Type="http://schemas.openxmlformats.org/officeDocument/2006/relationships/ctrlProp" Target="../ctrlProps/ctrlProp331.xml"/><Relationship Id="rId11" Type="http://schemas.openxmlformats.org/officeDocument/2006/relationships/ctrlProp" Target="../ctrlProps/ctrlProp336.x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5" Type="http://schemas.openxmlformats.org/officeDocument/2006/relationships/ctrlProp" Target="../ctrlProps/ctrlProp330.xm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10" Type="http://schemas.openxmlformats.org/officeDocument/2006/relationships/ctrlProp" Target="../ctrlProps/ctrlProp335.xml"/><Relationship Id="rId19" Type="http://schemas.openxmlformats.org/officeDocument/2006/relationships/ctrlProp" Target="../ctrlProps/ctrlProp344.xml"/><Relationship Id="rId31" Type="http://schemas.openxmlformats.org/officeDocument/2006/relationships/ctrlProp" Target="../ctrlProps/ctrlProp356.xml"/><Relationship Id="rId4" Type="http://schemas.openxmlformats.org/officeDocument/2006/relationships/ctrlProp" Target="../ctrlProps/ctrlProp329.xml"/><Relationship Id="rId9" Type="http://schemas.openxmlformats.org/officeDocument/2006/relationships/ctrlProp" Target="../ctrlProps/ctrlProp334.xml"/><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8" Type="http://schemas.openxmlformats.org/officeDocument/2006/relationships/ctrlProp" Target="../ctrlProps/ctrlProp333.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38" Type="http://schemas.openxmlformats.org/officeDocument/2006/relationships/ctrlProp" Target="../ctrlProps/ctrlProp398.xml"/><Relationship Id="rId2" Type="http://schemas.openxmlformats.org/officeDocument/2006/relationships/drawing" Target="../drawings/drawing16.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1.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37" Type="http://schemas.openxmlformats.org/officeDocument/2006/relationships/ctrlProp" Target="../ctrlProps/ctrlProp397.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36" Type="http://schemas.openxmlformats.org/officeDocument/2006/relationships/ctrlProp" Target="../ctrlProps/ctrlProp396.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 Id="rId8" Type="http://schemas.openxmlformats.org/officeDocument/2006/relationships/ctrlProp" Target="../ctrlProps/ctrlProp368.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08.xml"/><Relationship Id="rId18" Type="http://schemas.openxmlformats.org/officeDocument/2006/relationships/ctrlProp" Target="../ctrlProps/ctrlProp413.xml"/><Relationship Id="rId26" Type="http://schemas.openxmlformats.org/officeDocument/2006/relationships/ctrlProp" Target="../ctrlProps/ctrlProp421.xml"/><Relationship Id="rId21" Type="http://schemas.openxmlformats.org/officeDocument/2006/relationships/ctrlProp" Target="../ctrlProps/ctrlProp416.xml"/><Relationship Id="rId34" Type="http://schemas.openxmlformats.org/officeDocument/2006/relationships/ctrlProp" Target="../ctrlProps/ctrlProp429.xml"/><Relationship Id="rId7" Type="http://schemas.openxmlformats.org/officeDocument/2006/relationships/ctrlProp" Target="../ctrlProps/ctrlProp402.xml"/><Relationship Id="rId12" Type="http://schemas.openxmlformats.org/officeDocument/2006/relationships/ctrlProp" Target="../ctrlProps/ctrlProp407.xml"/><Relationship Id="rId17" Type="http://schemas.openxmlformats.org/officeDocument/2006/relationships/ctrlProp" Target="../ctrlProps/ctrlProp412.xml"/><Relationship Id="rId25" Type="http://schemas.openxmlformats.org/officeDocument/2006/relationships/ctrlProp" Target="../ctrlProps/ctrlProp420.xml"/><Relationship Id="rId33" Type="http://schemas.openxmlformats.org/officeDocument/2006/relationships/ctrlProp" Target="../ctrlProps/ctrlProp428.xml"/><Relationship Id="rId38" Type="http://schemas.openxmlformats.org/officeDocument/2006/relationships/ctrlProp" Target="../ctrlProps/ctrlProp433.xml"/><Relationship Id="rId2" Type="http://schemas.openxmlformats.org/officeDocument/2006/relationships/drawing" Target="../drawings/drawing17.xml"/><Relationship Id="rId16" Type="http://schemas.openxmlformats.org/officeDocument/2006/relationships/ctrlProp" Target="../ctrlProps/ctrlProp411.xml"/><Relationship Id="rId20" Type="http://schemas.openxmlformats.org/officeDocument/2006/relationships/ctrlProp" Target="../ctrlProps/ctrlProp415.xml"/><Relationship Id="rId29" Type="http://schemas.openxmlformats.org/officeDocument/2006/relationships/ctrlProp" Target="../ctrlProps/ctrlProp424.xml"/><Relationship Id="rId1" Type="http://schemas.openxmlformats.org/officeDocument/2006/relationships/printerSettings" Target="../printerSettings/printerSettings22.bin"/><Relationship Id="rId6" Type="http://schemas.openxmlformats.org/officeDocument/2006/relationships/ctrlProp" Target="../ctrlProps/ctrlProp401.xml"/><Relationship Id="rId11" Type="http://schemas.openxmlformats.org/officeDocument/2006/relationships/ctrlProp" Target="../ctrlProps/ctrlProp406.xml"/><Relationship Id="rId24" Type="http://schemas.openxmlformats.org/officeDocument/2006/relationships/ctrlProp" Target="../ctrlProps/ctrlProp419.xml"/><Relationship Id="rId32" Type="http://schemas.openxmlformats.org/officeDocument/2006/relationships/ctrlProp" Target="../ctrlProps/ctrlProp427.xml"/><Relationship Id="rId37" Type="http://schemas.openxmlformats.org/officeDocument/2006/relationships/ctrlProp" Target="../ctrlProps/ctrlProp432.xml"/><Relationship Id="rId5" Type="http://schemas.openxmlformats.org/officeDocument/2006/relationships/ctrlProp" Target="../ctrlProps/ctrlProp400.xml"/><Relationship Id="rId15" Type="http://schemas.openxmlformats.org/officeDocument/2006/relationships/ctrlProp" Target="../ctrlProps/ctrlProp410.xml"/><Relationship Id="rId23" Type="http://schemas.openxmlformats.org/officeDocument/2006/relationships/ctrlProp" Target="../ctrlProps/ctrlProp418.xml"/><Relationship Id="rId28" Type="http://schemas.openxmlformats.org/officeDocument/2006/relationships/ctrlProp" Target="../ctrlProps/ctrlProp423.xml"/><Relationship Id="rId36" Type="http://schemas.openxmlformats.org/officeDocument/2006/relationships/ctrlProp" Target="../ctrlProps/ctrlProp431.xml"/><Relationship Id="rId10" Type="http://schemas.openxmlformats.org/officeDocument/2006/relationships/ctrlProp" Target="../ctrlProps/ctrlProp405.xml"/><Relationship Id="rId19" Type="http://schemas.openxmlformats.org/officeDocument/2006/relationships/ctrlProp" Target="../ctrlProps/ctrlProp414.xml"/><Relationship Id="rId31" Type="http://schemas.openxmlformats.org/officeDocument/2006/relationships/ctrlProp" Target="../ctrlProps/ctrlProp426.xml"/><Relationship Id="rId4" Type="http://schemas.openxmlformats.org/officeDocument/2006/relationships/ctrlProp" Target="../ctrlProps/ctrlProp399.xml"/><Relationship Id="rId9" Type="http://schemas.openxmlformats.org/officeDocument/2006/relationships/ctrlProp" Target="../ctrlProps/ctrlProp404.xml"/><Relationship Id="rId14" Type="http://schemas.openxmlformats.org/officeDocument/2006/relationships/ctrlProp" Target="../ctrlProps/ctrlProp409.xml"/><Relationship Id="rId22" Type="http://schemas.openxmlformats.org/officeDocument/2006/relationships/ctrlProp" Target="../ctrlProps/ctrlProp417.xml"/><Relationship Id="rId27" Type="http://schemas.openxmlformats.org/officeDocument/2006/relationships/ctrlProp" Target="../ctrlProps/ctrlProp422.xml"/><Relationship Id="rId30" Type="http://schemas.openxmlformats.org/officeDocument/2006/relationships/ctrlProp" Target="../ctrlProps/ctrlProp425.xml"/><Relationship Id="rId35" Type="http://schemas.openxmlformats.org/officeDocument/2006/relationships/ctrlProp" Target="../ctrlProps/ctrlProp430.xml"/><Relationship Id="rId8" Type="http://schemas.openxmlformats.org/officeDocument/2006/relationships/ctrlProp" Target="../ctrlProps/ctrlProp403.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3.xml"/><Relationship Id="rId18" Type="http://schemas.openxmlformats.org/officeDocument/2006/relationships/ctrlProp" Target="../ctrlProps/ctrlProp448.xml"/><Relationship Id="rId26" Type="http://schemas.openxmlformats.org/officeDocument/2006/relationships/ctrlProp" Target="../ctrlProps/ctrlProp456.xml"/><Relationship Id="rId21" Type="http://schemas.openxmlformats.org/officeDocument/2006/relationships/ctrlProp" Target="../ctrlProps/ctrlProp451.xml"/><Relationship Id="rId34" Type="http://schemas.openxmlformats.org/officeDocument/2006/relationships/ctrlProp" Target="../ctrlProps/ctrlProp464.xml"/><Relationship Id="rId7" Type="http://schemas.openxmlformats.org/officeDocument/2006/relationships/ctrlProp" Target="../ctrlProps/ctrlProp437.xml"/><Relationship Id="rId12" Type="http://schemas.openxmlformats.org/officeDocument/2006/relationships/ctrlProp" Target="../ctrlProps/ctrlProp442.xml"/><Relationship Id="rId17" Type="http://schemas.openxmlformats.org/officeDocument/2006/relationships/ctrlProp" Target="../ctrlProps/ctrlProp447.xml"/><Relationship Id="rId25" Type="http://schemas.openxmlformats.org/officeDocument/2006/relationships/ctrlProp" Target="../ctrlProps/ctrlProp455.xml"/><Relationship Id="rId33" Type="http://schemas.openxmlformats.org/officeDocument/2006/relationships/ctrlProp" Target="../ctrlProps/ctrlProp463.xml"/><Relationship Id="rId38" Type="http://schemas.openxmlformats.org/officeDocument/2006/relationships/ctrlProp" Target="../ctrlProps/ctrlProp468.xml"/><Relationship Id="rId2" Type="http://schemas.openxmlformats.org/officeDocument/2006/relationships/drawing" Target="../drawings/drawing18.xml"/><Relationship Id="rId16" Type="http://schemas.openxmlformats.org/officeDocument/2006/relationships/ctrlProp" Target="../ctrlProps/ctrlProp446.xml"/><Relationship Id="rId20" Type="http://schemas.openxmlformats.org/officeDocument/2006/relationships/ctrlProp" Target="../ctrlProps/ctrlProp450.xml"/><Relationship Id="rId29" Type="http://schemas.openxmlformats.org/officeDocument/2006/relationships/ctrlProp" Target="../ctrlProps/ctrlProp459.xml"/><Relationship Id="rId1" Type="http://schemas.openxmlformats.org/officeDocument/2006/relationships/printerSettings" Target="../printerSettings/printerSettings23.bin"/><Relationship Id="rId6" Type="http://schemas.openxmlformats.org/officeDocument/2006/relationships/ctrlProp" Target="../ctrlProps/ctrlProp436.xml"/><Relationship Id="rId11" Type="http://schemas.openxmlformats.org/officeDocument/2006/relationships/ctrlProp" Target="../ctrlProps/ctrlProp441.xml"/><Relationship Id="rId24" Type="http://schemas.openxmlformats.org/officeDocument/2006/relationships/ctrlProp" Target="../ctrlProps/ctrlProp454.xml"/><Relationship Id="rId32" Type="http://schemas.openxmlformats.org/officeDocument/2006/relationships/ctrlProp" Target="../ctrlProps/ctrlProp462.xml"/><Relationship Id="rId37" Type="http://schemas.openxmlformats.org/officeDocument/2006/relationships/ctrlProp" Target="../ctrlProps/ctrlProp467.xml"/><Relationship Id="rId5" Type="http://schemas.openxmlformats.org/officeDocument/2006/relationships/ctrlProp" Target="../ctrlProps/ctrlProp435.xml"/><Relationship Id="rId15" Type="http://schemas.openxmlformats.org/officeDocument/2006/relationships/ctrlProp" Target="../ctrlProps/ctrlProp445.xml"/><Relationship Id="rId23" Type="http://schemas.openxmlformats.org/officeDocument/2006/relationships/ctrlProp" Target="../ctrlProps/ctrlProp453.xml"/><Relationship Id="rId28" Type="http://schemas.openxmlformats.org/officeDocument/2006/relationships/ctrlProp" Target="../ctrlProps/ctrlProp458.xml"/><Relationship Id="rId36" Type="http://schemas.openxmlformats.org/officeDocument/2006/relationships/ctrlProp" Target="../ctrlProps/ctrlProp466.xml"/><Relationship Id="rId10" Type="http://schemas.openxmlformats.org/officeDocument/2006/relationships/ctrlProp" Target="../ctrlProps/ctrlProp440.xml"/><Relationship Id="rId19" Type="http://schemas.openxmlformats.org/officeDocument/2006/relationships/ctrlProp" Target="../ctrlProps/ctrlProp449.xml"/><Relationship Id="rId31" Type="http://schemas.openxmlformats.org/officeDocument/2006/relationships/ctrlProp" Target="../ctrlProps/ctrlProp461.xml"/><Relationship Id="rId4" Type="http://schemas.openxmlformats.org/officeDocument/2006/relationships/ctrlProp" Target="../ctrlProps/ctrlProp434.xml"/><Relationship Id="rId9" Type="http://schemas.openxmlformats.org/officeDocument/2006/relationships/ctrlProp" Target="../ctrlProps/ctrlProp439.xml"/><Relationship Id="rId14" Type="http://schemas.openxmlformats.org/officeDocument/2006/relationships/ctrlProp" Target="../ctrlProps/ctrlProp444.xml"/><Relationship Id="rId22" Type="http://schemas.openxmlformats.org/officeDocument/2006/relationships/ctrlProp" Target="../ctrlProps/ctrlProp452.xml"/><Relationship Id="rId27" Type="http://schemas.openxmlformats.org/officeDocument/2006/relationships/ctrlProp" Target="../ctrlProps/ctrlProp457.xml"/><Relationship Id="rId30" Type="http://schemas.openxmlformats.org/officeDocument/2006/relationships/ctrlProp" Target="../ctrlProps/ctrlProp460.xml"/><Relationship Id="rId35" Type="http://schemas.openxmlformats.org/officeDocument/2006/relationships/ctrlProp" Target="../ctrlProps/ctrlProp465.xml"/><Relationship Id="rId8" Type="http://schemas.openxmlformats.org/officeDocument/2006/relationships/ctrlProp" Target="../ctrlProps/ctrlProp438.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78.xml"/><Relationship Id="rId18" Type="http://schemas.openxmlformats.org/officeDocument/2006/relationships/ctrlProp" Target="../ctrlProps/ctrlProp483.xml"/><Relationship Id="rId26" Type="http://schemas.openxmlformats.org/officeDocument/2006/relationships/ctrlProp" Target="../ctrlProps/ctrlProp491.xml"/><Relationship Id="rId21" Type="http://schemas.openxmlformats.org/officeDocument/2006/relationships/ctrlProp" Target="../ctrlProps/ctrlProp486.xml"/><Relationship Id="rId34" Type="http://schemas.openxmlformats.org/officeDocument/2006/relationships/ctrlProp" Target="../ctrlProps/ctrlProp499.xml"/><Relationship Id="rId7" Type="http://schemas.openxmlformats.org/officeDocument/2006/relationships/ctrlProp" Target="../ctrlProps/ctrlProp472.xml"/><Relationship Id="rId12" Type="http://schemas.openxmlformats.org/officeDocument/2006/relationships/ctrlProp" Target="../ctrlProps/ctrlProp477.xml"/><Relationship Id="rId17" Type="http://schemas.openxmlformats.org/officeDocument/2006/relationships/ctrlProp" Target="../ctrlProps/ctrlProp482.xml"/><Relationship Id="rId25" Type="http://schemas.openxmlformats.org/officeDocument/2006/relationships/ctrlProp" Target="../ctrlProps/ctrlProp490.xml"/><Relationship Id="rId33" Type="http://schemas.openxmlformats.org/officeDocument/2006/relationships/ctrlProp" Target="../ctrlProps/ctrlProp498.xml"/><Relationship Id="rId38" Type="http://schemas.openxmlformats.org/officeDocument/2006/relationships/ctrlProp" Target="../ctrlProps/ctrlProp503.xml"/><Relationship Id="rId2" Type="http://schemas.openxmlformats.org/officeDocument/2006/relationships/drawing" Target="../drawings/drawing19.xml"/><Relationship Id="rId16" Type="http://schemas.openxmlformats.org/officeDocument/2006/relationships/ctrlProp" Target="../ctrlProps/ctrlProp481.xml"/><Relationship Id="rId20" Type="http://schemas.openxmlformats.org/officeDocument/2006/relationships/ctrlProp" Target="../ctrlProps/ctrlProp485.xml"/><Relationship Id="rId29" Type="http://schemas.openxmlformats.org/officeDocument/2006/relationships/ctrlProp" Target="../ctrlProps/ctrlProp494.xml"/><Relationship Id="rId1" Type="http://schemas.openxmlformats.org/officeDocument/2006/relationships/printerSettings" Target="../printerSettings/printerSettings24.bin"/><Relationship Id="rId6" Type="http://schemas.openxmlformats.org/officeDocument/2006/relationships/ctrlProp" Target="../ctrlProps/ctrlProp471.xml"/><Relationship Id="rId11" Type="http://schemas.openxmlformats.org/officeDocument/2006/relationships/ctrlProp" Target="../ctrlProps/ctrlProp476.xml"/><Relationship Id="rId24" Type="http://schemas.openxmlformats.org/officeDocument/2006/relationships/ctrlProp" Target="../ctrlProps/ctrlProp489.xml"/><Relationship Id="rId32" Type="http://schemas.openxmlformats.org/officeDocument/2006/relationships/ctrlProp" Target="../ctrlProps/ctrlProp497.xml"/><Relationship Id="rId37" Type="http://schemas.openxmlformats.org/officeDocument/2006/relationships/ctrlProp" Target="../ctrlProps/ctrlProp502.xml"/><Relationship Id="rId5" Type="http://schemas.openxmlformats.org/officeDocument/2006/relationships/ctrlProp" Target="../ctrlProps/ctrlProp470.xml"/><Relationship Id="rId15" Type="http://schemas.openxmlformats.org/officeDocument/2006/relationships/ctrlProp" Target="../ctrlProps/ctrlProp480.xml"/><Relationship Id="rId23" Type="http://schemas.openxmlformats.org/officeDocument/2006/relationships/ctrlProp" Target="../ctrlProps/ctrlProp488.xml"/><Relationship Id="rId28" Type="http://schemas.openxmlformats.org/officeDocument/2006/relationships/ctrlProp" Target="../ctrlProps/ctrlProp493.xml"/><Relationship Id="rId36" Type="http://schemas.openxmlformats.org/officeDocument/2006/relationships/ctrlProp" Target="../ctrlProps/ctrlProp501.xml"/><Relationship Id="rId10" Type="http://schemas.openxmlformats.org/officeDocument/2006/relationships/ctrlProp" Target="../ctrlProps/ctrlProp475.xml"/><Relationship Id="rId19" Type="http://schemas.openxmlformats.org/officeDocument/2006/relationships/ctrlProp" Target="../ctrlProps/ctrlProp484.xml"/><Relationship Id="rId31" Type="http://schemas.openxmlformats.org/officeDocument/2006/relationships/ctrlProp" Target="../ctrlProps/ctrlProp496.xml"/><Relationship Id="rId4" Type="http://schemas.openxmlformats.org/officeDocument/2006/relationships/ctrlProp" Target="../ctrlProps/ctrlProp469.xml"/><Relationship Id="rId9" Type="http://schemas.openxmlformats.org/officeDocument/2006/relationships/ctrlProp" Target="../ctrlProps/ctrlProp474.xml"/><Relationship Id="rId14" Type="http://schemas.openxmlformats.org/officeDocument/2006/relationships/ctrlProp" Target="../ctrlProps/ctrlProp479.xml"/><Relationship Id="rId22" Type="http://schemas.openxmlformats.org/officeDocument/2006/relationships/ctrlProp" Target="../ctrlProps/ctrlProp487.xml"/><Relationship Id="rId27" Type="http://schemas.openxmlformats.org/officeDocument/2006/relationships/ctrlProp" Target="../ctrlProps/ctrlProp492.xml"/><Relationship Id="rId30" Type="http://schemas.openxmlformats.org/officeDocument/2006/relationships/ctrlProp" Target="../ctrlProps/ctrlProp495.xml"/><Relationship Id="rId35" Type="http://schemas.openxmlformats.org/officeDocument/2006/relationships/ctrlProp" Target="../ctrlProps/ctrlProp500.xml"/><Relationship Id="rId8" Type="http://schemas.openxmlformats.org/officeDocument/2006/relationships/ctrlProp" Target="../ctrlProps/ctrlProp473.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513.xml"/><Relationship Id="rId18" Type="http://schemas.openxmlformats.org/officeDocument/2006/relationships/ctrlProp" Target="../ctrlProps/ctrlProp518.xml"/><Relationship Id="rId26" Type="http://schemas.openxmlformats.org/officeDocument/2006/relationships/ctrlProp" Target="../ctrlProps/ctrlProp526.xml"/><Relationship Id="rId21" Type="http://schemas.openxmlformats.org/officeDocument/2006/relationships/ctrlProp" Target="../ctrlProps/ctrlProp521.xml"/><Relationship Id="rId34" Type="http://schemas.openxmlformats.org/officeDocument/2006/relationships/ctrlProp" Target="../ctrlProps/ctrlProp534.xml"/><Relationship Id="rId7" Type="http://schemas.openxmlformats.org/officeDocument/2006/relationships/ctrlProp" Target="../ctrlProps/ctrlProp507.xml"/><Relationship Id="rId12" Type="http://schemas.openxmlformats.org/officeDocument/2006/relationships/ctrlProp" Target="../ctrlProps/ctrlProp512.xml"/><Relationship Id="rId17" Type="http://schemas.openxmlformats.org/officeDocument/2006/relationships/ctrlProp" Target="../ctrlProps/ctrlProp517.xml"/><Relationship Id="rId25" Type="http://schemas.openxmlformats.org/officeDocument/2006/relationships/ctrlProp" Target="../ctrlProps/ctrlProp525.xml"/><Relationship Id="rId33" Type="http://schemas.openxmlformats.org/officeDocument/2006/relationships/ctrlProp" Target="../ctrlProps/ctrlProp533.xml"/><Relationship Id="rId38" Type="http://schemas.openxmlformats.org/officeDocument/2006/relationships/ctrlProp" Target="../ctrlProps/ctrlProp538.xml"/><Relationship Id="rId2" Type="http://schemas.openxmlformats.org/officeDocument/2006/relationships/drawing" Target="../drawings/drawing20.xml"/><Relationship Id="rId16" Type="http://schemas.openxmlformats.org/officeDocument/2006/relationships/ctrlProp" Target="../ctrlProps/ctrlProp516.xml"/><Relationship Id="rId20" Type="http://schemas.openxmlformats.org/officeDocument/2006/relationships/ctrlProp" Target="../ctrlProps/ctrlProp520.xml"/><Relationship Id="rId29" Type="http://schemas.openxmlformats.org/officeDocument/2006/relationships/ctrlProp" Target="../ctrlProps/ctrlProp529.xml"/><Relationship Id="rId1" Type="http://schemas.openxmlformats.org/officeDocument/2006/relationships/printerSettings" Target="../printerSettings/printerSettings25.bin"/><Relationship Id="rId6" Type="http://schemas.openxmlformats.org/officeDocument/2006/relationships/ctrlProp" Target="../ctrlProps/ctrlProp506.xml"/><Relationship Id="rId11" Type="http://schemas.openxmlformats.org/officeDocument/2006/relationships/ctrlProp" Target="../ctrlProps/ctrlProp511.xml"/><Relationship Id="rId24" Type="http://schemas.openxmlformats.org/officeDocument/2006/relationships/ctrlProp" Target="../ctrlProps/ctrlProp524.xml"/><Relationship Id="rId32" Type="http://schemas.openxmlformats.org/officeDocument/2006/relationships/ctrlProp" Target="../ctrlProps/ctrlProp532.xml"/><Relationship Id="rId37" Type="http://schemas.openxmlformats.org/officeDocument/2006/relationships/ctrlProp" Target="../ctrlProps/ctrlProp537.xml"/><Relationship Id="rId5" Type="http://schemas.openxmlformats.org/officeDocument/2006/relationships/ctrlProp" Target="../ctrlProps/ctrlProp505.xml"/><Relationship Id="rId15" Type="http://schemas.openxmlformats.org/officeDocument/2006/relationships/ctrlProp" Target="../ctrlProps/ctrlProp515.xml"/><Relationship Id="rId23" Type="http://schemas.openxmlformats.org/officeDocument/2006/relationships/ctrlProp" Target="../ctrlProps/ctrlProp523.xml"/><Relationship Id="rId28" Type="http://schemas.openxmlformats.org/officeDocument/2006/relationships/ctrlProp" Target="../ctrlProps/ctrlProp528.xml"/><Relationship Id="rId36" Type="http://schemas.openxmlformats.org/officeDocument/2006/relationships/ctrlProp" Target="../ctrlProps/ctrlProp536.xml"/><Relationship Id="rId10" Type="http://schemas.openxmlformats.org/officeDocument/2006/relationships/ctrlProp" Target="../ctrlProps/ctrlProp510.xml"/><Relationship Id="rId19" Type="http://schemas.openxmlformats.org/officeDocument/2006/relationships/ctrlProp" Target="../ctrlProps/ctrlProp519.xml"/><Relationship Id="rId31" Type="http://schemas.openxmlformats.org/officeDocument/2006/relationships/ctrlProp" Target="../ctrlProps/ctrlProp531.xml"/><Relationship Id="rId4" Type="http://schemas.openxmlformats.org/officeDocument/2006/relationships/ctrlProp" Target="../ctrlProps/ctrlProp504.xml"/><Relationship Id="rId9" Type="http://schemas.openxmlformats.org/officeDocument/2006/relationships/ctrlProp" Target="../ctrlProps/ctrlProp509.xml"/><Relationship Id="rId14" Type="http://schemas.openxmlformats.org/officeDocument/2006/relationships/ctrlProp" Target="../ctrlProps/ctrlProp514.xml"/><Relationship Id="rId22" Type="http://schemas.openxmlformats.org/officeDocument/2006/relationships/ctrlProp" Target="../ctrlProps/ctrlProp522.xml"/><Relationship Id="rId27" Type="http://schemas.openxmlformats.org/officeDocument/2006/relationships/ctrlProp" Target="../ctrlProps/ctrlProp527.xml"/><Relationship Id="rId30" Type="http://schemas.openxmlformats.org/officeDocument/2006/relationships/ctrlProp" Target="../ctrlProps/ctrlProp530.xml"/><Relationship Id="rId35" Type="http://schemas.openxmlformats.org/officeDocument/2006/relationships/ctrlProp" Target="../ctrlProps/ctrlProp535.xml"/><Relationship Id="rId8" Type="http://schemas.openxmlformats.org/officeDocument/2006/relationships/ctrlProp" Target="../ctrlProps/ctrlProp508.xml"/><Relationship Id="rId3"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90" t="s">
        <v>113</v>
      </c>
      <c r="B1" s="69"/>
    </row>
    <row r="2" spans="1:5" x14ac:dyDescent="0.25">
      <c r="A2" s="69"/>
      <c r="B2" s="69"/>
    </row>
    <row r="3" spans="1:5" x14ac:dyDescent="0.25">
      <c r="A3" s="69" t="s">
        <v>246</v>
      </c>
      <c r="B3" s="69"/>
    </row>
    <row r="4" spans="1:5" x14ac:dyDescent="0.25">
      <c r="A4" s="191"/>
      <c r="B4" s="69"/>
    </row>
    <row r="5" spans="1:5" x14ac:dyDescent="0.25">
      <c r="A5" s="191" t="s">
        <v>281</v>
      </c>
      <c r="B5" s="69" t="s">
        <v>573</v>
      </c>
    </row>
    <row r="6" spans="1:5" x14ac:dyDescent="0.25">
      <c r="A6" s="191"/>
      <c r="B6" s="69"/>
    </row>
    <row r="7" spans="1:5" x14ac:dyDescent="0.25">
      <c r="A7" s="69" t="s">
        <v>247</v>
      </c>
      <c r="B7" s="69"/>
    </row>
    <row r="8" spans="1:5" x14ac:dyDescent="0.25">
      <c r="A8" s="191"/>
      <c r="B8" s="69"/>
    </row>
    <row r="9" spans="1:5" x14ac:dyDescent="0.25">
      <c r="A9" s="191"/>
      <c r="B9" s="69"/>
    </row>
    <row r="10" spans="1:5" x14ac:dyDescent="0.25">
      <c r="A10" s="69" t="s">
        <v>72</v>
      </c>
      <c r="B10" s="192" t="s">
        <v>518</v>
      </c>
    </row>
    <row r="11" spans="1:5" x14ac:dyDescent="0.25">
      <c r="A11" s="69" t="s">
        <v>242</v>
      </c>
      <c r="B11" s="193"/>
    </row>
    <row r="12" spans="1:5" x14ac:dyDescent="0.25">
      <c r="A12" s="69"/>
      <c r="B12" s="193"/>
    </row>
    <row r="13" spans="1:5" x14ac:dyDescent="0.25">
      <c r="A13" s="69" t="s">
        <v>186</v>
      </c>
      <c r="B13" s="193"/>
    </row>
    <row r="14" spans="1:5" x14ac:dyDescent="0.25">
      <c r="A14" s="69"/>
      <c r="B14" s="193"/>
    </row>
    <row r="15" spans="1:5" x14ac:dyDescent="0.25">
      <c r="A15" s="69" t="s">
        <v>253</v>
      </c>
      <c r="B15" s="193"/>
      <c r="E15" t="s">
        <v>310</v>
      </c>
    </row>
    <row r="16" spans="1:5" x14ac:dyDescent="0.25">
      <c r="A16" s="69" t="s">
        <v>254</v>
      </c>
      <c r="B16" s="193"/>
    </row>
    <row r="17" spans="1:6" x14ac:dyDescent="0.25">
      <c r="A17" s="69"/>
      <c r="B17" s="193"/>
    </row>
    <row r="18" spans="1:6" x14ac:dyDescent="0.25">
      <c r="A18" s="69"/>
      <c r="B18" s="193"/>
    </row>
    <row r="19" spans="1:6" x14ac:dyDescent="0.25">
      <c r="A19" s="194" t="s">
        <v>255</v>
      </c>
      <c r="B19" s="193"/>
    </row>
    <row r="20" spans="1:6" x14ac:dyDescent="0.25">
      <c r="A20" s="69" t="s">
        <v>64</v>
      </c>
      <c r="B20" s="174" t="str">
        <f>B10&amp;" Edition"</f>
        <v>1/3/2023 Edition</v>
      </c>
    </row>
    <row r="21" spans="1:6" x14ac:dyDescent="0.25">
      <c r="A21" s="69" t="s">
        <v>62</v>
      </c>
      <c r="B21" s="175" t="str">
        <f>IF(ISBLANK('1.General'!$B$45),"",'1.General'!$B$45)</f>
        <v>State Farm General Insurance Company</v>
      </c>
    </row>
    <row r="22" spans="1:6" x14ac:dyDescent="0.25">
      <c r="A22" s="69" t="s">
        <v>63</v>
      </c>
      <c r="B22" s="175" t="str">
        <f>INDEX(List_GeneralLine,References!$F$5,1)</f>
        <v>Homeowners</v>
      </c>
    </row>
    <row r="23" spans="1:6" x14ac:dyDescent="0.25">
      <c r="A23" s="69" t="s">
        <v>115</v>
      </c>
      <c r="B23" s="175" t="str">
        <f>IF(ISBLANK('1.General'!$H$14),"",'1.General'!$H$14)</f>
        <v/>
      </c>
    </row>
    <row r="24" spans="1:6" x14ac:dyDescent="0.25">
      <c r="A24" s="69" t="s">
        <v>223</v>
      </c>
      <c r="B24" s="177" t="str">
        <f>IF(ISBLANK('1.General'!$B$7),"",'1.General'!$B$7)</f>
        <v>Nicole Pettis</v>
      </c>
    </row>
    <row r="25" spans="1:6" x14ac:dyDescent="0.25">
      <c r="A25" s="69" t="s">
        <v>224</v>
      </c>
      <c r="B25" s="176">
        <f>IF(ISBLANK('1.General'!$E$7),"",'1.General'!$E$7)</f>
        <v>44981</v>
      </c>
      <c r="F25" t="s">
        <v>310</v>
      </c>
    </row>
    <row r="26" spans="1:6" x14ac:dyDescent="0.25">
      <c r="A26" s="69" t="s">
        <v>221</v>
      </c>
      <c r="B26" s="176">
        <f>IF(ISBLANK('4.Proposed Impact'!$D$9),"",'4.Proposed Impact'!$D$9)</f>
        <v>45323</v>
      </c>
    </row>
    <row r="27" spans="1:6" x14ac:dyDescent="0.25">
      <c r="A27" s="69" t="s">
        <v>279</v>
      </c>
      <c r="B27" s="177" t="b">
        <v>1</v>
      </c>
    </row>
    <row r="28" spans="1:6" x14ac:dyDescent="0.25">
      <c r="A28" s="69" t="s">
        <v>367</v>
      </c>
      <c r="B28" s="350" t="b">
        <f>IF('3.Filing Type and Checklist'!E8="Y",TRUE,FALSE)</f>
        <v>1</v>
      </c>
    </row>
    <row r="29" spans="1:6" x14ac:dyDescent="0.25">
      <c r="A29" s="69" t="s">
        <v>368</v>
      </c>
      <c r="B29" s="350" t="b">
        <f>IF('3.Filing Type and Checklist'!E9="Y",TRUE,FALSE)</f>
        <v>0</v>
      </c>
    </row>
    <row r="30" spans="1:6" x14ac:dyDescent="0.25">
      <c r="A30" s="69" t="s">
        <v>369</v>
      </c>
      <c r="B30" s="350" t="b">
        <f>IF('3.Filing Type and Checklist'!E11="Y",TRUE,FALSE)</f>
        <v>0</v>
      </c>
    </row>
    <row r="31" spans="1:6" x14ac:dyDescent="0.25">
      <c r="A31" s="69" t="s">
        <v>370</v>
      </c>
      <c r="B31" s="350" t="b">
        <f>IF('3.Filing Type and Checklist'!E6="Y",TRUE,FALSE)</f>
        <v>0</v>
      </c>
    </row>
    <row r="32" spans="1:6" x14ac:dyDescent="0.25">
      <c r="A32" s="69" t="s">
        <v>515</v>
      </c>
      <c r="B32" s="350" t="b">
        <f>IF('3.Filing Type and Checklist'!E7="Y",TRUE,FALSE)</f>
        <v>0</v>
      </c>
    </row>
    <row r="33" spans="1:2" x14ac:dyDescent="0.25">
      <c r="A33" s="69" t="s">
        <v>371</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379</v>
      </c>
      <c r="B34" s="69"/>
    </row>
    <row r="35" spans="1:2" x14ac:dyDescent="0.25">
      <c r="A35" s="69" t="s">
        <v>426</v>
      </c>
      <c r="B35" s="442"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113</v>
      </c>
      <c r="H1" s="315"/>
    </row>
    <row r="2" spans="1:27" x14ac:dyDescent="0.25">
      <c r="B2" s="131" t="s">
        <v>105</v>
      </c>
      <c r="C2" s="132"/>
      <c r="D2" s="133" t="s">
        <v>106</v>
      </c>
      <c r="E2" s="132"/>
      <c r="F2" s="131" t="s">
        <v>182</v>
      </c>
      <c r="G2" s="132"/>
      <c r="H2" s="134" t="s">
        <v>107</v>
      </c>
      <c r="I2" s="135" t="s">
        <v>275</v>
      </c>
      <c r="L2" s="134" t="s">
        <v>394</v>
      </c>
      <c r="M2" s="398"/>
      <c r="N2" s="378"/>
      <c r="O2" s="378"/>
      <c r="P2" s="378"/>
      <c r="Q2" s="378"/>
      <c r="R2" s="378"/>
      <c r="S2" s="378"/>
      <c r="T2" s="399"/>
      <c r="U2" s="400"/>
      <c r="V2" s="401" t="s">
        <v>412</v>
      </c>
      <c r="W2" s="402"/>
      <c r="Y2" s="131" t="s">
        <v>455</v>
      </c>
    </row>
    <row r="3" spans="1:27" x14ac:dyDescent="0.25">
      <c r="B3" s="136" t="s">
        <v>108</v>
      </c>
      <c r="C3" s="132"/>
      <c r="D3" s="144" t="s">
        <v>184</v>
      </c>
      <c r="F3" s="138"/>
      <c r="H3" s="139"/>
      <c r="I3" s="140"/>
      <c r="L3" s="403"/>
      <c r="M3" s="137"/>
      <c r="N3" s="404"/>
      <c r="O3" s="404"/>
      <c r="P3" s="404"/>
      <c r="Q3" s="404"/>
      <c r="R3" s="404"/>
      <c r="S3" s="404"/>
      <c r="T3" s="405"/>
      <c r="U3" s="140"/>
      <c r="V3" s="406" t="s">
        <v>413</v>
      </c>
      <c r="W3" s="407"/>
      <c r="Y3" s="136" t="s">
        <v>456</v>
      </c>
      <c r="AA3" s="47" t="s">
        <v>517</v>
      </c>
    </row>
    <row r="4" spans="1:27" ht="102.75" x14ac:dyDescent="0.25">
      <c r="B4" s="136" t="s">
        <v>183</v>
      </c>
      <c r="C4" s="163"/>
      <c r="D4" s="137"/>
      <c r="F4" s="138"/>
      <c r="H4" s="139"/>
      <c r="I4" s="140"/>
      <c r="L4" s="139" t="s">
        <v>414</v>
      </c>
      <c r="M4" s="137"/>
      <c r="N4" s="408" t="s">
        <v>415</v>
      </c>
      <c r="O4" s="408" t="s">
        <v>416</v>
      </c>
      <c r="P4" s="408" t="s">
        <v>417</v>
      </c>
      <c r="Q4" s="408" t="s">
        <v>418</v>
      </c>
      <c r="R4" s="408" t="s">
        <v>400</v>
      </c>
      <c r="S4" s="408" t="s">
        <v>500</v>
      </c>
      <c r="T4" s="405"/>
      <c r="U4" s="140"/>
      <c r="V4" s="409" t="s">
        <v>419</v>
      </c>
      <c r="W4" s="410" t="s">
        <v>420</v>
      </c>
      <c r="Y4" s="448">
        <v>11</v>
      </c>
    </row>
    <row r="5" spans="1:27" ht="45" customHeight="1" x14ac:dyDescent="0.25">
      <c r="A5" s="199" t="s">
        <v>256</v>
      </c>
      <c r="B5" s="200"/>
      <c r="C5" s="161"/>
      <c r="D5" s="201">
        <v>2</v>
      </c>
      <c r="E5" s="202"/>
      <c r="F5" s="203">
        <v>17</v>
      </c>
      <c r="G5" s="202"/>
      <c r="H5" s="204"/>
      <c r="I5" s="205"/>
      <c r="J5" s="202"/>
      <c r="L5" s="139" t="s">
        <v>421</v>
      </c>
      <c r="M5" s="137"/>
      <c r="N5" s="411">
        <f>IF('3.Filing Type and Checklist'!A18="",1,0)</f>
        <v>1</v>
      </c>
      <c r="O5" s="411">
        <f>IF(OR('3.Filing Type and Checklist'!$E$8="Y",'3.Filing Type and Checklist'!$E$10="Y",'3.Filing Type and Checklist'!$E$12="Y"),1,0)</f>
        <v>1</v>
      </c>
      <c r="P5" s="411">
        <f>IF('3.Filing Type and Checklist'!$E$11="Y",1,0)</f>
        <v>0</v>
      </c>
      <c r="Q5" s="411">
        <f>IF('3.Filing Type and Checklist'!$E$9="Y",1,0)</f>
        <v>0</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A21,A28,A29,A30,A48,A51,A52,A56,A62,A65,A66,A67</v>
      </c>
      <c r="Y5" s="449">
        <f>Y4-1</f>
        <v>10</v>
      </c>
    </row>
    <row r="6" spans="1:27" ht="30" x14ac:dyDescent="0.25">
      <c r="B6" s="141" t="s">
        <v>5</v>
      </c>
      <c r="C6" s="50"/>
      <c r="D6" s="137" t="s">
        <v>28</v>
      </c>
      <c r="F6" s="138"/>
      <c r="H6" s="126" t="s">
        <v>84</v>
      </c>
      <c r="I6" s="127" t="s">
        <v>226</v>
      </c>
      <c r="L6" s="379" t="s">
        <v>393</v>
      </c>
      <c r="M6" s="412"/>
      <c r="N6" s="413"/>
      <c r="O6" s="414"/>
      <c r="P6" s="414"/>
      <c r="Q6" s="414"/>
      <c r="R6" s="415"/>
      <c r="S6" s="415"/>
      <c r="T6" s="405"/>
      <c r="U6" s="416"/>
      <c r="V6" s="417"/>
      <c r="W6" s="410"/>
      <c r="Y6" s="420">
        <v>0</v>
      </c>
    </row>
    <row r="7" spans="1:27" ht="30" x14ac:dyDescent="0.25">
      <c r="B7" s="141" t="s">
        <v>6</v>
      </c>
      <c r="C7" s="50"/>
      <c r="D7" s="137" t="s">
        <v>29</v>
      </c>
      <c r="F7" s="138" t="s">
        <v>34</v>
      </c>
      <c r="H7" s="126" t="s">
        <v>85</v>
      </c>
      <c r="I7" s="127" t="s">
        <v>227</v>
      </c>
      <c r="L7" s="381" t="s">
        <v>291</v>
      </c>
      <c r="M7" s="412" t="s">
        <v>422</v>
      </c>
      <c r="N7" s="382"/>
      <c r="O7" s="382"/>
      <c r="P7" s="382"/>
      <c r="Q7" s="382"/>
      <c r="R7" s="382"/>
      <c r="S7" s="382"/>
      <c r="T7" s="418" t="s">
        <v>384</v>
      </c>
      <c r="U7" s="419" t="s">
        <v>385</v>
      </c>
      <c r="V7" s="386"/>
      <c r="W7" s="410"/>
      <c r="Y7" s="420">
        <v>1</v>
      </c>
    </row>
    <row r="8" spans="1:27" ht="30.75" thickBot="1" x14ac:dyDescent="0.3">
      <c r="B8" s="142" t="s">
        <v>53</v>
      </c>
      <c r="C8" s="50"/>
      <c r="D8" s="395"/>
      <c r="F8" s="138" t="s">
        <v>35</v>
      </c>
      <c r="H8" s="126" t="s">
        <v>86</v>
      </c>
      <c r="I8" s="127" t="s">
        <v>228</v>
      </c>
      <c r="L8" s="380" t="s">
        <v>378</v>
      </c>
      <c r="M8" s="420">
        <v>20</v>
      </c>
      <c r="N8" s="421">
        <v>1</v>
      </c>
      <c r="O8" s="421"/>
      <c r="P8" s="421"/>
      <c r="Q8" s="421"/>
      <c r="R8" s="421" t="s">
        <v>423</v>
      </c>
      <c r="S8" s="421"/>
      <c r="T8" s="422">
        <v>1</v>
      </c>
      <c r="U8" s="423">
        <v>1</v>
      </c>
      <c r="V8" s="387">
        <f>SUMPRODUCT(N$5:S$5,N8:S8)</f>
        <v>1</v>
      </c>
      <c r="W8" s="424" t="str">
        <f t="shared" ref="W8:W55" si="0">IF(V8=0,"A"&amp;$M8&amp;",","")</f>
        <v/>
      </c>
      <c r="Y8" s="420">
        <v>2</v>
      </c>
    </row>
    <row r="9" spans="1:27" ht="30" x14ac:dyDescent="0.25">
      <c r="F9" s="138" t="s">
        <v>493</v>
      </c>
      <c r="H9" s="126" t="s">
        <v>87</v>
      </c>
      <c r="I9" s="127" t="s">
        <v>229</v>
      </c>
      <c r="L9" s="425" t="s">
        <v>289</v>
      </c>
      <c r="M9" s="420">
        <v>21</v>
      </c>
      <c r="N9" s="426" t="s">
        <v>423</v>
      </c>
      <c r="O9" s="426"/>
      <c r="P9" s="426"/>
      <c r="Q9" s="426"/>
      <c r="R9" s="426" t="s">
        <v>423</v>
      </c>
      <c r="S9" s="426"/>
      <c r="T9" s="422">
        <v>1</v>
      </c>
      <c r="U9" s="423">
        <v>1</v>
      </c>
      <c r="V9" s="427">
        <f>IF('1.General'!$K$24=1,1,0)</f>
        <v>0</v>
      </c>
      <c r="W9" s="424" t="str">
        <f t="shared" si="0"/>
        <v>A21,</v>
      </c>
      <c r="Y9" s="420">
        <v>3</v>
      </c>
    </row>
    <row r="10" spans="1:27" ht="30" x14ac:dyDescent="0.25">
      <c r="F10" s="138" t="s">
        <v>36</v>
      </c>
      <c r="H10" s="126" t="s">
        <v>88</v>
      </c>
      <c r="I10" s="127" t="s">
        <v>230</v>
      </c>
      <c r="L10" s="380" t="s">
        <v>391</v>
      </c>
      <c r="M10" s="420">
        <v>22</v>
      </c>
      <c r="N10" s="421">
        <v>1</v>
      </c>
      <c r="O10" s="421"/>
      <c r="P10" s="421"/>
      <c r="Q10" s="421"/>
      <c r="R10" s="421" t="s">
        <v>423</v>
      </c>
      <c r="S10" s="421"/>
      <c r="T10" s="422">
        <v>1</v>
      </c>
      <c r="U10" s="423">
        <v>1</v>
      </c>
      <c r="V10" s="387">
        <f>SUMPRODUCT(N$5:S$5,N10:S10)</f>
        <v>1</v>
      </c>
      <c r="W10" s="424" t="str">
        <f t="shared" si="0"/>
        <v/>
      </c>
      <c r="Y10" s="420">
        <v>4</v>
      </c>
    </row>
    <row r="11" spans="1:27" ht="29.25" customHeight="1" x14ac:dyDescent="0.25">
      <c r="F11" s="138" t="s">
        <v>37</v>
      </c>
      <c r="H11" s="126" t="s">
        <v>91</v>
      </c>
      <c r="I11" s="127" t="s">
        <v>231</v>
      </c>
      <c r="L11" s="380" t="s">
        <v>290</v>
      </c>
      <c r="M11" s="420">
        <v>23</v>
      </c>
      <c r="N11" s="421" t="s">
        <v>423</v>
      </c>
      <c r="O11" s="421">
        <v>1</v>
      </c>
      <c r="P11" s="421"/>
      <c r="Q11" s="421"/>
      <c r="R11" s="421">
        <v>1</v>
      </c>
      <c r="S11" s="421">
        <v>1</v>
      </c>
      <c r="T11" s="422">
        <v>1</v>
      </c>
      <c r="U11" s="423">
        <v>1</v>
      </c>
      <c r="V11" s="387">
        <f>SUMPRODUCT(N$5:S$5,N11:S11)</f>
        <v>1</v>
      </c>
      <c r="W11" s="424" t="str">
        <f t="shared" si="0"/>
        <v/>
      </c>
      <c r="Y11" s="420">
        <v>5</v>
      </c>
    </row>
    <row r="12" spans="1:27" ht="30" x14ac:dyDescent="0.25">
      <c r="F12" s="138" t="s">
        <v>38</v>
      </c>
      <c r="H12" s="126" t="s">
        <v>89</v>
      </c>
      <c r="I12" s="127" t="s">
        <v>232</v>
      </c>
      <c r="L12" s="380" t="s">
        <v>298</v>
      </c>
      <c r="M12" s="420">
        <v>24</v>
      </c>
      <c r="N12" s="421" t="s">
        <v>423</v>
      </c>
      <c r="O12" s="421">
        <v>1</v>
      </c>
      <c r="P12" s="421"/>
      <c r="Q12" s="421"/>
      <c r="R12" s="421"/>
      <c r="S12" s="421">
        <v>1</v>
      </c>
      <c r="T12" s="422">
        <v>1</v>
      </c>
      <c r="U12" s="423">
        <v>1</v>
      </c>
      <c r="V12" s="387">
        <f t="shared" ref="V12:V17" si="1">SUMPRODUCT(N$5:S$5,N12:S12)</f>
        <v>1</v>
      </c>
      <c r="W12" s="424" t="str">
        <f t="shared" si="0"/>
        <v/>
      </c>
      <c r="Y12" s="420">
        <v>6</v>
      </c>
    </row>
    <row r="13" spans="1:27" ht="30" x14ac:dyDescent="0.25">
      <c r="F13" s="138" t="s">
        <v>39</v>
      </c>
      <c r="H13" s="126" t="s">
        <v>90</v>
      </c>
      <c r="I13" s="127" t="s">
        <v>233</v>
      </c>
      <c r="L13" s="380" t="s">
        <v>358</v>
      </c>
      <c r="M13" s="420">
        <v>25</v>
      </c>
      <c r="N13" s="421" t="s">
        <v>423</v>
      </c>
      <c r="O13" s="421">
        <v>1</v>
      </c>
      <c r="P13" s="421"/>
      <c r="Q13" s="421"/>
      <c r="R13" s="421" t="s">
        <v>423</v>
      </c>
      <c r="S13" s="421">
        <v>1</v>
      </c>
      <c r="T13" s="422">
        <v>1</v>
      </c>
      <c r="U13" s="423">
        <v>1</v>
      </c>
      <c r="V13" s="387">
        <f t="shared" si="1"/>
        <v>1</v>
      </c>
      <c r="W13" s="424" t="str">
        <f t="shared" si="0"/>
        <v/>
      </c>
      <c r="Y13" s="420">
        <v>7</v>
      </c>
    </row>
    <row r="14" spans="1:27" ht="30" x14ac:dyDescent="0.25">
      <c r="F14" s="138" t="s">
        <v>40</v>
      </c>
      <c r="H14" s="126" t="s">
        <v>112</v>
      </c>
      <c r="I14" s="127" t="s">
        <v>234</v>
      </c>
      <c r="L14" s="380" t="s">
        <v>299</v>
      </c>
      <c r="M14" s="420">
        <v>26</v>
      </c>
      <c r="N14" s="421" t="s">
        <v>423</v>
      </c>
      <c r="O14" s="421">
        <v>1</v>
      </c>
      <c r="P14" s="421"/>
      <c r="Q14" s="421"/>
      <c r="R14" s="421" t="s">
        <v>423</v>
      </c>
      <c r="S14" s="421">
        <v>1</v>
      </c>
      <c r="T14" s="422">
        <v>1</v>
      </c>
      <c r="U14" s="423">
        <v>1</v>
      </c>
      <c r="V14" s="387">
        <f t="shared" si="1"/>
        <v>1</v>
      </c>
      <c r="W14" s="424" t="str">
        <f t="shared" si="0"/>
        <v/>
      </c>
      <c r="Y14" s="420">
        <v>8</v>
      </c>
    </row>
    <row r="15" spans="1:27" ht="30" x14ac:dyDescent="0.25">
      <c r="F15" s="138" t="s">
        <v>41</v>
      </c>
      <c r="H15" s="126" t="s">
        <v>92</v>
      </c>
      <c r="I15" s="127" t="s">
        <v>235</v>
      </c>
      <c r="L15" s="380" t="s">
        <v>300</v>
      </c>
      <c r="M15" s="420">
        <v>27</v>
      </c>
      <c r="N15" s="421" t="s">
        <v>423</v>
      </c>
      <c r="O15" s="421">
        <v>1</v>
      </c>
      <c r="P15" s="421"/>
      <c r="Q15" s="421"/>
      <c r="R15" s="421">
        <v>1</v>
      </c>
      <c r="S15" s="421">
        <v>1</v>
      </c>
      <c r="T15" s="422">
        <v>1</v>
      </c>
      <c r="U15" s="423">
        <v>1</v>
      </c>
      <c r="V15" s="387">
        <f t="shared" si="1"/>
        <v>1</v>
      </c>
      <c r="W15" s="424" t="str">
        <f t="shared" si="0"/>
        <v/>
      </c>
      <c r="Y15" s="420">
        <v>9</v>
      </c>
    </row>
    <row r="16" spans="1:27" ht="30.75" thickBot="1" x14ac:dyDescent="0.3">
      <c r="F16" s="138" t="s">
        <v>42</v>
      </c>
      <c r="H16" s="126" t="s">
        <v>93</v>
      </c>
      <c r="I16" s="127" t="s">
        <v>236</v>
      </c>
      <c r="L16" s="380" t="s">
        <v>301</v>
      </c>
      <c r="M16" s="420">
        <v>28</v>
      </c>
      <c r="N16" s="421" t="s">
        <v>423</v>
      </c>
      <c r="O16" s="421"/>
      <c r="P16" s="421">
        <v>1</v>
      </c>
      <c r="Q16" s="421"/>
      <c r="R16" s="421">
        <v>1</v>
      </c>
      <c r="S16" s="421"/>
      <c r="T16" s="422">
        <v>1</v>
      </c>
      <c r="U16" s="423">
        <v>1</v>
      </c>
      <c r="V16" s="387">
        <f t="shared" si="1"/>
        <v>0</v>
      </c>
      <c r="W16" s="424" t="str">
        <f t="shared" si="0"/>
        <v>A28,</v>
      </c>
      <c r="Y16" s="429">
        <v>10</v>
      </c>
    </row>
    <row r="17" spans="6:23" ht="30" x14ac:dyDescent="0.25">
      <c r="F17" s="138" t="s">
        <v>43</v>
      </c>
      <c r="H17" s="126" t="s">
        <v>94</v>
      </c>
      <c r="I17" s="127" t="s">
        <v>237</v>
      </c>
      <c r="L17" s="380" t="s">
        <v>326</v>
      </c>
      <c r="M17" s="420">
        <v>29</v>
      </c>
      <c r="N17" s="421" t="s">
        <v>423</v>
      </c>
      <c r="O17" s="421"/>
      <c r="P17" s="421"/>
      <c r="Q17" s="421">
        <v>1</v>
      </c>
      <c r="R17" s="421" t="s">
        <v>423</v>
      </c>
      <c r="S17" s="421"/>
      <c r="T17" s="422">
        <v>1</v>
      </c>
      <c r="U17" s="423">
        <v>1</v>
      </c>
      <c r="V17" s="387">
        <f t="shared" si="1"/>
        <v>0</v>
      </c>
      <c r="W17" s="424" t="str">
        <f t="shared" si="0"/>
        <v>A29,</v>
      </c>
    </row>
    <row r="18" spans="6:23" ht="30" x14ac:dyDescent="0.25">
      <c r="F18" s="138" t="s">
        <v>344</v>
      </c>
      <c r="H18" s="126" t="s">
        <v>95</v>
      </c>
      <c r="I18" s="127" t="s">
        <v>238</v>
      </c>
      <c r="L18" s="425" t="s">
        <v>78</v>
      </c>
      <c r="M18" s="420">
        <v>30</v>
      </c>
      <c r="N18" s="421" t="s">
        <v>423</v>
      </c>
      <c r="O18" s="421"/>
      <c r="P18" s="421"/>
      <c r="Q18" s="421"/>
      <c r="R18" s="421" t="s">
        <v>423</v>
      </c>
      <c r="S18" s="421"/>
      <c r="T18" s="422">
        <v>1</v>
      </c>
      <c r="U18" s="423">
        <v>1</v>
      </c>
      <c r="V18" s="427">
        <f>IF('1.General'!$K$14=1,1,0)</f>
        <v>0</v>
      </c>
      <c r="W18" s="424" t="str">
        <f t="shared" si="0"/>
        <v>A30,</v>
      </c>
    </row>
    <row r="19" spans="6:23" ht="30" x14ac:dyDescent="0.25">
      <c r="F19" s="138" t="s">
        <v>491</v>
      </c>
      <c r="H19" s="126" t="s">
        <v>96</v>
      </c>
      <c r="I19" s="128" t="s">
        <v>239</v>
      </c>
      <c r="L19" s="425" t="s">
        <v>457</v>
      </c>
      <c r="M19" s="420">
        <v>31</v>
      </c>
      <c r="N19" s="421"/>
      <c r="O19" s="421"/>
      <c r="P19" s="421"/>
      <c r="Q19" s="421"/>
      <c r="R19" s="421"/>
      <c r="S19" s="421"/>
      <c r="T19" s="422">
        <v>1</v>
      </c>
      <c r="U19" s="423">
        <v>1</v>
      </c>
      <c r="V19" s="427">
        <f>IF(Y5&gt;0,1,0)</f>
        <v>1</v>
      </c>
      <c r="W19" s="424" t="str">
        <f t="shared" si="0"/>
        <v/>
      </c>
    </row>
    <row r="20" spans="6:23" ht="30" x14ac:dyDescent="0.25">
      <c r="F20" s="138" t="s">
        <v>492</v>
      </c>
      <c r="H20" s="126" t="s">
        <v>97</v>
      </c>
      <c r="I20" s="127" t="s">
        <v>240</v>
      </c>
      <c r="L20" s="547" t="s">
        <v>494</v>
      </c>
      <c r="M20" s="420">
        <v>32</v>
      </c>
      <c r="N20" s="421"/>
      <c r="O20" s="548"/>
      <c r="P20" s="548"/>
      <c r="Q20" s="548"/>
      <c r="R20" s="548"/>
      <c r="S20" s="548"/>
      <c r="T20" s="422">
        <v>1</v>
      </c>
      <c r="U20" s="549"/>
      <c r="V20" s="427">
        <f>IF(Y5&gt;0,1,0)</f>
        <v>1</v>
      </c>
      <c r="W20" s="424" t="str">
        <f t="shared" si="0"/>
        <v/>
      </c>
    </row>
    <row r="21" spans="6:23" ht="30" x14ac:dyDescent="0.25">
      <c r="F21" s="138" t="s">
        <v>44</v>
      </c>
      <c r="H21" s="126" t="s">
        <v>98</v>
      </c>
      <c r="I21" s="127" t="s">
        <v>349</v>
      </c>
      <c r="L21" s="547" t="s">
        <v>495</v>
      </c>
      <c r="M21" s="420">
        <v>33</v>
      </c>
      <c r="N21" s="421"/>
      <c r="O21" s="421">
        <v>1</v>
      </c>
      <c r="P21" s="421"/>
      <c r="Q21" s="421">
        <v>1</v>
      </c>
      <c r="R21" s="421">
        <v>1</v>
      </c>
      <c r="S21" s="421">
        <v>1</v>
      </c>
      <c r="T21" s="422">
        <v>1</v>
      </c>
      <c r="U21" s="423"/>
      <c r="V21" s="427">
        <f>IF(AND($D$5=2,SUMPRODUCT(N$5:S$5,N21:S21)&gt;=1,OR($F$5=12,$F$5=13,$F$5=14,$F$5=15,$F$5=17)),1,0)</f>
        <v>1</v>
      </c>
      <c r="W21" s="424" t="str">
        <f t="shared" si="0"/>
        <v/>
      </c>
    </row>
    <row r="22" spans="6:23" ht="30" x14ac:dyDescent="0.25">
      <c r="F22" s="138" t="s">
        <v>45</v>
      </c>
      <c r="H22" s="126" t="s">
        <v>99</v>
      </c>
      <c r="I22" s="127" t="s">
        <v>350</v>
      </c>
      <c r="L22" s="547" t="s">
        <v>458</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100</v>
      </c>
      <c r="I23" s="127" t="s">
        <v>351</v>
      </c>
      <c r="L23" s="204" t="s">
        <v>292</v>
      </c>
      <c r="M23" s="420">
        <v>35</v>
      </c>
      <c r="N23" s="382" t="s">
        <v>423</v>
      </c>
      <c r="O23" s="382"/>
      <c r="P23" s="382"/>
      <c r="Q23" s="382"/>
      <c r="R23" s="382" t="s">
        <v>423</v>
      </c>
      <c r="S23" s="382"/>
      <c r="T23" s="422"/>
      <c r="U23" s="423"/>
      <c r="V23" s="386"/>
      <c r="W23" s="424" t="str">
        <f t="shared" si="0"/>
        <v>A35,</v>
      </c>
    </row>
    <row r="24" spans="6:23" ht="45" x14ac:dyDescent="0.25">
      <c r="F24" s="138" t="s">
        <v>47</v>
      </c>
      <c r="H24" s="126" t="s">
        <v>101</v>
      </c>
      <c r="I24" s="127" t="s">
        <v>352</v>
      </c>
      <c r="L24" s="380" t="s">
        <v>284</v>
      </c>
      <c r="M24" s="420">
        <v>36</v>
      </c>
      <c r="N24" s="421" t="s">
        <v>423</v>
      </c>
      <c r="O24" s="421">
        <v>1</v>
      </c>
      <c r="P24" s="421">
        <v>1</v>
      </c>
      <c r="Q24" s="421">
        <v>1</v>
      </c>
      <c r="R24" s="421" t="s">
        <v>423</v>
      </c>
      <c r="S24" s="421">
        <v>1</v>
      </c>
      <c r="T24" s="422">
        <v>1</v>
      </c>
      <c r="U24" s="423"/>
      <c r="V24" s="387">
        <f>SUMPRODUCT(N$5:S$5,N24:S24)</f>
        <v>1</v>
      </c>
      <c r="W24" s="424" t="str">
        <f t="shared" si="0"/>
        <v/>
      </c>
    </row>
    <row r="25" spans="6:23" ht="30" x14ac:dyDescent="0.25">
      <c r="F25" s="138" t="s">
        <v>48</v>
      </c>
      <c r="H25" s="126" t="s">
        <v>102</v>
      </c>
      <c r="I25" s="127" t="s">
        <v>353</v>
      </c>
      <c r="L25" s="380" t="s">
        <v>285</v>
      </c>
      <c r="M25" s="420">
        <v>37</v>
      </c>
      <c r="N25" s="421" t="s">
        <v>423</v>
      </c>
      <c r="O25" s="421">
        <v>1</v>
      </c>
      <c r="P25" s="421"/>
      <c r="Q25" s="421"/>
      <c r="R25" s="421" t="s">
        <v>423</v>
      </c>
      <c r="S25" s="421">
        <v>1</v>
      </c>
      <c r="T25" s="422">
        <v>1</v>
      </c>
      <c r="U25" s="423">
        <v>1</v>
      </c>
      <c r="V25" s="387">
        <f>SUMPRODUCT(N$5:S$5,N25:S25)</f>
        <v>1</v>
      </c>
      <c r="W25" s="424" t="str">
        <f t="shared" si="0"/>
        <v/>
      </c>
    </row>
    <row r="26" spans="6:23" ht="30" x14ac:dyDescent="0.25">
      <c r="F26" s="138" t="s">
        <v>49</v>
      </c>
      <c r="H26" s="126" t="s">
        <v>103</v>
      </c>
      <c r="I26" s="127" t="s">
        <v>354</v>
      </c>
      <c r="L26" s="380" t="s">
        <v>286</v>
      </c>
      <c r="M26" s="420">
        <v>38</v>
      </c>
      <c r="N26" s="421" t="s">
        <v>423</v>
      </c>
      <c r="O26" s="421">
        <v>1</v>
      </c>
      <c r="P26" s="421"/>
      <c r="Q26" s="421"/>
      <c r="R26" s="421" t="s">
        <v>423</v>
      </c>
      <c r="S26" s="421">
        <v>1</v>
      </c>
      <c r="T26" s="422">
        <v>1</v>
      </c>
      <c r="U26" s="423">
        <v>1</v>
      </c>
      <c r="V26" s="387">
        <f>SUMPRODUCT(N$5:S$5,N26:S26)</f>
        <v>1</v>
      </c>
      <c r="W26" s="424" t="str">
        <f t="shared" si="0"/>
        <v/>
      </c>
    </row>
    <row r="27" spans="6:23" ht="30.75" customHeight="1" x14ac:dyDescent="0.25">
      <c r="F27" s="138" t="s">
        <v>50</v>
      </c>
      <c r="H27" s="126" t="s">
        <v>104</v>
      </c>
      <c r="I27" s="127" t="s">
        <v>241</v>
      </c>
      <c r="L27" s="380" t="s">
        <v>287</v>
      </c>
      <c r="M27" s="420">
        <v>39</v>
      </c>
      <c r="N27" s="421" t="s">
        <v>423</v>
      </c>
      <c r="O27" s="421">
        <v>1</v>
      </c>
      <c r="P27" s="421"/>
      <c r="Q27" s="421"/>
      <c r="R27" s="421" t="s">
        <v>423</v>
      </c>
      <c r="S27" s="421">
        <v>1</v>
      </c>
      <c r="T27" s="422">
        <v>1</v>
      </c>
      <c r="U27" s="423">
        <v>1</v>
      </c>
      <c r="V27" s="387">
        <f t="shared" ref="V27:V35" si="2">SUMPRODUCT(N$5:S$5,N27:S27)</f>
        <v>1</v>
      </c>
      <c r="W27" s="424" t="str">
        <f t="shared" si="0"/>
        <v/>
      </c>
    </row>
    <row r="28" spans="6:23" ht="30.75" customHeight="1" thickBot="1" x14ac:dyDescent="0.3">
      <c r="F28" s="138" t="s">
        <v>51</v>
      </c>
      <c r="H28" s="129" t="s">
        <v>53</v>
      </c>
      <c r="I28" s="130" t="str">
        <f>""</f>
        <v/>
      </c>
      <c r="L28" s="380" t="s">
        <v>386</v>
      </c>
      <c r="M28" s="420">
        <v>40</v>
      </c>
      <c r="N28" s="421" t="s">
        <v>423</v>
      </c>
      <c r="O28" s="421">
        <v>1</v>
      </c>
      <c r="P28" s="421"/>
      <c r="Q28" s="421"/>
      <c r="R28" s="421" t="s">
        <v>423</v>
      </c>
      <c r="S28" s="421">
        <v>1</v>
      </c>
      <c r="T28" s="422">
        <v>1</v>
      </c>
      <c r="U28" s="423">
        <v>1</v>
      </c>
      <c r="V28" s="387">
        <f t="shared" si="2"/>
        <v>1</v>
      </c>
      <c r="W28" s="424" t="str">
        <f t="shared" si="0"/>
        <v/>
      </c>
    </row>
    <row r="29" spans="6:23" ht="30.75" customHeight="1" x14ac:dyDescent="0.25">
      <c r="F29" s="138" t="s">
        <v>497</v>
      </c>
      <c r="I29" s="63"/>
      <c r="L29" s="380" t="s">
        <v>288</v>
      </c>
      <c r="M29" s="420">
        <v>41</v>
      </c>
      <c r="N29" s="421" t="s">
        <v>423</v>
      </c>
      <c r="O29" s="421">
        <v>1</v>
      </c>
      <c r="P29" s="421"/>
      <c r="Q29" s="421"/>
      <c r="R29" s="421" t="s">
        <v>423</v>
      </c>
      <c r="S29" s="421">
        <v>1</v>
      </c>
      <c r="T29" s="422">
        <v>1</v>
      </c>
      <c r="U29" s="423">
        <v>1</v>
      </c>
      <c r="V29" s="387">
        <f t="shared" si="2"/>
        <v>1</v>
      </c>
      <c r="W29" s="424" t="str">
        <f t="shared" si="0"/>
        <v/>
      </c>
    </row>
    <row r="30" spans="6:23" ht="30.75" customHeight="1" thickBot="1" x14ac:dyDescent="0.3">
      <c r="F30" s="143" t="s">
        <v>52</v>
      </c>
      <c r="I30" s="63"/>
      <c r="L30" s="380" t="s">
        <v>387</v>
      </c>
      <c r="M30" s="420">
        <v>42</v>
      </c>
      <c r="N30" s="421" t="s">
        <v>423</v>
      </c>
      <c r="O30" s="421">
        <v>1</v>
      </c>
      <c r="P30" s="421"/>
      <c r="Q30" s="421"/>
      <c r="R30" s="421" t="s">
        <v>423</v>
      </c>
      <c r="S30" s="421">
        <v>1</v>
      </c>
      <c r="T30" s="422">
        <v>1</v>
      </c>
      <c r="U30" s="423">
        <v>1</v>
      </c>
      <c r="V30" s="387">
        <f t="shared" si="2"/>
        <v>1</v>
      </c>
      <c r="W30" s="424" t="str">
        <f t="shared" si="0"/>
        <v/>
      </c>
    </row>
    <row r="31" spans="6:23" ht="30.75" customHeight="1" x14ac:dyDescent="0.25">
      <c r="I31" s="63"/>
      <c r="L31" s="380" t="s">
        <v>388</v>
      </c>
      <c r="M31" s="420">
        <v>43</v>
      </c>
      <c r="N31" s="421" t="s">
        <v>423</v>
      </c>
      <c r="O31" s="421">
        <v>1</v>
      </c>
      <c r="P31" s="421"/>
      <c r="Q31" s="421"/>
      <c r="R31" s="421" t="s">
        <v>423</v>
      </c>
      <c r="S31" s="421">
        <v>1</v>
      </c>
      <c r="T31" s="422">
        <v>1</v>
      </c>
      <c r="U31" s="423">
        <v>1</v>
      </c>
      <c r="V31" s="387">
        <f t="shared" si="2"/>
        <v>1</v>
      </c>
      <c r="W31" s="424" t="str">
        <f t="shared" si="0"/>
        <v/>
      </c>
    </row>
    <row r="32" spans="6:23" ht="30.75" customHeight="1" x14ac:dyDescent="0.25">
      <c r="I32" s="63"/>
      <c r="L32" s="380" t="s">
        <v>294</v>
      </c>
      <c r="M32" s="420">
        <v>44</v>
      </c>
      <c r="N32" s="421" t="s">
        <v>423</v>
      </c>
      <c r="O32" s="421">
        <v>1</v>
      </c>
      <c r="P32" s="421"/>
      <c r="Q32" s="421"/>
      <c r="R32" s="421" t="s">
        <v>423</v>
      </c>
      <c r="S32" s="421">
        <v>1</v>
      </c>
      <c r="T32" s="422">
        <v>1</v>
      </c>
      <c r="U32" s="423">
        <v>1</v>
      </c>
      <c r="V32" s="387">
        <f t="shared" si="2"/>
        <v>1</v>
      </c>
      <c r="W32" s="424" t="str">
        <f t="shared" si="0"/>
        <v/>
      </c>
    </row>
    <row r="33" spans="9:49" ht="30.75" customHeight="1" x14ac:dyDescent="0.25">
      <c r="I33" s="63"/>
      <c r="L33" s="380" t="s">
        <v>295</v>
      </c>
      <c r="M33" s="420">
        <v>45</v>
      </c>
      <c r="N33" s="421" t="s">
        <v>423</v>
      </c>
      <c r="O33" s="421">
        <v>1</v>
      </c>
      <c r="P33" s="421"/>
      <c r="Q33" s="421"/>
      <c r="R33" s="421" t="s">
        <v>423</v>
      </c>
      <c r="S33" s="421">
        <v>1</v>
      </c>
      <c r="T33" s="422">
        <v>1</v>
      </c>
      <c r="U33" s="423">
        <v>1</v>
      </c>
      <c r="V33" s="387">
        <f t="shared" si="2"/>
        <v>1</v>
      </c>
      <c r="W33" s="424" t="str">
        <f t="shared" si="0"/>
        <v/>
      </c>
    </row>
    <row r="34" spans="9:49" ht="30.75" customHeight="1" x14ac:dyDescent="0.25">
      <c r="I34" s="63"/>
      <c r="L34" s="380" t="s">
        <v>296</v>
      </c>
      <c r="M34" s="420">
        <v>46</v>
      </c>
      <c r="N34" s="421" t="s">
        <v>423</v>
      </c>
      <c r="O34" s="421">
        <v>1</v>
      </c>
      <c r="P34" s="421"/>
      <c r="Q34" s="421"/>
      <c r="R34" s="421" t="s">
        <v>423</v>
      </c>
      <c r="S34" s="421">
        <v>1</v>
      </c>
      <c r="T34" s="422">
        <v>1</v>
      </c>
      <c r="U34" s="423">
        <v>1</v>
      </c>
      <c r="V34" s="387">
        <f t="shared" si="2"/>
        <v>1</v>
      </c>
      <c r="W34" s="424" t="str">
        <f t="shared" si="0"/>
        <v/>
      </c>
    </row>
    <row r="35" spans="9:49" ht="30.75" customHeight="1" x14ac:dyDescent="0.25">
      <c r="I35" s="63"/>
      <c r="L35" s="380" t="s">
        <v>297</v>
      </c>
      <c r="M35" s="420">
        <v>47</v>
      </c>
      <c r="N35" s="421" t="s">
        <v>423</v>
      </c>
      <c r="O35" s="421">
        <v>1</v>
      </c>
      <c r="P35" s="421"/>
      <c r="Q35" s="421"/>
      <c r="R35" s="421">
        <v>1</v>
      </c>
      <c r="S35" s="421">
        <v>1</v>
      </c>
      <c r="T35" s="422">
        <v>1</v>
      </c>
      <c r="U35" s="423">
        <v>1</v>
      </c>
      <c r="V35" s="387">
        <f t="shared" si="2"/>
        <v>1</v>
      </c>
      <c r="W35" s="424" t="str">
        <f t="shared" si="0"/>
        <v/>
      </c>
    </row>
    <row r="36" spans="9:49" ht="30.75" customHeight="1" x14ac:dyDescent="0.25">
      <c r="I36" s="63"/>
      <c r="L36" s="428" t="s">
        <v>329</v>
      </c>
      <c r="M36" s="420">
        <v>48</v>
      </c>
      <c r="N36" s="421" t="s">
        <v>423</v>
      </c>
      <c r="O36" s="421"/>
      <c r="P36" s="421"/>
      <c r="Q36" s="421"/>
      <c r="R36" s="421" t="s">
        <v>423</v>
      </c>
      <c r="S36" s="421"/>
      <c r="T36" s="422">
        <v>1</v>
      </c>
      <c r="U36" s="423"/>
      <c r="V36" s="427">
        <f>IF('1.General'!$K$14=1,1,0)</f>
        <v>0</v>
      </c>
      <c r="W36" s="424" t="str">
        <f t="shared" si="0"/>
        <v>A48,</v>
      </c>
    </row>
    <row r="37" spans="9:49" ht="30.75" customHeight="1" x14ac:dyDescent="0.25">
      <c r="I37" s="63"/>
      <c r="L37" s="380" t="s">
        <v>321</v>
      </c>
      <c r="M37" s="420">
        <v>49</v>
      </c>
      <c r="N37" s="421" t="s">
        <v>423</v>
      </c>
      <c r="O37" s="421">
        <v>1</v>
      </c>
      <c r="P37" s="421"/>
      <c r="Q37" s="421"/>
      <c r="R37" s="421" t="s">
        <v>423</v>
      </c>
      <c r="S37" s="421">
        <v>1</v>
      </c>
      <c r="T37" s="422">
        <v>1</v>
      </c>
      <c r="U37" s="423">
        <v>1</v>
      </c>
      <c r="V37" s="387">
        <f>SUMPRODUCT(N$5:S$5,N37:S37)</f>
        <v>1</v>
      </c>
      <c r="W37" s="424" t="str">
        <f t="shared" si="0"/>
        <v/>
      </c>
    </row>
    <row r="38" spans="9:49" ht="30.75" customHeight="1" x14ac:dyDescent="0.25">
      <c r="I38" s="63"/>
      <c r="L38" s="380" t="s">
        <v>322</v>
      </c>
      <c r="M38" s="420">
        <v>50</v>
      </c>
      <c r="N38" s="421" t="s">
        <v>423</v>
      </c>
      <c r="O38" s="421">
        <v>1</v>
      </c>
      <c r="P38" s="421"/>
      <c r="Q38" s="421"/>
      <c r="R38" s="421" t="s">
        <v>423</v>
      </c>
      <c r="S38" s="421">
        <v>1</v>
      </c>
      <c r="T38" s="422">
        <v>1</v>
      </c>
      <c r="U38" s="423">
        <v>1</v>
      </c>
      <c r="V38" s="387">
        <f t="shared" ref="V38:V39" si="3">SUMPRODUCT(N$5:S$5,N38:S38)</f>
        <v>1</v>
      </c>
      <c r="W38" s="424" t="str">
        <f t="shared" si="0"/>
        <v/>
      </c>
    </row>
    <row r="39" spans="9:49" ht="30.75" customHeight="1" x14ac:dyDescent="0.25">
      <c r="I39" s="63"/>
      <c r="L39" s="380" t="s">
        <v>323</v>
      </c>
      <c r="M39" s="420">
        <v>51</v>
      </c>
      <c r="N39" s="421" t="s">
        <v>423</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324</v>
      </c>
      <c r="M40" s="420">
        <v>52</v>
      </c>
      <c r="N40" s="426" t="s">
        <v>423</v>
      </c>
      <c r="O40" s="426"/>
      <c r="P40" s="426"/>
      <c r="Q40" s="426"/>
      <c r="R40" s="426" t="s">
        <v>423</v>
      </c>
      <c r="S40" s="426"/>
      <c r="T40" s="422">
        <v>1</v>
      </c>
      <c r="U40" s="423"/>
      <c r="V40" s="427">
        <f>IF(AND($D$5=2,$F$5=4,'1.General'!$K$40=2),1,0)</f>
        <v>0</v>
      </c>
      <c r="W40" s="424" t="str">
        <f t="shared" si="0"/>
        <v>A52,</v>
      </c>
      <c r="X40"/>
      <c r="Y40"/>
    </row>
    <row r="41" spans="9:49" ht="30" customHeight="1" x14ac:dyDescent="0.25">
      <c r="I41" s="63"/>
      <c r="L41" s="380" t="s">
        <v>424</v>
      </c>
      <c r="M41" s="420">
        <v>53</v>
      </c>
      <c r="N41" s="421" t="s">
        <v>423</v>
      </c>
      <c r="O41" s="421">
        <v>1</v>
      </c>
      <c r="P41" s="421"/>
      <c r="Q41" s="421">
        <v>1</v>
      </c>
      <c r="R41" s="421" t="s">
        <v>423</v>
      </c>
      <c r="S41" s="421">
        <v>1</v>
      </c>
      <c r="T41" s="422">
        <v>1</v>
      </c>
      <c r="U41" s="423"/>
      <c r="V41" s="387">
        <f>SUMPRODUCT(N$5:S$5,N41:S41)</f>
        <v>1</v>
      </c>
      <c r="W41" s="424" t="str">
        <f t="shared" si="0"/>
        <v/>
      </c>
    </row>
    <row r="42" spans="9:49" ht="30" customHeight="1" x14ac:dyDescent="0.25">
      <c r="I42" s="63"/>
      <c r="L42" s="380" t="s">
        <v>325</v>
      </c>
      <c r="M42" s="420">
        <v>54</v>
      </c>
      <c r="N42" s="421">
        <v>1</v>
      </c>
      <c r="O42" s="421"/>
      <c r="P42" s="421"/>
      <c r="Q42" s="421"/>
      <c r="R42" s="421" t="s">
        <v>423</v>
      </c>
      <c r="S42" s="421"/>
      <c r="T42" s="422">
        <v>1</v>
      </c>
      <c r="U42" s="423">
        <v>1</v>
      </c>
      <c r="V42" s="387">
        <f>SUMPRODUCT(N$5:S$5,N42:S42)</f>
        <v>1</v>
      </c>
      <c r="W42" s="424" t="str">
        <f t="shared" si="0"/>
        <v/>
      </c>
    </row>
    <row r="43" spans="9:49" ht="30" customHeight="1" x14ac:dyDescent="0.25">
      <c r="I43" s="63"/>
      <c r="L43" s="380" t="s">
        <v>334</v>
      </c>
      <c r="M43" s="420">
        <v>55</v>
      </c>
      <c r="N43" s="421"/>
      <c r="O43" s="421">
        <v>1</v>
      </c>
      <c r="P43" s="421"/>
      <c r="Q43" s="421"/>
      <c r="R43" s="421" t="s">
        <v>423</v>
      </c>
      <c r="S43" s="421">
        <v>1</v>
      </c>
      <c r="T43" s="422">
        <v>1</v>
      </c>
      <c r="U43" s="423">
        <v>1</v>
      </c>
      <c r="V43" s="387">
        <f>SUMPRODUCT(N$5:S$5,N43:S43)</f>
        <v>1</v>
      </c>
      <c r="W43" s="424" t="str">
        <f t="shared" si="0"/>
        <v/>
      </c>
    </row>
    <row r="44" spans="9:49" ht="30" customHeight="1" x14ac:dyDescent="0.25">
      <c r="I44" s="63"/>
      <c r="L44" s="425" t="s">
        <v>333</v>
      </c>
      <c r="M44" s="420">
        <v>56</v>
      </c>
      <c r="N44" s="426" t="s">
        <v>423</v>
      </c>
      <c r="O44" s="426"/>
      <c r="P44" s="426"/>
      <c r="Q44" s="426"/>
      <c r="R44" s="426" t="s">
        <v>423</v>
      </c>
      <c r="S44" s="426"/>
      <c r="T44" s="422">
        <v>1</v>
      </c>
      <c r="U44" s="423">
        <v>1</v>
      </c>
      <c r="V44" s="427">
        <f>IF('1.General'!$K$26=1,1,0)</f>
        <v>0</v>
      </c>
      <c r="W44" s="424" t="str">
        <f t="shared" si="0"/>
        <v>A56,</v>
      </c>
    </row>
    <row r="45" spans="9:49" ht="30" customHeight="1" x14ac:dyDescent="0.25">
      <c r="I45" s="63"/>
      <c r="L45" s="204" t="s">
        <v>79</v>
      </c>
      <c r="M45" s="420">
        <v>57</v>
      </c>
      <c r="N45" s="421">
        <v>1</v>
      </c>
      <c r="O45" s="421"/>
      <c r="P45" s="421"/>
      <c r="Q45" s="421"/>
      <c r="R45" s="421" t="s">
        <v>423</v>
      </c>
      <c r="S45" s="421"/>
      <c r="T45" s="422">
        <v>1</v>
      </c>
      <c r="U45" s="423"/>
      <c r="V45" s="387">
        <f>SUMPRODUCT(N$5:S$5,N45:S45)</f>
        <v>1</v>
      </c>
      <c r="W45" s="424" t="str">
        <f t="shared" si="0"/>
        <v/>
      </c>
    </row>
    <row r="46" spans="9:49" ht="30" customHeight="1" x14ac:dyDescent="0.25">
      <c r="I46" s="63"/>
      <c r="L46" s="204" t="s">
        <v>389</v>
      </c>
      <c r="M46" s="420">
        <v>58</v>
      </c>
      <c r="N46" s="421" t="s">
        <v>423</v>
      </c>
      <c r="O46" s="421">
        <v>1</v>
      </c>
      <c r="P46" s="421"/>
      <c r="Q46" s="421"/>
      <c r="R46" s="421">
        <v>1</v>
      </c>
      <c r="S46" s="421">
        <v>1</v>
      </c>
      <c r="T46" s="422">
        <v>1</v>
      </c>
      <c r="U46" s="423">
        <v>1</v>
      </c>
      <c r="V46" s="387">
        <f t="shared" ref="V46:V54" si="4">SUMPRODUCT(N$5:S$5,N46:S46)</f>
        <v>1</v>
      </c>
      <c r="W46" s="424" t="str">
        <f t="shared" si="0"/>
        <v/>
      </c>
    </row>
    <row r="47" spans="9:49" ht="30" customHeight="1" x14ac:dyDescent="0.25">
      <c r="I47" s="63"/>
      <c r="L47" s="204" t="s">
        <v>390</v>
      </c>
      <c r="M47" s="420">
        <v>59</v>
      </c>
      <c r="N47" s="421" t="s">
        <v>423</v>
      </c>
      <c r="O47" s="421">
        <v>1</v>
      </c>
      <c r="P47" s="421"/>
      <c r="Q47" s="421"/>
      <c r="R47" s="421" t="s">
        <v>423</v>
      </c>
      <c r="S47" s="421">
        <v>1</v>
      </c>
      <c r="T47" s="422">
        <v>1</v>
      </c>
      <c r="U47" s="423">
        <v>1</v>
      </c>
      <c r="V47" s="387">
        <f t="shared" si="4"/>
        <v>1</v>
      </c>
      <c r="W47" s="424" t="str">
        <f t="shared" si="0"/>
        <v/>
      </c>
    </row>
    <row r="48" spans="9:49" ht="30" customHeight="1" x14ac:dyDescent="0.25">
      <c r="I48" s="63"/>
      <c r="L48" s="204" t="str">
        <f>IF('3.Filing Type and Checklist'!E9="Y","Complete Current, Marked-up and Proposed Underwriting Guidelines","Complete Underwriting Guidelines")</f>
        <v>Complete Underwriting Guidelines</v>
      </c>
      <c r="M48" s="420">
        <v>60</v>
      </c>
      <c r="N48" s="421" t="s">
        <v>423</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302</v>
      </c>
      <c r="M50" s="420">
        <v>62</v>
      </c>
      <c r="N50" s="421" t="s">
        <v>423</v>
      </c>
      <c r="O50" s="421"/>
      <c r="P50" s="421">
        <v>1</v>
      </c>
      <c r="Q50" s="421"/>
      <c r="R50" s="421">
        <v>1</v>
      </c>
      <c r="S50" s="421"/>
      <c r="T50" s="422">
        <v>1</v>
      </c>
      <c r="U50" s="423"/>
      <c r="V50" s="387">
        <f t="shared" si="4"/>
        <v>0</v>
      </c>
      <c r="W50" s="424" t="str">
        <f t="shared" si="0"/>
        <v>A62,</v>
      </c>
    </row>
    <row r="51" spans="9:23" ht="30" customHeight="1" x14ac:dyDescent="0.25">
      <c r="I51" s="63"/>
      <c r="L51" s="204" t="s">
        <v>330</v>
      </c>
      <c r="M51" s="420">
        <v>63</v>
      </c>
      <c r="N51" s="421" t="s">
        <v>423</v>
      </c>
      <c r="O51" s="421">
        <v>1</v>
      </c>
      <c r="P51" s="421"/>
      <c r="Q51" s="421"/>
      <c r="R51" s="421">
        <v>1</v>
      </c>
      <c r="S51" s="421">
        <v>1</v>
      </c>
      <c r="T51" s="422">
        <v>1</v>
      </c>
      <c r="U51" s="423"/>
      <c r="V51" s="387">
        <f t="shared" si="4"/>
        <v>1</v>
      </c>
      <c r="W51" s="424" t="str">
        <f t="shared" si="0"/>
        <v/>
      </c>
    </row>
    <row r="52" spans="9:23" ht="30" customHeight="1" x14ac:dyDescent="0.25">
      <c r="I52" s="63"/>
      <c r="L52" s="383" t="s">
        <v>392</v>
      </c>
      <c r="M52" s="420">
        <v>64</v>
      </c>
      <c r="N52" s="421"/>
      <c r="O52" s="421">
        <v>1</v>
      </c>
      <c r="P52" s="421">
        <v>1</v>
      </c>
      <c r="Q52" s="421"/>
      <c r="R52" s="421">
        <v>1</v>
      </c>
      <c r="S52" s="421">
        <v>1</v>
      </c>
      <c r="T52" s="422"/>
      <c r="U52" s="423"/>
      <c r="V52" s="387">
        <f t="shared" si="4"/>
        <v>1</v>
      </c>
      <c r="W52" s="424" t="str">
        <f t="shared" si="0"/>
        <v/>
      </c>
    </row>
    <row r="53" spans="9:23" ht="30" customHeight="1" x14ac:dyDescent="0.25">
      <c r="I53" s="63"/>
      <c r="L53" s="383" t="s">
        <v>490</v>
      </c>
      <c r="M53" s="420">
        <v>65</v>
      </c>
      <c r="N53" s="421" t="s">
        <v>423</v>
      </c>
      <c r="O53" s="421"/>
      <c r="P53" s="421">
        <v>1</v>
      </c>
      <c r="Q53" s="421"/>
      <c r="R53" s="421">
        <v>1</v>
      </c>
      <c r="S53" s="421"/>
      <c r="T53" s="422"/>
      <c r="U53" s="423"/>
      <c r="V53" s="387">
        <f t="shared" si="4"/>
        <v>0</v>
      </c>
      <c r="W53" s="424" t="str">
        <f t="shared" si="0"/>
        <v>A65,</v>
      </c>
    </row>
    <row r="54" spans="9:23" ht="30" customHeight="1" x14ac:dyDescent="0.25">
      <c r="I54" s="63"/>
      <c r="L54" s="383" t="s">
        <v>398</v>
      </c>
      <c r="M54" s="420">
        <v>66</v>
      </c>
      <c r="N54" s="421" t="s">
        <v>423</v>
      </c>
      <c r="O54" s="421"/>
      <c r="P54" s="421"/>
      <c r="Q54" s="421"/>
      <c r="R54" s="421">
        <v>1</v>
      </c>
      <c r="S54" s="421"/>
      <c r="T54" s="422"/>
      <c r="U54" s="423"/>
      <c r="V54" s="387">
        <f t="shared" si="4"/>
        <v>0</v>
      </c>
      <c r="W54" s="424" t="str">
        <f t="shared" si="0"/>
        <v>A66,</v>
      </c>
    </row>
    <row r="55" spans="9:23" ht="30" customHeight="1" thickBot="1" x14ac:dyDescent="0.3">
      <c r="I55" s="63"/>
      <c r="L55" s="385" t="s">
        <v>383</v>
      </c>
      <c r="M55" s="429">
        <v>67</v>
      </c>
      <c r="N55" s="430" t="s">
        <v>423</v>
      </c>
      <c r="O55" s="430"/>
      <c r="P55" s="430"/>
      <c r="Q55" s="430"/>
      <c r="R55" s="430" t="s">
        <v>423</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hM2tNRVZ8n8HK+pQLwjliNNRfVsZYA5uLvXM+eYxOD4O03l2O+bVEEPpRYfbIF9UluiSua3BEOsdAk7mOq399g==" saltValue="wjCAkc081Dk+dlYARTWEuQ=="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307</v>
      </c>
    </row>
    <row r="2" spans="1:2" ht="26.25" customHeight="1" x14ac:dyDescent="0.25">
      <c r="A2" s="316"/>
      <c r="B2" s="318"/>
    </row>
    <row r="3" spans="1:2" ht="47.25" x14ac:dyDescent="0.25">
      <c r="A3" s="186"/>
      <c r="B3" s="187" t="s">
        <v>311</v>
      </c>
    </row>
    <row r="4" spans="1:2" ht="27" thickBot="1" x14ac:dyDescent="0.3">
      <c r="A4" s="185"/>
      <c r="B4" s="188" t="s">
        <v>60</v>
      </c>
    </row>
    <row r="5" spans="1:2" ht="15" customHeight="1" x14ac:dyDescent="0.25">
      <c r="A5" s="186"/>
      <c r="B5" s="189"/>
    </row>
    <row r="6" spans="1:2" ht="75" customHeight="1" x14ac:dyDescent="0.25">
      <c r="A6" s="161" t="s">
        <v>304</v>
      </c>
      <c r="B6" s="173" t="s">
        <v>308</v>
      </c>
    </row>
    <row r="7" spans="1:2" ht="75" customHeight="1" x14ac:dyDescent="0.25">
      <c r="A7" s="161" t="s">
        <v>305</v>
      </c>
      <c r="B7" s="173" t="s">
        <v>401</v>
      </c>
    </row>
    <row r="8" spans="1:2" ht="92.25" customHeight="1" x14ac:dyDescent="0.25">
      <c r="A8" s="161" t="s">
        <v>306</v>
      </c>
      <c r="B8" s="314" t="s">
        <v>348</v>
      </c>
    </row>
    <row r="9" spans="1:2" ht="68.25" customHeight="1" x14ac:dyDescent="0.25">
      <c r="A9" s="161" t="s">
        <v>309</v>
      </c>
      <c r="B9" s="173" t="s">
        <v>312</v>
      </c>
    </row>
    <row r="11" spans="1:2" x14ac:dyDescent="0.25">
      <c r="B11" s="546" t="str">
        <f>Edition_Date</f>
        <v>1/3/2023 Edition</v>
      </c>
    </row>
  </sheetData>
  <sheetProtection algorithmName="SHA-512" hashValue="RKOlJ7v/23bb6l6Hb8g7tq9pt3YSuAsix2TwESuk4tSF7VUP4gab/jEBClMph8vpgnJEhnoZ2ATHZEwYSz8Gzg==" saltValue="pGjIRN106GyP9NUsMiV8i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B45" sqref="B45:E45"/>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68</v>
      </c>
      <c r="D1" s="20" t="s">
        <v>70</v>
      </c>
      <c r="I1" s="35" t="str">
        <f>Co_Name</f>
        <v>State Farm General Insurance Company</v>
      </c>
      <c r="L1" s="334" t="s">
        <v>303</v>
      </c>
    </row>
    <row r="2" spans="1:18" x14ac:dyDescent="0.25">
      <c r="A2" s="20" t="s">
        <v>69</v>
      </c>
      <c r="D2" s="20" t="s">
        <v>71</v>
      </c>
      <c r="I2" s="35" t="str">
        <f>General_Line</f>
        <v>Homeowners</v>
      </c>
      <c r="L2" s="335" t="s">
        <v>109</v>
      </c>
    </row>
    <row r="3" spans="1:18" ht="18" customHeight="1" x14ac:dyDescent="0.25">
      <c r="A3" s="20"/>
      <c r="B3" s="166"/>
      <c r="J3" s="35"/>
      <c r="K3" s="35"/>
      <c r="L3" s="336"/>
    </row>
    <row r="4" spans="1:18" ht="23.25" x14ac:dyDescent="0.25">
      <c r="A4" s="5" t="s">
        <v>314</v>
      </c>
      <c r="B4" s="6"/>
      <c r="C4" s="6"/>
      <c r="D4" s="6"/>
      <c r="E4" s="6"/>
      <c r="F4" s="6"/>
      <c r="G4" s="6"/>
      <c r="H4" s="6"/>
      <c r="I4" s="6"/>
      <c r="J4" s="6"/>
      <c r="K4" s="6"/>
      <c r="L4" s="336"/>
      <c r="M4" s="7"/>
      <c r="R4" s="9"/>
    </row>
    <row r="5" spans="1:18" ht="23.25" customHeight="1" x14ac:dyDescent="0.25">
      <c r="A5" s="5" t="s">
        <v>313</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526</v>
      </c>
      <c r="C7" s="7"/>
      <c r="D7" s="7" t="s">
        <v>1</v>
      </c>
      <c r="E7" s="358">
        <v>44981</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538</v>
      </c>
      <c r="C9" s="7"/>
      <c r="D9" s="7"/>
      <c r="E9" s="7"/>
      <c r="F9" s="7"/>
      <c r="G9" s="7"/>
      <c r="H9" s="7"/>
      <c r="I9" s="7"/>
      <c r="J9" s="7"/>
      <c r="K9" s="7"/>
      <c r="L9" s="338"/>
      <c r="M9" s="7"/>
    </row>
    <row r="10" spans="1:18" ht="18" customHeight="1" thickBot="1" x14ac:dyDescent="0.3">
      <c r="A10" s="7"/>
      <c r="B10" s="65" t="s">
        <v>83</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114</v>
      </c>
      <c r="H14" s="571"/>
      <c r="I14" s="572"/>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1"/>
      <c r="I16" s="572"/>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69"/>
      <c r="I18" s="575"/>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67</v>
      </c>
      <c r="B20" s="7"/>
      <c r="C20" s="7"/>
      <c r="D20" s="13"/>
      <c r="E20" s="7"/>
      <c r="F20" s="7"/>
      <c r="G20" s="43" t="s">
        <v>12</v>
      </c>
      <c r="H20" s="569"/>
      <c r="I20" s="575"/>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119</v>
      </c>
      <c r="B22" s="7"/>
      <c r="C22" s="567"/>
      <c r="D22" s="568"/>
      <c r="E22" s="7"/>
      <c r="F22" s="7"/>
      <c r="G22" s="43" t="s">
        <v>19</v>
      </c>
      <c r="H22" s="576"/>
      <c r="I22" s="577"/>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380</v>
      </c>
      <c r="B24" s="7"/>
      <c r="C24" s="7"/>
      <c r="D24" s="7"/>
      <c r="E24" s="321" t="str">
        <f>IF(INDEX(List_YNIndicator,$K$24,1)="N","(Page 2 hidden)","")</f>
        <v>(Page 2 hidden)</v>
      </c>
      <c r="F24" s="7"/>
      <c r="G24" s="43" t="s">
        <v>13</v>
      </c>
      <c r="H24" s="569" t="str">
        <f>IF(ISBLANK(H22)," ",H22+60)</f>
        <v xml:space="preserve"> </v>
      </c>
      <c r="I24" s="570"/>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402</v>
      </c>
      <c r="B26" s="7"/>
      <c r="C26" s="7"/>
      <c r="D26" s="7"/>
      <c r="E26" s="7"/>
      <c r="F26" s="7"/>
      <c r="G26" s="43" t="s">
        <v>14</v>
      </c>
      <c r="H26" s="571"/>
      <c r="I26" s="572"/>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66</v>
      </c>
      <c r="H28" s="573"/>
      <c r="I28" s="574"/>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78" t="s">
        <v>527</v>
      </c>
      <c r="C32" s="579"/>
      <c r="D32" s="579"/>
      <c r="E32" s="580"/>
      <c r="F32" s="7"/>
      <c r="G32" s="43" t="s">
        <v>20</v>
      </c>
      <c r="H32" s="571"/>
      <c r="I32" s="572"/>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78" t="s">
        <v>537</v>
      </c>
      <c r="C34" s="579"/>
      <c r="D34" s="579"/>
      <c r="E34" s="580"/>
      <c r="F34" s="7"/>
      <c r="G34" s="43" t="s">
        <v>32</v>
      </c>
      <c r="H34" s="46"/>
      <c r="I34" s="46"/>
      <c r="J34" s="242"/>
      <c r="K34" s="248"/>
      <c r="L34" s="331"/>
      <c r="M34" s="352" t="b">
        <f>IF(FilingType_Rate=TRUE,TRUE,FALSE)</f>
        <v>1</v>
      </c>
      <c r="N34" s="351" t="b">
        <f>IF(FilingType_Rule=TRUE,TRUE,FALSE)</f>
        <v>0</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265</v>
      </c>
      <c r="F36" s="7"/>
      <c r="G36" s="45"/>
      <c r="H36" s="46"/>
      <c r="I36" s="46"/>
      <c r="J36" s="241"/>
      <c r="K36" s="246"/>
      <c r="L36" s="340"/>
      <c r="M36" s="352" t="b">
        <f>IF(FilingType_Form=TRUE,TRUE,FALSE)</f>
        <v>0</v>
      </c>
      <c r="N36" s="351" t="b">
        <f>IF(K14=1,TRUE,FALSE)</f>
        <v>0</v>
      </c>
    </row>
    <row r="37" spans="1:14" ht="18" customHeight="1" x14ac:dyDescent="0.25">
      <c r="A37" s="23" t="s">
        <v>9</v>
      </c>
      <c r="B37" s="7"/>
      <c r="C37" s="567" t="s">
        <v>564</v>
      </c>
      <c r="D37" s="568"/>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86"/>
      <c r="I40" s="586"/>
      <c r="J40" s="241"/>
      <c r="K40" s="252"/>
      <c r="L40" s="340"/>
      <c r="M40" s="7"/>
    </row>
    <row r="41" spans="1:14" ht="15.75" customHeight="1" x14ac:dyDescent="0.25">
      <c r="A41" s="7" t="s">
        <v>465</v>
      </c>
      <c r="B41" s="7"/>
      <c r="C41" s="7"/>
      <c r="D41" s="7"/>
      <c r="E41" s="7"/>
      <c r="F41" s="7"/>
      <c r="G41" s="43" t="s">
        <v>22</v>
      </c>
      <c r="H41" s="566">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0.114</v>
      </c>
      <c r="I41" s="566"/>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86"/>
      <c r="I43" s="587"/>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78" t="s">
        <v>528</v>
      </c>
      <c r="C45" s="579"/>
      <c r="D45" s="579"/>
      <c r="E45" s="580"/>
      <c r="F45" s="7"/>
      <c r="G45" s="389"/>
      <c r="H45" s="389"/>
      <c r="I45" s="389"/>
      <c r="J45" s="389"/>
      <c r="K45" s="389"/>
      <c r="L45" s="338"/>
      <c r="M45" s="7"/>
    </row>
    <row r="46" spans="1:14" ht="18" customHeight="1" x14ac:dyDescent="0.25">
      <c r="A46" s="7" t="s">
        <v>23</v>
      </c>
      <c r="B46" s="578" t="s">
        <v>529</v>
      </c>
      <c r="C46" s="579"/>
      <c r="D46" s="579"/>
      <c r="E46" s="580"/>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25151</v>
      </c>
      <c r="C48" s="559"/>
      <c r="D48" s="559"/>
      <c r="E48" s="559"/>
      <c r="F48" s="14"/>
      <c r="G48" s="17"/>
      <c r="H48" s="17"/>
      <c r="I48" s="17"/>
      <c r="J48" s="17"/>
      <c r="K48" s="17"/>
      <c r="L48" s="338"/>
      <c r="M48" s="7"/>
    </row>
    <row r="49" spans="1:13" ht="18.75" customHeight="1" x14ac:dyDescent="0.25">
      <c r="A49" s="7" t="s">
        <v>25</v>
      </c>
      <c r="B49" s="564">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81" t="s">
        <v>530</v>
      </c>
      <c r="D51" s="582"/>
      <c r="E51" s="583"/>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54</v>
      </c>
      <c r="B53" s="578" t="s">
        <v>531</v>
      </c>
      <c r="C53" s="579"/>
      <c r="D53" s="579"/>
      <c r="E53" s="579"/>
      <c r="F53" s="579"/>
      <c r="G53" s="579"/>
      <c r="H53" s="579"/>
      <c r="I53" s="579"/>
      <c r="J53" s="580"/>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55</v>
      </c>
      <c r="B55" s="578" t="s">
        <v>532</v>
      </c>
      <c r="C55" s="579"/>
      <c r="D55" s="579"/>
      <c r="E55" s="579"/>
      <c r="F55" s="579"/>
      <c r="G55" s="579"/>
      <c r="H55" s="579"/>
      <c r="I55" s="579"/>
      <c r="J55" s="580"/>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56</v>
      </c>
      <c r="B57" s="578" t="s">
        <v>533</v>
      </c>
      <c r="C57" s="579"/>
      <c r="D57" s="579"/>
      <c r="E57" s="580"/>
      <c r="F57" s="7" t="s">
        <v>57</v>
      </c>
      <c r="G57" s="578" t="s">
        <v>534</v>
      </c>
      <c r="H57" s="579"/>
      <c r="I57" s="579"/>
      <c r="J57" s="580"/>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58</v>
      </c>
      <c r="B59" s="578" t="s">
        <v>535</v>
      </c>
      <c r="C59" s="579"/>
      <c r="D59" s="579"/>
      <c r="E59" s="579"/>
      <c r="F59" s="579"/>
      <c r="G59" s="579"/>
      <c r="H59" s="579"/>
      <c r="I59" s="579"/>
      <c r="J59" s="580"/>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59</v>
      </c>
      <c r="B61" s="578" t="s">
        <v>536</v>
      </c>
      <c r="C61" s="579"/>
      <c r="D61" s="579"/>
      <c r="E61" s="579"/>
      <c r="F61" s="579"/>
      <c r="G61" s="579"/>
      <c r="H61" s="579"/>
      <c r="I61" s="579"/>
      <c r="J61" s="580"/>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85"/>
      <c r="B69" s="585"/>
      <c r="C69" s="14"/>
      <c r="D69" s="588"/>
      <c r="E69" s="588"/>
      <c r="F69" s="588"/>
      <c r="G69" s="17"/>
      <c r="H69" s="584"/>
      <c r="I69" s="584"/>
      <c r="J69" s="584"/>
      <c r="K69" s="229"/>
      <c r="L69" s="338"/>
      <c r="M69" s="7"/>
    </row>
    <row r="70" spans="1:16" ht="18.75" customHeight="1" x14ac:dyDescent="0.3">
      <c r="A70" s="31" t="s">
        <v>61</v>
      </c>
      <c r="B70" s="21"/>
      <c r="C70" s="21"/>
      <c r="D70" s="21"/>
      <c r="E70" s="21"/>
      <c r="F70" s="21"/>
      <c r="G70" s="21"/>
      <c r="H70" s="21"/>
      <c r="I70" s="21"/>
      <c r="J70" s="21"/>
      <c r="K70" s="19"/>
      <c r="L70" s="338"/>
      <c r="M70" s="7"/>
    </row>
    <row r="71" spans="1:16" ht="24" customHeight="1" thickBot="1" x14ac:dyDescent="0.35">
      <c r="A71" s="32" t="s">
        <v>60</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25">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uAtA/P9wapBUxIvUCNZqWZaPbqPGzcGWlmQea0lpSeGltWKGlST8awCblNyIzcZPhf8pW5HttXopDM2fFtbnHg==" saltValue="Qr7ug7ME9sWCwuEO0IXaWg=="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68</v>
      </c>
      <c r="C1" s="36" t="s">
        <v>70</v>
      </c>
      <c r="D1" s="8"/>
      <c r="E1" s="20"/>
      <c r="F1" s="35" t="str">
        <f>Co_Name</f>
        <v>State Farm General Insurance Company</v>
      </c>
      <c r="G1" s="8"/>
      <c r="H1" s="8"/>
    </row>
    <row r="2" spans="1:9" x14ac:dyDescent="0.25">
      <c r="A2" s="20" t="s">
        <v>69</v>
      </c>
      <c r="C2" s="36" t="s">
        <v>71</v>
      </c>
      <c r="D2" s="8"/>
      <c r="E2" s="20"/>
      <c r="F2" s="35" t="str">
        <f>General_Line</f>
        <v>Homeowners</v>
      </c>
      <c r="G2" s="8"/>
      <c r="H2" s="8"/>
    </row>
    <row r="3" spans="1:9" ht="11.25" customHeight="1" x14ac:dyDescent="0.25">
      <c r="B3" s="165"/>
      <c r="G3" s="8"/>
    </row>
    <row r="4" spans="1:9" ht="23.25" x14ac:dyDescent="0.25">
      <c r="A4" s="5" t="s">
        <v>328</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381</v>
      </c>
      <c r="B7" s="7"/>
      <c r="C7" s="7"/>
      <c r="D7" s="7"/>
      <c r="E7" s="7"/>
      <c r="F7" s="328"/>
      <c r="G7" s="8"/>
    </row>
    <row r="8" spans="1:9" ht="18" customHeight="1" x14ac:dyDescent="0.25">
      <c r="A8" s="2" t="s">
        <v>382</v>
      </c>
      <c r="B8" s="7"/>
      <c r="C8" s="7"/>
      <c r="D8" s="7"/>
      <c r="E8" s="7"/>
      <c r="F8" s="328"/>
      <c r="G8" s="8"/>
    </row>
    <row r="9" spans="1:9" ht="11.25" customHeight="1" x14ac:dyDescent="0.25">
      <c r="A9" s="2"/>
      <c r="B9" s="7"/>
      <c r="C9" s="7"/>
      <c r="D9" s="7"/>
      <c r="E9" s="7"/>
      <c r="F9" s="328"/>
      <c r="G9" s="8"/>
    </row>
    <row r="10" spans="1:9" ht="21" customHeight="1" x14ac:dyDescent="0.25">
      <c r="A10" s="25" t="s">
        <v>396</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IF(ISBLANK('1.General'!B45),"",'1.General'!B45)</f>
        <v>State Farm General Insurance Company</v>
      </c>
      <c r="C13" s="37"/>
      <c r="E13" s="55" t="s">
        <v>16</v>
      </c>
      <c r="F13" s="264"/>
      <c r="G13" s="8"/>
    </row>
    <row r="14" spans="1:9" ht="18" customHeight="1" x14ac:dyDescent="0.25">
      <c r="E14" s="55"/>
      <c r="F14" s="55" t="s">
        <v>65</v>
      </c>
      <c r="G14" s="8"/>
    </row>
    <row r="15" spans="1:9" ht="18" customHeight="1" x14ac:dyDescent="0.25">
      <c r="A15" s="24" t="s">
        <v>24</v>
      </c>
      <c r="B15" s="354">
        <f>IF(ISBLANK('1.General'!B48),"",'1.General'!B48)</f>
        <v>25151</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65</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65</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65</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65</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65</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65</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65</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65</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65</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65</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65</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65</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65</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65</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372</v>
      </c>
    </row>
    <row r="103" spans="1:7" x14ac:dyDescent="0.25">
      <c r="A103" s="322" t="s">
        <v>375</v>
      </c>
    </row>
    <row r="105" spans="1:7" hidden="1" x14ac:dyDescent="0.25"/>
  </sheetData>
  <sheetProtection algorithmName="SHA-512" hashValue="S9Cln2cli0pdYgWhaBfAjclVJD2gLmE9yQEyTVRpYQY1CI7AntP19n2kzfvTRJ47CRGf8you/+1ZzGGsMknXMw==" saltValue="L5ngII4psoqm4xdL/83jPA==" spinCount="100000" sheet="1" objects="1" scenarios="1" formatColumns="0" formatRows="0" sort="0"/>
  <conditionalFormatting sqref="B16">
    <cfRule type="expression" dxfId="25" priority="15">
      <formula>NOT(ISBLANK(B13))</formula>
    </cfRule>
  </conditionalFormatting>
  <conditionalFormatting sqref="B22">
    <cfRule type="expression" dxfId="24" priority="14">
      <formula>NOT(ISBLANK(B19))</formula>
    </cfRule>
  </conditionalFormatting>
  <conditionalFormatting sqref="B28">
    <cfRule type="expression" dxfId="23" priority="13">
      <formula>NOT(ISBLANK(B25))</formula>
    </cfRule>
  </conditionalFormatting>
  <conditionalFormatting sqref="B34">
    <cfRule type="expression" dxfId="22" priority="12">
      <formula>NOT(ISBLANK(B31))</formula>
    </cfRule>
  </conditionalFormatting>
  <conditionalFormatting sqref="B40">
    <cfRule type="expression" dxfId="21" priority="11">
      <formula>NOT(ISBLANK(B37))</formula>
    </cfRule>
  </conditionalFormatting>
  <conditionalFormatting sqref="B46">
    <cfRule type="expression" dxfId="20" priority="10">
      <formula>NOT(ISBLANK(B43))</formula>
    </cfRule>
  </conditionalFormatting>
  <conditionalFormatting sqref="B52">
    <cfRule type="expression" dxfId="19" priority="9">
      <formula>NOT(ISBLANK(B49))</formula>
    </cfRule>
  </conditionalFormatting>
  <conditionalFormatting sqref="B58">
    <cfRule type="expression" dxfId="18" priority="8">
      <formula>NOT(ISBLANK(B55))</formula>
    </cfRule>
  </conditionalFormatting>
  <conditionalFormatting sqref="B64">
    <cfRule type="expression" dxfId="17" priority="7">
      <formula>NOT(ISBLANK(B61))</formula>
    </cfRule>
  </conditionalFormatting>
  <conditionalFormatting sqref="B70">
    <cfRule type="expression" dxfId="16" priority="6">
      <formula>NOT(ISBLANK(B67))</formula>
    </cfRule>
  </conditionalFormatting>
  <conditionalFormatting sqref="B76">
    <cfRule type="expression" dxfId="15" priority="5">
      <formula>NOT(ISBLANK(B73))</formula>
    </cfRule>
  </conditionalFormatting>
  <conditionalFormatting sqref="B82">
    <cfRule type="expression" dxfId="14" priority="4">
      <formula>NOT(ISBLANK(B79))</formula>
    </cfRule>
  </conditionalFormatting>
  <conditionalFormatting sqref="B88">
    <cfRule type="expression" dxfId="13" priority="3">
      <formula>NOT(ISBLANK(B85))</formula>
    </cfRule>
  </conditionalFormatting>
  <conditionalFormatting sqref="B94">
    <cfRule type="expression" dxfId="12" priority="2">
      <formula>NOT(ISBLANK(B91))</formula>
    </cfRule>
  </conditionalFormatting>
  <conditionalFormatting sqref="B100">
    <cfRule type="expression" dxfId="11"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68</v>
      </c>
      <c r="B1" s="20"/>
      <c r="C1" s="8"/>
      <c r="D1" s="36" t="s">
        <v>70</v>
      </c>
      <c r="E1" s="36"/>
      <c r="F1" s="8"/>
      <c r="G1" s="35" t="str">
        <f>Co_Name</f>
        <v>State Farm General Insurance Company</v>
      </c>
      <c r="H1" s="334" t="s">
        <v>425</v>
      </c>
    </row>
    <row r="2" spans="1:8" x14ac:dyDescent="0.25">
      <c r="A2" s="20" t="s">
        <v>69</v>
      </c>
      <c r="B2" s="20"/>
      <c r="C2" s="8"/>
      <c r="D2" s="36" t="s">
        <v>71</v>
      </c>
      <c r="E2" s="36"/>
      <c r="F2" s="8"/>
      <c r="G2" s="35" t="str">
        <f>General_Line</f>
        <v>Homeowners</v>
      </c>
      <c r="H2" s="435"/>
    </row>
    <row r="3" spans="1:8" ht="18" customHeight="1" x14ac:dyDescent="0.25">
      <c r="A3" s="8"/>
      <c r="B3" s="8"/>
      <c r="C3" s="166"/>
      <c r="D3" s="8"/>
      <c r="E3" s="8"/>
      <c r="F3" s="8"/>
      <c r="G3" s="8"/>
      <c r="H3" s="436"/>
    </row>
    <row r="4" spans="1:8" ht="23.25" x14ac:dyDescent="0.25">
      <c r="A4" s="5" t="s">
        <v>282</v>
      </c>
      <c r="B4" s="5"/>
      <c r="C4" s="179"/>
      <c r="D4" s="179"/>
      <c r="E4" s="179"/>
      <c r="F4" s="179"/>
      <c r="G4" s="179"/>
      <c r="H4" s="436" t="str">
        <f>IF(COUNTIF(E6:E12,"")&gt;=1,"",IF(COUNTIF(E6:E12,"Y")=0,"ERROR! You must select yes to at least one filing type.",""))</f>
        <v/>
      </c>
    </row>
    <row r="5" spans="1:8" ht="22.5" customHeight="1" x14ac:dyDescent="0.25">
      <c r="A5" s="384" t="s">
        <v>397</v>
      </c>
      <c r="B5" s="5"/>
      <c r="C5" s="179"/>
      <c r="D5" s="179"/>
      <c r="E5" s="179"/>
      <c r="F5" s="179"/>
      <c r="G5" s="179"/>
      <c r="H5" s="437"/>
    </row>
    <row r="6" spans="1:8" ht="21" customHeight="1" x14ac:dyDescent="0.25">
      <c r="A6" s="367" t="s">
        <v>399</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502</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501</v>
      </c>
      <c r="B8" s="367"/>
      <c r="C8" s="367"/>
      <c r="E8" s="198" t="s">
        <v>5</v>
      </c>
      <c r="G8" s="366"/>
      <c r="H8" s="438" t="str">
        <f>IF(E8="","← ERROR! Please select a response.","")</f>
        <v/>
      </c>
    </row>
    <row r="9" spans="1:8" ht="21" customHeight="1" x14ac:dyDescent="0.25">
      <c r="A9" s="367" t="s">
        <v>519</v>
      </c>
      <c r="B9" s="367"/>
      <c r="C9" s="367"/>
      <c r="E9" s="198" t="s">
        <v>6</v>
      </c>
      <c r="G9" s="366"/>
      <c r="H9" s="438" t="str">
        <f>IF(E9="","← ERROR! Please select a response.","")</f>
        <v/>
      </c>
    </row>
    <row r="10" spans="1:8" ht="21" customHeight="1" x14ac:dyDescent="0.25">
      <c r="A10" s="367" t="s">
        <v>520</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521</v>
      </c>
      <c r="B11" s="367"/>
      <c r="C11" s="367"/>
      <c r="E11" s="198" t="s">
        <v>6</v>
      </c>
      <c r="G11" s="366"/>
      <c r="H11" s="438" t="str">
        <f>IF(E11="","← ERROR! Please select a response.","")</f>
        <v/>
      </c>
    </row>
    <row r="12" spans="1:8" ht="21" customHeight="1" x14ac:dyDescent="0.25">
      <c r="A12" s="367" t="s">
        <v>522</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523</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524</v>
      </c>
      <c r="B14" s="368"/>
      <c r="C14" s="364"/>
      <c r="D14" s="365"/>
      <c r="E14" s="365"/>
      <c r="F14" s="365"/>
      <c r="G14" s="550"/>
      <c r="H14" s="439"/>
    </row>
    <row r="15" spans="1:8" ht="21" customHeight="1" thickBot="1" x14ac:dyDescent="0.3">
      <c r="A15" s="376" t="s">
        <v>525</v>
      </c>
      <c r="B15" s="369"/>
      <c r="C15" s="364"/>
      <c r="D15" s="365"/>
      <c r="E15" s="365"/>
      <c r="F15" s="365"/>
      <c r="G15" s="550"/>
      <c r="H15" s="440"/>
    </row>
    <row r="16" spans="1:8" ht="23.25" x14ac:dyDescent="0.25">
      <c r="A16" s="5" t="s">
        <v>77</v>
      </c>
      <c r="B16" s="5"/>
      <c r="C16" s="179"/>
      <c r="D16" s="179"/>
      <c r="E16" s="179"/>
      <c r="F16" s="179"/>
      <c r="G16" s="179"/>
    </row>
    <row r="17" spans="1:7" x14ac:dyDescent="0.25">
      <c r="A17" s="370" t="s">
        <v>404</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384</v>
      </c>
      <c r="B19" s="162" t="s">
        <v>385</v>
      </c>
      <c r="C19" s="162" t="s">
        <v>291</v>
      </c>
      <c r="D19" s="162"/>
      <c r="E19" s="365"/>
      <c r="F19" s="365"/>
      <c r="G19" s="366"/>
    </row>
    <row r="20" spans="1:7" ht="21" customHeight="1" x14ac:dyDescent="0.25">
      <c r="A20" s="377"/>
      <c r="B20" s="377"/>
      <c r="C20" s="367" t="s">
        <v>378</v>
      </c>
      <c r="D20" s="367"/>
      <c r="E20" s="367"/>
      <c r="F20" s="49"/>
      <c r="G20" s="49"/>
    </row>
    <row r="21" spans="1:7" ht="21" hidden="1" customHeight="1" x14ac:dyDescent="0.25">
      <c r="A21" s="377"/>
      <c r="B21" s="377"/>
      <c r="C21" s="367" t="s">
        <v>289</v>
      </c>
      <c r="D21" s="367"/>
      <c r="E21" s="367"/>
      <c r="F21" s="49"/>
      <c r="G21" s="49"/>
    </row>
    <row r="22" spans="1:7" ht="21" customHeight="1" x14ac:dyDescent="0.25">
      <c r="A22" s="377"/>
      <c r="B22" s="377"/>
      <c r="C22" s="367" t="s">
        <v>395</v>
      </c>
      <c r="D22" s="367"/>
      <c r="E22" s="367"/>
      <c r="F22" s="49"/>
      <c r="G22" s="49"/>
    </row>
    <row r="23" spans="1:7" ht="21" customHeight="1" x14ac:dyDescent="0.25">
      <c r="A23" s="377"/>
      <c r="B23" s="377"/>
      <c r="C23" s="367" t="s">
        <v>290</v>
      </c>
      <c r="D23" s="367"/>
      <c r="E23" s="367"/>
      <c r="F23" s="49"/>
      <c r="G23" s="49"/>
    </row>
    <row r="24" spans="1:7" ht="21" customHeight="1" x14ac:dyDescent="0.25">
      <c r="A24" s="377"/>
      <c r="B24" s="377"/>
      <c r="C24" s="367" t="s">
        <v>298</v>
      </c>
      <c r="D24" s="367"/>
      <c r="E24" s="367"/>
      <c r="F24" s="49"/>
      <c r="G24" s="49"/>
    </row>
    <row r="25" spans="1:7" ht="21" customHeight="1" x14ac:dyDescent="0.25">
      <c r="A25" s="377"/>
      <c r="B25" s="377"/>
      <c r="C25" s="367" t="s">
        <v>358</v>
      </c>
      <c r="D25" s="367"/>
      <c r="E25" s="367"/>
      <c r="F25" s="49"/>
      <c r="G25" s="49"/>
    </row>
    <row r="26" spans="1:7" ht="21" customHeight="1" x14ac:dyDescent="0.25">
      <c r="A26" s="377"/>
      <c r="B26" s="377"/>
      <c r="C26" s="367" t="s">
        <v>299</v>
      </c>
      <c r="D26" s="367"/>
      <c r="E26" s="367"/>
      <c r="F26" s="49"/>
      <c r="G26" s="49"/>
    </row>
    <row r="27" spans="1:7" ht="21" customHeight="1" x14ac:dyDescent="0.25">
      <c r="A27" s="377"/>
      <c r="B27" s="377"/>
      <c r="C27" s="367" t="s">
        <v>300</v>
      </c>
      <c r="D27" s="367"/>
      <c r="E27" s="367"/>
      <c r="F27" s="49"/>
      <c r="G27" s="49"/>
    </row>
    <row r="28" spans="1:7" ht="21" hidden="1" customHeight="1" x14ac:dyDescent="0.25">
      <c r="A28" s="377"/>
      <c r="B28" s="377"/>
      <c r="C28" s="367" t="s">
        <v>301</v>
      </c>
      <c r="D28" s="367"/>
      <c r="E28" s="367"/>
      <c r="F28" s="49"/>
      <c r="G28" s="49"/>
    </row>
    <row r="29" spans="1:7" ht="21" customHeight="1" x14ac:dyDescent="0.25">
      <c r="A29" s="377"/>
      <c r="B29" s="377"/>
      <c r="C29" s="367" t="s">
        <v>406</v>
      </c>
      <c r="D29" s="367"/>
      <c r="E29" s="367"/>
      <c r="F29" s="49"/>
      <c r="G29" s="49"/>
    </row>
    <row r="30" spans="1:7" ht="21" hidden="1" customHeight="1" x14ac:dyDescent="0.25">
      <c r="A30" s="377"/>
      <c r="B30" s="377"/>
      <c r="C30" s="367" t="s">
        <v>78</v>
      </c>
      <c r="D30" s="367"/>
      <c r="E30" s="367"/>
      <c r="F30" s="49"/>
      <c r="G30" s="49"/>
    </row>
    <row r="31" spans="1:7" ht="21" customHeight="1" x14ac:dyDescent="0.25">
      <c r="A31" s="377"/>
      <c r="B31" s="377"/>
      <c r="C31" s="367" t="s">
        <v>457</v>
      </c>
      <c r="D31" s="367"/>
      <c r="E31" s="367"/>
      <c r="F31" s="49"/>
      <c r="G31" s="49"/>
    </row>
    <row r="32" spans="1:7" ht="21" customHeight="1" x14ac:dyDescent="0.25">
      <c r="A32" s="377"/>
      <c r="B32" s="377"/>
      <c r="C32" s="371" t="s">
        <v>494</v>
      </c>
      <c r="D32" s="367"/>
      <c r="E32" s="367"/>
      <c r="F32" s="49"/>
      <c r="G32" s="49"/>
    </row>
    <row r="33" spans="1:7" ht="21" customHeight="1" x14ac:dyDescent="0.25">
      <c r="A33" s="377"/>
      <c r="B33" s="377"/>
      <c r="C33" s="371" t="s">
        <v>495</v>
      </c>
      <c r="D33" s="367"/>
      <c r="E33" s="367"/>
      <c r="F33" s="49"/>
      <c r="G33" s="49"/>
    </row>
    <row r="34" spans="1:7" ht="21" customHeight="1" x14ac:dyDescent="0.25">
      <c r="A34" s="377"/>
      <c r="B34" s="377"/>
      <c r="C34" s="371" t="s">
        <v>458</v>
      </c>
      <c r="D34" s="367"/>
      <c r="E34" s="367"/>
      <c r="F34" s="49"/>
      <c r="G34" s="49"/>
    </row>
    <row r="35" spans="1:7" ht="21" customHeight="1" x14ac:dyDescent="0.25">
      <c r="A35" s="377"/>
      <c r="B35" s="377"/>
      <c r="C35" s="371" t="s">
        <v>292</v>
      </c>
      <c r="D35" s="371"/>
      <c r="E35" s="371"/>
      <c r="F35" s="371"/>
      <c r="G35" s="371"/>
    </row>
    <row r="36" spans="1:7" ht="21" customHeight="1" x14ac:dyDescent="0.25">
      <c r="A36" s="377"/>
      <c r="B36" s="377"/>
      <c r="C36" s="367" t="s">
        <v>284</v>
      </c>
      <c r="D36" s="367"/>
      <c r="E36" s="367"/>
      <c r="F36" s="49"/>
      <c r="G36" s="49"/>
    </row>
    <row r="37" spans="1:7" ht="21" customHeight="1" x14ac:dyDescent="0.25">
      <c r="A37" s="377"/>
      <c r="B37" s="377"/>
      <c r="C37" s="367" t="s">
        <v>285</v>
      </c>
      <c r="D37" s="367"/>
      <c r="E37" s="367"/>
      <c r="F37" s="49"/>
      <c r="G37" s="49"/>
    </row>
    <row r="38" spans="1:7" ht="21" customHeight="1" x14ac:dyDescent="0.25">
      <c r="A38" s="377"/>
      <c r="B38" s="377"/>
      <c r="C38" s="367" t="s">
        <v>286</v>
      </c>
      <c r="D38" s="367"/>
      <c r="E38" s="367"/>
      <c r="F38" s="49"/>
      <c r="G38" s="49"/>
    </row>
    <row r="39" spans="1:7" ht="21" customHeight="1" x14ac:dyDescent="0.25">
      <c r="A39" s="377"/>
      <c r="B39" s="377"/>
      <c r="C39" s="367" t="s">
        <v>287</v>
      </c>
      <c r="D39" s="367"/>
      <c r="E39" s="367"/>
      <c r="F39" s="49"/>
      <c r="G39" s="49"/>
    </row>
    <row r="40" spans="1:7" ht="21" customHeight="1" x14ac:dyDescent="0.25">
      <c r="A40" s="377"/>
      <c r="B40" s="377"/>
      <c r="C40" s="367" t="s">
        <v>386</v>
      </c>
      <c r="D40" s="367"/>
      <c r="E40" s="367"/>
      <c r="F40" s="49"/>
      <c r="G40" s="49"/>
    </row>
    <row r="41" spans="1:7" ht="21" customHeight="1" x14ac:dyDescent="0.25">
      <c r="A41" s="377"/>
      <c r="B41" s="377"/>
      <c r="C41" s="367" t="s">
        <v>288</v>
      </c>
      <c r="D41" s="367"/>
      <c r="E41" s="367"/>
      <c r="F41" s="49"/>
      <c r="G41" s="49"/>
    </row>
    <row r="42" spans="1:7" ht="21" customHeight="1" x14ac:dyDescent="0.25">
      <c r="A42" s="377"/>
      <c r="B42" s="377"/>
      <c r="C42" s="367" t="s">
        <v>387</v>
      </c>
      <c r="D42" s="367"/>
      <c r="E42" s="367"/>
      <c r="F42" s="49"/>
      <c r="G42" s="49"/>
    </row>
    <row r="43" spans="1:7" ht="21" customHeight="1" x14ac:dyDescent="0.25">
      <c r="A43" s="377"/>
      <c r="B43" s="377"/>
      <c r="C43" s="367" t="s">
        <v>388</v>
      </c>
      <c r="D43" s="367"/>
      <c r="E43" s="367"/>
      <c r="F43" s="49"/>
      <c r="G43" s="49"/>
    </row>
    <row r="44" spans="1:7" ht="21" customHeight="1" x14ac:dyDescent="0.25">
      <c r="A44" s="377"/>
      <c r="B44" s="377"/>
      <c r="C44" s="367" t="s">
        <v>294</v>
      </c>
      <c r="D44" s="367"/>
      <c r="E44" s="367"/>
      <c r="F44" s="49"/>
      <c r="G44" s="49"/>
    </row>
    <row r="45" spans="1:7" ht="21" customHeight="1" x14ac:dyDescent="0.25">
      <c r="A45" s="377"/>
      <c r="B45" s="377"/>
      <c r="C45" s="367" t="s">
        <v>295</v>
      </c>
      <c r="D45" s="367"/>
      <c r="E45" s="367"/>
      <c r="F45" s="49"/>
      <c r="G45" s="49"/>
    </row>
    <row r="46" spans="1:7" ht="21" customHeight="1" x14ac:dyDescent="0.25">
      <c r="A46" s="377"/>
      <c r="B46" s="377"/>
      <c r="C46" s="367" t="s">
        <v>296</v>
      </c>
      <c r="D46" s="367"/>
      <c r="E46" s="367"/>
      <c r="F46" s="49"/>
      <c r="G46" s="49"/>
    </row>
    <row r="47" spans="1:7" ht="21" customHeight="1" x14ac:dyDescent="0.25">
      <c r="A47" s="377"/>
      <c r="B47" s="377"/>
      <c r="C47" s="367" t="s">
        <v>403</v>
      </c>
      <c r="D47" s="367"/>
      <c r="E47" s="367"/>
      <c r="F47" s="49"/>
      <c r="G47" s="49"/>
    </row>
    <row r="48" spans="1:7" ht="21" hidden="1" customHeight="1" x14ac:dyDescent="0.25">
      <c r="A48" s="377"/>
      <c r="B48" s="377"/>
      <c r="C48" s="367" t="s">
        <v>329</v>
      </c>
      <c r="D48" s="367"/>
      <c r="E48" s="367"/>
      <c r="F48" s="49"/>
      <c r="G48" s="49"/>
    </row>
    <row r="49" spans="1:7" ht="21" customHeight="1" x14ac:dyDescent="0.25">
      <c r="A49" s="377"/>
      <c r="B49" s="377"/>
      <c r="C49" s="367" t="s">
        <v>321</v>
      </c>
      <c r="D49" s="367"/>
      <c r="E49" s="367"/>
      <c r="F49" s="49"/>
      <c r="G49" s="49"/>
    </row>
    <row r="50" spans="1:7" ht="21" customHeight="1" x14ac:dyDescent="0.25">
      <c r="A50" s="377"/>
      <c r="B50" s="377"/>
      <c r="C50" s="367" t="s">
        <v>322</v>
      </c>
      <c r="D50" s="367"/>
      <c r="E50" s="367"/>
      <c r="F50" s="49"/>
      <c r="G50" s="49"/>
    </row>
    <row r="51" spans="1:7" ht="21" hidden="1" customHeight="1" x14ac:dyDescent="0.25">
      <c r="A51" s="377"/>
      <c r="B51" s="377"/>
      <c r="C51" s="367" t="s">
        <v>323</v>
      </c>
      <c r="D51" s="367"/>
      <c r="E51" s="367"/>
      <c r="F51" s="49"/>
      <c r="G51" s="49"/>
    </row>
    <row r="52" spans="1:7" ht="21" hidden="1" customHeight="1" x14ac:dyDescent="0.25">
      <c r="A52" s="377"/>
      <c r="B52" s="377"/>
      <c r="C52" s="367" t="s">
        <v>324</v>
      </c>
      <c r="D52" s="367"/>
      <c r="E52" s="367"/>
      <c r="F52" s="49"/>
      <c r="G52" s="49"/>
    </row>
    <row r="53" spans="1:7" ht="21" customHeight="1" x14ac:dyDescent="0.25">
      <c r="A53" s="377"/>
      <c r="B53" s="377"/>
      <c r="C53" s="367" t="s">
        <v>405</v>
      </c>
      <c r="D53" s="367"/>
      <c r="E53" s="367"/>
      <c r="F53" s="49"/>
      <c r="G53" s="49"/>
    </row>
    <row r="54" spans="1:7" ht="21" customHeight="1" x14ac:dyDescent="0.25">
      <c r="A54" s="377"/>
      <c r="B54" s="377"/>
      <c r="C54" s="367" t="s">
        <v>325</v>
      </c>
      <c r="D54" s="367"/>
      <c r="E54" s="367"/>
      <c r="F54" s="49"/>
      <c r="G54" s="49"/>
    </row>
    <row r="55" spans="1:7" ht="21" customHeight="1" x14ac:dyDescent="0.25">
      <c r="A55" s="377"/>
      <c r="B55" s="377"/>
      <c r="C55" s="367" t="s">
        <v>334</v>
      </c>
      <c r="D55" s="367"/>
      <c r="E55" s="367"/>
      <c r="F55" s="49"/>
      <c r="G55" s="49"/>
    </row>
    <row r="56" spans="1:7" ht="21" hidden="1" customHeight="1" x14ac:dyDescent="0.25">
      <c r="A56" s="377"/>
      <c r="B56" s="377"/>
      <c r="C56" s="367" t="s">
        <v>333</v>
      </c>
      <c r="D56" s="367"/>
      <c r="E56" s="367"/>
      <c r="F56" s="49"/>
      <c r="G56" s="49"/>
    </row>
    <row r="57" spans="1:7" ht="21" customHeight="1" x14ac:dyDescent="0.25">
      <c r="A57" s="377"/>
      <c r="B57" s="377"/>
      <c r="C57" s="371" t="s">
        <v>79</v>
      </c>
      <c r="D57" s="371"/>
      <c r="E57" s="371"/>
      <c r="F57" s="49"/>
      <c r="G57" s="49"/>
    </row>
    <row r="58" spans="1:7" ht="21" customHeight="1" x14ac:dyDescent="0.25">
      <c r="A58" s="377"/>
      <c r="B58" s="377"/>
      <c r="C58" s="371" t="s">
        <v>389</v>
      </c>
      <c r="D58" s="371"/>
      <c r="E58" s="371"/>
      <c r="F58" s="49"/>
      <c r="G58" s="49"/>
    </row>
    <row r="59" spans="1:7" ht="21" customHeight="1" x14ac:dyDescent="0.25">
      <c r="A59" s="377"/>
      <c r="B59" s="377"/>
      <c r="C59" s="371" t="s">
        <v>390</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Printed Rate and Rule Manual Pages</v>
      </c>
      <c r="D61" s="371"/>
      <c r="E61" s="371"/>
      <c r="F61" s="49"/>
      <c r="G61" s="49"/>
    </row>
    <row r="62" spans="1:7" ht="21" hidden="1" customHeight="1" x14ac:dyDescent="0.25">
      <c r="A62" s="377"/>
      <c r="B62" s="377"/>
      <c r="C62" s="371" t="s">
        <v>302</v>
      </c>
      <c r="D62" s="371"/>
      <c r="E62" s="371"/>
      <c r="F62" s="49"/>
      <c r="G62" s="49"/>
    </row>
    <row r="63" spans="1:7" ht="21" customHeight="1" x14ac:dyDescent="0.25">
      <c r="A63" s="377"/>
      <c r="B63" s="377"/>
      <c r="C63" s="371" t="s">
        <v>330</v>
      </c>
      <c r="D63" s="371"/>
      <c r="E63" s="371"/>
      <c r="F63" s="49"/>
      <c r="G63" s="49"/>
    </row>
    <row r="64" spans="1:7" ht="21" customHeight="1" x14ac:dyDescent="0.25">
      <c r="A64" s="375" t="s">
        <v>392</v>
      </c>
      <c r="B64" s="377"/>
      <c r="D64" s="372"/>
      <c r="E64" s="372"/>
      <c r="F64" s="374"/>
      <c r="G64" s="374"/>
    </row>
    <row r="65" spans="1:7" ht="17.25" hidden="1" x14ac:dyDescent="0.25">
      <c r="A65" s="375" t="s">
        <v>490</v>
      </c>
      <c r="B65" s="363"/>
      <c r="D65" s="372"/>
      <c r="E65" s="372"/>
      <c r="F65" s="374"/>
      <c r="G65" s="374"/>
    </row>
    <row r="66" spans="1:7" hidden="1" x14ac:dyDescent="0.25">
      <c r="A66" s="24" t="s">
        <v>398</v>
      </c>
    </row>
    <row r="67" spans="1:7" hidden="1" x14ac:dyDescent="0.25">
      <c r="A67" s="51" t="s">
        <v>383</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t/ErITDMBx5VF0y8Fm8Z181t8+hrZzXNAlL1Y41hJTPsxOTvpf66wGpTACKvTZwfyKuen0PkFpqBWZKQ6TzTcw==" saltValue="+C0lBeleT0NG4bnsQs5jNA=="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64"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269" r:id="rId4" name="Check Box 189">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270" r:id="rId5" name="Check Box 190">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271" r:id="rId6" name="Check Box 191">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4272" r:id="rId7" name="Check Box 192">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4273" r:id="rId8" name="Check Box 193">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4274" r:id="rId9" name="Check Box 194">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4275" r:id="rId10" name="Check Box 195">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4276" r:id="rId11" name="Check Box 196">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4277" r:id="rId12" name="Check Box 197">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4278" r:id="rId13" name="Check Box 198">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4279" r:id="rId14" name="Check Box 199">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4280" r:id="rId15" name="Check Box 200">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4281" r:id="rId16" name="Check Box 201">
              <controlPr defaultSize="0" autoFill="0" autoLine="0" autoPict="0">
                <anchor moveWithCells="1">
                  <from>
                    <xdr:col>0</xdr:col>
                    <xdr:colOff>0</xdr:colOff>
                    <xdr:row>26</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282" r:id="rId17" name="Check Box 202">
              <controlPr defaultSize="0" autoFill="0" autoLine="0" autoPict="0">
                <anchor moveWithCells="1">
                  <from>
                    <xdr:col>1</xdr:col>
                    <xdr:colOff>0</xdr:colOff>
                    <xdr:row>26</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283" r:id="rId18" name="Check Box 203">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284" r:id="rId19" name="Check Box 204">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285" r:id="rId20" name="Check Box 205">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286" r:id="rId21" name="Check Box 206">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287" r:id="rId22" name="Check Box 207">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4288" r:id="rId23" name="Check Box 208">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289" r:id="rId24" name="Check Box 209">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290" r:id="rId25" name="Check Box 210">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4291" r:id="rId26" name="Check Box 211">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4292" r:id="rId27" name="Check Box 212">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4293" r:id="rId28" name="Check Box 213">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4294" r:id="rId29" name="Check Box 214">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4295" r:id="rId30" name="Check Box 215">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4296" r:id="rId31" name="Check Box 216">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4297" r:id="rId32" name="Check Box 217">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4298" r:id="rId33" name="Check Box 218">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4299" r:id="rId34" name="Check Box 219">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4300" r:id="rId35" name="Check Box 220">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4301" r:id="rId36" name="Check Box 221">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4302" r:id="rId37" name="Check Box 222">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4303" r:id="rId38" name="Check Box 223">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4304" r:id="rId39" name="Check Box 224">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4305" r:id="rId40" name="Check Box 225">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4306" r:id="rId41" name="Check Box 226">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4307" r:id="rId42" name="Check Box 227">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4308" r:id="rId43" name="Check Box 228">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4309" r:id="rId44" name="Check Box 229">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4310" r:id="rId45" name="Check Box 230">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4311" r:id="rId46" name="Check Box 231">
              <controlPr defaultSize="0" autoFill="0" autoLine="0" autoPict="0">
                <anchor moveWithCells="1">
                  <from>
                    <xdr:col>0</xdr:col>
                    <xdr:colOff>0</xdr:colOff>
                    <xdr:row>46</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4312" r:id="rId47" name="Check Box 232">
              <controlPr defaultSize="0" autoFill="0" autoLine="0" autoPict="0">
                <anchor moveWithCells="1">
                  <from>
                    <xdr:col>1</xdr:col>
                    <xdr:colOff>0</xdr:colOff>
                    <xdr:row>46</xdr:row>
                    <xdr:rowOff>0</xdr:rowOff>
                  </from>
                  <to>
                    <xdr:col>1</xdr:col>
                    <xdr:colOff>295275</xdr:colOff>
                    <xdr:row>48</xdr:row>
                    <xdr:rowOff>19050</xdr:rowOff>
                  </to>
                </anchor>
              </controlPr>
            </control>
          </mc:Choice>
        </mc:AlternateContent>
        <mc:AlternateContent xmlns:mc="http://schemas.openxmlformats.org/markup-compatibility/2006">
          <mc:Choice Requires="x14">
            <control shapeId="174313" r:id="rId48" name="Check Box 233">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4314" r:id="rId49" name="Check Box 234">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4315" r:id="rId50" name="Check Box 235">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316" r:id="rId51" name="Check Box 236">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4317" r:id="rId52" name="Check Box 237">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318" r:id="rId53" name="Check Box 238">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4319" r:id="rId54" name="Check Box 239">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4320" r:id="rId55" name="Check Box 240">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321" r:id="rId56" name="Check Box 241">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322" r:id="rId57" name="Check Box 242">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4323" r:id="rId58" name="Check Box 243">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4324" r:id="rId59" name="Check Box 244">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4325" r:id="rId60" name="Check Box 245">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326" r:id="rId61" name="Check Box 246">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4327" r:id="rId62" name="Check Box 24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328" r:id="rId63" name="Check Box 248">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4329" r:id="rId64" name="Check Box 249">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tabSelected="1" view="pageBreakPreview" topLeftCell="A4" zoomScaleNormal="100" zoomScaleSheetLayoutView="100" workbookViewId="0">
      <selection activeCell="E9" sqref="E9"/>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68</v>
      </c>
      <c r="D1" s="36" t="s">
        <v>70</v>
      </c>
      <c r="F1" s="35" t="str">
        <f>Co_Name</f>
        <v>State Farm General Insurance Company</v>
      </c>
    </row>
    <row r="2" spans="1:7" x14ac:dyDescent="0.25">
      <c r="A2" s="20" t="s">
        <v>69</v>
      </c>
      <c r="D2" s="36" t="s">
        <v>71</v>
      </c>
      <c r="F2" s="35" t="str">
        <f>General_Line</f>
        <v>Homeowners</v>
      </c>
    </row>
    <row r="3" spans="1:7" x14ac:dyDescent="0.25">
      <c r="B3" s="165"/>
    </row>
    <row r="4" spans="1:7" ht="23.25" x14ac:dyDescent="0.25">
      <c r="A4" s="5" t="s">
        <v>283</v>
      </c>
      <c r="B4" s="3"/>
      <c r="C4" s="3"/>
      <c r="D4" s="3"/>
      <c r="E4" s="3"/>
      <c r="F4" s="3"/>
    </row>
    <row r="6" spans="1:7" ht="15.75" x14ac:dyDescent="0.25">
      <c r="B6" s="54" t="s">
        <v>74</v>
      </c>
      <c r="C6" s="26"/>
      <c r="D6" s="319">
        <f>$D$22</f>
        <v>0.114</v>
      </c>
    </row>
    <row r="7" spans="1:7" ht="4.5" customHeight="1" x14ac:dyDescent="0.25"/>
    <row r="8" spans="1:7" s="47" customFormat="1" ht="18" customHeight="1" x14ac:dyDescent="0.25">
      <c r="A8" s="53"/>
      <c r="B8" s="54" t="s">
        <v>73</v>
      </c>
      <c r="C8" s="26"/>
      <c r="D8" s="320">
        <v>1035.5971780914481</v>
      </c>
      <c r="G8" s="333" t="str">
        <f>IF(ISBLANK(D8),"←ERROR! Enter the Proposed Earned Premium Per Exposure.","")</f>
        <v/>
      </c>
    </row>
    <row r="9" spans="1:7" ht="18" customHeight="1" x14ac:dyDescent="0.25">
      <c r="A9" s="53"/>
      <c r="B9" s="54" t="s">
        <v>222</v>
      </c>
      <c r="C9" s="26"/>
      <c r="D9" s="267">
        <v>45323</v>
      </c>
      <c r="G9" s="214" t="str">
        <f>IF(ISBLANK(D9),"←ERROR! Enter the Proposed Effective Date.","")</f>
        <v/>
      </c>
    </row>
    <row r="10" spans="1:7" ht="15.75" thickBot="1" x14ac:dyDescent="0.3">
      <c r="A10" s="52"/>
    </row>
    <row r="11" spans="1:7" ht="33" thickBot="1" x14ac:dyDescent="0.3">
      <c r="A11" s="57"/>
      <c r="B11" s="58" t="s">
        <v>126</v>
      </c>
      <c r="C11" s="58" t="s">
        <v>75</v>
      </c>
      <c r="D11" s="58" t="s">
        <v>355</v>
      </c>
      <c r="E11" s="58" t="s">
        <v>356</v>
      </c>
      <c r="F11" s="59" t="s">
        <v>357</v>
      </c>
    </row>
    <row r="12" spans="1:7" ht="30" customHeight="1" x14ac:dyDescent="0.25">
      <c r="A12" s="60">
        <v>-1</v>
      </c>
      <c r="B12" s="268" t="s">
        <v>537</v>
      </c>
      <c r="C12" s="269">
        <v>0.26400000000000001</v>
      </c>
      <c r="D12" s="269">
        <v>0.114</v>
      </c>
      <c r="E12" s="270">
        <v>250983585.71184143</v>
      </c>
      <c r="F12" s="73">
        <f>E12*(1+D12)</f>
        <v>279595714.4829914</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76</v>
      </c>
      <c r="B22" s="71"/>
      <c r="C22" s="77">
        <f>SUMPRODUCT(C$12:C$21,$E$12:$E$21)/$E$22</f>
        <v>0.26400000000000001</v>
      </c>
      <c r="D22" s="77">
        <f>SUMPRODUCT(D$12:D$21,$E$12:$E$21)/$E$22</f>
        <v>0.114</v>
      </c>
      <c r="E22" s="78">
        <f>SUM($E$12:$E$21)</f>
        <v>250983585.71184143</v>
      </c>
      <c r="F22" s="75">
        <f>SUM($F$12:$F$21)</f>
        <v>279595714.4829914</v>
      </c>
    </row>
    <row r="23" spans="1:7" x14ac:dyDescent="0.25">
      <c r="D23" s="56"/>
    </row>
    <row r="24" spans="1:7" ht="17.25" x14ac:dyDescent="0.25">
      <c r="A24" t="s">
        <v>373</v>
      </c>
      <c r="D24" s="56"/>
    </row>
    <row r="25" spans="1:7" x14ac:dyDescent="0.25">
      <c r="A25" t="s">
        <v>374</v>
      </c>
      <c r="D25" s="56"/>
    </row>
    <row r="26" spans="1:7" ht="18" customHeight="1" x14ac:dyDescent="0.25">
      <c r="A26" s="48" t="s">
        <v>366</v>
      </c>
    </row>
    <row r="27" spans="1:7" ht="18" customHeight="1" x14ac:dyDescent="0.25">
      <c r="A27" s="322" t="s">
        <v>332</v>
      </c>
    </row>
    <row r="28" spans="1:7" ht="5.0999999999999996" customHeight="1" x14ac:dyDescent="0.25">
      <c r="A28" s="2"/>
    </row>
    <row r="29" spans="1:7" ht="18" customHeight="1" x14ac:dyDescent="0.25">
      <c r="A29" t="s">
        <v>363</v>
      </c>
    </row>
    <row r="30" spans="1:7" ht="18" customHeight="1" x14ac:dyDescent="0.25">
      <c r="A30" s="322" t="s">
        <v>361</v>
      </c>
    </row>
    <row r="31" spans="1:7" ht="18" customHeight="1" x14ac:dyDescent="0.25">
      <c r="A31" s="322" t="s">
        <v>360</v>
      </c>
    </row>
    <row r="32" spans="1:7" ht="5.0999999999999996" customHeight="1" x14ac:dyDescent="0.25">
      <c r="A32" s="322"/>
    </row>
    <row r="33" spans="1:1" ht="17.25" x14ac:dyDescent="0.25">
      <c r="A33" t="s">
        <v>364</v>
      </c>
    </row>
    <row r="34" spans="1:1" ht="18" customHeight="1" x14ac:dyDescent="0.25">
      <c r="A34" s="322" t="s">
        <v>362</v>
      </c>
    </row>
    <row r="35" spans="1:1" ht="5.0999999999999996" customHeight="1" x14ac:dyDescent="0.25">
      <c r="A35" s="2"/>
    </row>
    <row r="36" spans="1:1" ht="17.25" x14ac:dyDescent="0.25">
      <c r="A36" t="s">
        <v>365</v>
      </c>
    </row>
  </sheetData>
  <sheetProtection algorithmName="SHA-512" hashValue="vAH5ckwsO7bjmYkRSyU9THvg9M91xg4Wf225XXbAzYRbfR+NsbFieoHk6WsJeEKfI0R9O4+oInhvSUXTxc4cGA==" saltValue="QXop5TgAVZFXucHeVuLZ2w==" spinCount="100000" sheet="1" objects="1" scenarios="1" formatColumns="0" formatRows="0" sort="0"/>
  <printOptions horizontalCentered="1"/>
  <pageMargins left="0.45" right="0.45" top="0.5" bottom="0.5" header="0.3" footer="0.05"/>
  <pageSetup scale="78"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topLeftCell="A7"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68</v>
      </c>
      <c r="C1" s="36" t="s">
        <v>70</v>
      </c>
      <c r="F1" s="35" t="str">
        <f>Co_Name</f>
        <v>State Farm General Insurance Company</v>
      </c>
    </row>
    <row r="2" spans="1:10" x14ac:dyDescent="0.25">
      <c r="A2" s="20" t="s">
        <v>69</v>
      </c>
      <c r="C2" s="36" t="s">
        <v>71</v>
      </c>
      <c r="F2" s="35" t="str">
        <f>General_Line</f>
        <v>Homeowners</v>
      </c>
    </row>
    <row r="3" spans="1:10" x14ac:dyDescent="0.25">
      <c r="B3" s="165"/>
    </row>
    <row r="4" spans="1:10" ht="23.25" x14ac:dyDescent="0.25">
      <c r="A4" s="5" t="s">
        <v>293</v>
      </c>
      <c r="B4" s="5"/>
      <c r="C4" s="5"/>
      <c r="D4" s="5"/>
      <c r="E4" s="5"/>
      <c r="F4" s="5"/>
    </row>
    <row r="5" spans="1:10" ht="18.75" x14ac:dyDescent="0.3">
      <c r="A5" s="81" t="s">
        <v>118</v>
      </c>
      <c r="B5" s="81"/>
      <c r="C5" s="81"/>
      <c r="D5" s="81"/>
      <c r="E5" s="81"/>
      <c r="F5" s="81"/>
    </row>
    <row r="6" spans="1:10" ht="15.75" thickBot="1" x14ac:dyDescent="0.3"/>
    <row r="7" spans="1:10" ht="33" thickBot="1" x14ac:dyDescent="0.3">
      <c r="A7" s="70"/>
      <c r="B7" s="58" t="s">
        <v>126</v>
      </c>
      <c r="C7" s="58" t="s">
        <v>127</v>
      </c>
      <c r="D7" s="58" t="s">
        <v>122</v>
      </c>
      <c r="E7" s="58" t="s">
        <v>121</v>
      </c>
      <c r="F7" s="59" t="s">
        <v>120</v>
      </c>
    </row>
    <row r="8" spans="1:10" ht="18" customHeight="1" thickBot="1" x14ac:dyDescent="0.3">
      <c r="A8" s="159"/>
      <c r="B8" s="160"/>
      <c r="C8" s="160"/>
      <c r="D8" s="254">
        <f>E8-1</f>
        <v>2019</v>
      </c>
      <c r="E8" s="254">
        <f>F8-1</f>
        <v>2020</v>
      </c>
      <c r="F8" s="253" t="s">
        <v>550</v>
      </c>
    </row>
    <row r="9" spans="1:10" ht="30" customHeight="1" x14ac:dyDescent="0.25">
      <c r="A9" s="60">
        <v>-1</v>
      </c>
      <c r="B9" s="277" t="s">
        <v>539</v>
      </c>
      <c r="C9" s="278" t="s">
        <v>551</v>
      </c>
      <c r="D9" s="279">
        <v>1162150388.3099999</v>
      </c>
      <c r="E9" s="279">
        <v>1267599160.26</v>
      </c>
      <c r="F9" s="280">
        <v>1516458370.3400002</v>
      </c>
      <c r="J9" s="330"/>
    </row>
    <row r="10" spans="1:10" ht="30" customHeight="1" x14ac:dyDescent="0.25">
      <c r="A10" s="61">
        <v>-2</v>
      </c>
      <c r="B10" s="281" t="s">
        <v>540</v>
      </c>
      <c r="C10" s="282" t="s">
        <v>541</v>
      </c>
      <c r="D10" s="283">
        <v>81596364.00999999</v>
      </c>
      <c r="E10" s="283">
        <v>81604298.659999996</v>
      </c>
      <c r="F10" s="284">
        <v>86009252.789999992</v>
      </c>
    </row>
    <row r="11" spans="1:10" ht="30" customHeight="1" x14ac:dyDescent="0.25">
      <c r="A11" s="61">
        <v>-3</v>
      </c>
      <c r="B11" s="281" t="s">
        <v>542</v>
      </c>
      <c r="C11" s="282" t="s">
        <v>551</v>
      </c>
      <c r="D11" s="283">
        <v>80058886.449999988</v>
      </c>
      <c r="E11" s="283">
        <v>84373887.930000007</v>
      </c>
      <c r="F11" s="284">
        <v>92005549.629999995</v>
      </c>
    </row>
    <row r="12" spans="1:10" ht="30" customHeight="1" x14ac:dyDescent="0.25">
      <c r="A12" s="61">
        <v>-4</v>
      </c>
      <c r="B12" s="281" t="s">
        <v>543</v>
      </c>
      <c r="C12" s="282" t="s">
        <v>544</v>
      </c>
      <c r="D12" s="283">
        <v>17629597.98</v>
      </c>
      <c r="E12" s="283">
        <v>18553806.140000001</v>
      </c>
      <c r="F12" s="284">
        <v>19792636.929999996</v>
      </c>
    </row>
    <row r="13" spans="1:10" ht="30" customHeight="1" x14ac:dyDescent="0.25">
      <c r="A13" s="61">
        <v>-5</v>
      </c>
      <c r="B13" s="281" t="s">
        <v>537</v>
      </c>
      <c r="C13" s="282" t="s">
        <v>545</v>
      </c>
      <c r="D13" s="283">
        <v>168943907.45999998</v>
      </c>
      <c r="E13" s="283">
        <v>182599412.01000002</v>
      </c>
      <c r="F13" s="284">
        <v>198837914.56999999</v>
      </c>
    </row>
    <row r="14" spans="1:10" ht="30" customHeight="1" x14ac:dyDescent="0.25">
      <c r="A14" s="61">
        <v>-6</v>
      </c>
      <c r="B14" s="281" t="s">
        <v>546</v>
      </c>
      <c r="C14" s="282" t="s">
        <v>547</v>
      </c>
      <c r="D14" s="283">
        <v>28768700.680000003</v>
      </c>
      <c r="E14" s="283">
        <v>30764351.109999996</v>
      </c>
      <c r="F14" s="284">
        <v>32606918.730000004</v>
      </c>
    </row>
    <row r="15" spans="1:10" ht="30" customHeight="1" x14ac:dyDescent="0.25">
      <c r="A15" s="61">
        <v>-7</v>
      </c>
      <c r="B15" s="281" t="s">
        <v>548</v>
      </c>
      <c r="C15" s="282" t="s">
        <v>549</v>
      </c>
      <c r="D15" s="283">
        <v>3872044.2500000005</v>
      </c>
      <c r="E15" s="283">
        <v>3858817.88</v>
      </c>
      <c r="F15" s="284">
        <v>3942976.3699999996</v>
      </c>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76</v>
      </c>
      <c r="B19" s="71"/>
      <c r="C19" s="72"/>
      <c r="D19" s="79">
        <f>SUM(D$9:D$18)</f>
        <v>1543019889.1400001</v>
      </c>
      <c r="E19" s="79">
        <f>SUM(E$9:E$18)</f>
        <v>1669353733.9900002</v>
      </c>
      <c r="F19" s="80">
        <f>SUM(F$9:F$18)</f>
        <v>1949653619.3600001</v>
      </c>
    </row>
    <row r="20" spans="1:7" ht="24.95" customHeight="1" x14ac:dyDescent="0.25">
      <c r="A20" s="233" t="s">
        <v>123</v>
      </c>
      <c r="B20" s="234"/>
      <c r="C20" s="235"/>
      <c r="D20" s="289">
        <v>1543019889</v>
      </c>
      <c r="E20" s="290">
        <v>1669353734</v>
      </c>
      <c r="F20" s="291">
        <v>1949653619</v>
      </c>
      <c r="G20" s="333" t="str">
        <f>IF(COUNTA(D20:F20)&lt;3,"←ERROR! Enter Statutory Page 14 Data."," ")</f>
        <v xml:space="preserve"> </v>
      </c>
    </row>
    <row r="21" spans="1:7" ht="24.95" customHeight="1" thickBot="1" x14ac:dyDescent="0.3">
      <c r="A21" s="236" t="s">
        <v>124</v>
      </c>
      <c r="B21" s="237"/>
      <c r="C21" s="238"/>
      <c r="D21" s="239">
        <f>D19-D20</f>
        <v>0.1400001049041748</v>
      </c>
      <c r="E21" s="239">
        <f t="shared" ref="E21:F21" si="0">E19-E20</f>
        <v>-9.9997520446777344E-3</v>
      </c>
      <c r="F21" s="256">
        <f t="shared" si="0"/>
        <v>0.3600001335144043</v>
      </c>
    </row>
    <row r="23" spans="1:7" ht="15.75" thickBot="1" x14ac:dyDescent="0.3">
      <c r="A23" t="s">
        <v>125</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359</v>
      </c>
    </row>
    <row r="27" spans="1:7" x14ac:dyDescent="0.25">
      <c r="A27" s="329" t="s">
        <v>376</v>
      </c>
    </row>
    <row r="28" spans="1:7" x14ac:dyDescent="0.25">
      <c r="A28" s="329" t="s">
        <v>377</v>
      </c>
    </row>
    <row r="29" spans="1:7" ht="17.25" x14ac:dyDescent="0.25">
      <c r="A29" t="s">
        <v>128</v>
      </c>
    </row>
  </sheetData>
  <sheetProtection algorithmName="SHA-512" hashValue="k/La9bESPCz35UMqg7bXrmaKLonvhCtVc4kMRUy+5xH2Xw8Jt5UFtGROX7M3kiOUIEGDDduLaavBqiFzxmPxLA==" saltValue="s2TjW6POvKSpNHCol/DBrA=="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55"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68</v>
      </c>
      <c r="G1" s="36" t="s">
        <v>70</v>
      </c>
      <c r="J1" s="35" t="str">
        <f>Co_Name</f>
        <v>State Farm General Insurance Company</v>
      </c>
    </row>
    <row r="2" spans="1:10" x14ac:dyDescent="0.25">
      <c r="A2" s="20" t="s">
        <v>69</v>
      </c>
      <c r="G2" s="36" t="s">
        <v>71</v>
      </c>
      <c r="J2" s="35" t="str">
        <f>General_Line</f>
        <v>Homeowners</v>
      </c>
    </row>
    <row r="3" spans="1:10" x14ac:dyDescent="0.25">
      <c r="B3" s="230"/>
    </row>
    <row r="4" spans="1:10" ht="24" thickBot="1" x14ac:dyDescent="0.4">
      <c r="B4" s="301" t="str">
        <f>CONCATENATE("ANNUAL STATEMENT LINE - ", J2,)</f>
        <v>ANNUAL STATEMENT LINE - Homeowners</v>
      </c>
      <c r="C4" s="206"/>
      <c r="D4" s="206"/>
      <c r="E4" s="206"/>
      <c r="F4" s="206"/>
      <c r="G4" s="206"/>
      <c r="H4" s="206"/>
      <c r="I4" s="206"/>
      <c r="J4" s="206"/>
    </row>
    <row r="5" spans="1:10" ht="30.75" thickBot="1" x14ac:dyDescent="0.3">
      <c r="B5" s="207" t="s">
        <v>110</v>
      </c>
      <c r="C5" s="207" t="s">
        <v>257</v>
      </c>
      <c r="D5" s="207" t="s">
        <v>258</v>
      </c>
      <c r="E5" s="207" t="s">
        <v>116</v>
      </c>
      <c r="F5" s="207" t="s">
        <v>259</v>
      </c>
      <c r="G5" s="207" t="s">
        <v>117</v>
      </c>
      <c r="H5" s="207" t="s">
        <v>260</v>
      </c>
      <c r="I5" s="207" t="s">
        <v>261</v>
      </c>
      <c r="J5" s="207" t="s">
        <v>262</v>
      </c>
    </row>
    <row r="6" spans="1:10" x14ac:dyDescent="0.25">
      <c r="A6" s="208" t="s">
        <v>213</v>
      </c>
      <c r="B6" s="259">
        <v>2021</v>
      </c>
      <c r="C6" s="311">
        <v>2167241831.4200001</v>
      </c>
      <c r="D6" s="302">
        <v>1949653619.3600001</v>
      </c>
      <c r="E6" s="303">
        <v>920247005.58999991</v>
      </c>
      <c r="F6" s="217">
        <f>E6/$D6</f>
        <v>0.47200538416258953</v>
      </c>
      <c r="G6" s="308">
        <v>57911626.18999999</v>
      </c>
      <c r="H6" s="217">
        <f>G6/$D6</f>
        <v>2.9703546114519693E-2</v>
      </c>
      <c r="I6" s="216">
        <f>E6+G6</f>
        <v>978158631.77999985</v>
      </c>
      <c r="J6" s="217">
        <f>I6/$D6</f>
        <v>0.50170893027710917</v>
      </c>
    </row>
    <row r="7" spans="1:10" x14ac:dyDescent="0.25">
      <c r="A7" s="208" t="s">
        <v>214</v>
      </c>
      <c r="B7" s="260">
        <f>B6-1</f>
        <v>2020</v>
      </c>
      <c r="C7" s="312">
        <v>1765531281.9200001</v>
      </c>
      <c r="D7" s="304">
        <v>1669353733.9900002</v>
      </c>
      <c r="E7" s="305">
        <v>479076839.86000031</v>
      </c>
      <c r="F7" s="217">
        <f>E7/$D7</f>
        <v>0.28698341765764429</v>
      </c>
      <c r="G7" s="309">
        <v>46637230.36999999</v>
      </c>
      <c r="H7" s="217">
        <f>G7/$D7</f>
        <v>2.7937296583948189E-2</v>
      </c>
      <c r="I7" s="216">
        <f>E7+G7</f>
        <v>525714070.23000032</v>
      </c>
      <c r="J7" s="217">
        <f>I7/$D7</f>
        <v>0.31492071424159251</v>
      </c>
    </row>
    <row r="8" spans="1:10" x14ac:dyDescent="0.25">
      <c r="A8" s="208" t="s">
        <v>216</v>
      </c>
      <c r="B8" s="261">
        <f>B7-1</f>
        <v>2019</v>
      </c>
      <c r="C8" s="313">
        <v>1604186824.2600002</v>
      </c>
      <c r="D8" s="306">
        <v>1543019889.1400001</v>
      </c>
      <c r="E8" s="307">
        <v>885758524.45000005</v>
      </c>
      <c r="F8" s="218">
        <f>E8/$D8</f>
        <v>0.57404219523293132</v>
      </c>
      <c r="G8" s="310">
        <v>49384968.999999993</v>
      </c>
      <c r="H8" s="218">
        <f>G8/$D8</f>
        <v>3.200540015561603E-2</v>
      </c>
      <c r="I8" s="225">
        <f>E8+G8</f>
        <v>935143493.45000005</v>
      </c>
      <c r="J8" s="218">
        <f>I8/$D8</f>
        <v>0.60604759538854736</v>
      </c>
    </row>
    <row r="9" spans="1:10" x14ac:dyDescent="0.25">
      <c r="A9" s="208" t="s">
        <v>215</v>
      </c>
      <c r="B9" s="262" t="s">
        <v>263</v>
      </c>
      <c r="C9" s="216">
        <f>AVERAGE(C6:C8)</f>
        <v>1845653312.5333335</v>
      </c>
      <c r="D9" s="216">
        <f>AVERAGE(D6:D8)</f>
        <v>1720675747.4966669</v>
      </c>
      <c r="E9" s="216">
        <f>AVERAGE(E6:E8)</f>
        <v>761694123.30000019</v>
      </c>
      <c r="F9" s="217">
        <f>E9/$D9</f>
        <v>0.442671505313046</v>
      </c>
      <c r="G9" s="216">
        <f>AVERAGE(G6:G8)</f>
        <v>51311275.18666666</v>
      </c>
      <c r="H9" s="217">
        <f>G9/$D9</f>
        <v>2.9820420995249747E-2</v>
      </c>
      <c r="I9" s="216">
        <f>AVERAGE(I6:I8)</f>
        <v>813005398.48666668</v>
      </c>
      <c r="J9" s="217">
        <f>I9/$D9</f>
        <v>0.47249192630829567</v>
      </c>
    </row>
    <row r="10" spans="1:10" ht="5.0999999999999996" customHeight="1" x14ac:dyDescent="0.25">
      <c r="A10" s="208"/>
      <c r="B10" s="4"/>
      <c r="C10" s="210"/>
      <c r="D10" s="210"/>
      <c r="E10" s="210"/>
      <c r="F10" s="209"/>
      <c r="G10" s="210"/>
      <c r="H10" s="209"/>
      <c r="I10" s="210"/>
      <c r="J10" s="209"/>
    </row>
    <row r="11" spans="1:10" x14ac:dyDescent="0.25">
      <c r="A11" s="146"/>
      <c r="B11" s="211" t="str">
        <f>"Source: Annual Statement for "&amp;B8&amp;", "&amp;B7&amp;" &amp; "&amp;B6</f>
        <v>Source: Annual Statement for 2019, 2020 &amp; 2021</v>
      </c>
      <c r="F11" s="212"/>
    </row>
    <row r="12" spans="1:10" x14ac:dyDescent="0.25">
      <c r="B12" s="327" t="s">
        <v>345</v>
      </c>
      <c r="F12" s="212"/>
    </row>
    <row r="13" spans="1:10" x14ac:dyDescent="0.25">
      <c r="A13" s="146"/>
      <c r="B13" s="211" t="s">
        <v>264</v>
      </c>
    </row>
    <row r="14" spans="1:10" x14ac:dyDescent="0.25">
      <c r="A14" s="146"/>
    </row>
    <row r="15" spans="1:10" x14ac:dyDescent="0.25">
      <c r="A15" s="146"/>
      <c r="B15" s="212" t="s">
        <v>346</v>
      </c>
    </row>
    <row r="16" spans="1:10" ht="30.75" thickBot="1" x14ac:dyDescent="0.3">
      <c r="A16" s="146"/>
      <c r="B16" s="207" t="s">
        <v>110</v>
      </c>
      <c r="C16" s="207" t="s">
        <v>257</v>
      </c>
      <c r="D16" s="207" t="s">
        <v>258</v>
      </c>
      <c r="E16" s="207" t="s">
        <v>116</v>
      </c>
      <c r="F16" s="207" t="s">
        <v>259</v>
      </c>
      <c r="G16" s="207" t="s">
        <v>117</v>
      </c>
      <c r="H16" s="207" t="s">
        <v>260</v>
      </c>
      <c r="I16" s="207" t="s">
        <v>261</v>
      </c>
      <c r="J16" s="207" t="s">
        <v>262</v>
      </c>
    </row>
    <row r="17" spans="1:10" x14ac:dyDescent="0.25">
      <c r="A17" s="208" t="s">
        <v>217</v>
      </c>
      <c r="B17" s="215">
        <f>$B$6</f>
        <v>2021</v>
      </c>
      <c r="C17" s="219">
        <f t="shared" ref="C17:E18" si="0">C26+C33+C40+C47+C54+C61+C68+C75+C82+C89+C96+C103+C110+C117+C124+C131+C138+C145+C152+C159+C166+C173+C180+C187+C194+C201+C208+C215+C222+C229</f>
        <v>2167241831.4200001</v>
      </c>
      <c r="D17" s="219">
        <f t="shared" si="0"/>
        <v>1949653619.3600001</v>
      </c>
      <c r="E17" s="219">
        <f t="shared" si="0"/>
        <v>920247005.58999991</v>
      </c>
      <c r="F17" s="220">
        <f>E17/$D17</f>
        <v>0.47200538416258953</v>
      </c>
      <c r="G17" s="219">
        <f>G26+G33+G40+G47+G54+G61+G68+G75+G82+G89+G96+G103+G110+G117+G124+G131+G138+G145+G152+G159+G166+G173+G180+G187+G194+G201+G208+G215+G222+G229</f>
        <v>57911626.18999999</v>
      </c>
      <c r="H17" s="220">
        <f>G17/$D17</f>
        <v>2.9703546114519693E-2</v>
      </c>
      <c r="I17" s="219">
        <f>I26+I33+I40+I47+I54+I61+I68+I75+I82+I89+I96+I103+I110+I117+I124+I131+I138+I145+I152+I159+I166+I173+I180+I187+I194+I201+I208+I215+I222+I229</f>
        <v>978158631.77999997</v>
      </c>
      <c r="J17" s="220">
        <f>I17/$D17</f>
        <v>0.50170893027710928</v>
      </c>
    </row>
    <row r="18" spans="1:10" x14ac:dyDescent="0.25">
      <c r="A18" s="208" t="s">
        <v>218</v>
      </c>
      <c r="B18" s="215">
        <f>$B$7</f>
        <v>2020</v>
      </c>
      <c r="C18" s="219">
        <f t="shared" si="0"/>
        <v>1765531281.9200001</v>
      </c>
      <c r="D18" s="219">
        <f t="shared" si="0"/>
        <v>1669353733.9900002</v>
      </c>
      <c r="E18" s="219">
        <f t="shared" si="0"/>
        <v>479076839.86000031</v>
      </c>
      <c r="F18" s="220">
        <f>E18/$D18</f>
        <v>0.28698341765764429</v>
      </c>
      <c r="G18" s="219">
        <f>G27+G34+G41+G48+G55+G62+G69+G76+G83+G90+G97+G104+G111+G118+G125+G132+G139+G146+G153+G160+G167+G174+G181+G188+G195+G202+G209+G216+G223+G230</f>
        <v>46637230.36999999</v>
      </c>
      <c r="H18" s="220">
        <f>G18/$D18</f>
        <v>2.7937296583948189E-2</v>
      </c>
      <c r="I18" s="219">
        <f>I27+I34+I41+I48+I55+I62+I69+I76+I83+I90+I97+I104+I111+I118+I125+I132+I139+I146+I153+I160+I167+I174+I181+I188+I195+I1202+I209+I216+I223+I230</f>
        <v>525714070.23000026</v>
      </c>
      <c r="J18" s="220">
        <f>I18/$D18</f>
        <v>0.31492071424159246</v>
      </c>
    </row>
    <row r="19" spans="1:10" x14ac:dyDescent="0.25">
      <c r="A19" s="208" t="s">
        <v>219</v>
      </c>
      <c r="B19" s="221">
        <f>$B$8</f>
        <v>2019</v>
      </c>
      <c r="C19" s="222">
        <f>C28+C35+C42+C49+C56+C63+C70+C77+C84+C91+C98+C105+C112+C119+C126+C133+C140+C147+C154+C161+C168+C175+C182+C189+C196+C203+C210+C217+C224+C231</f>
        <v>1604186824.2600002</v>
      </c>
      <c r="D19" s="222">
        <f>D28+D35+D42+D49+D56+D63+D70+D77+D84+D91+D98+D105+D112+D119+D126+D133+D140+D147+D154+D161+D168+D175+D182+D189+D196+D203+D210+D217+D224+D231</f>
        <v>1543019889.1400001</v>
      </c>
      <c r="E19" s="222">
        <f>E28+E35+E42+E49+E56+E63+E70+E77+E84+E91+E98+E105+E112+E119+E126+E133+E140+E147+E154+E161+E168+E175+E182+E189+E196+E203+E210+E217+E224+E231</f>
        <v>885758524.45000005</v>
      </c>
      <c r="F19" s="223">
        <f>E19/$D19</f>
        <v>0.57404219523293132</v>
      </c>
      <c r="G19" s="222">
        <f>G28+G35+G42+G49+G56+G63+G70+G77+G84+G91+G98+G105+G112+G119+G126+G133+G140+G147+G154+G161+G168+G175+G181+G189+G196+G203+G210+G217+G224+G231</f>
        <v>49384968.999999993</v>
      </c>
      <c r="H19" s="223">
        <f>G19/$D19</f>
        <v>3.200540015561603E-2</v>
      </c>
      <c r="I19" s="222">
        <f>I28+I35+I42+I49+I56+I63+I70+I77+I84+I91+I98+I105+I112+I119+I126+I133+I140+I147+I154+I161+I168+I175+I182+I189+I196+I203+I210+I217+I224+I231</f>
        <v>935143493.44999993</v>
      </c>
      <c r="J19" s="223">
        <f>I19/$D19</f>
        <v>0.60604759538854736</v>
      </c>
    </row>
    <row r="20" spans="1:10" x14ac:dyDescent="0.25">
      <c r="A20" s="208" t="s">
        <v>220</v>
      </c>
      <c r="B20" s="215" t="s">
        <v>263</v>
      </c>
      <c r="C20" s="219">
        <f>AVERAGE(C17:C19)</f>
        <v>1845653312.5333335</v>
      </c>
      <c r="D20" s="219">
        <f>AVERAGE(D17:D19)</f>
        <v>1720675747.4966669</v>
      </c>
      <c r="E20" s="219">
        <f>AVERAGE(E17:E19)</f>
        <v>761694123.30000019</v>
      </c>
      <c r="F20" s="220">
        <f>E20/$D20</f>
        <v>0.442671505313046</v>
      </c>
      <c r="G20" s="219">
        <f>AVERAGE(G17:G19)</f>
        <v>51311275.18666666</v>
      </c>
      <c r="H20" s="220">
        <f>G20/$D20</f>
        <v>2.9820420995249747E-2</v>
      </c>
      <c r="I20" s="219">
        <f>AVERAGE(I17:I19)</f>
        <v>813005398.48666668</v>
      </c>
      <c r="J20" s="220">
        <f>I20/$D20</f>
        <v>0.47249192630829567</v>
      </c>
    </row>
    <row r="21" spans="1:10" x14ac:dyDescent="0.25">
      <c r="A21" s="146"/>
      <c r="B21" s="4"/>
      <c r="C21" s="213"/>
      <c r="D21" s="213"/>
      <c r="E21" s="213"/>
      <c r="F21" s="209"/>
      <c r="G21" s="213"/>
      <c r="H21" s="209"/>
      <c r="I21" s="213"/>
      <c r="J21" s="209"/>
    </row>
    <row r="22" spans="1:10" x14ac:dyDescent="0.25">
      <c r="A22" s="146"/>
      <c r="B22" s="215" t="s">
        <v>124</v>
      </c>
      <c r="C22" s="224">
        <f>C20-C9</f>
        <v>0</v>
      </c>
      <c r="D22" s="224">
        <f t="shared" ref="D22:J22" si="1">D20-D9</f>
        <v>0</v>
      </c>
      <c r="E22" s="224">
        <f t="shared" si="1"/>
        <v>0</v>
      </c>
      <c r="F22" s="224">
        <f t="shared" si="1"/>
        <v>0</v>
      </c>
      <c r="G22" s="224">
        <f t="shared" si="1"/>
        <v>0</v>
      </c>
      <c r="H22" s="224">
        <f t="shared" si="1"/>
        <v>0</v>
      </c>
      <c r="I22" s="224">
        <f>I20-I9</f>
        <v>0</v>
      </c>
      <c r="J22" s="224">
        <f t="shared" si="1"/>
        <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539</v>
      </c>
      <c r="C24" s="592"/>
    </row>
    <row r="25" spans="1:10" ht="30.75" thickBot="1" x14ac:dyDescent="0.3">
      <c r="A25" s="146"/>
      <c r="B25" s="207" t="s">
        <v>110</v>
      </c>
      <c r="C25" s="207" t="s">
        <v>257</v>
      </c>
      <c r="D25" s="207" t="s">
        <v>258</v>
      </c>
      <c r="E25" s="207" t="s">
        <v>116</v>
      </c>
      <c r="F25" s="207" t="s">
        <v>259</v>
      </c>
      <c r="G25" s="207" t="s">
        <v>117</v>
      </c>
      <c r="H25" s="207" t="s">
        <v>260</v>
      </c>
      <c r="I25" s="207" t="s">
        <v>261</v>
      </c>
      <c r="J25" s="207" t="s">
        <v>262</v>
      </c>
    </row>
    <row r="26" spans="1:10" x14ac:dyDescent="0.25">
      <c r="A26" s="146"/>
      <c r="B26" s="215">
        <f>$B$6</f>
        <v>2021</v>
      </c>
      <c r="C26" s="311">
        <v>1708283093.5700002</v>
      </c>
      <c r="D26" s="302">
        <v>1516458370.3400002</v>
      </c>
      <c r="E26" s="303">
        <v>677445930.86000001</v>
      </c>
      <c r="F26" s="217">
        <f>E26/$D26</f>
        <v>0.44672899969427587</v>
      </c>
      <c r="G26" s="308">
        <v>39219768.75</v>
      </c>
      <c r="H26" s="217">
        <f>G26/$D26</f>
        <v>2.5862740129955999E-2</v>
      </c>
      <c r="I26" s="216">
        <f>E26+G26</f>
        <v>716665699.61000001</v>
      </c>
      <c r="J26" s="217">
        <f>I26/$D26</f>
        <v>0.47259173982423186</v>
      </c>
    </row>
    <row r="27" spans="1:10" x14ac:dyDescent="0.25">
      <c r="A27" s="146"/>
      <c r="B27" s="215">
        <f>$B$7</f>
        <v>2020</v>
      </c>
      <c r="C27" s="312">
        <v>1351696593.8799999</v>
      </c>
      <c r="D27" s="304">
        <v>1267599160.26</v>
      </c>
      <c r="E27" s="305">
        <v>345606666.65000027</v>
      </c>
      <c r="F27" s="217">
        <f>E27/$D27</f>
        <v>0.27264665162693241</v>
      </c>
      <c r="G27" s="309">
        <v>33606495.559999995</v>
      </c>
      <c r="H27" s="217">
        <f>G27/$D27</f>
        <v>2.651192633569345E-2</v>
      </c>
      <c r="I27" s="216">
        <f>E27+G27</f>
        <v>379213162.21000028</v>
      </c>
      <c r="J27" s="217">
        <f>I27/$D27</f>
        <v>0.29915857796262585</v>
      </c>
    </row>
    <row r="28" spans="1:10" x14ac:dyDescent="0.25">
      <c r="A28" s="146"/>
      <c r="B28" s="221">
        <f>$B$8</f>
        <v>2019</v>
      </c>
      <c r="C28" s="313">
        <v>1210449261.6500001</v>
      </c>
      <c r="D28" s="306">
        <v>1162150388.3099999</v>
      </c>
      <c r="E28" s="307">
        <v>737350197.50999999</v>
      </c>
      <c r="F28" s="218">
        <f>E28/$D28</f>
        <v>0.63447055125305707</v>
      </c>
      <c r="G28" s="310">
        <v>34181071.569999993</v>
      </c>
      <c r="H28" s="218">
        <f>G28/$D28</f>
        <v>2.9411917694839938E-2</v>
      </c>
      <c r="I28" s="225">
        <f>E28+G28</f>
        <v>771531269.07999992</v>
      </c>
      <c r="J28" s="218">
        <f>I28/$D28</f>
        <v>0.66388246894789693</v>
      </c>
    </row>
    <row r="29" spans="1:10" x14ac:dyDescent="0.25">
      <c r="A29" s="146"/>
      <c r="B29" s="215" t="s">
        <v>263</v>
      </c>
      <c r="C29" s="216">
        <f>AVERAGE(C26:C28)</f>
        <v>1423476316.3666666</v>
      </c>
      <c r="D29" s="216">
        <f>AVERAGE(D26:D28)</f>
        <v>1315402639.6366668</v>
      </c>
      <c r="E29" s="216">
        <f>AVERAGE(E26:E28)</f>
        <v>586800931.67333341</v>
      </c>
      <c r="F29" s="217">
        <f>E29/$D29</f>
        <v>0.44609985869833463</v>
      </c>
      <c r="G29" s="216">
        <f>AVERAGE(G26:G28)</f>
        <v>35669111.960000001</v>
      </c>
      <c r="H29" s="217">
        <f>G29/$D29</f>
        <v>2.7116497173711257E-2</v>
      </c>
      <c r="I29" s="216">
        <f>AVERAGE(I26:I28)</f>
        <v>622470043.63333333</v>
      </c>
      <c r="J29" s="217">
        <f>I29/$D29</f>
        <v>0.4732163558720458</v>
      </c>
    </row>
    <row r="30" spans="1:10" x14ac:dyDescent="0.25">
      <c r="A30" s="146"/>
    </row>
    <row r="31" spans="1:10" x14ac:dyDescent="0.25">
      <c r="A31" s="146"/>
      <c r="B31" s="592" t="s">
        <v>540</v>
      </c>
      <c r="C31" s="592"/>
    </row>
    <row r="32" spans="1:10" ht="30.75" thickBot="1" x14ac:dyDescent="0.3">
      <c r="A32" s="146"/>
      <c r="B32" s="207" t="s">
        <v>110</v>
      </c>
      <c r="C32" s="207" t="s">
        <v>257</v>
      </c>
      <c r="D32" s="207" t="s">
        <v>258</v>
      </c>
      <c r="E32" s="207" t="s">
        <v>116</v>
      </c>
      <c r="F32" s="207" t="s">
        <v>259</v>
      </c>
      <c r="G32" s="207" t="s">
        <v>117</v>
      </c>
      <c r="H32" s="207" t="s">
        <v>260</v>
      </c>
      <c r="I32" s="207" t="s">
        <v>261</v>
      </c>
      <c r="J32" s="207" t="s">
        <v>262</v>
      </c>
    </row>
    <row r="33" spans="1:10" x14ac:dyDescent="0.25">
      <c r="A33" s="146"/>
      <c r="B33" s="215">
        <f>$B$6</f>
        <v>2021</v>
      </c>
      <c r="C33" s="311">
        <v>88780897.600000009</v>
      </c>
      <c r="D33" s="302">
        <v>86009252.789999992</v>
      </c>
      <c r="E33" s="303">
        <v>38577024.530000001</v>
      </c>
      <c r="F33" s="217">
        <f>E33/$D33</f>
        <v>0.44852179595362351</v>
      </c>
      <c r="G33" s="308">
        <v>1591169.12</v>
      </c>
      <c r="H33" s="217">
        <f>G33/$D33</f>
        <v>1.8499976088444753E-2</v>
      </c>
      <c r="I33" s="216">
        <f>E33+G33</f>
        <v>40168193.649999999</v>
      </c>
      <c r="J33" s="217">
        <f>I33/$D33</f>
        <v>0.46702177204206824</v>
      </c>
    </row>
    <row r="34" spans="1:10" x14ac:dyDescent="0.25">
      <c r="A34" s="146"/>
      <c r="B34" s="215">
        <f>$B$7</f>
        <v>2020</v>
      </c>
      <c r="C34" s="312">
        <v>83305331.419999987</v>
      </c>
      <c r="D34" s="304">
        <v>81604298.659999996</v>
      </c>
      <c r="E34" s="305">
        <v>41787786.630000003</v>
      </c>
      <c r="F34" s="217">
        <f>E34/$D34</f>
        <v>0.5120782522022107</v>
      </c>
      <c r="G34" s="309">
        <v>944987.21000000008</v>
      </c>
      <c r="H34" s="217">
        <f>G34/$D34</f>
        <v>1.1580115576230112E-2</v>
      </c>
      <c r="I34" s="216">
        <f>E34+G34</f>
        <v>42732773.840000004</v>
      </c>
      <c r="J34" s="217">
        <f>I34/$D34</f>
        <v>0.52365836777844077</v>
      </c>
    </row>
    <row r="35" spans="1:10" x14ac:dyDescent="0.25">
      <c r="A35" s="146"/>
      <c r="B35" s="221">
        <f>$B$8</f>
        <v>2019</v>
      </c>
      <c r="C35" s="313">
        <v>81289451.140000001</v>
      </c>
      <c r="D35" s="306">
        <v>81596364.00999999</v>
      </c>
      <c r="E35" s="307">
        <v>39527451.079999998</v>
      </c>
      <c r="F35" s="218">
        <f>E35/$D35</f>
        <v>0.48442662316614665</v>
      </c>
      <c r="G35" s="310">
        <v>2141614.66</v>
      </c>
      <c r="H35" s="218">
        <f>G35/$D35</f>
        <v>2.6246447203671183E-2</v>
      </c>
      <c r="I35" s="225">
        <f>E35+G35</f>
        <v>41669065.739999995</v>
      </c>
      <c r="J35" s="218">
        <f>I35/$D35</f>
        <v>0.51067307036981779</v>
      </c>
    </row>
    <row r="36" spans="1:10" x14ac:dyDescent="0.25">
      <c r="A36" s="146"/>
      <c r="B36" s="215" t="s">
        <v>263</v>
      </c>
      <c r="C36" s="216">
        <f>AVERAGE(C33:C35)</f>
        <v>84458560.053333327</v>
      </c>
      <c r="D36" s="216">
        <f>AVERAGE(D33:D35)</f>
        <v>83069971.819999993</v>
      </c>
      <c r="E36" s="216">
        <f>AVERAGE(E33:E35)</f>
        <v>39964087.413333334</v>
      </c>
      <c r="F36" s="217">
        <f>E36/$D36</f>
        <v>0.48108945432086386</v>
      </c>
      <c r="G36" s="216">
        <f>AVERAGE(G33:G35)</f>
        <v>1559256.9966666668</v>
      </c>
      <c r="H36" s="217">
        <f>G36/$D36</f>
        <v>1.8770404786525505E-2</v>
      </c>
      <c r="I36" s="216">
        <f>AVERAGE(I33:I35)</f>
        <v>41523344.410000004</v>
      </c>
      <c r="J36" s="217">
        <f>I36/$D36</f>
        <v>0.49985985910738939</v>
      </c>
    </row>
    <row r="37" spans="1:10" x14ac:dyDescent="0.25">
      <c r="A37" s="146"/>
    </row>
    <row r="38" spans="1:10" x14ac:dyDescent="0.25">
      <c r="A38" s="146"/>
      <c r="B38" s="592" t="s">
        <v>542</v>
      </c>
      <c r="C38" s="592"/>
    </row>
    <row r="39" spans="1:10" ht="30.75" thickBot="1" x14ac:dyDescent="0.3">
      <c r="A39" s="146"/>
      <c r="B39" s="207" t="s">
        <v>110</v>
      </c>
      <c r="C39" s="207" t="s">
        <v>257</v>
      </c>
      <c r="D39" s="207" t="s">
        <v>258</v>
      </c>
      <c r="E39" s="207" t="s">
        <v>116</v>
      </c>
      <c r="F39" s="207" t="s">
        <v>259</v>
      </c>
      <c r="G39" s="207" t="s">
        <v>117</v>
      </c>
      <c r="H39" s="207" t="s">
        <v>260</v>
      </c>
      <c r="I39" s="207" t="s">
        <v>261</v>
      </c>
      <c r="J39" s="207" t="s">
        <v>262</v>
      </c>
    </row>
    <row r="40" spans="1:10" x14ac:dyDescent="0.25">
      <c r="A40" s="146"/>
      <c r="B40" s="215">
        <f>$B$6</f>
        <v>2021</v>
      </c>
      <c r="C40" s="311">
        <v>97319042.510000005</v>
      </c>
      <c r="D40" s="302">
        <v>92005549.629999995</v>
      </c>
      <c r="E40" s="303">
        <v>65092429.920000017</v>
      </c>
      <c r="F40" s="217">
        <f>E40/$D40</f>
        <v>0.70748373529389263</v>
      </c>
      <c r="G40" s="308">
        <v>3279239.0700000003</v>
      </c>
      <c r="H40" s="217">
        <f>G40/$D40</f>
        <v>3.5641752950636665E-2</v>
      </c>
      <c r="I40" s="216">
        <f>E40+G40</f>
        <v>68371668.99000001</v>
      </c>
      <c r="J40" s="217">
        <f>I40/$D40</f>
        <v>0.74312548824452918</v>
      </c>
    </row>
    <row r="41" spans="1:10" x14ac:dyDescent="0.25">
      <c r="A41" s="146"/>
      <c r="B41" s="215">
        <f>$B$7</f>
        <v>2020</v>
      </c>
      <c r="C41" s="312">
        <v>87498755.980000004</v>
      </c>
      <c r="D41" s="304">
        <v>84373887.930000007</v>
      </c>
      <c r="E41" s="305">
        <v>56604176.470000006</v>
      </c>
      <c r="F41" s="217">
        <f>E41/$D41</f>
        <v>0.67087315588634633</v>
      </c>
      <c r="G41" s="309">
        <v>1233585.51</v>
      </c>
      <c r="H41" s="217">
        <f>G41/$D41</f>
        <v>1.4620465410144813E-2</v>
      </c>
      <c r="I41" s="216">
        <f>E41+G41</f>
        <v>57837761.980000004</v>
      </c>
      <c r="J41" s="217">
        <f>I41/$D41</f>
        <v>0.68549362129649105</v>
      </c>
    </row>
    <row r="42" spans="1:10" x14ac:dyDescent="0.25">
      <c r="A42" s="146"/>
      <c r="B42" s="221">
        <f>$B$8</f>
        <v>2019</v>
      </c>
      <c r="C42" s="313">
        <v>82348591.510000005</v>
      </c>
      <c r="D42" s="306">
        <v>80058886.449999988</v>
      </c>
      <c r="E42" s="307">
        <v>59760322.360000007</v>
      </c>
      <c r="F42" s="218">
        <f>E42/$D42</f>
        <v>0.74645457874714194</v>
      </c>
      <c r="G42" s="310">
        <v>3412847.65</v>
      </c>
      <c r="H42" s="218">
        <f>G42/$D42</f>
        <v>4.2629217084245372E-2</v>
      </c>
      <c r="I42" s="225">
        <f>E42+G42</f>
        <v>63173170.010000005</v>
      </c>
      <c r="J42" s="218">
        <f>I42/$D42</f>
        <v>0.78908379583138721</v>
      </c>
    </row>
    <row r="43" spans="1:10" x14ac:dyDescent="0.25">
      <c r="A43" s="146"/>
      <c r="B43" s="215" t="s">
        <v>263</v>
      </c>
      <c r="C43" s="216">
        <f>AVERAGE(C40:C42)</f>
        <v>89055463.333333328</v>
      </c>
      <c r="D43" s="216">
        <f>AVERAGE(D40:D42)</f>
        <v>85479441.336666659</v>
      </c>
      <c r="E43" s="216">
        <f>AVERAGE(E40:E42)</f>
        <v>60485642.916666679</v>
      </c>
      <c r="F43" s="217">
        <f>E43/$D43</f>
        <v>0.70760456515432546</v>
      </c>
      <c r="G43" s="216">
        <f>AVERAGE(G40:G42)</f>
        <v>2641890.7433333336</v>
      </c>
      <c r="H43" s="217">
        <f>G43/$D43</f>
        <v>3.0906738532930571E-2</v>
      </c>
      <c r="I43" s="216">
        <f>AVERAGE(I40:I42)</f>
        <v>63127533.660000004</v>
      </c>
      <c r="J43" s="217">
        <f>I43/$D43</f>
        <v>0.73851130368725593</v>
      </c>
    </row>
    <row r="44" spans="1:10" x14ac:dyDescent="0.25">
      <c r="A44" s="146"/>
    </row>
    <row r="45" spans="1:10" x14ac:dyDescent="0.25">
      <c r="A45" s="146"/>
      <c r="B45" s="592" t="s">
        <v>543</v>
      </c>
      <c r="C45" s="592"/>
    </row>
    <row r="46" spans="1:10" ht="30.75" thickBot="1" x14ac:dyDescent="0.3">
      <c r="A46" s="146"/>
      <c r="B46" s="207" t="s">
        <v>110</v>
      </c>
      <c r="C46" s="207" t="s">
        <v>257</v>
      </c>
      <c r="D46" s="207" t="s">
        <v>258</v>
      </c>
      <c r="E46" s="207" t="s">
        <v>116</v>
      </c>
      <c r="F46" s="207" t="s">
        <v>259</v>
      </c>
      <c r="G46" s="207" t="s">
        <v>117</v>
      </c>
      <c r="H46" s="207" t="s">
        <v>260</v>
      </c>
      <c r="I46" s="207" t="s">
        <v>261</v>
      </c>
      <c r="J46" s="207" t="s">
        <v>262</v>
      </c>
    </row>
    <row r="47" spans="1:10" x14ac:dyDescent="0.25">
      <c r="A47" s="146"/>
      <c r="B47" s="215">
        <f>$B$6</f>
        <v>2021</v>
      </c>
      <c r="C47" s="311">
        <v>21115496.460000001</v>
      </c>
      <c r="D47" s="302">
        <v>19792636.929999996</v>
      </c>
      <c r="E47" s="303">
        <v>14049656.050000001</v>
      </c>
      <c r="F47" s="217">
        <f>E47/$D47</f>
        <v>0.70984255911372407</v>
      </c>
      <c r="G47" s="308">
        <v>281046.05</v>
      </c>
      <c r="H47" s="217">
        <f>G47/$D47</f>
        <v>1.4199525358544535E-2</v>
      </c>
      <c r="I47" s="216">
        <f>E47+G47</f>
        <v>14330702.100000001</v>
      </c>
      <c r="J47" s="217">
        <f>I47/$D47</f>
        <v>0.7240420844722687</v>
      </c>
    </row>
    <row r="48" spans="1:10" x14ac:dyDescent="0.25">
      <c r="A48" s="146"/>
      <c r="B48" s="215">
        <f>$B$7</f>
        <v>2020</v>
      </c>
      <c r="C48" s="312">
        <v>18975387.710000001</v>
      </c>
      <c r="D48" s="304">
        <v>18553806.140000001</v>
      </c>
      <c r="E48" s="305">
        <v>-24949723.870000005</v>
      </c>
      <c r="F48" s="217">
        <f>E48/$D48</f>
        <v>-1.344722677478617</v>
      </c>
      <c r="G48" s="309">
        <v>726088.51</v>
      </c>
      <c r="H48" s="217">
        <f>G48/$D48</f>
        <v>3.9134208071444257E-2</v>
      </c>
      <c r="I48" s="216">
        <f>E48+G48</f>
        <v>-24223635.360000003</v>
      </c>
      <c r="J48" s="217">
        <f>I48/$D48</f>
        <v>-1.3055884694071727</v>
      </c>
    </row>
    <row r="49" spans="1:10" x14ac:dyDescent="0.25">
      <c r="A49" s="146"/>
      <c r="B49" s="221">
        <f>$B$8</f>
        <v>2019</v>
      </c>
      <c r="C49" s="313">
        <v>18086307.98</v>
      </c>
      <c r="D49" s="306">
        <v>17629597.98</v>
      </c>
      <c r="E49" s="307">
        <v>-35305379.32</v>
      </c>
      <c r="F49" s="218">
        <f>E49/$D49</f>
        <v>-2.0026196490726784</v>
      </c>
      <c r="G49" s="310">
        <v>245586.09000000003</v>
      </c>
      <c r="H49" s="218">
        <f>G49/$D49</f>
        <v>1.3930328432821134E-2</v>
      </c>
      <c r="I49" s="225">
        <f>E49+G49</f>
        <v>-35059793.229999997</v>
      </c>
      <c r="J49" s="218">
        <f>I49/$D49</f>
        <v>-1.988689320639857</v>
      </c>
    </row>
    <row r="50" spans="1:10" x14ac:dyDescent="0.25">
      <c r="A50" s="146"/>
      <c r="B50" s="215" t="s">
        <v>263</v>
      </c>
      <c r="C50" s="216">
        <f>AVERAGE(C47:C49)</f>
        <v>19392397.383333337</v>
      </c>
      <c r="D50" s="216">
        <f>AVERAGE(D47:D49)</f>
        <v>18658680.349999998</v>
      </c>
      <c r="E50" s="216">
        <f>AVERAGE(E47:E49)</f>
        <v>-15401815.713333333</v>
      </c>
      <c r="F50" s="217">
        <f>E50/$D50</f>
        <v>-0.82545042974238714</v>
      </c>
      <c r="G50" s="216">
        <f>AVERAGE(G47:G49)</f>
        <v>417573.55000000005</v>
      </c>
      <c r="H50" s="217">
        <f>G50/$D50</f>
        <v>2.2379586453443911E-2</v>
      </c>
      <c r="I50" s="216">
        <f>AVERAGE(I47:I49)</f>
        <v>-14984242.163333332</v>
      </c>
      <c r="J50" s="217">
        <f>I50/$D50</f>
        <v>-0.80307084328894318</v>
      </c>
    </row>
    <row r="51" spans="1:10" x14ac:dyDescent="0.25">
      <c r="A51" s="146"/>
    </row>
    <row r="52" spans="1:10" x14ac:dyDescent="0.25">
      <c r="A52" s="146"/>
      <c r="B52" s="592" t="s">
        <v>537</v>
      </c>
      <c r="C52" s="592"/>
    </row>
    <row r="53" spans="1:10" ht="30.75" thickBot="1" x14ac:dyDescent="0.3">
      <c r="A53" s="146"/>
      <c r="B53" s="207" t="s">
        <v>110</v>
      </c>
      <c r="C53" s="207" t="s">
        <v>257</v>
      </c>
      <c r="D53" s="207" t="s">
        <v>258</v>
      </c>
      <c r="E53" s="207" t="s">
        <v>116</v>
      </c>
      <c r="F53" s="207" t="s">
        <v>259</v>
      </c>
      <c r="G53" s="207" t="s">
        <v>117</v>
      </c>
      <c r="H53" s="207" t="s">
        <v>260</v>
      </c>
      <c r="I53" s="207" t="s">
        <v>261</v>
      </c>
      <c r="J53" s="207" t="s">
        <v>262</v>
      </c>
    </row>
    <row r="54" spans="1:10" x14ac:dyDescent="0.25">
      <c r="A54" s="146"/>
      <c r="B54" s="215">
        <f>$B$6</f>
        <v>2021</v>
      </c>
      <c r="C54" s="311">
        <v>213366502.06</v>
      </c>
      <c r="D54" s="302">
        <v>198837914.56999999</v>
      </c>
      <c r="E54" s="303">
        <v>100380087.19999999</v>
      </c>
      <c r="F54" s="217">
        <f>E54/$D54</f>
        <v>0.50483373564382072</v>
      </c>
      <c r="G54" s="308">
        <v>11484619.440000001</v>
      </c>
      <c r="H54" s="217">
        <f>G54/$D54</f>
        <v>5.7758699918153147E-2</v>
      </c>
      <c r="I54" s="216">
        <f>E54+G54</f>
        <v>111864706.63999999</v>
      </c>
      <c r="J54" s="217">
        <f>I54/$D54</f>
        <v>0.56259243556197391</v>
      </c>
    </row>
    <row r="55" spans="1:10" x14ac:dyDescent="0.25">
      <c r="A55" s="146"/>
      <c r="B55" s="215">
        <f>$B$7</f>
        <v>2020</v>
      </c>
      <c r="C55" s="312">
        <v>188441548.06</v>
      </c>
      <c r="D55" s="304">
        <v>182599412.01000002</v>
      </c>
      <c r="E55" s="305">
        <v>39166572.100000001</v>
      </c>
      <c r="F55" s="217">
        <f>E55/$D55</f>
        <v>0.21449451380410278</v>
      </c>
      <c r="G55" s="309">
        <v>8712072.6799999978</v>
      </c>
      <c r="H55" s="217">
        <f>G55/$D55</f>
        <v>4.7711395037366731E-2</v>
      </c>
      <c r="I55" s="216">
        <f>E55+G55</f>
        <v>47878644.780000001</v>
      </c>
      <c r="J55" s="217">
        <f>I55/$D55</f>
        <v>0.26220590884146955</v>
      </c>
    </row>
    <row r="56" spans="1:10" x14ac:dyDescent="0.25">
      <c r="A56" s="146"/>
      <c r="B56" s="221">
        <f>$B$8</f>
        <v>2019</v>
      </c>
      <c r="C56" s="313">
        <v>178152215.19999999</v>
      </c>
      <c r="D56" s="306">
        <v>168943907.45999998</v>
      </c>
      <c r="E56" s="307">
        <v>65331809.070000008</v>
      </c>
      <c r="F56" s="218">
        <f>E56/$D56</f>
        <v>0.38670710327608765</v>
      </c>
      <c r="G56" s="310">
        <v>7722908.669999999</v>
      </c>
      <c r="H56" s="218">
        <f>G56/$D56</f>
        <v>4.5712856924589096E-2</v>
      </c>
      <c r="I56" s="225">
        <f>E56+G56</f>
        <v>73054717.74000001</v>
      </c>
      <c r="J56" s="218">
        <f>I56/$D56</f>
        <v>0.43241996020067675</v>
      </c>
    </row>
    <row r="57" spans="1:10" x14ac:dyDescent="0.25">
      <c r="A57" s="146"/>
      <c r="B57" s="215" t="s">
        <v>263</v>
      </c>
      <c r="C57" s="216">
        <f>AVERAGE(C54:C56)</f>
        <v>193320088.43999997</v>
      </c>
      <c r="D57" s="216">
        <f>AVERAGE(D54:D56)</f>
        <v>183460411.34666666</v>
      </c>
      <c r="E57" s="216">
        <f>AVERAGE(E54:E56)</f>
        <v>68292822.790000007</v>
      </c>
      <c r="F57" s="217">
        <f>E57/$D57</f>
        <v>0.37224828118887149</v>
      </c>
      <c r="G57" s="216">
        <f>AVERAGE(G54:G56)</f>
        <v>9306533.5966666657</v>
      </c>
      <c r="H57" s="217">
        <f>G57/$D57</f>
        <v>5.0727748446399407E-2</v>
      </c>
      <c r="I57" s="216">
        <f>AVERAGE(I54:I56)</f>
        <v>77599356.38666667</v>
      </c>
      <c r="J57" s="217">
        <f>I57/$D57</f>
        <v>0.42297602963527092</v>
      </c>
    </row>
    <row r="58" spans="1:10" x14ac:dyDescent="0.25">
      <c r="A58" s="146"/>
    </row>
    <row r="59" spans="1:10" x14ac:dyDescent="0.25">
      <c r="A59" s="146"/>
      <c r="B59" s="592" t="s">
        <v>546</v>
      </c>
      <c r="C59" s="592"/>
    </row>
    <row r="60" spans="1:10" ht="30.75" thickBot="1" x14ac:dyDescent="0.3">
      <c r="A60" s="146"/>
      <c r="B60" s="207" t="s">
        <v>110</v>
      </c>
      <c r="C60" s="207" t="s">
        <v>257</v>
      </c>
      <c r="D60" s="207" t="s">
        <v>258</v>
      </c>
      <c r="E60" s="207" t="s">
        <v>116</v>
      </c>
      <c r="F60" s="207" t="s">
        <v>259</v>
      </c>
      <c r="G60" s="207" t="s">
        <v>117</v>
      </c>
      <c r="H60" s="207" t="s">
        <v>260</v>
      </c>
      <c r="I60" s="207" t="s">
        <v>261</v>
      </c>
      <c r="J60" s="207" t="s">
        <v>262</v>
      </c>
    </row>
    <row r="61" spans="1:10" x14ac:dyDescent="0.25">
      <c r="A61" s="146"/>
      <c r="B61" s="215">
        <f>$B$6</f>
        <v>2021</v>
      </c>
      <c r="C61" s="311">
        <v>34326202.689999998</v>
      </c>
      <c r="D61" s="302">
        <v>32606918.730000004</v>
      </c>
      <c r="E61" s="303">
        <v>24645415.399999999</v>
      </c>
      <c r="F61" s="217">
        <f>E61/$D61</f>
        <v>0.75583392604726485</v>
      </c>
      <c r="G61" s="308">
        <v>2055783.76</v>
      </c>
      <c r="H61" s="217">
        <f>G61/$D61</f>
        <v>6.3047470907104622E-2</v>
      </c>
      <c r="I61" s="216">
        <f>E61+G61</f>
        <v>26701199.16</v>
      </c>
      <c r="J61" s="217">
        <f>I61/$D61</f>
        <v>0.81888139695436957</v>
      </c>
    </row>
    <row r="62" spans="1:10" x14ac:dyDescent="0.25">
      <c r="A62" s="146"/>
      <c r="B62" s="215">
        <f>$B$7</f>
        <v>2020</v>
      </c>
      <c r="C62" s="312">
        <v>31740863.939999998</v>
      </c>
      <c r="D62" s="304">
        <v>30764351.109999996</v>
      </c>
      <c r="E62" s="305">
        <v>20859807.98</v>
      </c>
      <c r="F62" s="217">
        <f>E62/$D62</f>
        <v>0.67805129077529902</v>
      </c>
      <c r="G62" s="309">
        <v>1414000.9000000001</v>
      </c>
      <c r="H62" s="217">
        <f>G62/$D62</f>
        <v>4.5962318364659971E-2</v>
      </c>
      <c r="I62" s="216">
        <f>E62+G62</f>
        <v>22273808.879999999</v>
      </c>
      <c r="J62" s="217">
        <f>I62/$D62</f>
        <v>0.72401360913995894</v>
      </c>
    </row>
    <row r="63" spans="1:10" x14ac:dyDescent="0.25">
      <c r="A63" s="146"/>
      <c r="B63" s="221">
        <f>$B$8</f>
        <v>2019</v>
      </c>
      <c r="C63" s="313">
        <v>30007109.809999999</v>
      </c>
      <c r="D63" s="306">
        <v>28768700.680000003</v>
      </c>
      <c r="E63" s="307">
        <v>19090712.349999998</v>
      </c>
      <c r="F63" s="218">
        <f>E63/$D63</f>
        <v>0.66359313763766392</v>
      </c>
      <c r="G63" s="310">
        <v>1680940.3599999999</v>
      </c>
      <c r="H63" s="218">
        <f>G63/$D63</f>
        <v>5.8429484831360123E-2</v>
      </c>
      <c r="I63" s="225">
        <f>E63+G63</f>
        <v>20771652.709999997</v>
      </c>
      <c r="J63" s="218">
        <f>I63/$D63</f>
        <v>0.72202262246902404</v>
      </c>
    </row>
    <row r="64" spans="1:10" x14ac:dyDescent="0.25">
      <c r="A64" s="146"/>
      <c r="B64" s="215" t="s">
        <v>263</v>
      </c>
      <c r="C64" s="216">
        <f>AVERAGE(C61:C63)</f>
        <v>32024725.48</v>
      </c>
      <c r="D64" s="216">
        <f>AVERAGE(D61:D63)</f>
        <v>30713323.506666671</v>
      </c>
      <c r="E64" s="216">
        <f>AVERAGE(E61:E63)</f>
        <v>21531978.576666664</v>
      </c>
      <c r="F64" s="217">
        <f>E64/$D64</f>
        <v>0.70106312564945661</v>
      </c>
      <c r="G64" s="216">
        <f>AVERAGE(G61:G63)</f>
        <v>1716908.3399999999</v>
      </c>
      <c r="H64" s="217">
        <f>G64/$D64</f>
        <v>5.590109255441944E-2</v>
      </c>
      <c r="I64" s="216">
        <f>AVERAGE(I61:I63)</f>
        <v>23248886.916666668</v>
      </c>
      <c r="J64" s="217">
        <f>I64/$D64</f>
        <v>0.75696421820387616</v>
      </c>
    </row>
    <row r="65" spans="1:10" x14ac:dyDescent="0.25">
      <c r="A65" s="146"/>
    </row>
    <row r="66" spans="1:10" x14ac:dyDescent="0.25">
      <c r="A66" s="146"/>
      <c r="B66" s="592" t="s">
        <v>548</v>
      </c>
      <c r="C66" s="592"/>
    </row>
    <row r="67" spans="1:10" ht="30.75" thickBot="1" x14ac:dyDescent="0.3">
      <c r="A67" s="146"/>
      <c r="B67" s="207" t="s">
        <v>110</v>
      </c>
      <c r="C67" s="207" t="s">
        <v>257</v>
      </c>
      <c r="D67" s="207" t="s">
        <v>258</v>
      </c>
      <c r="E67" s="207" t="s">
        <v>116</v>
      </c>
      <c r="F67" s="207" t="s">
        <v>259</v>
      </c>
      <c r="G67" s="207" t="s">
        <v>117</v>
      </c>
      <c r="H67" s="207" t="s">
        <v>260</v>
      </c>
      <c r="I67" s="207" t="s">
        <v>261</v>
      </c>
      <c r="J67" s="207" t="s">
        <v>262</v>
      </c>
    </row>
    <row r="68" spans="1:10" x14ac:dyDescent="0.25">
      <c r="A68" s="146"/>
      <c r="B68" s="215">
        <f>$B$6</f>
        <v>2021</v>
      </c>
      <c r="C68" s="311">
        <v>4050596.53</v>
      </c>
      <c r="D68" s="302">
        <v>3942976.3699999996</v>
      </c>
      <c r="E68" s="303">
        <v>56461.63</v>
      </c>
      <c r="F68" s="217">
        <f>E68/$D68</f>
        <v>1.4319545617768945E-2</v>
      </c>
      <c r="G68" s="308">
        <v>0</v>
      </c>
      <c r="H68" s="217">
        <f>G68/$D68</f>
        <v>0</v>
      </c>
      <c r="I68" s="216">
        <f>E68+G68</f>
        <v>56461.63</v>
      </c>
      <c r="J68" s="217">
        <f>I68/$D68</f>
        <v>1.4319545617768945E-2</v>
      </c>
    </row>
    <row r="69" spans="1:10" x14ac:dyDescent="0.25">
      <c r="A69" s="146"/>
      <c r="B69" s="215">
        <f>$B$7</f>
        <v>2020</v>
      </c>
      <c r="C69" s="312">
        <v>3872800.9300000006</v>
      </c>
      <c r="D69" s="304">
        <v>3858817.88</v>
      </c>
      <c r="E69" s="305">
        <v>1553.8999999999996</v>
      </c>
      <c r="F69" s="217">
        <f>E69/$D69</f>
        <v>4.0268808954518469E-4</v>
      </c>
      <c r="G69" s="309">
        <v>0</v>
      </c>
      <c r="H69" s="217">
        <f>G69/$D69</f>
        <v>0</v>
      </c>
      <c r="I69" s="216">
        <f>E69+G69</f>
        <v>1553.8999999999996</v>
      </c>
      <c r="J69" s="217">
        <f>I69/$D69</f>
        <v>4.0268808954518469E-4</v>
      </c>
    </row>
    <row r="70" spans="1:10" x14ac:dyDescent="0.25">
      <c r="A70" s="146"/>
      <c r="B70" s="221">
        <f>$B$8</f>
        <v>2019</v>
      </c>
      <c r="C70" s="313">
        <v>3853886.9699999997</v>
      </c>
      <c r="D70" s="306">
        <v>3872044.2500000005</v>
      </c>
      <c r="E70" s="307">
        <v>3411.4000000000005</v>
      </c>
      <c r="F70" s="218">
        <f>E70/$D70</f>
        <v>8.8103331980258234E-4</v>
      </c>
      <c r="G70" s="310">
        <v>0</v>
      </c>
      <c r="H70" s="218">
        <f>G70/$D70</f>
        <v>0</v>
      </c>
      <c r="I70" s="225">
        <f>E70+G70</f>
        <v>3411.4000000000005</v>
      </c>
      <c r="J70" s="218">
        <f>I70/$D70</f>
        <v>8.8103331980258234E-4</v>
      </c>
    </row>
    <row r="71" spans="1:10" x14ac:dyDescent="0.25">
      <c r="A71" s="146"/>
      <c r="B71" s="215" t="s">
        <v>263</v>
      </c>
      <c r="C71" s="216">
        <f>AVERAGE(C68:C70)</f>
        <v>3925761.4766666666</v>
      </c>
      <c r="D71" s="216">
        <f>AVERAGE(D68:D70)</f>
        <v>3891279.5</v>
      </c>
      <c r="E71" s="216">
        <f>AVERAGE(E68:E70)</f>
        <v>20475.643333333333</v>
      </c>
      <c r="F71" s="217">
        <f>E71/$D71</f>
        <v>5.2619307693866071E-3</v>
      </c>
      <c r="G71" s="216">
        <f>AVERAGE(G68:G70)</f>
        <v>0</v>
      </c>
      <c r="H71" s="217">
        <f>G71/$D71</f>
        <v>0</v>
      </c>
      <c r="I71" s="216">
        <f>AVERAGE(I68:I70)</f>
        <v>20475.643333333333</v>
      </c>
      <c r="J71" s="217">
        <f>I71/$D71</f>
        <v>5.2619307693866071E-3</v>
      </c>
    </row>
    <row r="72" spans="1:10" hidden="1" x14ac:dyDescent="0.25">
      <c r="A72" s="146"/>
    </row>
    <row r="73" spans="1:10" hidden="1" x14ac:dyDescent="0.25">
      <c r="A73" s="146"/>
      <c r="B73" s="593" t="s">
        <v>347</v>
      </c>
      <c r="C73" s="593"/>
    </row>
    <row r="74" spans="1:10" ht="30.75" hidden="1" thickBot="1" x14ac:dyDescent="0.3">
      <c r="A74" s="146"/>
      <c r="B74" s="207" t="s">
        <v>110</v>
      </c>
      <c r="C74" s="207" t="s">
        <v>257</v>
      </c>
      <c r="D74" s="207" t="s">
        <v>258</v>
      </c>
      <c r="E74" s="207" t="s">
        <v>116</v>
      </c>
      <c r="F74" s="207" t="s">
        <v>259</v>
      </c>
      <c r="G74" s="207" t="s">
        <v>117</v>
      </c>
      <c r="H74" s="207" t="s">
        <v>260</v>
      </c>
      <c r="I74" s="207" t="s">
        <v>261</v>
      </c>
      <c r="J74" s="207" t="s">
        <v>262</v>
      </c>
    </row>
    <row r="75" spans="1:10" hidden="1" x14ac:dyDescent="0.25">
      <c r="A75" s="146"/>
      <c r="B75" s="215">
        <f>$B$6</f>
        <v>2021</v>
      </c>
      <c r="C75" s="311">
        <v>0</v>
      </c>
      <c r="D75" s="302">
        <v>0</v>
      </c>
      <c r="E75" s="303">
        <v>0</v>
      </c>
      <c r="F75" s="217" t="e">
        <f>E75/$D75</f>
        <v>#DIV/0!</v>
      </c>
      <c r="G75" s="308">
        <v>0</v>
      </c>
      <c r="H75" s="217" t="e">
        <f>G75/$D75</f>
        <v>#DIV/0!</v>
      </c>
      <c r="I75" s="216">
        <f>E75+G75</f>
        <v>0</v>
      </c>
      <c r="J75" s="217" t="e">
        <f>I75/$D75</f>
        <v>#DIV/0!</v>
      </c>
    </row>
    <row r="76" spans="1:10" hidden="1" x14ac:dyDescent="0.25">
      <c r="A76" s="146"/>
      <c r="B76" s="215">
        <f>$B$7</f>
        <v>2020</v>
      </c>
      <c r="C76" s="312">
        <v>0</v>
      </c>
      <c r="D76" s="304">
        <v>0</v>
      </c>
      <c r="E76" s="305">
        <v>0</v>
      </c>
      <c r="F76" s="217" t="e">
        <f>E76/$D76</f>
        <v>#DIV/0!</v>
      </c>
      <c r="G76" s="309">
        <v>0</v>
      </c>
      <c r="H76" s="217" t="e">
        <f>G76/$D76</f>
        <v>#DIV/0!</v>
      </c>
      <c r="I76" s="216">
        <f>E76+G76</f>
        <v>0</v>
      </c>
      <c r="J76" s="217" t="e">
        <f>I76/$D76</f>
        <v>#DIV/0!</v>
      </c>
    </row>
    <row r="77" spans="1:10" hidden="1" x14ac:dyDescent="0.25">
      <c r="A77" s="146"/>
      <c r="B77" s="221">
        <f>$B$8</f>
        <v>2019</v>
      </c>
      <c r="C77" s="313">
        <v>0</v>
      </c>
      <c r="D77" s="306">
        <v>0</v>
      </c>
      <c r="E77" s="307">
        <v>0</v>
      </c>
      <c r="F77" s="218" t="e">
        <f>E77/$D77</f>
        <v>#DIV/0!</v>
      </c>
      <c r="G77" s="310">
        <v>0</v>
      </c>
      <c r="H77" s="218" t="e">
        <f>G77/$D77</f>
        <v>#DIV/0!</v>
      </c>
      <c r="I77" s="225">
        <f>E77+G77</f>
        <v>0</v>
      </c>
      <c r="J77" s="218" t="e">
        <f>I77/$D77</f>
        <v>#DIV/0!</v>
      </c>
    </row>
    <row r="78" spans="1:10" hidden="1" x14ac:dyDescent="0.25">
      <c r="A78" s="146"/>
      <c r="B78" s="215" t="s">
        <v>263</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3" t="s">
        <v>347</v>
      </c>
      <c r="C80" s="593"/>
    </row>
    <row r="81" spans="1:10" ht="30.75" hidden="1" thickBot="1" x14ac:dyDescent="0.3">
      <c r="A81" s="146"/>
      <c r="B81" s="207" t="s">
        <v>110</v>
      </c>
      <c r="C81" s="207" t="s">
        <v>257</v>
      </c>
      <c r="D81" s="207" t="s">
        <v>258</v>
      </c>
      <c r="E81" s="207" t="s">
        <v>116</v>
      </c>
      <c r="F81" s="207" t="s">
        <v>259</v>
      </c>
      <c r="G81" s="207" t="s">
        <v>117</v>
      </c>
      <c r="H81" s="207" t="s">
        <v>260</v>
      </c>
      <c r="I81" s="207" t="s">
        <v>261</v>
      </c>
      <c r="J81" s="207" t="s">
        <v>262</v>
      </c>
    </row>
    <row r="82" spans="1:10" hidden="1" x14ac:dyDescent="0.25">
      <c r="A82" s="146"/>
      <c r="B82" s="215">
        <f>$B$6</f>
        <v>2021</v>
      </c>
      <c r="C82" s="311">
        <v>0</v>
      </c>
      <c r="D82" s="302">
        <v>0</v>
      </c>
      <c r="E82" s="303">
        <v>0</v>
      </c>
      <c r="F82" s="217" t="e">
        <f>E82/$D82</f>
        <v>#DIV/0!</v>
      </c>
      <c r="G82" s="308">
        <v>0</v>
      </c>
      <c r="H82" s="217" t="e">
        <f>G82/$D82</f>
        <v>#DIV/0!</v>
      </c>
      <c r="I82" s="216">
        <f>E82+G82</f>
        <v>0</v>
      </c>
      <c r="J82" s="217" t="e">
        <f>I82/$D82</f>
        <v>#DIV/0!</v>
      </c>
    </row>
    <row r="83" spans="1:10" hidden="1" x14ac:dyDescent="0.25">
      <c r="A83" s="146"/>
      <c r="B83" s="215">
        <f>$B$7</f>
        <v>2020</v>
      </c>
      <c r="C83" s="312">
        <v>0</v>
      </c>
      <c r="D83" s="304">
        <v>0</v>
      </c>
      <c r="E83" s="305">
        <v>0</v>
      </c>
      <c r="F83" s="217" t="e">
        <f>E83/$D83</f>
        <v>#DIV/0!</v>
      </c>
      <c r="G83" s="309">
        <v>0</v>
      </c>
      <c r="H83" s="217" t="e">
        <f>G83/$D83</f>
        <v>#DIV/0!</v>
      </c>
      <c r="I83" s="216">
        <f>E83+G83</f>
        <v>0</v>
      </c>
      <c r="J83" s="217" t="e">
        <f>I83/$D83</f>
        <v>#DIV/0!</v>
      </c>
    </row>
    <row r="84" spans="1:10" hidden="1" x14ac:dyDescent="0.25">
      <c r="A84" s="146"/>
      <c r="B84" s="221">
        <f>$B$8</f>
        <v>2019</v>
      </c>
      <c r="C84" s="313">
        <v>0</v>
      </c>
      <c r="D84" s="306">
        <v>0</v>
      </c>
      <c r="E84" s="307">
        <v>0</v>
      </c>
      <c r="F84" s="218" t="e">
        <f>E84/$D84</f>
        <v>#DIV/0!</v>
      </c>
      <c r="G84" s="310">
        <v>0</v>
      </c>
      <c r="H84" s="218" t="e">
        <f>G84/$D84</f>
        <v>#DIV/0!</v>
      </c>
      <c r="I84" s="225">
        <f>E84+G84</f>
        <v>0</v>
      </c>
      <c r="J84" s="218" t="e">
        <f>I84/$D84</f>
        <v>#DIV/0!</v>
      </c>
    </row>
    <row r="85" spans="1:10" hidden="1" x14ac:dyDescent="0.25">
      <c r="A85" s="146"/>
      <c r="B85" s="215" t="s">
        <v>263</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3" t="s">
        <v>347</v>
      </c>
      <c r="C87" s="593"/>
    </row>
    <row r="88" spans="1:10" ht="30.75" hidden="1" thickBot="1" x14ac:dyDescent="0.3">
      <c r="A88" s="146"/>
      <c r="B88" s="207" t="s">
        <v>110</v>
      </c>
      <c r="C88" s="207" t="s">
        <v>257</v>
      </c>
      <c r="D88" s="207" t="s">
        <v>258</v>
      </c>
      <c r="E88" s="207" t="s">
        <v>116</v>
      </c>
      <c r="F88" s="207" t="s">
        <v>259</v>
      </c>
      <c r="G88" s="207" t="s">
        <v>117</v>
      </c>
      <c r="H88" s="207" t="s">
        <v>260</v>
      </c>
      <c r="I88" s="207" t="s">
        <v>261</v>
      </c>
      <c r="J88" s="207" t="s">
        <v>262</v>
      </c>
    </row>
    <row r="89" spans="1:10" hidden="1" x14ac:dyDescent="0.25">
      <c r="A89" s="146"/>
      <c r="B89" s="215">
        <f>$B$6</f>
        <v>2021</v>
      </c>
      <c r="C89" s="311">
        <v>0</v>
      </c>
      <c r="D89" s="302">
        <v>0</v>
      </c>
      <c r="E89" s="303">
        <v>0</v>
      </c>
      <c r="F89" s="217" t="e">
        <f>E89/$D89</f>
        <v>#DIV/0!</v>
      </c>
      <c r="G89" s="308">
        <v>0</v>
      </c>
      <c r="H89" s="217" t="e">
        <f>G89/$D89</f>
        <v>#DIV/0!</v>
      </c>
      <c r="I89" s="216">
        <f>E89+G89</f>
        <v>0</v>
      </c>
      <c r="J89" s="217" t="e">
        <f>I89/$D89</f>
        <v>#DIV/0!</v>
      </c>
    </row>
    <row r="90" spans="1:10" hidden="1" x14ac:dyDescent="0.25">
      <c r="A90" s="146"/>
      <c r="B90" s="215">
        <f>$B$7</f>
        <v>2020</v>
      </c>
      <c r="C90" s="312">
        <v>0</v>
      </c>
      <c r="D90" s="304">
        <v>0</v>
      </c>
      <c r="E90" s="305">
        <v>0</v>
      </c>
      <c r="F90" s="217" t="e">
        <f>E90/$D90</f>
        <v>#DIV/0!</v>
      </c>
      <c r="G90" s="309">
        <v>0</v>
      </c>
      <c r="H90" s="217" t="e">
        <f>G90/$D90</f>
        <v>#DIV/0!</v>
      </c>
      <c r="I90" s="216">
        <f>E90+G90</f>
        <v>0</v>
      </c>
      <c r="J90" s="217" t="e">
        <f>I90/$D90</f>
        <v>#DIV/0!</v>
      </c>
    </row>
    <row r="91" spans="1:10" hidden="1" x14ac:dyDescent="0.25">
      <c r="A91" s="146"/>
      <c r="B91" s="221">
        <f>$B$8</f>
        <v>2019</v>
      </c>
      <c r="C91" s="313">
        <v>0</v>
      </c>
      <c r="D91" s="306">
        <v>0</v>
      </c>
      <c r="E91" s="307">
        <v>0</v>
      </c>
      <c r="F91" s="218" t="e">
        <f>E91/$D91</f>
        <v>#DIV/0!</v>
      </c>
      <c r="G91" s="310">
        <v>0</v>
      </c>
      <c r="H91" s="218" t="e">
        <f>G91/$D91</f>
        <v>#DIV/0!</v>
      </c>
      <c r="I91" s="225">
        <f>E91+G91</f>
        <v>0</v>
      </c>
      <c r="J91" s="218" t="e">
        <f>I91/$D91</f>
        <v>#DIV/0!</v>
      </c>
    </row>
    <row r="92" spans="1:10" hidden="1" x14ac:dyDescent="0.25">
      <c r="A92" s="146"/>
      <c r="B92" s="215" t="s">
        <v>263</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3" t="s">
        <v>347</v>
      </c>
      <c r="C94" s="593"/>
    </row>
    <row r="95" spans="1:10" ht="30.75" hidden="1" thickBot="1" x14ac:dyDescent="0.3">
      <c r="A95" s="146"/>
      <c r="B95" s="207" t="s">
        <v>110</v>
      </c>
      <c r="C95" s="207" t="s">
        <v>257</v>
      </c>
      <c r="D95" s="207" t="s">
        <v>258</v>
      </c>
      <c r="E95" s="207" t="s">
        <v>116</v>
      </c>
      <c r="F95" s="207" t="s">
        <v>259</v>
      </c>
      <c r="G95" s="207" t="s">
        <v>117</v>
      </c>
      <c r="H95" s="207" t="s">
        <v>260</v>
      </c>
      <c r="I95" s="207" t="s">
        <v>261</v>
      </c>
      <c r="J95" s="207" t="s">
        <v>262</v>
      </c>
    </row>
    <row r="96" spans="1:10" hidden="1" x14ac:dyDescent="0.25">
      <c r="A96" s="146"/>
      <c r="B96" s="215">
        <f>$B$6</f>
        <v>2021</v>
      </c>
      <c r="C96" s="311">
        <v>0</v>
      </c>
      <c r="D96" s="302">
        <v>0</v>
      </c>
      <c r="E96" s="303">
        <v>0</v>
      </c>
      <c r="F96" s="217" t="e">
        <f>E96/$D96</f>
        <v>#DIV/0!</v>
      </c>
      <c r="G96" s="308">
        <v>0</v>
      </c>
      <c r="H96" s="217" t="e">
        <f>G96/$D96</f>
        <v>#DIV/0!</v>
      </c>
      <c r="I96" s="216">
        <f>E96+G96</f>
        <v>0</v>
      </c>
      <c r="J96" s="217" t="e">
        <f>I96/$D96</f>
        <v>#DIV/0!</v>
      </c>
    </row>
    <row r="97" spans="1:10" hidden="1" x14ac:dyDescent="0.25">
      <c r="A97" s="146"/>
      <c r="B97" s="215">
        <f>$B$7</f>
        <v>2020</v>
      </c>
      <c r="C97" s="312">
        <v>0</v>
      </c>
      <c r="D97" s="304">
        <v>0</v>
      </c>
      <c r="E97" s="305">
        <v>0</v>
      </c>
      <c r="F97" s="217" t="e">
        <f>E97/$D97</f>
        <v>#DIV/0!</v>
      </c>
      <c r="G97" s="309">
        <v>0</v>
      </c>
      <c r="H97" s="217" t="e">
        <f>G97/$D97</f>
        <v>#DIV/0!</v>
      </c>
      <c r="I97" s="216">
        <f>E97+G97</f>
        <v>0</v>
      </c>
      <c r="J97" s="217" t="e">
        <f>I97/$D97</f>
        <v>#DIV/0!</v>
      </c>
    </row>
    <row r="98" spans="1:10" hidden="1" x14ac:dyDescent="0.25">
      <c r="A98" s="146"/>
      <c r="B98" s="221">
        <f>$B$8</f>
        <v>2019</v>
      </c>
      <c r="C98" s="313">
        <v>0</v>
      </c>
      <c r="D98" s="306">
        <v>0</v>
      </c>
      <c r="E98" s="307">
        <v>0</v>
      </c>
      <c r="F98" s="218" t="e">
        <f>E98/$D98</f>
        <v>#DIV/0!</v>
      </c>
      <c r="G98" s="310">
        <v>0</v>
      </c>
      <c r="H98" s="218" t="e">
        <f>G98/$D98</f>
        <v>#DIV/0!</v>
      </c>
      <c r="I98" s="225">
        <f>E98+G98</f>
        <v>0</v>
      </c>
      <c r="J98" s="218" t="e">
        <f>I98/$D98</f>
        <v>#DIV/0!</v>
      </c>
    </row>
    <row r="99" spans="1:10" hidden="1" x14ac:dyDescent="0.25">
      <c r="A99" s="146"/>
      <c r="B99" s="215" t="s">
        <v>263</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3" t="s">
        <v>347</v>
      </c>
      <c r="C101" s="593"/>
    </row>
    <row r="102" spans="1:10" ht="30.75" hidden="1" thickBot="1" x14ac:dyDescent="0.3">
      <c r="A102" s="146"/>
      <c r="B102" s="207" t="s">
        <v>110</v>
      </c>
      <c r="C102" s="207" t="s">
        <v>257</v>
      </c>
      <c r="D102" s="207" t="s">
        <v>258</v>
      </c>
      <c r="E102" s="207" t="s">
        <v>116</v>
      </c>
      <c r="F102" s="207" t="s">
        <v>259</v>
      </c>
      <c r="G102" s="207" t="s">
        <v>117</v>
      </c>
      <c r="H102" s="207" t="s">
        <v>260</v>
      </c>
      <c r="I102" s="207" t="s">
        <v>261</v>
      </c>
      <c r="J102" s="207" t="s">
        <v>262</v>
      </c>
    </row>
    <row r="103" spans="1:10" hidden="1" x14ac:dyDescent="0.25">
      <c r="A103" s="146"/>
      <c r="B103" s="215">
        <f>$B$6</f>
        <v>2021</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f>$B$7</f>
        <v>2020</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f>$B$8</f>
        <v>2019</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263</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3" t="s">
        <v>347</v>
      </c>
      <c r="C108" s="593"/>
    </row>
    <row r="109" spans="1:10" ht="30.75" hidden="1" thickBot="1" x14ac:dyDescent="0.3">
      <c r="A109" s="146"/>
      <c r="B109" s="207" t="s">
        <v>110</v>
      </c>
      <c r="C109" s="207" t="s">
        <v>257</v>
      </c>
      <c r="D109" s="207" t="s">
        <v>258</v>
      </c>
      <c r="E109" s="207" t="s">
        <v>116</v>
      </c>
      <c r="F109" s="207" t="s">
        <v>259</v>
      </c>
      <c r="G109" s="207" t="s">
        <v>117</v>
      </c>
      <c r="H109" s="207" t="s">
        <v>260</v>
      </c>
      <c r="I109" s="207" t="s">
        <v>261</v>
      </c>
      <c r="J109" s="207" t="s">
        <v>262</v>
      </c>
    </row>
    <row r="110" spans="1:10" hidden="1" x14ac:dyDescent="0.25">
      <c r="A110" s="146"/>
      <c r="B110" s="215">
        <f>$B$6</f>
        <v>2021</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f>$B$7</f>
        <v>2020</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f>$B$8</f>
        <v>2019</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263</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3" t="s">
        <v>347</v>
      </c>
      <c r="C115" s="593"/>
    </row>
    <row r="116" spans="1:10" ht="30.75" hidden="1" thickBot="1" x14ac:dyDescent="0.3">
      <c r="A116" s="146"/>
      <c r="B116" s="207" t="s">
        <v>110</v>
      </c>
      <c r="C116" s="207" t="s">
        <v>257</v>
      </c>
      <c r="D116" s="207" t="s">
        <v>258</v>
      </c>
      <c r="E116" s="207" t="s">
        <v>116</v>
      </c>
      <c r="F116" s="207" t="s">
        <v>259</v>
      </c>
      <c r="G116" s="207" t="s">
        <v>117</v>
      </c>
      <c r="H116" s="207" t="s">
        <v>260</v>
      </c>
      <c r="I116" s="207" t="s">
        <v>261</v>
      </c>
      <c r="J116" s="207" t="s">
        <v>262</v>
      </c>
    </row>
    <row r="117" spans="1:10" hidden="1" x14ac:dyDescent="0.25">
      <c r="A117" s="146"/>
      <c r="B117" s="215">
        <f>$B$6</f>
        <v>2021</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f>$B$7</f>
        <v>2020</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f>$B$8</f>
        <v>2019</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263</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3" t="s">
        <v>347</v>
      </c>
      <c r="C122" s="593"/>
    </row>
    <row r="123" spans="1:10" ht="30.75" hidden="1" thickBot="1" x14ac:dyDescent="0.3">
      <c r="A123" s="146"/>
      <c r="B123" s="207" t="s">
        <v>110</v>
      </c>
      <c r="C123" s="207" t="s">
        <v>257</v>
      </c>
      <c r="D123" s="207" t="s">
        <v>258</v>
      </c>
      <c r="E123" s="207" t="s">
        <v>116</v>
      </c>
      <c r="F123" s="207" t="s">
        <v>259</v>
      </c>
      <c r="G123" s="207" t="s">
        <v>117</v>
      </c>
      <c r="H123" s="207" t="s">
        <v>260</v>
      </c>
      <c r="I123" s="207" t="s">
        <v>261</v>
      </c>
      <c r="J123" s="207" t="s">
        <v>262</v>
      </c>
    </row>
    <row r="124" spans="1:10" hidden="1" x14ac:dyDescent="0.25">
      <c r="A124" s="146"/>
      <c r="B124" s="215">
        <f>$B$6</f>
        <v>2021</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f>$B$7</f>
        <v>2020</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f>$B$8</f>
        <v>2019</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263</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3" t="s">
        <v>347</v>
      </c>
      <c r="C129" s="593"/>
    </row>
    <row r="130" spans="1:10" ht="30.75" hidden="1" thickBot="1" x14ac:dyDescent="0.3">
      <c r="A130" s="146"/>
      <c r="B130" s="207" t="s">
        <v>110</v>
      </c>
      <c r="C130" s="207" t="s">
        <v>257</v>
      </c>
      <c r="D130" s="207" t="s">
        <v>258</v>
      </c>
      <c r="E130" s="207" t="s">
        <v>116</v>
      </c>
      <c r="F130" s="207" t="s">
        <v>259</v>
      </c>
      <c r="G130" s="207" t="s">
        <v>117</v>
      </c>
      <c r="H130" s="207" t="s">
        <v>260</v>
      </c>
      <c r="I130" s="207" t="s">
        <v>261</v>
      </c>
      <c r="J130" s="207" t="s">
        <v>262</v>
      </c>
    </row>
    <row r="131" spans="1:10" hidden="1" x14ac:dyDescent="0.25">
      <c r="A131" s="146"/>
      <c r="B131" s="215">
        <f>$B$6</f>
        <v>2021</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f>$B$7</f>
        <v>2020</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f>$B$8</f>
        <v>2019</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263</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3" t="s">
        <v>347</v>
      </c>
      <c r="C136" s="593"/>
    </row>
    <row r="137" spans="1:10" ht="30.75" hidden="1" thickBot="1" x14ac:dyDescent="0.3">
      <c r="A137" s="146"/>
      <c r="B137" s="207" t="s">
        <v>110</v>
      </c>
      <c r="C137" s="207" t="s">
        <v>257</v>
      </c>
      <c r="D137" s="207" t="s">
        <v>258</v>
      </c>
      <c r="E137" s="207" t="s">
        <v>116</v>
      </c>
      <c r="F137" s="207" t="s">
        <v>259</v>
      </c>
      <c r="G137" s="207" t="s">
        <v>117</v>
      </c>
      <c r="H137" s="207" t="s">
        <v>260</v>
      </c>
      <c r="I137" s="207" t="s">
        <v>261</v>
      </c>
      <c r="J137" s="207" t="s">
        <v>262</v>
      </c>
    </row>
    <row r="138" spans="1:10" hidden="1" x14ac:dyDescent="0.25">
      <c r="A138" s="146"/>
      <c r="B138" s="215">
        <f>$B$6</f>
        <v>2021</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f>$B$7</f>
        <v>2020</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f>$B$8</f>
        <v>2019</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263</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3" t="s">
        <v>347</v>
      </c>
      <c r="C143" s="593"/>
    </row>
    <row r="144" spans="1:10" ht="30.75" hidden="1" thickBot="1" x14ac:dyDescent="0.3">
      <c r="A144" s="146"/>
      <c r="B144" s="207" t="s">
        <v>110</v>
      </c>
      <c r="C144" s="207" t="s">
        <v>257</v>
      </c>
      <c r="D144" s="207" t="s">
        <v>258</v>
      </c>
      <c r="E144" s="207" t="s">
        <v>116</v>
      </c>
      <c r="F144" s="207" t="s">
        <v>259</v>
      </c>
      <c r="G144" s="207" t="s">
        <v>117</v>
      </c>
      <c r="H144" s="207" t="s">
        <v>260</v>
      </c>
      <c r="I144" s="207" t="s">
        <v>261</v>
      </c>
      <c r="J144" s="207" t="s">
        <v>262</v>
      </c>
    </row>
    <row r="145" spans="1:10" hidden="1" x14ac:dyDescent="0.25">
      <c r="A145" s="146"/>
      <c r="B145" s="215">
        <f>$B$6</f>
        <v>2021</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f>$B$7</f>
        <v>2020</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f>$B$8</f>
        <v>2019</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263</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3" t="s">
        <v>347</v>
      </c>
      <c r="C150" s="593"/>
    </row>
    <row r="151" spans="1:10" ht="30.75" hidden="1" thickBot="1" x14ac:dyDescent="0.3">
      <c r="A151" s="146"/>
      <c r="B151" s="207" t="s">
        <v>110</v>
      </c>
      <c r="C151" s="207" t="s">
        <v>257</v>
      </c>
      <c r="D151" s="207" t="s">
        <v>258</v>
      </c>
      <c r="E151" s="207" t="s">
        <v>116</v>
      </c>
      <c r="F151" s="207" t="s">
        <v>259</v>
      </c>
      <c r="G151" s="207" t="s">
        <v>117</v>
      </c>
      <c r="H151" s="207" t="s">
        <v>260</v>
      </c>
      <c r="I151" s="207" t="s">
        <v>261</v>
      </c>
      <c r="J151" s="207" t="s">
        <v>262</v>
      </c>
    </row>
    <row r="152" spans="1:10" hidden="1" x14ac:dyDescent="0.25">
      <c r="A152" s="146"/>
      <c r="B152" s="215">
        <f>$B$6</f>
        <v>2021</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f>$B$7</f>
        <v>2020</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f>$B$8</f>
        <v>2019</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263</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3" t="s">
        <v>347</v>
      </c>
      <c r="C157" s="593"/>
    </row>
    <row r="158" spans="1:10" ht="30.75" hidden="1" thickBot="1" x14ac:dyDescent="0.3">
      <c r="A158" s="146"/>
      <c r="B158" s="207" t="s">
        <v>110</v>
      </c>
      <c r="C158" s="207" t="s">
        <v>257</v>
      </c>
      <c r="D158" s="207" t="s">
        <v>258</v>
      </c>
      <c r="E158" s="207" t="s">
        <v>116</v>
      </c>
      <c r="F158" s="207" t="s">
        <v>259</v>
      </c>
      <c r="G158" s="207" t="s">
        <v>117</v>
      </c>
      <c r="H158" s="207" t="s">
        <v>260</v>
      </c>
      <c r="I158" s="207" t="s">
        <v>261</v>
      </c>
      <c r="J158" s="207" t="s">
        <v>262</v>
      </c>
    </row>
    <row r="159" spans="1:10" hidden="1" x14ac:dyDescent="0.25">
      <c r="A159" s="146"/>
      <c r="B159" s="215">
        <f>$B$6</f>
        <v>2021</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f>$B$7</f>
        <v>2020</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f>$B$8</f>
        <v>2019</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263</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3" t="s">
        <v>347</v>
      </c>
      <c r="C164" s="593"/>
    </row>
    <row r="165" spans="1:10" ht="30.75" hidden="1" thickBot="1" x14ac:dyDescent="0.3">
      <c r="A165" s="146"/>
      <c r="B165" s="207" t="s">
        <v>110</v>
      </c>
      <c r="C165" s="207" t="s">
        <v>257</v>
      </c>
      <c r="D165" s="207" t="s">
        <v>258</v>
      </c>
      <c r="E165" s="207" t="s">
        <v>116</v>
      </c>
      <c r="F165" s="207" t="s">
        <v>259</v>
      </c>
      <c r="G165" s="207" t="s">
        <v>117</v>
      </c>
      <c r="H165" s="207" t="s">
        <v>260</v>
      </c>
      <c r="I165" s="207" t="s">
        <v>261</v>
      </c>
      <c r="J165" s="207" t="s">
        <v>262</v>
      </c>
    </row>
    <row r="166" spans="1:10" hidden="1" x14ac:dyDescent="0.25">
      <c r="A166" s="146"/>
      <c r="B166" s="215">
        <f>$B$6</f>
        <v>2021</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f>$B$7</f>
        <v>2020</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f>$B$8</f>
        <v>2019</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263</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3" t="s">
        <v>347</v>
      </c>
      <c r="C171" s="593"/>
    </row>
    <row r="172" spans="1:10" ht="30.75" hidden="1" thickBot="1" x14ac:dyDescent="0.3">
      <c r="A172" s="146"/>
      <c r="B172" s="207" t="s">
        <v>110</v>
      </c>
      <c r="C172" s="207" t="s">
        <v>257</v>
      </c>
      <c r="D172" s="207" t="s">
        <v>258</v>
      </c>
      <c r="E172" s="207" t="s">
        <v>116</v>
      </c>
      <c r="F172" s="207" t="s">
        <v>259</v>
      </c>
      <c r="G172" s="207" t="s">
        <v>117</v>
      </c>
      <c r="H172" s="207" t="s">
        <v>260</v>
      </c>
      <c r="I172" s="207" t="s">
        <v>261</v>
      </c>
      <c r="J172" s="207" t="s">
        <v>262</v>
      </c>
    </row>
    <row r="173" spans="1:10" hidden="1" x14ac:dyDescent="0.25">
      <c r="A173" s="146"/>
      <c r="B173" s="215">
        <f>$B$6</f>
        <v>2021</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f>$B$7</f>
        <v>2020</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f>$B$8</f>
        <v>2019</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263</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3" t="s">
        <v>347</v>
      </c>
      <c r="C178" s="593"/>
    </row>
    <row r="179" spans="1:10" ht="30.75" hidden="1" thickBot="1" x14ac:dyDescent="0.3">
      <c r="A179" s="146"/>
      <c r="B179" s="207" t="s">
        <v>110</v>
      </c>
      <c r="C179" s="207" t="s">
        <v>257</v>
      </c>
      <c r="D179" s="207" t="s">
        <v>258</v>
      </c>
      <c r="E179" s="207" t="s">
        <v>116</v>
      </c>
      <c r="F179" s="207" t="s">
        <v>259</v>
      </c>
      <c r="G179" s="207" t="s">
        <v>117</v>
      </c>
      <c r="H179" s="207" t="s">
        <v>260</v>
      </c>
      <c r="I179" s="207" t="s">
        <v>261</v>
      </c>
      <c r="J179" s="207" t="s">
        <v>262</v>
      </c>
    </row>
    <row r="180" spans="1:10" hidden="1" x14ac:dyDescent="0.25">
      <c r="A180" s="146"/>
      <c r="B180" s="215">
        <f>$B$6</f>
        <v>2021</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f>$B$7</f>
        <v>2020</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f>$B$8</f>
        <v>2019</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263</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3" t="s">
        <v>347</v>
      </c>
      <c r="C185" s="593"/>
    </row>
    <row r="186" spans="1:10" ht="30.75" hidden="1" thickBot="1" x14ac:dyDescent="0.3">
      <c r="A186" s="146"/>
      <c r="B186" s="207" t="s">
        <v>110</v>
      </c>
      <c r="C186" s="207" t="s">
        <v>257</v>
      </c>
      <c r="D186" s="207" t="s">
        <v>258</v>
      </c>
      <c r="E186" s="207" t="s">
        <v>116</v>
      </c>
      <c r="F186" s="207" t="s">
        <v>259</v>
      </c>
      <c r="G186" s="207" t="s">
        <v>117</v>
      </c>
      <c r="H186" s="207" t="s">
        <v>260</v>
      </c>
      <c r="I186" s="207" t="s">
        <v>261</v>
      </c>
      <c r="J186" s="207" t="s">
        <v>262</v>
      </c>
    </row>
    <row r="187" spans="1:10" hidden="1" x14ac:dyDescent="0.25">
      <c r="A187" s="146"/>
      <c r="B187" s="215">
        <f>$B$6</f>
        <v>2021</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f>$B$7</f>
        <v>2020</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f>$B$8</f>
        <v>2019</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263</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3" t="s">
        <v>347</v>
      </c>
      <c r="C192" s="593"/>
    </row>
    <row r="193" spans="1:10" ht="30.75" hidden="1" thickBot="1" x14ac:dyDescent="0.3">
      <c r="A193" s="146"/>
      <c r="B193" s="207" t="s">
        <v>110</v>
      </c>
      <c r="C193" s="207" t="s">
        <v>257</v>
      </c>
      <c r="D193" s="207" t="s">
        <v>258</v>
      </c>
      <c r="E193" s="207" t="s">
        <v>116</v>
      </c>
      <c r="F193" s="207" t="s">
        <v>259</v>
      </c>
      <c r="G193" s="207" t="s">
        <v>117</v>
      </c>
      <c r="H193" s="207" t="s">
        <v>260</v>
      </c>
      <c r="I193" s="207" t="s">
        <v>261</v>
      </c>
      <c r="J193" s="207" t="s">
        <v>262</v>
      </c>
    </row>
    <row r="194" spans="1:10" hidden="1" x14ac:dyDescent="0.25">
      <c r="A194" s="146"/>
      <c r="B194" s="215">
        <f>$B$6</f>
        <v>2021</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f>$B$7</f>
        <v>2020</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f>$B$8</f>
        <v>2019</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263</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3" t="s">
        <v>347</v>
      </c>
      <c r="C199" s="593"/>
    </row>
    <row r="200" spans="1:10" ht="30.75" hidden="1" thickBot="1" x14ac:dyDescent="0.3">
      <c r="A200" s="146"/>
      <c r="B200" s="207" t="s">
        <v>110</v>
      </c>
      <c r="C200" s="207" t="s">
        <v>257</v>
      </c>
      <c r="D200" s="207" t="s">
        <v>258</v>
      </c>
      <c r="E200" s="207" t="s">
        <v>116</v>
      </c>
      <c r="F200" s="207" t="s">
        <v>259</v>
      </c>
      <c r="G200" s="207" t="s">
        <v>117</v>
      </c>
      <c r="H200" s="207" t="s">
        <v>260</v>
      </c>
      <c r="I200" s="207" t="s">
        <v>261</v>
      </c>
      <c r="J200" s="207" t="s">
        <v>262</v>
      </c>
    </row>
    <row r="201" spans="1:10" hidden="1" x14ac:dyDescent="0.25">
      <c r="A201" s="146"/>
      <c r="B201" s="215">
        <f>$B$6</f>
        <v>2021</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f>$B$7</f>
        <v>2020</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f>$B$8</f>
        <v>2019</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263</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3" t="s">
        <v>347</v>
      </c>
      <c r="C206" s="593"/>
    </row>
    <row r="207" spans="1:10" ht="30.75" hidden="1" thickBot="1" x14ac:dyDescent="0.3">
      <c r="A207" s="146"/>
      <c r="B207" s="207" t="s">
        <v>110</v>
      </c>
      <c r="C207" s="207" t="s">
        <v>257</v>
      </c>
      <c r="D207" s="207" t="s">
        <v>258</v>
      </c>
      <c r="E207" s="207" t="s">
        <v>116</v>
      </c>
      <c r="F207" s="207" t="s">
        <v>259</v>
      </c>
      <c r="G207" s="207" t="s">
        <v>117</v>
      </c>
      <c r="H207" s="207" t="s">
        <v>260</v>
      </c>
      <c r="I207" s="207" t="s">
        <v>261</v>
      </c>
      <c r="J207" s="207" t="s">
        <v>262</v>
      </c>
    </row>
    <row r="208" spans="1:10" hidden="1" x14ac:dyDescent="0.25">
      <c r="A208" s="146"/>
      <c r="B208" s="215">
        <f>$B$6</f>
        <v>2021</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f>$B$7</f>
        <v>2020</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f>$B$8</f>
        <v>2019</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263</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3" t="s">
        <v>347</v>
      </c>
      <c r="C213" s="593"/>
    </row>
    <row r="214" spans="1:10" ht="30.75" hidden="1" thickBot="1" x14ac:dyDescent="0.3">
      <c r="A214" s="146"/>
      <c r="B214" s="207" t="s">
        <v>110</v>
      </c>
      <c r="C214" s="207" t="s">
        <v>257</v>
      </c>
      <c r="D214" s="207" t="s">
        <v>258</v>
      </c>
      <c r="E214" s="207" t="s">
        <v>116</v>
      </c>
      <c r="F214" s="207" t="s">
        <v>259</v>
      </c>
      <c r="G214" s="207" t="s">
        <v>117</v>
      </c>
      <c r="H214" s="207" t="s">
        <v>260</v>
      </c>
      <c r="I214" s="207" t="s">
        <v>261</v>
      </c>
      <c r="J214" s="207" t="s">
        <v>262</v>
      </c>
    </row>
    <row r="215" spans="1:10" hidden="1" x14ac:dyDescent="0.25">
      <c r="A215" s="146"/>
      <c r="B215" s="215">
        <f>$B$6</f>
        <v>2021</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f>$B$7</f>
        <v>2020</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f>$B$8</f>
        <v>2019</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263</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3" t="s">
        <v>347</v>
      </c>
      <c r="C220" s="593"/>
    </row>
    <row r="221" spans="1:10" ht="30.75" hidden="1" thickBot="1" x14ac:dyDescent="0.3">
      <c r="A221" s="146"/>
      <c r="B221" s="207" t="s">
        <v>110</v>
      </c>
      <c r="C221" s="207" t="s">
        <v>257</v>
      </c>
      <c r="D221" s="207" t="s">
        <v>258</v>
      </c>
      <c r="E221" s="207" t="s">
        <v>116</v>
      </c>
      <c r="F221" s="207" t="s">
        <v>259</v>
      </c>
      <c r="G221" s="207" t="s">
        <v>117</v>
      </c>
      <c r="H221" s="207" t="s">
        <v>260</v>
      </c>
      <c r="I221" s="207" t="s">
        <v>261</v>
      </c>
      <c r="J221" s="207" t="s">
        <v>262</v>
      </c>
    </row>
    <row r="222" spans="1:10" hidden="1" x14ac:dyDescent="0.25">
      <c r="A222" s="146"/>
      <c r="B222" s="215">
        <f>$B$6</f>
        <v>2021</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f>$B$7</f>
        <v>2020</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f>$B$8</f>
        <v>2019</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263</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3" t="s">
        <v>347</v>
      </c>
      <c r="C227" s="593"/>
    </row>
    <row r="228" spans="1:10" ht="30.75" hidden="1" thickBot="1" x14ac:dyDescent="0.3">
      <c r="A228" s="146"/>
      <c r="B228" s="207" t="s">
        <v>110</v>
      </c>
      <c r="C228" s="207" t="s">
        <v>257</v>
      </c>
      <c r="D228" s="207" t="s">
        <v>258</v>
      </c>
      <c r="E228" s="207" t="s">
        <v>116</v>
      </c>
      <c r="F228" s="207" t="s">
        <v>259</v>
      </c>
      <c r="G228" s="207" t="s">
        <v>117</v>
      </c>
      <c r="H228" s="207" t="s">
        <v>260</v>
      </c>
      <c r="I228" s="207" t="s">
        <v>261</v>
      </c>
      <c r="J228" s="207" t="s">
        <v>262</v>
      </c>
    </row>
    <row r="229" spans="1:10" hidden="1" x14ac:dyDescent="0.25">
      <c r="A229" s="146"/>
      <c r="B229" s="215">
        <f>$B$6</f>
        <v>2021</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f>$B$7</f>
        <v>2020</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f>$B$8</f>
        <v>2019</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263</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scv/7tJNSRGTW8LIg41V7mU1qooJWUoBQfOYcXe81kBMNmZThviXBb9YHdY5UEm49ibpo1N07wK/d/zb/ujhrg==" saltValue="UZZHLIlgmgDx2hmYMfYFlA=="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topLeftCell="A16"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68</v>
      </c>
      <c r="C1" s="36" t="s">
        <v>70</v>
      </c>
      <c r="E1" s="35" t="str">
        <f>Co_Name</f>
        <v>State Farm General Insurance Company</v>
      </c>
    </row>
    <row r="2" spans="1:5" x14ac:dyDescent="0.25">
      <c r="A2" s="20" t="s">
        <v>69</v>
      </c>
      <c r="C2" s="36" t="s">
        <v>71</v>
      </c>
      <c r="E2" s="35" t="str">
        <f>General_Line</f>
        <v>Homeowners</v>
      </c>
    </row>
    <row r="3" spans="1:5" x14ac:dyDescent="0.25">
      <c r="B3" s="165"/>
    </row>
    <row r="4" spans="1:5" ht="23.25" x14ac:dyDescent="0.25">
      <c r="A4" s="5" t="s">
        <v>151</v>
      </c>
      <c r="B4" s="3"/>
      <c r="C4" s="3"/>
      <c r="D4" s="3"/>
      <c r="E4" s="3"/>
    </row>
    <row r="6" spans="1:5" x14ac:dyDescent="0.25">
      <c r="A6" s="51" t="s">
        <v>152</v>
      </c>
    </row>
    <row r="7" spans="1:5" ht="15.75" thickBot="1" x14ac:dyDescent="0.3"/>
    <row r="8" spans="1:5" ht="30.75" thickBot="1" x14ac:dyDescent="0.3">
      <c r="A8" s="84" t="s">
        <v>82</v>
      </c>
      <c r="B8" s="85" t="s">
        <v>129</v>
      </c>
      <c r="C8" s="85"/>
      <c r="D8" s="91"/>
      <c r="E8" s="82" t="s">
        <v>120</v>
      </c>
    </row>
    <row r="9" spans="1:5" ht="15.75" thickBot="1" x14ac:dyDescent="0.3">
      <c r="A9" s="88" t="s">
        <v>111</v>
      </c>
      <c r="B9" s="86" t="s">
        <v>136</v>
      </c>
      <c r="C9" s="92"/>
      <c r="D9" s="83"/>
      <c r="E9" s="255" t="s">
        <v>550</v>
      </c>
    </row>
    <row r="10" spans="1:5" ht="18" customHeight="1" x14ac:dyDescent="0.25">
      <c r="A10" s="60">
        <v>-1</v>
      </c>
      <c r="B10" s="167" t="s">
        <v>130</v>
      </c>
      <c r="C10" s="93"/>
      <c r="D10" s="87"/>
      <c r="E10" s="292">
        <v>1358</v>
      </c>
    </row>
    <row r="11" spans="1:5" ht="18" customHeight="1" x14ac:dyDescent="0.25">
      <c r="A11" s="61">
        <v>-2</v>
      </c>
      <c r="B11" s="168" t="s">
        <v>131</v>
      </c>
      <c r="C11" s="94"/>
      <c r="D11" s="66"/>
      <c r="E11" s="293">
        <v>6399</v>
      </c>
    </row>
    <row r="12" spans="1:5" ht="18" customHeight="1" x14ac:dyDescent="0.25">
      <c r="A12" s="61">
        <v>-3</v>
      </c>
      <c r="B12" s="168" t="s">
        <v>132</v>
      </c>
      <c r="C12" s="94"/>
      <c r="D12" s="67"/>
      <c r="E12" s="294">
        <v>6370</v>
      </c>
    </row>
    <row r="13" spans="1:5" ht="18" customHeight="1" x14ac:dyDescent="0.25">
      <c r="A13" s="61">
        <v>-4</v>
      </c>
      <c r="B13" s="168" t="s">
        <v>133</v>
      </c>
      <c r="C13" s="94"/>
      <c r="D13" s="67"/>
      <c r="E13" s="183">
        <f>E10+E11-E12</f>
        <v>1387</v>
      </c>
    </row>
    <row r="14" spans="1:5" ht="18" customHeight="1" x14ac:dyDescent="0.25">
      <c r="A14" s="61">
        <v>-5</v>
      </c>
      <c r="B14" s="168" t="s">
        <v>134</v>
      </c>
      <c r="C14" s="94"/>
      <c r="D14" s="66"/>
      <c r="E14" s="295">
        <v>110104477.05000001</v>
      </c>
    </row>
    <row r="15" spans="1:5" ht="18" customHeight="1" x14ac:dyDescent="0.25">
      <c r="A15" s="61">
        <v>-6</v>
      </c>
      <c r="B15" s="168" t="s">
        <v>135</v>
      </c>
      <c r="C15" s="94"/>
      <c r="D15" s="66"/>
      <c r="E15" s="296">
        <v>101134006.19999999</v>
      </c>
    </row>
    <row r="16" spans="1:5" ht="18" customHeight="1" x14ac:dyDescent="0.25">
      <c r="A16" s="61">
        <v>-7</v>
      </c>
      <c r="B16" s="168" t="s">
        <v>138</v>
      </c>
      <c r="C16" s="94"/>
      <c r="D16" s="66"/>
      <c r="E16" s="296">
        <v>37772624</v>
      </c>
    </row>
    <row r="17" spans="1:5" ht="18" customHeight="1" x14ac:dyDescent="0.25">
      <c r="A17" s="61">
        <v>-8</v>
      </c>
      <c r="B17" s="168" t="s">
        <v>137</v>
      </c>
      <c r="C17" s="94"/>
      <c r="D17" s="66"/>
      <c r="E17" s="296">
        <v>33574035</v>
      </c>
    </row>
    <row r="18" spans="1:5" ht="18" customHeight="1" x14ac:dyDescent="0.25">
      <c r="A18" s="61">
        <v>-9</v>
      </c>
      <c r="B18" s="168" t="s">
        <v>139</v>
      </c>
      <c r="C18" s="94"/>
      <c r="D18" s="67"/>
      <c r="E18" s="297">
        <v>0.50483373564382072</v>
      </c>
    </row>
    <row r="19" spans="1:5" ht="18" customHeight="1" x14ac:dyDescent="0.25">
      <c r="A19" s="61">
        <v>-10</v>
      </c>
      <c r="B19" s="168" t="s">
        <v>140</v>
      </c>
      <c r="C19" s="94"/>
      <c r="D19" s="67"/>
      <c r="E19" s="298">
        <v>13963907.232213853</v>
      </c>
    </row>
    <row r="20" spans="1:5" ht="18" customHeight="1" x14ac:dyDescent="0.25">
      <c r="A20" s="61">
        <v>-11</v>
      </c>
      <c r="B20" s="168" t="s">
        <v>248</v>
      </c>
      <c r="C20" s="94"/>
      <c r="D20" s="67"/>
      <c r="E20" s="182">
        <f>E19+E24</f>
        <v>42520543.712213844</v>
      </c>
    </row>
    <row r="21" spans="1:5" ht="18" customHeight="1" x14ac:dyDescent="0.25">
      <c r="A21" s="61">
        <v>-12</v>
      </c>
      <c r="B21" s="168" t="s">
        <v>141</v>
      </c>
      <c r="C21" s="94"/>
      <c r="D21" s="67"/>
      <c r="E21" s="299">
        <v>271003</v>
      </c>
    </row>
    <row r="22" spans="1:5" ht="18" customHeight="1" x14ac:dyDescent="0.25">
      <c r="A22" s="61">
        <v>-13</v>
      </c>
      <c r="B22" s="168" t="s">
        <v>142</v>
      </c>
      <c r="C22" s="94"/>
      <c r="D22" s="67"/>
      <c r="E22" s="293">
        <v>20498</v>
      </c>
    </row>
    <row r="23" spans="1:5" ht="18" customHeight="1" x14ac:dyDescent="0.25">
      <c r="A23" s="61">
        <v>-14</v>
      </c>
      <c r="B23" s="168" t="s">
        <v>143</v>
      </c>
      <c r="C23" s="94"/>
      <c r="D23" s="67"/>
      <c r="E23" s="293">
        <v>3096</v>
      </c>
    </row>
    <row r="24" spans="1:5" ht="18" customHeight="1" x14ac:dyDescent="0.25">
      <c r="A24" s="61">
        <v>-15</v>
      </c>
      <c r="B24" s="168" t="s">
        <v>249</v>
      </c>
      <c r="C24" s="94"/>
      <c r="D24" s="67"/>
      <c r="E24" s="298">
        <v>28556636.479999989</v>
      </c>
    </row>
    <row r="25" spans="1:5" ht="18" customHeight="1" x14ac:dyDescent="0.25">
      <c r="A25" s="61">
        <v>-16</v>
      </c>
      <c r="B25" s="168" t="s">
        <v>144</v>
      </c>
      <c r="C25" s="94"/>
      <c r="D25" s="67"/>
      <c r="E25" s="181"/>
    </row>
    <row r="26" spans="1:5" ht="18" customHeight="1" x14ac:dyDescent="0.25">
      <c r="A26" s="61">
        <v>-17</v>
      </c>
      <c r="B26" s="169" t="s">
        <v>150</v>
      </c>
      <c r="C26" s="95"/>
      <c r="D26" s="67"/>
      <c r="E26" s="295">
        <v>24445736.100000001</v>
      </c>
    </row>
    <row r="27" spans="1:5" ht="18" customHeight="1" x14ac:dyDescent="0.25">
      <c r="A27" s="61">
        <v>-18</v>
      </c>
      <c r="B27" s="169" t="s">
        <v>149</v>
      </c>
      <c r="C27" s="95"/>
      <c r="D27" s="67"/>
      <c r="E27" s="296">
        <v>16105392.719999999</v>
      </c>
    </row>
    <row r="28" spans="1:5" ht="18" customHeight="1" x14ac:dyDescent="0.25">
      <c r="A28" s="61">
        <v>-19</v>
      </c>
      <c r="B28" s="169" t="s">
        <v>148</v>
      </c>
      <c r="C28" s="95"/>
      <c r="D28" s="67"/>
      <c r="E28" s="296">
        <v>3698216.77</v>
      </c>
    </row>
    <row r="29" spans="1:5" ht="18" customHeight="1" x14ac:dyDescent="0.25">
      <c r="A29" s="61">
        <v>-20</v>
      </c>
      <c r="B29" s="169" t="s">
        <v>147</v>
      </c>
      <c r="C29" s="95"/>
      <c r="D29" s="67"/>
      <c r="E29" s="296">
        <v>5141820.8699999992</v>
      </c>
    </row>
    <row r="30" spans="1:5" ht="18" customHeight="1" x14ac:dyDescent="0.25">
      <c r="A30" s="61">
        <v>-21</v>
      </c>
      <c r="B30" s="169" t="s">
        <v>146</v>
      </c>
      <c r="C30" s="95"/>
      <c r="D30" s="67"/>
      <c r="E30" s="296">
        <v>20510024.43</v>
      </c>
    </row>
    <row r="31" spans="1:5" ht="18" customHeight="1" thickBot="1" x14ac:dyDescent="0.3">
      <c r="A31" s="89">
        <v>-22</v>
      </c>
      <c r="B31" s="170" t="s">
        <v>145</v>
      </c>
      <c r="C31" s="96"/>
      <c r="D31" s="90"/>
      <c r="E31" s="300">
        <v>0</v>
      </c>
    </row>
  </sheetData>
  <sheetProtection algorithmName="SHA-512" hashValue="K5vMf/VwOnr3SVKsk08xKTcKZthOk9ooRvhDssLb1tOGc4Ig3oos7JQjgA8FwqwAnw8AsSmFky7fUYFX+H9BSA==" saltValue="I3hYIjd3q41D6iAdVUwJ+g=="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topLeftCell="A19"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68</v>
      </c>
      <c r="C1" s="36" t="s">
        <v>70</v>
      </c>
      <c r="F1" s="35" t="str">
        <f>Co_Name</f>
        <v>State Farm General Insurance Company</v>
      </c>
      <c r="G1" s="342" t="s">
        <v>280</v>
      </c>
    </row>
    <row r="2" spans="1:7" x14ac:dyDescent="0.25">
      <c r="A2" s="20" t="s">
        <v>69</v>
      </c>
      <c r="C2" s="36" t="s">
        <v>71</v>
      </c>
      <c r="F2" s="35" t="str">
        <f>General_Line</f>
        <v>Homeowners</v>
      </c>
      <c r="G2" s="343" t="s">
        <v>109</v>
      </c>
    </row>
    <row r="3" spans="1:7" x14ac:dyDescent="0.25">
      <c r="B3" s="165"/>
      <c r="G3" s="344"/>
    </row>
    <row r="4" spans="1:7" ht="23.25" x14ac:dyDescent="0.25">
      <c r="A4" s="5" t="s">
        <v>153</v>
      </c>
      <c r="B4" s="3"/>
      <c r="C4" s="3"/>
      <c r="D4" s="3"/>
      <c r="E4" s="3"/>
      <c r="F4" s="3"/>
      <c r="G4" s="344"/>
    </row>
    <row r="5" spans="1:7" x14ac:dyDescent="0.25">
      <c r="G5" s="344"/>
    </row>
    <row r="6" spans="1:7" ht="18" customHeight="1" x14ac:dyDescent="0.25">
      <c r="A6" t="s">
        <v>411</v>
      </c>
      <c r="G6" s="344"/>
    </row>
    <row r="7" spans="1:7" ht="18" customHeight="1" x14ac:dyDescent="0.25">
      <c r="A7" t="s">
        <v>163</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409</v>
      </c>
      <c r="C8" s="68"/>
      <c r="G8" s="257" t="str">
        <f>IF(AND(No_Fees=TRUE,OR(COUNTA(D12:D25)&lt;&gt;0,COUNTA(F12:F25)&lt;&gt;0,COUNTA(D29:D37)&lt;&gt;0,COUNTA(F29:F37)&lt;&gt;0)),"no fees apply.","")</f>
        <v/>
      </c>
    </row>
    <row r="9" spans="1:7" ht="18" customHeight="1" x14ac:dyDescent="0.25">
      <c r="A9" t="s">
        <v>410</v>
      </c>
      <c r="G9" s="258"/>
    </row>
    <row r="10" spans="1:7" ht="30" customHeight="1" thickBot="1" x14ac:dyDescent="0.3">
      <c r="A10" s="99" t="s">
        <v>154</v>
      </c>
      <c r="B10" s="100"/>
      <c r="C10" s="100"/>
      <c r="D10" s="100"/>
      <c r="E10" s="100"/>
      <c r="F10" s="100"/>
      <c r="G10" s="344"/>
    </row>
    <row r="11" spans="1:7" s="47" customFormat="1" ht="30" customHeight="1" x14ac:dyDescent="0.25">
      <c r="A11" s="101"/>
      <c r="B11" s="102"/>
      <c r="C11" s="102"/>
      <c r="D11" s="103" t="s">
        <v>161</v>
      </c>
      <c r="E11" s="98"/>
      <c r="F11" s="103" t="s">
        <v>162</v>
      </c>
      <c r="G11" s="345"/>
    </row>
    <row r="12" spans="1:7" s="47" customFormat="1" ht="18" customHeight="1" x14ac:dyDescent="0.25">
      <c r="A12" t="s">
        <v>408</v>
      </c>
      <c r="B12" s="102"/>
      <c r="C12" s="102"/>
      <c r="D12" s="196"/>
      <c r="E12" s="98"/>
      <c r="F12" s="196"/>
      <c r="G12" s="397"/>
    </row>
    <row r="13" spans="1:7" ht="18" customHeight="1" x14ac:dyDescent="0.25">
      <c r="A13" t="s">
        <v>155</v>
      </c>
      <c r="C13" s="68"/>
      <c r="D13" s="196"/>
      <c r="E13" s="68"/>
      <c r="F13" s="196"/>
      <c r="G13" s="348"/>
    </row>
    <row r="14" spans="1:7" ht="18" customHeight="1" x14ac:dyDescent="0.25">
      <c r="A14" t="s">
        <v>335</v>
      </c>
      <c r="C14" s="68"/>
      <c r="D14" s="196"/>
      <c r="E14" s="68"/>
      <c r="F14" s="196"/>
      <c r="G14" s="346"/>
    </row>
    <row r="15" spans="1:7" ht="18" customHeight="1" x14ac:dyDescent="0.25">
      <c r="A15" t="s">
        <v>156</v>
      </c>
      <c r="C15" s="68"/>
      <c r="D15" s="196"/>
      <c r="E15" s="68"/>
      <c r="F15" s="196"/>
      <c r="G15" s="346"/>
    </row>
    <row r="16" spans="1:7" ht="18" customHeight="1" x14ac:dyDescent="0.25">
      <c r="A16" t="s">
        <v>158</v>
      </c>
      <c r="C16" s="68"/>
      <c r="D16" s="196"/>
      <c r="E16" s="68"/>
      <c r="F16" s="196"/>
      <c r="G16" s="346"/>
    </row>
    <row r="17" spans="1:7" ht="18" customHeight="1" x14ac:dyDescent="0.25">
      <c r="A17" t="s">
        <v>157</v>
      </c>
      <c r="C17" s="68"/>
      <c r="D17" s="196"/>
      <c r="E17" s="68"/>
      <c r="F17" s="196"/>
      <c r="G17" s="346"/>
    </row>
    <row r="18" spans="1:7" ht="18" customHeight="1" x14ac:dyDescent="0.25">
      <c r="A18" t="s">
        <v>159</v>
      </c>
      <c r="C18" s="68"/>
      <c r="D18" s="196"/>
      <c r="E18" s="68"/>
      <c r="F18" s="196"/>
      <c r="G18" s="346"/>
    </row>
    <row r="19" spans="1:7" ht="18" customHeight="1" x14ac:dyDescent="0.25">
      <c r="A19" t="s">
        <v>160</v>
      </c>
      <c r="C19" s="68"/>
      <c r="D19" s="196"/>
      <c r="E19" s="68"/>
      <c r="F19" s="196"/>
      <c r="G19" s="346"/>
    </row>
    <row r="20" spans="1:7" ht="18" customHeight="1" x14ac:dyDescent="0.25">
      <c r="A20" t="s">
        <v>225</v>
      </c>
      <c r="C20" s="68"/>
      <c r="D20" s="196"/>
      <c r="E20" s="68"/>
      <c r="F20" s="196"/>
      <c r="G20" s="346"/>
    </row>
    <row r="21" spans="1:7" ht="18" customHeight="1" x14ac:dyDescent="0.25">
      <c r="A21" t="s">
        <v>167</v>
      </c>
      <c r="B21" s="8"/>
      <c r="C21" s="8"/>
      <c r="D21" s="8"/>
      <c r="E21" s="8"/>
      <c r="F21" s="8"/>
      <c r="G21" s="346"/>
    </row>
    <row r="22" spans="1:7" ht="18" customHeight="1" x14ac:dyDescent="0.25">
      <c r="A22" s="324" t="s">
        <v>337</v>
      </c>
      <c r="C22" s="68"/>
      <c r="D22" s="196"/>
      <c r="E22" s="68"/>
      <c r="F22" s="196"/>
      <c r="G22" s="346"/>
    </row>
    <row r="23" spans="1:7" ht="18" customHeight="1" x14ac:dyDescent="0.25">
      <c r="A23" s="324" t="s">
        <v>164</v>
      </c>
      <c r="C23" s="68"/>
      <c r="D23" s="196"/>
      <c r="E23" s="68"/>
      <c r="F23" s="196"/>
      <c r="G23" s="346"/>
    </row>
    <row r="24" spans="1:7" ht="18" customHeight="1" x14ac:dyDescent="0.25">
      <c r="A24" s="324" t="s">
        <v>165</v>
      </c>
      <c r="C24" s="68"/>
      <c r="D24" s="196"/>
      <c r="E24" s="68"/>
      <c r="F24" s="196"/>
      <c r="G24" s="346"/>
    </row>
    <row r="25" spans="1:7" ht="18" customHeight="1" x14ac:dyDescent="0.25">
      <c r="A25" s="324" t="s">
        <v>166</v>
      </c>
      <c r="C25" s="68"/>
      <c r="D25" s="196"/>
      <c r="E25" s="68"/>
      <c r="F25" s="196"/>
      <c r="G25" s="346"/>
    </row>
    <row r="26" spans="1:7" ht="18" customHeight="1" x14ac:dyDescent="0.25">
      <c r="G26" s="344"/>
    </row>
    <row r="27" spans="1:7" ht="30" customHeight="1" thickBot="1" x14ac:dyDescent="0.3">
      <c r="A27" s="99" t="s">
        <v>80</v>
      </c>
      <c r="B27" s="100"/>
      <c r="C27" s="100"/>
      <c r="D27" s="100"/>
      <c r="E27" s="100"/>
      <c r="F27" s="100"/>
      <c r="G27" s="344"/>
    </row>
    <row r="28" spans="1:7" ht="30" customHeight="1" x14ac:dyDescent="0.25">
      <c r="A28" s="101"/>
      <c r="B28" s="102"/>
      <c r="C28" s="102"/>
      <c r="D28" s="103" t="s">
        <v>161</v>
      </c>
      <c r="E28" s="98"/>
      <c r="F28" s="103" t="s">
        <v>162</v>
      </c>
      <c r="G28" s="344"/>
    </row>
    <row r="29" spans="1:7" ht="18" customHeight="1" x14ac:dyDescent="0.25">
      <c r="A29" s="97" t="s">
        <v>170</v>
      </c>
      <c r="C29" s="68"/>
      <c r="D29" s="197"/>
      <c r="E29" s="68"/>
      <c r="F29" s="197"/>
      <c r="G29" s="346"/>
    </row>
    <row r="30" spans="1:7" ht="18" customHeight="1" x14ac:dyDescent="0.25">
      <c r="A30" t="s">
        <v>169</v>
      </c>
      <c r="C30" s="68"/>
      <c r="D30" s="196"/>
      <c r="E30" s="68"/>
      <c r="F30" s="196"/>
      <c r="G30" s="346"/>
    </row>
    <row r="31" spans="1:7" ht="18" customHeight="1" x14ac:dyDescent="0.25">
      <c r="A31" t="s">
        <v>168</v>
      </c>
      <c r="C31" s="68"/>
      <c r="D31" s="196"/>
      <c r="E31" s="68"/>
      <c r="F31" s="196"/>
      <c r="G31" s="346"/>
    </row>
    <row r="32" spans="1:7" ht="18" customHeight="1" x14ac:dyDescent="0.25">
      <c r="A32" t="s">
        <v>336</v>
      </c>
      <c r="C32" s="68"/>
      <c r="D32" s="196"/>
      <c r="E32" s="68"/>
      <c r="F32" s="196"/>
      <c r="G32" s="346"/>
    </row>
    <row r="33" spans="1:7" ht="18" customHeight="1" x14ac:dyDescent="0.25">
      <c r="A33" t="s">
        <v>167</v>
      </c>
      <c r="B33" s="8"/>
      <c r="C33" s="8"/>
      <c r="D33" s="8"/>
      <c r="E33" s="8"/>
      <c r="F33" s="8"/>
      <c r="G33" s="346"/>
    </row>
    <row r="34" spans="1:7" ht="18" customHeight="1" x14ac:dyDescent="0.25">
      <c r="A34" s="324" t="s">
        <v>337</v>
      </c>
      <c r="C34" s="68"/>
      <c r="D34" s="196"/>
      <c r="E34" s="68"/>
      <c r="F34" s="196"/>
      <c r="G34" s="346"/>
    </row>
    <row r="35" spans="1:7" ht="18" customHeight="1" x14ac:dyDescent="0.25">
      <c r="A35" s="324" t="s">
        <v>164</v>
      </c>
      <c r="C35" s="68"/>
      <c r="D35" s="196"/>
      <c r="E35" s="68"/>
      <c r="F35" s="196"/>
      <c r="G35" s="346"/>
    </row>
    <row r="36" spans="1:7" ht="18" customHeight="1" x14ac:dyDescent="0.25">
      <c r="A36" s="324" t="s">
        <v>165</v>
      </c>
      <c r="C36" s="68"/>
      <c r="D36" s="196"/>
      <c r="E36" s="68"/>
      <c r="F36" s="196"/>
      <c r="G36" s="346"/>
    </row>
    <row r="37" spans="1:7" ht="18" customHeight="1" x14ac:dyDescent="0.25">
      <c r="A37" s="324" t="s">
        <v>166</v>
      </c>
      <c r="C37" s="68"/>
      <c r="D37" s="196"/>
      <c r="E37" s="68"/>
      <c r="F37" s="196"/>
      <c r="G37" s="344"/>
    </row>
    <row r="38" spans="1:7" x14ac:dyDescent="0.25">
      <c r="G38" s="344"/>
    </row>
    <row r="39" spans="1:7" ht="15.75" thickBot="1" x14ac:dyDescent="0.3">
      <c r="A39" s="97" t="s">
        <v>171</v>
      </c>
      <c r="G39" s="347"/>
    </row>
  </sheetData>
  <sheetProtection algorithmName="SHA-512" hashValue="8igctyPdZXSXvrEbk3XODiXHfqYXMuCgvcprACMY7EDyYcthpKelVkU8DH/ptS4dKUTGc2U7C+J4T6S0SPngvA==" saltValue="d6A5VtzafCYTPGpJTvyMbA=="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3" customWidth="1"/>
  </cols>
  <sheetData>
    <row r="1" spans="1:12" x14ac:dyDescent="0.25">
      <c r="A1" s="20" t="s">
        <v>68</v>
      </c>
      <c r="B1" s="20"/>
      <c r="G1"/>
      <c r="J1" s="36" t="s">
        <v>70</v>
      </c>
      <c r="L1" t="str">
        <f>Co_Name</f>
        <v>State Farm General Insurance Company</v>
      </c>
    </row>
    <row r="2" spans="1:12" x14ac:dyDescent="0.25">
      <c r="A2" s="20" t="s">
        <v>69</v>
      </c>
      <c r="B2" s="20"/>
      <c r="G2"/>
      <c r="J2" s="36" t="s">
        <v>71</v>
      </c>
      <c r="L2" t="str">
        <f>General_Line</f>
        <v>Homeowners</v>
      </c>
    </row>
    <row r="3" spans="1:12" ht="5.0999999999999996" customHeight="1" x14ac:dyDescent="0.25">
      <c r="B3" s="165"/>
      <c r="G3" s="212"/>
    </row>
    <row r="4" spans="1:12" ht="23.25" x14ac:dyDescent="0.25">
      <c r="A4" s="5" t="s">
        <v>185</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488</v>
      </c>
      <c r="C7" s="111"/>
      <c r="D7" s="111"/>
      <c r="E7" s="543"/>
      <c r="F7" s="111"/>
      <c r="G7" s="111"/>
      <c r="H7" s="111"/>
      <c r="I7" s="111"/>
      <c r="J7" s="111"/>
      <c r="K7" s="111"/>
      <c r="L7" s="111"/>
    </row>
    <row r="8" spans="1:12" x14ac:dyDescent="0.25">
      <c r="A8" s="493"/>
      <c r="B8" s="472" t="s">
        <v>198</v>
      </c>
      <c r="C8" s="475"/>
      <c r="D8" s="473" t="s">
        <v>199</v>
      </c>
      <c r="E8" s="494" t="s">
        <v>200</v>
      </c>
      <c r="F8" s="483"/>
      <c r="G8" s="483"/>
      <c r="H8" s="483"/>
      <c r="I8" s="483"/>
      <c r="J8" s="477"/>
      <c r="K8" s="480"/>
      <c r="L8" s="492"/>
    </row>
    <row r="9" spans="1:12" x14ac:dyDescent="0.25">
      <c r="A9" s="476"/>
      <c r="B9" s="49" t="s">
        <v>481</v>
      </c>
      <c r="C9" s="476"/>
      <c r="D9" s="474" t="s">
        <v>499</v>
      </c>
      <c r="E9" s="484" t="s">
        <v>468</v>
      </c>
      <c r="F9" s="484"/>
      <c r="G9" s="484"/>
      <c r="H9" s="484" t="s">
        <v>471</v>
      </c>
      <c r="I9" s="484"/>
      <c r="J9" s="478"/>
      <c r="K9" s="481" t="s">
        <v>474</v>
      </c>
      <c r="L9" s="486"/>
    </row>
    <row r="10" spans="1:12" x14ac:dyDescent="0.25">
      <c r="A10" s="476"/>
      <c r="B10" s="49" t="s">
        <v>482</v>
      </c>
      <c r="C10" s="476"/>
      <c r="D10" s="474" t="s">
        <v>478</v>
      </c>
      <c r="E10" s="484" t="s">
        <v>469</v>
      </c>
      <c r="F10" s="484"/>
      <c r="G10" s="484"/>
      <c r="H10" s="484" t="s">
        <v>472</v>
      </c>
      <c r="I10" s="484"/>
      <c r="J10" s="478"/>
      <c r="K10" s="481" t="s">
        <v>475</v>
      </c>
      <c r="L10" s="486"/>
    </row>
    <row r="11" spans="1:12" x14ac:dyDescent="0.25">
      <c r="A11" s="476"/>
      <c r="B11" s="49" t="s">
        <v>483</v>
      </c>
      <c r="C11" s="476"/>
      <c r="D11" s="474" t="s">
        <v>479</v>
      </c>
      <c r="E11" s="484" t="s">
        <v>470</v>
      </c>
      <c r="F11" s="484"/>
      <c r="G11" s="484"/>
      <c r="H11" s="484" t="s">
        <v>473</v>
      </c>
      <c r="I11" s="484"/>
      <c r="J11" s="478"/>
      <c r="K11" s="481" t="s">
        <v>476</v>
      </c>
      <c r="L11" s="486"/>
    </row>
    <row r="12" spans="1:12" x14ac:dyDescent="0.25">
      <c r="A12" s="533">
        <v>1</v>
      </c>
      <c r="B12" s="49" t="s">
        <v>484</v>
      </c>
      <c r="C12" s="476"/>
      <c r="D12" s="474" t="s">
        <v>480</v>
      </c>
      <c r="E12" s="484"/>
      <c r="F12" s="484"/>
      <c r="G12" s="484"/>
      <c r="H12" s="484"/>
      <c r="I12" s="484"/>
      <c r="J12" s="478"/>
      <c r="K12" s="481" t="s">
        <v>477</v>
      </c>
      <c r="L12" s="486"/>
    </row>
    <row r="13" spans="1:12" x14ac:dyDescent="0.25">
      <c r="A13" s="488"/>
      <c r="B13" s="49"/>
      <c r="C13" s="488"/>
      <c r="D13" s="490"/>
      <c r="E13" s="484" t="s">
        <v>485</v>
      </c>
      <c r="F13" s="484"/>
      <c r="G13" s="484"/>
      <c r="H13" s="484"/>
      <c r="I13" s="484"/>
      <c r="J13" s="478"/>
      <c r="K13" s="481"/>
      <c r="L13" s="486"/>
    </row>
    <row r="14" spans="1:12" x14ac:dyDescent="0.25">
      <c r="A14" s="488"/>
      <c r="B14" s="49"/>
      <c r="C14" s="488"/>
      <c r="D14" s="490"/>
      <c r="E14" s="484" t="s">
        <v>486</v>
      </c>
      <c r="F14" s="484"/>
      <c r="G14" s="484"/>
      <c r="H14" s="484"/>
      <c r="I14" s="484"/>
      <c r="J14" s="478"/>
      <c r="K14" s="481"/>
      <c r="L14" s="486"/>
    </row>
    <row r="15" spans="1:12" ht="15.75" thickBot="1" x14ac:dyDescent="0.3">
      <c r="A15" s="488"/>
      <c r="B15" s="111"/>
      <c r="C15" s="489"/>
      <c r="D15" s="491"/>
      <c r="E15" s="485" t="s">
        <v>487</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187</v>
      </c>
      <c r="D17" s="148"/>
      <c r="E17" s="150"/>
      <c r="F17" s="152" t="s">
        <v>191</v>
      </c>
      <c r="G17" s="150"/>
      <c r="H17" s="154"/>
      <c r="I17" s="152" t="s">
        <v>193</v>
      </c>
      <c r="J17" s="150"/>
      <c r="K17" s="152" t="s">
        <v>194</v>
      </c>
      <c r="L17" s="150"/>
    </row>
    <row r="18" spans="1:15" ht="18" thickBot="1" x14ac:dyDescent="0.3">
      <c r="A18" s="156"/>
      <c r="B18" s="155"/>
      <c r="C18" s="153" t="s">
        <v>188</v>
      </c>
      <c r="D18" s="463" t="s">
        <v>189</v>
      </c>
      <c r="E18" s="464" t="s">
        <v>190</v>
      </c>
      <c r="F18" s="153" t="s">
        <v>81</v>
      </c>
      <c r="G18" s="464" t="s">
        <v>331</v>
      </c>
      <c r="H18" s="469" t="s">
        <v>496</v>
      </c>
      <c r="I18" s="153" t="s">
        <v>277</v>
      </c>
      <c r="J18" s="464" t="s">
        <v>195</v>
      </c>
      <c r="K18" s="153" t="s">
        <v>196</v>
      </c>
      <c r="L18" s="464" t="s">
        <v>192</v>
      </c>
      <c r="N18" s="68"/>
      <c r="O18" s="68"/>
    </row>
    <row r="19" spans="1:15" hidden="1" x14ac:dyDescent="0.25">
      <c r="A19" s="460">
        <f>A12-1</f>
        <v>0</v>
      </c>
      <c r="B19" s="538" t="s">
        <v>197</v>
      </c>
      <c r="C19" s="516"/>
      <c r="D19" s="507"/>
      <c r="E19" s="508"/>
      <c r="F19" s="508"/>
      <c r="G19" s="509"/>
      <c r="H19" s="508"/>
      <c r="I19" s="508"/>
      <c r="J19" s="508"/>
      <c r="K19" s="508"/>
      <c r="L19" s="510"/>
      <c r="M19" s="333"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266</v>
      </c>
      <c r="C20" s="517"/>
      <c r="D20" s="512"/>
      <c r="E20" s="513"/>
      <c r="F20" s="513"/>
      <c r="G20" s="511"/>
      <c r="H20" s="513"/>
      <c r="I20" s="514"/>
      <c r="J20" s="514"/>
      <c r="K20" s="514"/>
      <c r="L20" s="515"/>
      <c r="M20" s="333" t="str">
        <f>IF(OR(H19=1,H19=2,H19=3,H19=7,H19=8,H19=9,ISBLANK(H19)),"",
IF(COUNTBLANK(C20:H20)&gt;0,"←ERROR! Fill out all of the required information in the current line."))</f>
        <v/>
      </c>
      <c r="N20" s="68"/>
      <c r="O20" s="68"/>
    </row>
    <row r="21" spans="1:15" hidden="1" x14ac:dyDescent="0.25">
      <c r="A21" s="452"/>
      <c r="B21" s="600" t="s">
        <v>463</v>
      </c>
      <c r="C21" s="601"/>
      <c r="D21" s="602"/>
      <c r="E21" s="602"/>
      <c r="F21" s="602"/>
      <c r="G21" s="602"/>
      <c r="H21" s="602"/>
      <c r="I21" s="602"/>
      <c r="J21" s="602"/>
      <c r="K21" s="602"/>
      <c r="L21" s="603"/>
      <c r="M21" s="333" t="str">
        <f>IF(LEN(TRIM(CLEAN(D21)))=0,"←ERROR! Detailed explanation was not provided.","")</f>
        <v>←ERROR! Detailed explanation was not provided.</v>
      </c>
      <c r="N21" s="68"/>
      <c r="O21" s="68"/>
    </row>
    <row r="22" spans="1:15" hidden="1" x14ac:dyDescent="0.25">
      <c r="A22" s="460"/>
      <c r="B22" s="600" t="s">
        <v>461</v>
      </c>
      <c r="C22" s="601"/>
      <c r="D22" s="604"/>
      <c r="E22" s="604"/>
      <c r="F22" s="604"/>
      <c r="G22" s="604"/>
      <c r="H22" s="604"/>
      <c r="I22" s="604"/>
      <c r="J22" s="604"/>
      <c r="K22" s="604"/>
      <c r="L22" s="605"/>
      <c r="N22" s="68"/>
      <c r="O22" s="68"/>
    </row>
    <row r="23" spans="1:15" hidden="1" x14ac:dyDescent="0.25">
      <c r="A23" s="452"/>
      <c r="B23" s="600" t="s">
        <v>462</v>
      </c>
      <c r="C23" s="601"/>
      <c r="D23" s="604"/>
      <c r="E23" s="604"/>
      <c r="F23" s="604"/>
      <c r="G23" s="604"/>
      <c r="H23" s="604"/>
      <c r="I23" s="604"/>
      <c r="J23" s="604"/>
      <c r="K23" s="604"/>
      <c r="L23" s="605"/>
      <c r="N23" s="68"/>
      <c r="O23" s="68"/>
    </row>
    <row r="24" spans="1:15" hidden="1" x14ac:dyDescent="0.25">
      <c r="A24" s="452"/>
      <c r="B24" s="600" t="s">
        <v>489</v>
      </c>
      <c r="C24" s="601"/>
      <c r="D24" s="604"/>
      <c r="E24" s="604"/>
      <c r="F24" s="604"/>
      <c r="G24" s="604"/>
      <c r="H24" s="604"/>
      <c r="I24" s="604"/>
      <c r="J24" s="604"/>
      <c r="K24" s="604"/>
      <c r="L24" s="605"/>
      <c r="N24" s="68"/>
      <c r="O24" s="68"/>
    </row>
    <row r="25" spans="1:15" ht="15.75" hidden="1" thickBot="1" x14ac:dyDescent="0.3">
      <c r="A25" s="452"/>
      <c r="B25" s="610"/>
      <c r="C25" s="610"/>
      <c r="D25" s="611"/>
      <c r="E25" s="611"/>
      <c r="F25" s="611"/>
      <c r="G25" s="611"/>
      <c r="H25" s="611"/>
      <c r="I25" s="611"/>
      <c r="J25" s="611"/>
      <c r="K25" s="611"/>
      <c r="L25" s="611"/>
      <c r="N25" s="68"/>
      <c r="O25" s="68"/>
    </row>
    <row r="26" spans="1:15" hidden="1" x14ac:dyDescent="0.25">
      <c r="A26" s="520">
        <f>A19-1</f>
        <v>-1</v>
      </c>
      <c r="B26" s="540" t="s">
        <v>197</v>
      </c>
      <c r="C26" s="521"/>
      <c r="D26" s="522"/>
      <c r="E26" s="523"/>
      <c r="F26" s="523"/>
      <c r="G26" s="524"/>
      <c r="H26" s="525"/>
      <c r="I26" s="526"/>
      <c r="J26" s="525"/>
      <c r="K26" s="527"/>
      <c r="L26" s="528"/>
      <c r="M26" s="333"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266</v>
      </c>
      <c r="C27" s="454"/>
      <c r="D27" s="455"/>
      <c r="E27" s="456"/>
      <c r="F27" s="456"/>
      <c r="G27" s="457"/>
      <c r="H27" s="458"/>
      <c r="I27" s="470"/>
      <c r="J27" s="468"/>
      <c r="K27" s="471"/>
      <c r="L27" s="468"/>
      <c r="M27" s="333" t="str">
        <f>IF(OR(H26=1,H26=2,H26=3,H26=7,H26=8,H26=9,ISBLANK(H26)),"",
IF(COUNTBLANK(C27:H27)&gt;0,"←ERROR! Fill out all of the required information in the current line.",
))</f>
        <v/>
      </c>
      <c r="N27" s="68"/>
      <c r="O27" s="68"/>
    </row>
    <row r="28" spans="1:15" hidden="1" x14ac:dyDescent="0.25">
      <c r="A28" s="453"/>
      <c r="B28" s="612" t="s">
        <v>463</v>
      </c>
      <c r="C28" s="613"/>
      <c r="D28" s="606"/>
      <c r="E28" s="607"/>
      <c r="F28" s="607"/>
      <c r="G28" s="607"/>
      <c r="H28" s="607"/>
      <c r="I28" s="607"/>
      <c r="J28" s="607"/>
      <c r="K28" s="607"/>
      <c r="L28" s="608"/>
      <c r="M28" s="333" t="str">
        <f>IF(LEN(TRIM(CLEAN(D28)))=0,"←ERROR! Detailed explanation was not provided.","")</f>
        <v>←ERROR! Detailed explanation was not provided.</v>
      </c>
      <c r="N28" s="68"/>
      <c r="O28" s="68"/>
    </row>
    <row r="29" spans="1:15" hidden="1" x14ac:dyDescent="0.25">
      <c r="A29" s="461"/>
      <c r="B29" s="597" t="s">
        <v>461</v>
      </c>
      <c r="C29" s="598"/>
      <c r="D29" s="606"/>
      <c r="E29" s="607"/>
      <c r="F29" s="607"/>
      <c r="G29" s="607"/>
      <c r="H29" s="607"/>
      <c r="I29" s="607"/>
      <c r="J29" s="607"/>
      <c r="K29" s="607"/>
      <c r="L29" s="608"/>
      <c r="N29" s="68"/>
      <c r="O29" s="68"/>
    </row>
    <row r="30" spans="1:15" hidden="1" x14ac:dyDescent="0.25">
      <c r="A30" s="453"/>
      <c r="B30" s="597" t="s">
        <v>462</v>
      </c>
      <c r="C30" s="598"/>
      <c r="D30" s="606"/>
      <c r="E30" s="607"/>
      <c r="F30" s="607"/>
      <c r="G30" s="607"/>
      <c r="H30" s="607"/>
      <c r="I30" s="607"/>
      <c r="J30" s="607"/>
      <c r="K30" s="607"/>
      <c r="L30" s="608"/>
      <c r="N30" s="68"/>
      <c r="O30" s="68"/>
    </row>
    <row r="31" spans="1:15" hidden="1" x14ac:dyDescent="0.25">
      <c r="A31" s="453"/>
      <c r="B31" s="597" t="s">
        <v>489</v>
      </c>
      <c r="C31" s="598"/>
      <c r="D31" s="606"/>
      <c r="E31" s="607"/>
      <c r="F31" s="607"/>
      <c r="G31" s="607"/>
      <c r="H31" s="607"/>
      <c r="I31" s="607"/>
      <c r="J31" s="607"/>
      <c r="K31" s="607"/>
      <c r="L31" s="608"/>
      <c r="N31" s="68"/>
      <c r="O31" s="68"/>
    </row>
    <row r="32" spans="1:15" ht="15.75" hidden="1" thickBot="1" x14ac:dyDescent="0.3">
      <c r="A32" s="495"/>
      <c r="B32" s="599"/>
      <c r="C32" s="599"/>
      <c r="D32" s="609"/>
      <c r="E32" s="609"/>
      <c r="F32" s="609"/>
      <c r="G32" s="609"/>
      <c r="H32" s="609"/>
      <c r="I32" s="609"/>
      <c r="J32" s="609"/>
      <c r="K32" s="609"/>
      <c r="L32" s="609"/>
      <c r="N32" s="68"/>
      <c r="O32" s="68"/>
    </row>
    <row r="33" spans="1:15" x14ac:dyDescent="0.25">
      <c r="A33" s="520">
        <f>A19-1</f>
        <v>-1</v>
      </c>
      <c r="B33" s="534" t="s">
        <v>197</v>
      </c>
      <c r="C33" s="500"/>
      <c r="D33" s="496"/>
      <c r="E33" s="497"/>
      <c r="F33" s="497"/>
      <c r="G33" s="498"/>
      <c r="H33" s="497"/>
      <c r="I33" s="497"/>
      <c r="J33" s="497"/>
      <c r="K33" s="497"/>
      <c r="L33" s="499"/>
      <c r="M33" s="333"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266</v>
      </c>
      <c r="C34" s="506"/>
      <c r="D34" s="502"/>
      <c r="E34" s="503"/>
      <c r="F34" s="503"/>
      <c r="G34" s="501"/>
      <c r="H34" s="503"/>
      <c r="I34" s="504"/>
      <c r="J34" s="504"/>
      <c r="K34" s="504"/>
      <c r="L34" s="468"/>
      <c r="M34" s="333" t="str">
        <f>IF(OR(H33=1,H33=2,H33=3,H33=7,H33=8,H33=9,ISBLANK(H33)),"",
IF(COUNTBLANK(C34:H34)&gt;0,"←ERROR! Fill out all of the required information in the current line.",
))</f>
        <v/>
      </c>
      <c r="N34" s="68"/>
      <c r="O34" s="68"/>
    </row>
    <row r="35" spans="1:15" ht="75" customHeight="1" x14ac:dyDescent="0.25">
      <c r="A35" s="452"/>
      <c r="B35" s="595" t="s">
        <v>463</v>
      </c>
      <c r="C35" s="596"/>
      <c r="D35" s="604"/>
      <c r="E35" s="604"/>
      <c r="F35" s="604"/>
      <c r="G35" s="604"/>
      <c r="H35" s="604"/>
      <c r="I35" s="604"/>
      <c r="J35" s="604"/>
      <c r="K35" s="604"/>
      <c r="L35" s="605"/>
      <c r="M35" s="333" t="str">
        <f>IF(LEN(TRIM(CLEAN(D35)))=0,"←ERROR! Detailed explanation was not provided.","")</f>
        <v>←ERROR! Detailed explanation was not provided.</v>
      </c>
      <c r="N35" s="68"/>
      <c r="O35" s="68"/>
    </row>
    <row r="36" spans="1:15" ht="105" customHeight="1" x14ac:dyDescent="0.25">
      <c r="A36" s="460"/>
      <c r="B36" s="595" t="s">
        <v>461</v>
      </c>
      <c r="C36" s="596"/>
      <c r="D36" s="604"/>
      <c r="E36" s="604"/>
      <c r="F36" s="604"/>
      <c r="G36" s="604"/>
      <c r="H36" s="604"/>
      <c r="I36" s="604"/>
      <c r="J36" s="604"/>
      <c r="K36" s="604"/>
      <c r="L36" s="605"/>
      <c r="N36" s="68"/>
      <c r="O36" s="68"/>
    </row>
    <row r="37" spans="1:15" ht="45.95" customHeight="1" x14ac:dyDescent="0.25">
      <c r="A37" s="452"/>
      <c r="B37" s="595" t="s">
        <v>462</v>
      </c>
      <c r="C37" s="596"/>
      <c r="D37" s="604"/>
      <c r="E37" s="604"/>
      <c r="F37" s="604"/>
      <c r="G37" s="604"/>
      <c r="H37" s="604"/>
      <c r="I37" s="604"/>
      <c r="J37" s="604"/>
      <c r="K37" s="604"/>
      <c r="L37" s="605"/>
      <c r="N37" s="68"/>
      <c r="O37" s="68"/>
    </row>
    <row r="38" spans="1:15" ht="45.95" customHeight="1" x14ac:dyDescent="0.25">
      <c r="A38" s="452"/>
      <c r="B38" s="595" t="s">
        <v>489</v>
      </c>
      <c r="C38" s="596"/>
      <c r="D38" s="604"/>
      <c r="E38" s="604"/>
      <c r="F38" s="604"/>
      <c r="G38" s="604"/>
      <c r="H38" s="604"/>
      <c r="I38" s="604"/>
      <c r="J38" s="604"/>
      <c r="K38" s="604"/>
      <c r="L38" s="605"/>
      <c r="N38" s="68"/>
      <c r="O38" s="68"/>
    </row>
    <row r="39" spans="1:15" ht="9" customHeight="1" thickBot="1" x14ac:dyDescent="0.3">
      <c r="A39" s="452"/>
      <c r="B39" s="594"/>
      <c r="C39" s="594"/>
      <c r="D39" s="611"/>
      <c r="E39" s="611"/>
      <c r="F39" s="611"/>
      <c r="G39" s="611"/>
      <c r="H39" s="611"/>
      <c r="I39" s="611"/>
      <c r="J39" s="611"/>
      <c r="K39" s="611"/>
      <c r="L39" s="611"/>
      <c r="N39" s="68"/>
      <c r="O39" s="68"/>
    </row>
    <row r="40" spans="1:15" ht="18" customHeight="1" x14ac:dyDescent="0.25">
      <c r="A40" s="529">
        <f>A33-1</f>
        <v>-2</v>
      </c>
      <c r="B40" s="536" t="s">
        <v>197</v>
      </c>
      <c r="C40" s="521"/>
      <c r="D40" s="522"/>
      <c r="E40" s="523"/>
      <c r="F40" s="523"/>
      <c r="G40" s="531"/>
      <c r="H40" s="525"/>
      <c r="I40" s="526"/>
      <c r="J40" s="525"/>
      <c r="K40" s="527"/>
      <c r="L40" s="528"/>
      <c r="M40" s="333"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266</v>
      </c>
      <c r="C41" s="454"/>
      <c r="D41" s="455"/>
      <c r="E41" s="456"/>
      <c r="F41" s="456"/>
      <c r="G41" s="457"/>
      <c r="H41" s="458"/>
      <c r="I41" s="465"/>
      <c r="J41" s="466"/>
      <c r="K41" s="467"/>
      <c r="L41" s="468"/>
      <c r="M41" s="333" t="str">
        <f>IF(OR(H40=1,H40=2,H40=3,H40=7,H40=8,H40=9,ISBLANK(H40)),"",
IF(COUNTBLANK(C41:H41)&gt;0,"←ERROR! Fill out all of the required information in the current line.",
))</f>
        <v/>
      </c>
      <c r="N41" s="68"/>
      <c r="O41" s="68"/>
    </row>
    <row r="42" spans="1:15" ht="90" customHeight="1" x14ac:dyDescent="0.25">
      <c r="A42" s="459"/>
      <c r="B42" s="633" t="s">
        <v>463</v>
      </c>
      <c r="C42" s="634"/>
      <c r="D42" s="630"/>
      <c r="E42" s="630"/>
      <c r="F42" s="630"/>
      <c r="G42" s="630"/>
      <c r="H42" s="630"/>
      <c r="I42" s="630"/>
      <c r="J42" s="630"/>
      <c r="K42" s="630"/>
      <c r="L42" s="631"/>
      <c r="M42" s="333" t="str">
        <f>IF(LEN(TRIM(CLEAN(D42)))=0,"←ERROR! Detailed explanation was not provided.","")</f>
        <v>←ERROR! Detailed explanation was not provided.</v>
      </c>
      <c r="N42" s="68"/>
      <c r="O42" s="68"/>
    </row>
    <row r="43" spans="1:15" ht="120" customHeight="1" x14ac:dyDescent="0.25">
      <c r="A43" s="462"/>
      <c r="B43" s="633" t="s">
        <v>461</v>
      </c>
      <c r="C43" s="634"/>
      <c r="D43" s="630"/>
      <c r="E43" s="630"/>
      <c r="F43" s="630"/>
      <c r="G43" s="630"/>
      <c r="H43" s="630"/>
      <c r="I43" s="630"/>
      <c r="J43" s="630"/>
      <c r="K43" s="630"/>
      <c r="L43" s="631"/>
      <c r="N43" s="68"/>
      <c r="O43" s="68"/>
    </row>
    <row r="44" spans="1:15" ht="45.95" customHeight="1" x14ac:dyDescent="0.25">
      <c r="A44" s="459"/>
      <c r="B44" s="633" t="s">
        <v>462</v>
      </c>
      <c r="C44" s="634"/>
      <c r="D44" s="630"/>
      <c r="E44" s="630"/>
      <c r="F44" s="630"/>
      <c r="G44" s="630"/>
      <c r="H44" s="630"/>
      <c r="I44" s="630"/>
      <c r="J44" s="630"/>
      <c r="K44" s="630"/>
      <c r="L44" s="631"/>
      <c r="N44" s="68"/>
      <c r="O44" s="68"/>
    </row>
    <row r="45" spans="1:15" ht="60.95" customHeight="1" x14ac:dyDescent="0.25">
      <c r="A45" s="459"/>
      <c r="B45" s="633" t="s">
        <v>489</v>
      </c>
      <c r="C45" s="634"/>
      <c r="D45" s="630"/>
      <c r="E45" s="630"/>
      <c r="F45" s="630"/>
      <c r="G45" s="630"/>
      <c r="H45" s="630"/>
      <c r="I45" s="630"/>
      <c r="J45" s="630"/>
      <c r="K45" s="630"/>
      <c r="L45" s="631"/>
      <c r="N45" s="68"/>
      <c r="O45" s="68"/>
    </row>
    <row r="46" spans="1:15" ht="9" customHeight="1" thickBot="1" x14ac:dyDescent="0.3">
      <c r="A46" s="459"/>
      <c r="B46" s="635"/>
      <c r="C46" s="636"/>
      <c r="D46" s="632"/>
      <c r="E46" s="632"/>
      <c r="F46" s="632"/>
      <c r="G46" s="632"/>
      <c r="H46" s="632"/>
      <c r="I46" s="632"/>
      <c r="J46" s="632"/>
      <c r="K46" s="632"/>
      <c r="L46" s="632"/>
      <c r="N46" s="68"/>
      <c r="O46" s="68"/>
    </row>
    <row r="47" spans="1:15" ht="18" customHeight="1" x14ac:dyDescent="0.25">
      <c r="A47" s="520">
        <f>A40-1</f>
        <v>-3</v>
      </c>
      <c r="B47" s="534" t="s">
        <v>197</v>
      </c>
      <c r="C47" s="500"/>
      <c r="D47" s="496"/>
      <c r="E47" s="497"/>
      <c r="F47" s="497"/>
      <c r="G47" s="498"/>
      <c r="H47" s="497"/>
      <c r="I47" s="497"/>
      <c r="J47" s="497"/>
      <c r="K47" s="497"/>
      <c r="L47" s="499"/>
      <c r="M47" s="333"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266</v>
      </c>
      <c r="C48" s="505"/>
      <c r="D48" s="502"/>
      <c r="E48" s="503"/>
      <c r="F48" s="503"/>
      <c r="G48" s="501"/>
      <c r="H48" s="503"/>
      <c r="I48" s="504"/>
      <c r="J48" s="504"/>
      <c r="K48" s="504"/>
      <c r="L48" s="468"/>
      <c r="M48" s="333" t="str">
        <f>IF(OR(H47=1,H47=2,H47=3,H47=7,H47=8,H47=9,ISBLANK(H47)),"",
IF(COUNTBLANK(C48:H48)&gt;0,"←ERROR! Fill out all of the required information in the current line.",
))</f>
        <v/>
      </c>
      <c r="N48" s="68"/>
      <c r="O48" s="68"/>
    </row>
    <row r="49" spans="1:15" ht="90" customHeight="1" x14ac:dyDescent="0.25">
      <c r="A49" s="452"/>
      <c r="B49" s="595" t="s">
        <v>463</v>
      </c>
      <c r="C49" s="596"/>
      <c r="D49" s="604"/>
      <c r="E49" s="604"/>
      <c r="F49" s="604"/>
      <c r="G49" s="604"/>
      <c r="H49" s="604"/>
      <c r="I49" s="604"/>
      <c r="J49" s="604"/>
      <c r="K49" s="604"/>
      <c r="L49" s="605"/>
      <c r="M49" s="333" t="str">
        <f>IF(LEN(TRIM(CLEAN(D49)))=0,"←ERROR! Detailed explanation was not provided.","")</f>
        <v>←ERROR! Detailed explanation was not provided.</v>
      </c>
      <c r="N49" s="68"/>
      <c r="O49" s="68"/>
    </row>
    <row r="50" spans="1:15" ht="120" customHeight="1" x14ac:dyDescent="0.25">
      <c r="A50" s="460"/>
      <c r="B50" s="595" t="s">
        <v>461</v>
      </c>
      <c r="C50" s="596"/>
      <c r="D50" s="604"/>
      <c r="E50" s="604"/>
      <c r="F50" s="604"/>
      <c r="G50" s="604"/>
      <c r="H50" s="604"/>
      <c r="I50" s="604"/>
      <c r="J50" s="604"/>
      <c r="K50" s="604"/>
      <c r="L50" s="605"/>
      <c r="N50" s="68"/>
      <c r="O50" s="68"/>
    </row>
    <row r="51" spans="1:15" ht="45.95" customHeight="1" x14ac:dyDescent="0.25">
      <c r="A51" s="452"/>
      <c r="B51" s="595" t="s">
        <v>462</v>
      </c>
      <c r="C51" s="596"/>
      <c r="D51" s="604"/>
      <c r="E51" s="604"/>
      <c r="F51" s="604"/>
      <c r="G51" s="604"/>
      <c r="H51" s="604"/>
      <c r="I51" s="604"/>
      <c r="J51" s="604"/>
      <c r="K51" s="604"/>
      <c r="L51" s="605"/>
      <c r="N51" s="68"/>
      <c r="O51" s="68"/>
    </row>
    <row r="52" spans="1:15" ht="60.95" customHeight="1" x14ac:dyDescent="0.25">
      <c r="A52" s="452"/>
      <c r="B52" s="595" t="s">
        <v>489</v>
      </c>
      <c r="C52" s="596"/>
      <c r="D52" s="604"/>
      <c r="E52" s="604"/>
      <c r="F52" s="604"/>
      <c r="G52" s="604"/>
      <c r="H52" s="604"/>
      <c r="I52" s="604"/>
      <c r="J52" s="604"/>
      <c r="K52" s="604"/>
      <c r="L52" s="605"/>
      <c r="N52" s="68"/>
      <c r="O52" s="68"/>
    </row>
    <row r="53" spans="1:15" ht="9" customHeight="1" thickBot="1" x14ac:dyDescent="0.3">
      <c r="A53" s="452"/>
      <c r="B53" s="624"/>
      <c r="C53" s="625"/>
      <c r="D53" s="623"/>
      <c r="E53" s="623"/>
      <c r="F53" s="623"/>
      <c r="G53" s="623"/>
      <c r="H53" s="623"/>
      <c r="I53" s="623"/>
      <c r="J53" s="623"/>
      <c r="K53" s="623"/>
      <c r="L53" s="623"/>
      <c r="N53" s="68"/>
      <c r="O53" s="68"/>
    </row>
    <row r="54" spans="1:15" ht="18" customHeight="1" x14ac:dyDescent="0.25">
      <c r="A54" s="529">
        <f>A47-1</f>
        <v>-4</v>
      </c>
      <c r="B54" s="530" t="s">
        <v>197</v>
      </c>
      <c r="C54" s="521"/>
      <c r="D54" s="522"/>
      <c r="E54" s="523"/>
      <c r="F54" s="523"/>
      <c r="G54" s="531"/>
      <c r="H54" s="525"/>
      <c r="I54" s="526"/>
      <c r="J54" s="525"/>
      <c r="K54" s="527"/>
      <c r="L54" s="528"/>
      <c r="M54" s="333"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266</v>
      </c>
      <c r="C55" s="454"/>
      <c r="D55" s="455"/>
      <c r="E55" s="456"/>
      <c r="F55" s="456"/>
      <c r="G55" s="457"/>
      <c r="H55" s="458"/>
      <c r="I55" s="465"/>
      <c r="J55" s="466"/>
      <c r="K55" s="467"/>
      <c r="L55" s="468"/>
      <c r="M55" s="333" t="str">
        <f>IF(OR(H54=1,H54=2,H54=3,H54=7,H54=8,H54=9,ISBLANK(H54)),"",
IF(COUNTBLANK(C55:H55)&gt;0,"←ERROR! Fill out all of the required information in the current line.",
))</f>
        <v/>
      </c>
      <c r="N55" s="68"/>
      <c r="O55" s="68"/>
    </row>
    <row r="56" spans="1:15" ht="90" customHeight="1" x14ac:dyDescent="0.25">
      <c r="A56" s="459"/>
      <c r="B56" s="626" t="s">
        <v>463</v>
      </c>
      <c r="C56" s="627"/>
      <c r="D56" s="630"/>
      <c r="E56" s="630"/>
      <c r="F56" s="630"/>
      <c r="G56" s="630"/>
      <c r="H56" s="630"/>
      <c r="I56" s="630"/>
      <c r="J56" s="630"/>
      <c r="K56" s="630"/>
      <c r="L56" s="631"/>
      <c r="M56" s="333" t="str">
        <f>IF(LEN(TRIM(CLEAN(D56)))=0,"←ERROR! Detailed explanation was not provided.","")</f>
        <v>←ERROR! Detailed explanation was not provided.</v>
      </c>
      <c r="N56" s="68"/>
      <c r="O56" s="68"/>
    </row>
    <row r="57" spans="1:15" ht="120" customHeight="1" x14ac:dyDescent="0.25">
      <c r="A57" s="462"/>
      <c r="B57" s="626" t="s">
        <v>461</v>
      </c>
      <c r="C57" s="627"/>
      <c r="D57" s="630"/>
      <c r="E57" s="630"/>
      <c r="F57" s="630"/>
      <c r="G57" s="630"/>
      <c r="H57" s="630"/>
      <c r="I57" s="630"/>
      <c r="J57" s="630"/>
      <c r="K57" s="630"/>
      <c r="L57" s="631"/>
      <c r="N57" s="68"/>
      <c r="O57" s="68"/>
    </row>
    <row r="58" spans="1:15" ht="45.95" customHeight="1" x14ac:dyDescent="0.25">
      <c r="A58" s="459"/>
      <c r="B58" s="626" t="s">
        <v>462</v>
      </c>
      <c r="C58" s="627"/>
      <c r="D58" s="630"/>
      <c r="E58" s="630"/>
      <c r="F58" s="630"/>
      <c r="G58" s="630"/>
      <c r="H58" s="630"/>
      <c r="I58" s="630"/>
      <c r="J58" s="630"/>
      <c r="K58" s="630"/>
      <c r="L58" s="631"/>
      <c r="N58" s="68"/>
      <c r="O58" s="68"/>
    </row>
    <row r="59" spans="1:15" ht="60.95" customHeight="1" x14ac:dyDescent="0.25">
      <c r="A59" s="459"/>
      <c r="B59" s="626" t="s">
        <v>489</v>
      </c>
      <c r="C59" s="627"/>
      <c r="D59" s="630"/>
      <c r="E59" s="630"/>
      <c r="F59" s="630"/>
      <c r="G59" s="630"/>
      <c r="H59" s="630"/>
      <c r="I59" s="630"/>
      <c r="J59" s="630"/>
      <c r="K59" s="630"/>
      <c r="L59" s="631"/>
      <c r="N59" s="68"/>
      <c r="O59" s="68"/>
    </row>
    <row r="60" spans="1:15" ht="9" customHeight="1" thickBot="1" x14ac:dyDescent="0.3">
      <c r="A60" s="532"/>
      <c r="B60" s="628"/>
      <c r="C60" s="629"/>
      <c r="D60" s="609"/>
      <c r="E60" s="609"/>
      <c r="F60" s="609"/>
      <c r="G60" s="609"/>
      <c r="H60" s="609"/>
      <c r="I60" s="609"/>
      <c r="J60" s="609"/>
      <c r="K60" s="609"/>
      <c r="L60" s="609"/>
      <c r="N60" s="68"/>
      <c r="O60" s="68"/>
    </row>
    <row r="61" spans="1:15" ht="3.75" customHeight="1" x14ac:dyDescent="0.25"/>
    <row r="62" spans="1:15" ht="17.25" x14ac:dyDescent="0.25">
      <c r="B62" s="47" t="s">
        <v>459</v>
      </c>
    </row>
    <row r="63" spans="1:15" x14ac:dyDescent="0.25">
      <c r="B63" s="450" t="s">
        <v>460</v>
      </c>
    </row>
    <row r="64" spans="1:15" ht="17.25" customHeight="1" x14ac:dyDescent="0.25">
      <c r="B64" s="47" t="s">
        <v>278</v>
      </c>
    </row>
    <row r="65" spans="2:12" ht="17.25" x14ac:dyDescent="0.25">
      <c r="B65" s="47" t="s">
        <v>498</v>
      </c>
    </row>
    <row r="66" spans="2:12" x14ac:dyDescent="0.25">
      <c r="B66" s="47"/>
    </row>
    <row r="67" spans="2:12" ht="15.75" thickBot="1" x14ac:dyDescent="0.3">
      <c r="B67" s="1" t="s">
        <v>467</v>
      </c>
      <c r="F67" s="147"/>
      <c r="G67"/>
    </row>
    <row r="68" spans="2:12" ht="15" customHeight="1" x14ac:dyDescent="0.25">
      <c r="B68" s="614"/>
      <c r="C68" s="615"/>
      <c r="D68" s="615"/>
      <c r="E68" s="615"/>
      <c r="F68" s="615"/>
      <c r="G68" s="615"/>
      <c r="H68" s="615"/>
      <c r="I68" s="615"/>
      <c r="J68" s="615"/>
      <c r="K68" s="615"/>
      <c r="L68" s="616"/>
    </row>
    <row r="69" spans="2:12" x14ac:dyDescent="0.25">
      <c r="B69" s="617"/>
      <c r="C69" s="618"/>
      <c r="D69" s="618"/>
      <c r="E69" s="618"/>
      <c r="F69" s="618"/>
      <c r="G69" s="618"/>
      <c r="H69" s="618"/>
      <c r="I69" s="618"/>
      <c r="J69" s="618"/>
      <c r="K69" s="618"/>
      <c r="L69" s="619"/>
    </row>
    <row r="70" spans="2:12" x14ac:dyDescent="0.25">
      <c r="B70" s="617"/>
      <c r="C70" s="618"/>
      <c r="D70" s="618"/>
      <c r="E70" s="618"/>
      <c r="F70" s="618"/>
      <c r="G70" s="618"/>
      <c r="H70" s="618"/>
      <c r="I70" s="618"/>
      <c r="J70" s="618"/>
      <c r="K70" s="618"/>
      <c r="L70" s="619"/>
    </row>
    <row r="71" spans="2:12" x14ac:dyDescent="0.25">
      <c r="B71" s="617"/>
      <c r="C71" s="618"/>
      <c r="D71" s="618"/>
      <c r="E71" s="618"/>
      <c r="F71" s="618"/>
      <c r="G71" s="618"/>
      <c r="H71" s="618"/>
      <c r="I71" s="618"/>
      <c r="J71" s="618"/>
      <c r="K71" s="618"/>
      <c r="L71" s="619"/>
    </row>
    <row r="72" spans="2:12" x14ac:dyDescent="0.25">
      <c r="B72" s="617"/>
      <c r="C72" s="618"/>
      <c r="D72" s="618"/>
      <c r="E72" s="618"/>
      <c r="F72" s="618"/>
      <c r="G72" s="618"/>
      <c r="H72" s="618"/>
      <c r="I72" s="618"/>
      <c r="J72" s="618"/>
      <c r="K72" s="618"/>
      <c r="L72" s="619"/>
    </row>
    <row r="73" spans="2:12" x14ac:dyDescent="0.25">
      <c r="B73" s="617"/>
      <c r="C73" s="618"/>
      <c r="D73" s="618"/>
      <c r="E73" s="618"/>
      <c r="F73" s="618"/>
      <c r="G73" s="618"/>
      <c r="H73" s="618"/>
      <c r="I73" s="618"/>
      <c r="J73" s="618"/>
      <c r="K73" s="618"/>
      <c r="L73" s="619"/>
    </row>
    <row r="74" spans="2:12" x14ac:dyDescent="0.25">
      <c r="B74" s="617"/>
      <c r="C74" s="618"/>
      <c r="D74" s="618"/>
      <c r="E74" s="618"/>
      <c r="F74" s="618"/>
      <c r="G74" s="618"/>
      <c r="H74" s="618"/>
      <c r="I74" s="618"/>
      <c r="J74" s="618"/>
      <c r="K74" s="618"/>
      <c r="L74" s="619"/>
    </row>
    <row r="75" spans="2:12" x14ac:dyDescent="0.25">
      <c r="B75" s="617"/>
      <c r="C75" s="618"/>
      <c r="D75" s="618"/>
      <c r="E75" s="618"/>
      <c r="F75" s="618"/>
      <c r="G75" s="618"/>
      <c r="H75" s="618"/>
      <c r="I75" s="618"/>
      <c r="J75" s="618"/>
      <c r="K75" s="618"/>
      <c r="L75" s="619"/>
    </row>
    <row r="76" spans="2:12" ht="15.75" thickBot="1" x14ac:dyDescent="0.3">
      <c r="B76" s="620"/>
      <c r="C76" s="621"/>
      <c r="D76" s="621"/>
      <c r="E76" s="621"/>
      <c r="F76" s="621"/>
      <c r="G76" s="621"/>
      <c r="H76" s="621"/>
      <c r="I76" s="621"/>
      <c r="J76" s="621"/>
      <c r="K76" s="621"/>
      <c r="L76" s="622"/>
    </row>
  </sheetData>
  <sheetProtection algorithmName="SHA-512" hashValue="qGfrn0fSmY76sAqouifElN6zybkNZtKeEAEvSKaqkacMsvw05kqhS7DGiJMS/PGWzGJBJCko406mfXDglJHnfw==" saltValue="KKMDeFV8trbS1eas1OGckQ=="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8:L76"/>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9"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68</v>
      </c>
      <c r="B1" s="10"/>
      <c r="C1" s="157" t="s">
        <v>70</v>
      </c>
      <c r="D1" s="158" t="str">
        <f>Co_Name</f>
        <v>State Farm General Insurance Company</v>
      </c>
      <c r="H1" s="158"/>
      <c r="I1" s="157"/>
    </row>
    <row r="2" spans="1:14" x14ac:dyDescent="0.25">
      <c r="A2" s="10" t="s">
        <v>69</v>
      </c>
      <c r="B2" s="10"/>
      <c r="C2" s="157" t="s">
        <v>71</v>
      </c>
      <c r="D2" s="158" t="str">
        <f>General_Line</f>
        <v>Homeowners</v>
      </c>
      <c r="H2" s="158"/>
      <c r="I2" s="157"/>
    </row>
    <row r="3" spans="1:14" x14ac:dyDescent="0.25">
      <c r="B3" s="164"/>
    </row>
    <row r="4" spans="1:14" ht="23.25" x14ac:dyDescent="0.25">
      <c r="A4" s="5" t="s">
        <v>407</v>
      </c>
      <c r="B4" s="5"/>
      <c r="C4" s="145"/>
      <c r="D4" s="145"/>
      <c r="F4" s="145"/>
      <c r="G4" s="145"/>
      <c r="H4" s="145"/>
      <c r="I4" s="145"/>
      <c r="J4" s="145"/>
      <c r="K4" s="145"/>
      <c r="L4" s="145"/>
      <c r="M4" s="145"/>
      <c r="N4" s="145"/>
    </row>
    <row r="6" spans="1:14" x14ac:dyDescent="0.25">
      <c r="A6" s="47" t="s">
        <v>252</v>
      </c>
    </row>
    <row r="7" spans="1:14" x14ac:dyDescent="0.25">
      <c r="A7" s="47" t="s">
        <v>315</v>
      </c>
    </row>
    <row r="9" spans="1:14" ht="18" customHeight="1" x14ac:dyDescent="0.25">
      <c r="A9" s="47" t="s">
        <v>201</v>
      </c>
    </row>
    <row r="10" spans="1:14" ht="24.95" customHeight="1" x14ac:dyDescent="0.25">
      <c r="B10" s="47" t="s">
        <v>203</v>
      </c>
    </row>
    <row r="11" spans="1:14" ht="24.95" customHeight="1" x14ac:dyDescent="0.25">
      <c r="B11" s="47" t="s">
        <v>202</v>
      </c>
    </row>
    <row r="12" spans="1:14" ht="24.95" customHeight="1" x14ac:dyDescent="0.25">
      <c r="B12" s="47" t="s">
        <v>273</v>
      </c>
      <c r="E12" s="22" t="b">
        <v>0</v>
      </c>
    </row>
    <row r="13" spans="1:14" ht="24.95" customHeight="1" x14ac:dyDescent="0.25">
      <c r="B13" s="47" t="s">
        <v>206</v>
      </c>
    </row>
    <row r="14" spans="1:14" ht="24.75" customHeight="1" x14ac:dyDescent="0.25">
      <c r="B14" s="47" t="s">
        <v>270</v>
      </c>
    </row>
    <row r="15" spans="1:14" ht="9.75" customHeight="1" x14ac:dyDescent="0.25"/>
    <row r="16" spans="1:14" ht="18" customHeight="1" x14ac:dyDescent="0.25">
      <c r="A16" s="231" t="s">
        <v>267</v>
      </c>
    </row>
    <row r="17" spans="1:6" ht="24.95" customHeight="1" x14ac:dyDescent="0.25">
      <c r="B17" s="47" t="s">
        <v>272</v>
      </c>
    </row>
    <row r="18" spans="1:6" ht="24.95" customHeight="1" x14ac:dyDescent="0.25">
      <c r="B18" s="28" t="s">
        <v>316</v>
      </c>
    </row>
    <row r="19" spans="1:6" ht="24.95" customHeight="1" x14ac:dyDescent="0.25">
      <c r="B19" s="47" t="s">
        <v>268</v>
      </c>
    </row>
    <row r="20" spans="1:6" ht="24.95" customHeight="1" x14ac:dyDescent="0.25">
      <c r="B20" s="47" t="s">
        <v>211</v>
      </c>
    </row>
    <row r="21" spans="1:6" ht="24.95" customHeight="1" x14ac:dyDescent="0.25">
      <c r="B21" s="28" t="s">
        <v>317</v>
      </c>
    </row>
    <row r="22" spans="1:6" ht="24.95" customHeight="1" x14ac:dyDescent="0.25">
      <c r="B22" s="47" t="s">
        <v>274</v>
      </c>
    </row>
    <row r="23" spans="1:6" ht="24.95" customHeight="1" x14ac:dyDescent="0.25">
      <c r="B23" s="28" t="s">
        <v>318</v>
      </c>
    </row>
    <row r="24" spans="1:6" ht="24.95" customHeight="1" x14ac:dyDescent="0.25">
      <c r="B24" s="47" t="s">
        <v>207</v>
      </c>
    </row>
    <row r="25" spans="1:6" ht="18" customHeight="1" x14ac:dyDescent="0.25">
      <c r="B25" s="28" t="s">
        <v>204</v>
      </c>
    </row>
    <row r="26" spans="1:6" ht="18" customHeight="1" x14ac:dyDescent="0.25">
      <c r="B26" s="28" t="s">
        <v>205</v>
      </c>
    </row>
    <row r="27" spans="1:6" ht="9.9499999999999993" customHeight="1" x14ac:dyDescent="0.25"/>
    <row r="28" spans="1:6" ht="18" customHeight="1" x14ac:dyDescent="0.25">
      <c r="A28" s="47" t="s">
        <v>210</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208</v>
      </c>
    </row>
    <row r="31" spans="1:6" ht="24.95" customHeight="1" x14ac:dyDescent="0.25">
      <c r="B31" s="47" t="s">
        <v>319</v>
      </c>
    </row>
    <row r="32" spans="1:6" ht="24.95" customHeight="1" x14ac:dyDescent="0.25">
      <c r="B32" s="47" t="s">
        <v>209</v>
      </c>
    </row>
    <row r="33" spans="1:2" ht="24.95" customHeight="1" x14ac:dyDescent="0.25">
      <c r="B33" s="47" t="s">
        <v>212</v>
      </c>
    </row>
    <row r="34" spans="1:2" ht="24.95" customHeight="1" x14ac:dyDescent="0.25">
      <c r="B34" s="28" t="s">
        <v>318</v>
      </c>
    </row>
    <row r="36" spans="1:2" ht="18" customHeight="1" x14ac:dyDescent="0.25">
      <c r="A36" s="47" t="s">
        <v>276</v>
      </c>
    </row>
    <row r="37" spans="1:2" ht="18" customHeight="1" x14ac:dyDescent="0.25">
      <c r="A37" s="47" t="s">
        <v>320</v>
      </c>
    </row>
    <row r="39" spans="1:2" ht="17.25" x14ac:dyDescent="0.25">
      <c r="A39" s="47" t="s">
        <v>271</v>
      </c>
    </row>
    <row r="40" spans="1:2" x14ac:dyDescent="0.25">
      <c r="A40" s="62" t="s">
        <v>269</v>
      </c>
    </row>
  </sheetData>
  <sheetProtection algorithmName="SHA-512" hashValue="ieSC0GBCNM+00YowhBTibRr4QvVhQ558P7xhQCSZzxwhXtXYAZ66/C5S9StR+/C7DP5aiz6hXZzRZI5UDhQLMg==" saltValue="qM0z3t9cy/yuUlFYWe1Dag==" spinCount="100000" sheet="1" objects="1" scenarios="1" formatColumns="0" formatRows="0" sort="0"/>
  <pageMargins left="0.7" right="0.7" top="0.75" bottom="0.75" header="0.3" footer="0.05"/>
  <pageSetup scale="70"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68</v>
      </c>
      <c r="E1" s="36" t="s">
        <v>70</v>
      </c>
      <c r="G1" s="35" t="str">
        <f>Co_Name</f>
        <v>State Farm General Insurance Company</v>
      </c>
      <c r="I1" s="48"/>
    </row>
    <row r="2" spans="1:10" x14ac:dyDescent="0.25">
      <c r="A2" s="20" t="s">
        <v>69</v>
      </c>
      <c r="E2" s="36" t="s">
        <v>71</v>
      </c>
      <c r="G2" s="35" t="str">
        <f>General_Line</f>
        <v>Homeowners</v>
      </c>
      <c r="I2" s="48"/>
    </row>
    <row r="3" spans="1:10" x14ac:dyDescent="0.25">
      <c r="B3" s="165"/>
      <c r="I3" s="48"/>
    </row>
    <row r="4" spans="1:10" ht="23.25" x14ac:dyDescent="0.25">
      <c r="A4" s="5" t="s">
        <v>327</v>
      </c>
      <c r="B4" s="3"/>
      <c r="C4" s="3"/>
      <c r="D4" s="3"/>
      <c r="E4" s="3"/>
      <c r="F4" s="3"/>
      <c r="G4" s="3"/>
      <c r="I4" s="232"/>
    </row>
    <row r="5" spans="1:10" x14ac:dyDescent="0.25">
      <c r="I5" s="48"/>
    </row>
    <row r="6" spans="1:10" x14ac:dyDescent="0.25">
      <c r="A6" t="s">
        <v>244</v>
      </c>
      <c r="I6" s="48"/>
    </row>
    <row r="7" spans="1:10" x14ac:dyDescent="0.25">
      <c r="A7" s="2" t="s">
        <v>243</v>
      </c>
      <c r="I7" s="48"/>
    </row>
    <row r="8" spans="1:10" ht="5.0999999999999996" customHeight="1" x14ac:dyDescent="0.25">
      <c r="A8" s="2"/>
      <c r="I8" s="48"/>
    </row>
    <row r="9" spans="1:10" x14ac:dyDescent="0.25">
      <c r="A9" t="s">
        <v>245</v>
      </c>
      <c r="I9" s="48"/>
    </row>
    <row r="10" spans="1:10" x14ac:dyDescent="0.25">
      <c r="A10" s="2" t="s">
        <v>251</v>
      </c>
      <c r="I10" s="48"/>
    </row>
    <row r="11" spans="1:10" ht="15.75" thickBot="1" x14ac:dyDescent="0.3">
      <c r="I11" s="48"/>
    </row>
    <row r="12" spans="1:10" ht="195" x14ac:dyDescent="0.25">
      <c r="A12" s="107"/>
      <c r="B12" s="108"/>
      <c r="C12" s="108"/>
      <c r="D12" s="227" t="s">
        <v>172</v>
      </c>
      <c r="E12" s="227" t="s">
        <v>179</v>
      </c>
      <c r="F12" s="227" t="s">
        <v>173</v>
      </c>
      <c r="G12" s="109" t="s">
        <v>180</v>
      </c>
      <c r="H12" s="105" t="s">
        <v>178</v>
      </c>
      <c r="I12" s="48"/>
    </row>
    <row r="13" spans="1:10" ht="5.0999999999999996" customHeight="1" thickBot="1" x14ac:dyDescent="0.3">
      <c r="A13" s="113"/>
      <c r="B13" s="111"/>
      <c r="C13" s="111"/>
      <c r="D13" s="226"/>
      <c r="E13" s="226"/>
      <c r="F13" s="226"/>
      <c r="G13" s="114"/>
      <c r="H13" s="4"/>
      <c r="I13" s="48"/>
    </row>
    <row r="14" spans="1:10" ht="18" customHeight="1" x14ac:dyDescent="0.25">
      <c r="A14" s="115" t="s">
        <v>338</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181</v>
      </c>
      <c r="B16" s="125" t="s">
        <v>107</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7" t="str">
        <f>INDEX(List_Variances,$H16,2)</f>
        <v/>
      </c>
      <c r="B18" s="638"/>
      <c r="C18" s="638"/>
      <c r="D18" s="638"/>
      <c r="E18" s="638"/>
      <c r="F18" s="638"/>
      <c r="G18" s="639"/>
      <c r="H18" s="4"/>
      <c r="I18" s="48"/>
    </row>
    <row r="19" spans="1:9" ht="24.95" customHeight="1" thickBot="1" x14ac:dyDescent="0.3">
      <c r="A19" s="640"/>
      <c r="B19" s="641"/>
      <c r="C19" s="641"/>
      <c r="D19" s="641"/>
      <c r="E19" s="641"/>
      <c r="F19" s="641"/>
      <c r="G19" s="642"/>
      <c r="H19" s="4"/>
      <c r="I19" s="48"/>
    </row>
    <row r="20" spans="1:9" ht="18" customHeight="1" x14ac:dyDescent="0.25">
      <c r="A20" s="115" t="s">
        <v>174</v>
      </c>
      <c r="B20" s="125" t="s">
        <v>107</v>
      </c>
      <c r="C20" s="116"/>
      <c r="D20" s="195"/>
      <c r="E20" s="123" t="str">
        <f>IF(ISBLANK(D20),"",D20-D$14)</f>
        <v/>
      </c>
      <c r="F20" s="195"/>
      <c r="G20" s="124" t="str">
        <f>IF(ISBLANK(F20),"",F20-F$14)</f>
        <v/>
      </c>
      <c r="H20" s="178">
        <v>23</v>
      </c>
      <c r="I20" s="48"/>
    </row>
    <row r="21" spans="1:9" ht="24.75" customHeight="1" x14ac:dyDescent="0.25">
      <c r="A21" s="637" t="str">
        <f>INDEX(List_Variances,$H20,2)</f>
        <v/>
      </c>
      <c r="B21" s="638"/>
      <c r="C21" s="638"/>
      <c r="D21" s="638"/>
      <c r="E21" s="638"/>
      <c r="F21" s="638"/>
      <c r="G21" s="639"/>
      <c r="H21" s="4"/>
      <c r="I21" s="48"/>
    </row>
    <row r="22" spans="1:9" ht="24.75" customHeight="1" thickBot="1" x14ac:dyDescent="0.3">
      <c r="A22" s="640"/>
      <c r="B22" s="641"/>
      <c r="C22" s="641"/>
      <c r="D22" s="641"/>
      <c r="E22" s="641"/>
      <c r="F22" s="641"/>
      <c r="G22" s="642"/>
      <c r="H22" s="4"/>
      <c r="I22" s="48"/>
    </row>
    <row r="23" spans="1:9" ht="18" customHeight="1" x14ac:dyDescent="0.25">
      <c r="A23" s="115" t="s">
        <v>175</v>
      </c>
      <c r="B23" s="125" t="s">
        <v>107</v>
      </c>
      <c r="C23" s="116"/>
      <c r="D23" s="195"/>
      <c r="E23" s="123" t="str">
        <f>IF(ISBLANK(D23),"",D23-D$14)</f>
        <v/>
      </c>
      <c r="F23" s="195"/>
      <c r="G23" s="124" t="str">
        <f>IF(ISBLANK(F23),"",F23-F$14)</f>
        <v/>
      </c>
      <c r="H23" s="178">
        <v>23</v>
      </c>
      <c r="I23" s="48"/>
    </row>
    <row r="24" spans="1:9" ht="24.75" customHeight="1" x14ac:dyDescent="0.25">
      <c r="A24" s="637" t="str">
        <f>INDEX(List_Variances,$H23,2)</f>
        <v/>
      </c>
      <c r="B24" s="638"/>
      <c r="C24" s="638"/>
      <c r="D24" s="638"/>
      <c r="E24" s="638"/>
      <c r="F24" s="638"/>
      <c r="G24" s="639"/>
      <c r="H24" s="4"/>
      <c r="I24" s="48"/>
    </row>
    <row r="25" spans="1:9" ht="24.75" customHeight="1" thickBot="1" x14ac:dyDescent="0.3">
      <c r="A25" s="640"/>
      <c r="B25" s="641"/>
      <c r="C25" s="641"/>
      <c r="D25" s="641"/>
      <c r="E25" s="641"/>
      <c r="F25" s="641"/>
      <c r="G25" s="642"/>
      <c r="H25" s="4"/>
      <c r="I25" s="48"/>
    </row>
    <row r="26" spans="1:9" ht="18" customHeight="1" x14ac:dyDescent="0.25">
      <c r="A26" s="115" t="s">
        <v>176</v>
      </c>
      <c r="B26" s="125" t="s">
        <v>107</v>
      </c>
      <c r="C26" s="116"/>
      <c r="D26" s="195"/>
      <c r="E26" s="123" t="str">
        <f>IF(ISBLANK(D26),"",D26-D$14)</f>
        <v/>
      </c>
      <c r="F26" s="195"/>
      <c r="G26" s="124" t="str">
        <f>IF(ISBLANK(F26),"",F26-F$14)</f>
        <v/>
      </c>
      <c r="H26" s="178">
        <v>23</v>
      </c>
      <c r="I26" s="48"/>
    </row>
    <row r="27" spans="1:9" ht="24.75" customHeight="1" x14ac:dyDescent="0.25">
      <c r="A27" s="637" t="str">
        <f>INDEX(List_Variances,$H26,2)</f>
        <v/>
      </c>
      <c r="B27" s="638"/>
      <c r="C27" s="638"/>
      <c r="D27" s="638"/>
      <c r="E27" s="638"/>
      <c r="F27" s="638"/>
      <c r="G27" s="639"/>
      <c r="H27" s="4"/>
      <c r="I27" s="48"/>
    </row>
    <row r="28" spans="1:9" ht="24.75" customHeight="1" thickBot="1" x14ac:dyDescent="0.3">
      <c r="A28" s="640"/>
      <c r="B28" s="641"/>
      <c r="C28" s="641"/>
      <c r="D28" s="641"/>
      <c r="E28" s="641"/>
      <c r="F28" s="641"/>
      <c r="G28" s="642"/>
      <c r="H28" s="4"/>
      <c r="I28" s="48"/>
    </row>
    <row r="29" spans="1:9" ht="18" customHeight="1" x14ac:dyDescent="0.25">
      <c r="A29" s="115" t="s">
        <v>177</v>
      </c>
      <c r="B29" s="125" t="s">
        <v>107</v>
      </c>
      <c r="C29" s="116"/>
      <c r="D29" s="195"/>
      <c r="E29" s="123" t="str">
        <f>IF(ISBLANK(D29),"",D29-D$14)</f>
        <v/>
      </c>
      <c r="F29" s="195"/>
      <c r="G29" s="124" t="str">
        <f>IF(ISBLANK(F29),"",F29-F$14)</f>
        <v/>
      </c>
      <c r="H29" s="178">
        <v>23</v>
      </c>
      <c r="I29" s="48"/>
    </row>
    <row r="30" spans="1:9" ht="24.75" customHeight="1" x14ac:dyDescent="0.25">
      <c r="A30" s="637" t="str">
        <f>INDEX(List_Variances,$H29,2)</f>
        <v/>
      </c>
      <c r="B30" s="638"/>
      <c r="C30" s="638"/>
      <c r="D30" s="638"/>
      <c r="E30" s="638"/>
      <c r="F30" s="638"/>
      <c r="G30" s="639"/>
      <c r="H30" s="4"/>
      <c r="I30" s="48"/>
    </row>
    <row r="31" spans="1:9" ht="24.75" customHeight="1" thickBot="1" x14ac:dyDescent="0.3">
      <c r="A31" s="640"/>
      <c r="B31" s="641"/>
      <c r="C31" s="641"/>
      <c r="D31" s="641"/>
      <c r="E31" s="641"/>
      <c r="F31" s="641"/>
      <c r="G31" s="642"/>
      <c r="H31" s="4"/>
      <c r="I31" s="48"/>
    </row>
    <row r="32" spans="1:9" ht="18" customHeight="1" x14ac:dyDescent="0.25">
      <c r="A32" s="115" t="s">
        <v>339</v>
      </c>
      <c r="B32" s="125" t="s">
        <v>107</v>
      </c>
      <c r="C32" s="116"/>
      <c r="D32" s="195"/>
      <c r="E32" s="123" t="str">
        <f>IF(ISBLANK(D32),"",D32-D$14)</f>
        <v/>
      </c>
      <c r="F32" s="195"/>
      <c r="G32" s="124" t="str">
        <f>IF(ISBLANK(F32),"",F32-F$14)</f>
        <v/>
      </c>
      <c r="H32" s="178">
        <v>23</v>
      </c>
      <c r="I32" s="48"/>
    </row>
    <row r="33" spans="1:9" ht="24.75" customHeight="1" x14ac:dyDescent="0.25">
      <c r="A33" s="637" t="str">
        <f>INDEX(List_Variances,$H32,2)</f>
        <v/>
      </c>
      <c r="B33" s="638"/>
      <c r="C33" s="638"/>
      <c r="D33" s="638"/>
      <c r="E33" s="638"/>
      <c r="F33" s="638"/>
      <c r="G33" s="639"/>
      <c r="I33" s="48"/>
    </row>
    <row r="34" spans="1:9" ht="15.75" thickBot="1" x14ac:dyDescent="0.3">
      <c r="A34" s="640"/>
      <c r="B34" s="641"/>
      <c r="C34" s="641"/>
      <c r="D34" s="641"/>
      <c r="E34" s="641"/>
      <c r="F34" s="641"/>
      <c r="G34" s="642"/>
      <c r="I34" s="48"/>
    </row>
    <row r="35" spans="1:9" ht="18" customHeight="1" x14ac:dyDescent="0.25">
      <c r="A35" s="115" t="s">
        <v>340</v>
      </c>
      <c r="B35" s="125" t="s">
        <v>107</v>
      </c>
      <c r="C35" s="116"/>
      <c r="D35" s="195"/>
      <c r="E35" s="123" t="str">
        <f>IF(ISBLANK(D35),"",D35-D$14)</f>
        <v/>
      </c>
      <c r="F35" s="195"/>
      <c r="G35" s="124" t="str">
        <f>IF(ISBLANK(F35),"",F35-F$14)</f>
        <v/>
      </c>
      <c r="H35" s="178">
        <v>23</v>
      </c>
      <c r="I35" s="48"/>
    </row>
    <row r="36" spans="1:9" ht="24.75" customHeight="1" x14ac:dyDescent="0.25">
      <c r="A36" s="637" t="str">
        <f>INDEX(List_Variances,$H35,2)</f>
        <v/>
      </c>
      <c r="B36" s="638"/>
      <c r="C36" s="638"/>
      <c r="D36" s="638"/>
      <c r="E36" s="638"/>
      <c r="F36" s="638"/>
      <c r="G36" s="639"/>
      <c r="I36" s="48"/>
    </row>
    <row r="37" spans="1:9" ht="15.75" thickBot="1" x14ac:dyDescent="0.3">
      <c r="A37" s="640"/>
      <c r="B37" s="641"/>
      <c r="C37" s="641"/>
      <c r="D37" s="641"/>
      <c r="E37" s="641"/>
      <c r="F37" s="641"/>
      <c r="G37" s="642"/>
      <c r="I37" s="48"/>
    </row>
    <row r="38" spans="1:9" ht="18" customHeight="1" x14ac:dyDescent="0.25">
      <c r="A38" s="115" t="s">
        <v>341</v>
      </c>
      <c r="B38" s="125" t="s">
        <v>107</v>
      </c>
      <c r="C38" s="116"/>
      <c r="D38" s="195"/>
      <c r="E38" s="123" t="str">
        <f>IF(ISBLANK(D38),"",D38-D$14)</f>
        <v/>
      </c>
      <c r="F38" s="195"/>
      <c r="G38" s="124" t="str">
        <f>IF(ISBLANK(F38),"",F38-F$14)</f>
        <v/>
      </c>
      <c r="H38" s="178">
        <v>23</v>
      </c>
      <c r="I38" s="48"/>
    </row>
    <row r="39" spans="1:9" ht="24.75" customHeight="1" x14ac:dyDescent="0.25">
      <c r="A39" s="637" t="str">
        <f>INDEX(List_Variances,$H38,2)</f>
        <v/>
      </c>
      <c r="B39" s="638"/>
      <c r="C39" s="638"/>
      <c r="D39" s="638"/>
      <c r="E39" s="638"/>
      <c r="F39" s="638"/>
      <c r="G39" s="639"/>
      <c r="I39" s="48"/>
    </row>
    <row r="40" spans="1:9" ht="15.75" thickBot="1" x14ac:dyDescent="0.3">
      <c r="A40" s="640"/>
      <c r="B40" s="641"/>
      <c r="C40" s="641"/>
      <c r="D40" s="641"/>
      <c r="E40" s="641"/>
      <c r="F40" s="641"/>
      <c r="G40" s="642"/>
      <c r="I40" s="48"/>
    </row>
    <row r="41" spans="1:9" ht="18" customHeight="1" x14ac:dyDescent="0.25">
      <c r="A41" s="115" t="s">
        <v>342</v>
      </c>
      <c r="B41" s="125" t="s">
        <v>107</v>
      </c>
      <c r="C41" s="116"/>
      <c r="D41" s="195"/>
      <c r="E41" s="123" t="str">
        <f>IF(ISBLANK(D41),"",D41-D$14)</f>
        <v/>
      </c>
      <c r="F41" s="195"/>
      <c r="G41" s="124" t="str">
        <f>IF(ISBLANK(F41),"",F41-F$14)</f>
        <v/>
      </c>
      <c r="H41" s="178">
        <v>23</v>
      </c>
      <c r="I41" s="48"/>
    </row>
    <row r="42" spans="1:9" ht="24.75" customHeight="1" x14ac:dyDescent="0.25">
      <c r="A42" s="637" t="str">
        <f>INDEX(List_Variances,$H41,2)</f>
        <v/>
      </c>
      <c r="B42" s="638"/>
      <c r="C42" s="638"/>
      <c r="D42" s="638"/>
      <c r="E42" s="638"/>
      <c r="F42" s="638"/>
      <c r="G42" s="639"/>
      <c r="I42" s="48"/>
    </row>
    <row r="43" spans="1:9" ht="15.75" thickBot="1" x14ac:dyDescent="0.3">
      <c r="A43" s="640"/>
      <c r="B43" s="641"/>
      <c r="C43" s="641"/>
      <c r="D43" s="641"/>
      <c r="E43" s="641"/>
      <c r="F43" s="641"/>
      <c r="G43" s="642"/>
      <c r="I43" s="48"/>
    </row>
    <row r="44" spans="1:9" ht="18" customHeight="1" x14ac:dyDescent="0.25">
      <c r="A44" s="115" t="s">
        <v>343</v>
      </c>
      <c r="B44" s="125" t="s">
        <v>107</v>
      </c>
      <c r="C44" s="116"/>
      <c r="D44" s="195"/>
      <c r="E44" s="123" t="str">
        <f>IF(ISBLANK(D44),"",D44-D$14)</f>
        <v/>
      </c>
      <c r="F44" s="195"/>
      <c r="G44" s="124" t="str">
        <f>IF(ISBLANK(F44),"",F44-F$14)</f>
        <v/>
      </c>
      <c r="H44" s="178">
        <v>23</v>
      </c>
      <c r="I44" s="48"/>
    </row>
    <row r="45" spans="1:9" ht="24.75" customHeight="1" x14ac:dyDescent="0.25">
      <c r="A45" s="637" t="str">
        <f>INDEX(List_Variances,$H44,2)</f>
        <v/>
      </c>
      <c r="B45" s="638"/>
      <c r="C45" s="638"/>
      <c r="D45" s="638"/>
      <c r="E45" s="638"/>
      <c r="F45" s="638"/>
      <c r="G45" s="639"/>
      <c r="I45" s="48"/>
    </row>
    <row r="46" spans="1:9" ht="15.75" thickBot="1" x14ac:dyDescent="0.3">
      <c r="A46" s="640"/>
      <c r="B46" s="641"/>
      <c r="C46" s="641"/>
      <c r="D46" s="641"/>
      <c r="E46" s="641"/>
      <c r="F46" s="641"/>
      <c r="G46" s="642"/>
      <c r="I46" s="48"/>
    </row>
    <row r="47" spans="1:9" x14ac:dyDescent="0.25">
      <c r="A47" s="115" t="s">
        <v>250</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vbdIclcPqCYTZrSYBirooQvnuOfTFZFt+ZtswUT2UsJiKYs4goSFHOB9pEata3EuHBRzItOV8Npn1SkdKtAflw==" saltValue="OpoETB7zvPT9znQDVKwlTA=="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05"/>
  <pageSetup scale="69" orientation="portrait" r:id="rId1"/>
  <headerFooter>
    <oddFooter xml:space="preserve">&amp;L1/3/2023 Edition
&amp;CPrior Approval Rate Application
Portions of the material contained in this document are protected by copyright owned by the State Farm Mutual Automobile Insurance Company, 2023&amp;RPage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565</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0</v>
      </c>
      <c r="M16" t="s">
        <v>441</v>
      </c>
    </row>
    <row r="17" spans="1:15" ht="15.75" customHeight="1" x14ac:dyDescent="0.25">
      <c r="B17" s="68" t="b">
        <v>0</v>
      </c>
      <c r="C17" t="s">
        <v>444</v>
      </c>
      <c r="G17" s="68" t="b">
        <v>1</v>
      </c>
      <c r="H17" t="s">
        <v>438</v>
      </c>
      <c r="L17" s="68" t="b">
        <v>0</v>
      </c>
      <c r="M17" t="s">
        <v>443</v>
      </c>
      <c r="N17" s="643"/>
      <c r="O17" s="643"/>
    </row>
    <row r="18" spans="1:15" ht="15.75" customHeight="1" x14ac:dyDescent="0.25">
      <c r="B18" s="68" t="b">
        <v>0</v>
      </c>
      <c r="C18" t="s">
        <v>452</v>
      </c>
      <c r="D18" s="578"/>
      <c r="E18" s="580"/>
      <c r="G18" s="68"/>
      <c r="L18" s="68"/>
      <c r="N18" s="554"/>
      <c r="O18" s="554"/>
    </row>
    <row r="20" spans="1:15" ht="15.75" hidden="1" customHeight="1" x14ac:dyDescent="0.25">
      <c r="A20" s="1" t="s">
        <v>442</v>
      </c>
    </row>
    <row r="21" spans="1:15" ht="15.75" hidden="1" customHeight="1" x14ac:dyDescent="0.25">
      <c r="B21" s="68" t="b">
        <v>0</v>
      </c>
      <c r="C21" t="s">
        <v>40</v>
      </c>
      <c r="G21" s="68" t="b">
        <v>1</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4"/>
      <c r="O30" s="554"/>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0</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554</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qxw4NELsPz/M4yaoY5bZzGPfGkqS15WnirswBQ4GjHj6dP9cJ1FKlFrgjGPuJjmjIRUhEo2i6VnZeWcKCiNKig==" saltValue="H+GCPbPILPXfBrRBR5e1M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566</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0</v>
      </c>
      <c r="M16" t="s">
        <v>441</v>
      </c>
    </row>
    <row r="17" spans="1:15" ht="15.75" customHeight="1" x14ac:dyDescent="0.25">
      <c r="B17" s="68" t="b">
        <v>0</v>
      </c>
      <c r="C17" t="s">
        <v>444</v>
      </c>
      <c r="G17" s="68" t="b">
        <v>1</v>
      </c>
      <c r="H17" t="s">
        <v>438</v>
      </c>
      <c r="L17" s="68" t="b">
        <v>0</v>
      </c>
      <c r="M17" t="s">
        <v>443</v>
      </c>
      <c r="N17" s="643"/>
      <c r="O17" s="643"/>
    </row>
    <row r="18" spans="1:15" ht="15.75" customHeight="1" x14ac:dyDescent="0.25">
      <c r="B18" s="68" t="b">
        <v>0</v>
      </c>
      <c r="C18" t="s">
        <v>452</v>
      </c>
      <c r="D18" s="578"/>
      <c r="E18" s="580"/>
      <c r="G18" s="68"/>
      <c r="L18" s="68"/>
      <c r="N18" s="556"/>
      <c r="O18" s="556"/>
    </row>
    <row r="20" spans="1:15" ht="15.75" hidden="1" customHeight="1" x14ac:dyDescent="0.25">
      <c r="A20" s="1" t="s">
        <v>442</v>
      </c>
    </row>
    <row r="21" spans="1:15" ht="15.75" hidden="1" customHeight="1" x14ac:dyDescent="0.25">
      <c r="B21" s="68" t="b">
        <v>0</v>
      </c>
      <c r="C21" t="s">
        <v>40</v>
      </c>
      <c r="G21" s="68" t="b">
        <v>0</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6"/>
      <c r="O30" s="556"/>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0</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556</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qCWF2akSpQmGct/dG094bHdsY/RB8FysxFibvccI03EpJ+llpLms+E918DsDtBnTu++31zs6DmVQQTpOL5VHRQ==" saltValue="5cP5lR3hrkHP61QnVllHJ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557</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1</v>
      </c>
      <c r="M16" t="s">
        <v>441</v>
      </c>
    </row>
    <row r="17" spans="1:15" ht="15.75" customHeight="1" x14ac:dyDescent="0.25">
      <c r="B17" s="68" t="b">
        <v>0</v>
      </c>
      <c r="C17" t="s">
        <v>444</v>
      </c>
      <c r="G17" s="68" t="b">
        <v>0</v>
      </c>
      <c r="H17" t="s">
        <v>438</v>
      </c>
      <c r="L17" s="68" t="b">
        <v>0</v>
      </c>
      <c r="M17" t="s">
        <v>443</v>
      </c>
      <c r="N17" s="643"/>
      <c r="O17" s="643"/>
    </row>
    <row r="18" spans="1:15" ht="15.75" customHeight="1" x14ac:dyDescent="0.25">
      <c r="B18" s="68" t="b">
        <v>0</v>
      </c>
      <c r="C18" t="s">
        <v>452</v>
      </c>
      <c r="D18" s="578"/>
      <c r="E18" s="580"/>
      <c r="G18" s="68"/>
      <c r="L18" s="68"/>
      <c r="N18" s="557"/>
      <c r="O18" s="557"/>
    </row>
    <row r="20" spans="1:15" ht="15.75" hidden="1" customHeight="1" x14ac:dyDescent="0.25">
      <c r="A20" s="1" t="s">
        <v>442</v>
      </c>
    </row>
    <row r="21" spans="1:15" ht="15.75" hidden="1" customHeight="1" x14ac:dyDescent="0.25">
      <c r="B21" s="68" t="b">
        <v>0</v>
      </c>
      <c r="C21" t="s">
        <v>40</v>
      </c>
      <c r="G21" s="68" t="b">
        <v>1</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7"/>
      <c r="O30" s="557"/>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0</v>
      </c>
      <c r="H38" s="644" t="s">
        <v>432</v>
      </c>
      <c r="I38" s="644"/>
      <c r="J38" s="644"/>
      <c r="L38" s="68" t="b">
        <v>0</v>
      </c>
      <c r="M38" s="48" t="s">
        <v>431</v>
      </c>
      <c r="N38" s="48"/>
      <c r="O38" s="48"/>
      <c r="P38" s="48"/>
    </row>
    <row r="39" spans="1:16" ht="15.75" customHeight="1" x14ac:dyDescent="0.25">
      <c r="B39" s="68" t="b">
        <v>1</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558</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TtKWssioQadTTSwEtdvFwyMQL/aCL9rYaWot6DDcJp4+J0CtSb8gx1ZR6pM/mkfu7Y4h+ctbFTJ1XZBaSWLYaQ==" saltValue="GL09Jr+b4k3B7KFIozQvN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559</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1</v>
      </c>
      <c r="M16" t="s">
        <v>441</v>
      </c>
    </row>
    <row r="17" spans="1:15" ht="15.75" customHeight="1" x14ac:dyDescent="0.25">
      <c r="B17" s="68" t="b">
        <v>0</v>
      </c>
      <c r="C17" t="s">
        <v>444</v>
      </c>
      <c r="G17" s="68" t="b">
        <v>0</v>
      </c>
      <c r="H17" t="s">
        <v>438</v>
      </c>
      <c r="L17" s="68" t="b">
        <v>0</v>
      </c>
      <c r="M17" t="s">
        <v>443</v>
      </c>
      <c r="N17" s="643"/>
      <c r="O17" s="643"/>
    </row>
    <row r="18" spans="1:15" ht="15.75" customHeight="1" x14ac:dyDescent="0.25">
      <c r="B18" s="68" t="b">
        <v>0</v>
      </c>
      <c r="C18" t="s">
        <v>452</v>
      </c>
      <c r="D18" s="578"/>
      <c r="E18" s="580"/>
      <c r="G18" s="68"/>
      <c r="L18" s="68"/>
      <c r="N18" s="557"/>
      <c r="O18" s="557"/>
    </row>
    <row r="20" spans="1:15" ht="15.75" hidden="1" customHeight="1" x14ac:dyDescent="0.25">
      <c r="A20" s="1" t="s">
        <v>442</v>
      </c>
    </row>
    <row r="21" spans="1:15" ht="15.75" hidden="1" customHeight="1" x14ac:dyDescent="0.25">
      <c r="B21" s="68" t="b">
        <v>0</v>
      </c>
      <c r="C21" t="s">
        <v>40</v>
      </c>
      <c r="G21" s="68" t="b">
        <v>1</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7"/>
      <c r="O30" s="557"/>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0</v>
      </c>
      <c r="H38" s="644" t="s">
        <v>432</v>
      </c>
      <c r="I38" s="644"/>
      <c r="J38" s="644"/>
      <c r="L38" s="68" t="b">
        <v>0</v>
      </c>
      <c r="M38" s="48" t="s">
        <v>431</v>
      </c>
      <c r="N38" s="48"/>
      <c r="O38" s="48"/>
      <c r="P38" s="48"/>
    </row>
    <row r="39" spans="1:16" ht="15.75" customHeight="1" x14ac:dyDescent="0.25">
      <c r="B39" s="68" t="b">
        <v>1</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554</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a+OQmXcisH8Qm6f4MQczAovk3TAxnPe2CA0mVKoAGGdF0KxtuCAcxjWAoW6KngPdOS4PybvCgBKtCor+eDDykA==" saltValue="mQSfP19AZB0zF+8qIeasb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567</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1</v>
      </c>
      <c r="H12" t="s">
        <v>446</v>
      </c>
    </row>
    <row r="13" spans="1:16" ht="15.75" customHeight="1" x14ac:dyDescent="0.25">
      <c r="B13" s="68" t="b">
        <v>0</v>
      </c>
      <c r="C13" t="s">
        <v>445</v>
      </c>
      <c r="G13" s="68" t="b">
        <v>0</v>
      </c>
      <c r="H13" t="s">
        <v>452</v>
      </c>
      <c r="I13" s="578"/>
      <c r="J13" s="579"/>
      <c r="K13" s="580"/>
    </row>
    <row r="14" spans="1:16" ht="15.75" customHeight="1" x14ac:dyDescent="0.25">
      <c r="I14" s="49"/>
      <c r="J14" s="49"/>
      <c r="K14" s="49"/>
    </row>
    <row r="15" spans="1:16" ht="15.75" hidden="1" customHeight="1" x14ac:dyDescent="0.25">
      <c r="A15" s="1" t="s">
        <v>442</v>
      </c>
    </row>
    <row r="16" spans="1:16" ht="15.75" hidden="1" customHeight="1" x14ac:dyDescent="0.25">
      <c r="B16" s="68" t="b">
        <v>0</v>
      </c>
      <c r="C16" t="s">
        <v>44</v>
      </c>
      <c r="G16" s="68" t="b">
        <v>0</v>
      </c>
      <c r="H16" t="s">
        <v>40</v>
      </c>
      <c r="L16" s="68" t="b">
        <v>0</v>
      </c>
      <c r="M16" t="s">
        <v>441</v>
      </c>
    </row>
    <row r="17" spans="1:15" ht="15.75" hidden="1" customHeight="1" x14ac:dyDescent="0.25">
      <c r="B17" s="68" t="b">
        <v>0</v>
      </c>
      <c r="C17" t="s">
        <v>444</v>
      </c>
      <c r="G17" s="68" t="b">
        <v>0</v>
      </c>
      <c r="H17" t="s">
        <v>438</v>
      </c>
      <c r="L17" s="68" t="b">
        <v>0</v>
      </c>
      <c r="M17" t="s">
        <v>443</v>
      </c>
      <c r="N17" s="643"/>
      <c r="O17" s="643"/>
    </row>
    <row r="18" spans="1:15" ht="15.75" hidden="1" customHeight="1" x14ac:dyDescent="0.25">
      <c r="B18" s="68" t="b">
        <v>0</v>
      </c>
      <c r="C18" t="s">
        <v>452</v>
      </c>
      <c r="D18" s="578"/>
      <c r="E18" s="580"/>
      <c r="G18" s="68"/>
      <c r="L18" s="68"/>
      <c r="N18" s="558"/>
      <c r="O18" s="558"/>
    </row>
    <row r="19" spans="1:15" ht="15.75" hidden="1" customHeight="1" x14ac:dyDescent="0.25"/>
    <row r="20" spans="1:15" ht="15.75" customHeight="1" x14ac:dyDescent="0.25">
      <c r="A20" s="1" t="s">
        <v>442</v>
      </c>
    </row>
    <row r="21" spans="1:15" ht="15.75" customHeight="1" x14ac:dyDescent="0.25">
      <c r="B21" s="68" t="b">
        <v>0</v>
      </c>
      <c r="C21" t="s">
        <v>40</v>
      </c>
      <c r="G21" s="68" t="b">
        <v>1</v>
      </c>
      <c r="H21" t="s">
        <v>441</v>
      </c>
    </row>
    <row r="22" spans="1:15" ht="15.75"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1</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556</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muUwJMdQoloBLRVHrxgQX8L3zxNIip4XHnIiTj5AFp9nbwvMTNl/06TGydychI9+iKCaYSIXhzPGLfsYcN0Ygg==" saltValue="mIm6xJk87jqXg05ws6zjA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568</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1</v>
      </c>
      <c r="M16" t="s">
        <v>441</v>
      </c>
    </row>
    <row r="17" spans="1:15" ht="15.75" customHeight="1" x14ac:dyDescent="0.25">
      <c r="B17" s="68" t="b">
        <v>0</v>
      </c>
      <c r="C17" t="s">
        <v>444</v>
      </c>
      <c r="G17" s="68" t="b">
        <v>0</v>
      </c>
      <c r="H17" t="s">
        <v>438</v>
      </c>
      <c r="L17" s="68" t="b">
        <v>0</v>
      </c>
      <c r="M17" t="s">
        <v>443</v>
      </c>
      <c r="N17" s="643"/>
      <c r="O17" s="643"/>
    </row>
    <row r="18" spans="1:15" ht="15.75" customHeight="1" x14ac:dyDescent="0.25">
      <c r="B18" s="68" t="b">
        <v>0</v>
      </c>
      <c r="C18" t="s">
        <v>452</v>
      </c>
      <c r="D18" s="578"/>
      <c r="E18" s="580"/>
      <c r="G18" s="68"/>
      <c r="L18" s="68"/>
      <c r="N18" s="558"/>
      <c r="O18" s="558"/>
    </row>
    <row r="20" spans="1:15" ht="15.75" hidden="1" customHeight="1" x14ac:dyDescent="0.25">
      <c r="A20" s="1" t="s">
        <v>442</v>
      </c>
    </row>
    <row r="21" spans="1:15" ht="15.75" hidden="1" customHeight="1" x14ac:dyDescent="0.25">
      <c r="B21" s="68" t="b">
        <v>0</v>
      </c>
      <c r="C21" t="s">
        <v>40</v>
      </c>
      <c r="G21" s="68" t="b">
        <v>0</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0</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556</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O4Rh2Krp5R7P9h/3lDZR79VgQqwTinGV/WGgERZVCqpmBS/wks9yNoUsXeuZNO275vgYsCU7VfojNIeJ9W8vrw==" saltValue="BrSf2CrMag2zPS5VnORDs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560</v>
      </c>
      <c r="F6" s="579"/>
      <c r="G6" s="579"/>
      <c r="H6" s="579"/>
      <c r="I6" s="579"/>
      <c r="J6" s="580"/>
    </row>
    <row r="8" spans="1:16" ht="15.75" customHeight="1" x14ac:dyDescent="0.25">
      <c r="A8" s="1" t="s">
        <v>510</v>
      </c>
    </row>
    <row r="9" spans="1:16" ht="15.75" customHeight="1" x14ac:dyDescent="0.25">
      <c r="B9" s="68" t="b">
        <v>0</v>
      </c>
      <c r="C9" t="s">
        <v>450</v>
      </c>
      <c r="G9" s="68" t="b">
        <v>1</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hidden="1" customHeight="1" x14ac:dyDescent="0.25">
      <c r="A15" s="1" t="s">
        <v>442</v>
      </c>
    </row>
    <row r="16" spans="1:16" ht="15.75" hidden="1" customHeight="1" x14ac:dyDescent="0.25">
      <c r="B16" s="68" t="b">
        <v>0</v>
      </c>
      <c r="C16" t="s">
        <v>44</v>
      </c>
      <c r="G16" s="68" t="b">
        <v>0</v>
      </c>
      <c r="H16" t="s">
        <v>40</v>
      </c>
      <c r="L16" s="68" t="b">
        <v>0</v>
      </c>
      <c r="M16" t="s">
        <v>441</v>
      </c>
    </row>
    <row r="17" spans="1:15" ht="15.75" hidden="1" customHeight="1" x14ac:dyDescent="0.25">
      <c r="B17" s="68" t="b">
        <v>0</v>
      </c>
      <c r="C17" t="s">
        <v>444</v>
      </c>
      <c r="G17" s="68" t="b">
        <v>0</v>
      </c>
      <c r="H17" t="s">
        <v>438</v>
      </c>
      <c r="L17" s="68" t="b">
        <v>0</v>
      </c>
      <c r="M17" t="s">
        <v>443</v>
      </c>
      <c r="N17" s="643"/>
      <c r="O17" s="643"/>
    </row>
    <row r="18" spans="1:15" ht="15.75" hidden="1" customHeight="1" x14ac:dyDescent="0.25">
      <c r="B18" s="68" t="b">
        <v>0</v>
      </c>
      <c r="C18" t="s">
        <v>452</v>
      </c>
      <c r="D18" s="578"/>
      <c r="E18" s="580"/>
      <c r="G18" s="68"/>
      <c r="L18" s="68"/>
      <c r="N18" s="558"/>
      <c r="O18" s="558"/>
    </row>
    <row r="19" spans="1:15" ht="15.75" hidden="1" customHeight="1" x14ac:dyDescent="0.25"/>
    <row r="20" spans="1:15" ht="15.75" hidden="1" customHeight="1" x14ac:dyDescent="0.25">
      <c r="A20" s="1" t="s">
        <v>442</v>
      </c>
    </row>
    <row r="21" spans="1:15" ht="15.75" hidden="1" customHeight="1" x14ac:dyDescent="0.25">
      <c r="B21" s="68" t="b">
        <v>0</v>
      </c>
      <c r="C21" t="s">
        <v>40</v>
      </c>
      <c r="G21" s="68" t="b">
        <v>0</v>
      </c>
      <c r="H21" t="s">
        <v>441</v>
      </c>
    </row>
    <row r="22" spans="1:15" ht="15.75" hidden="1" customHeight="1" x14ac:dyDescent="0.25">
      <c r="B22" s="68"/>
      <c r="G22" s="68"/>
    </row>
    <row r="23" spans="1:15" ht="15.75" hidden="1" customHeight="1" x14ac:dyDescent="0.25"/>
    <row r="24" spans="1:15" ht="15.75" customHeight="1" x14ac:dyDescent="0.25">
      <c r="A24" s="1" t="s">
        <v>509</v>
      </c>
    </row>
    <row r="25" spans="1:15" ht="15.75" customHeight="1" x14ac:dyDescent="0.25">
      <c r="B25" s="68" t="b">
        <v>1</v>
      </c>
      <c r="C25" t="s">
        <v>440</v>
      </c>
      <c r="G25" s="68" t="b">
        <v>1</v>
      </c>
      <c r="H25" t="s">
        <v>439</v>
      </c>
      <c r="L25" s="68" t="b">
        <v>0</v>
      </c>
      <c r="M25" t="s">
        <v>452</v>
      </c>
      <c r="N25" s="578"/>
      <c r="O25" s="580"/>
    </row>
    <row r="26" spans="1:15" ht="15.75"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1</v>
      </c>
      <c r="H29" t="s">
        <v>503</v>
      </c>
      <c r="L29" s="68" t="b">
        <v>0</v>
      </c>
      <c r="M29" t="s">
        <v>504</v>
      </c>
      <c r="N29" s="578"/>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1</v>
      </c>
      <c r="H32" t="s">
        <v>436</v>
      </c>
      <c r="J32" s="68"/>
      <c r="L32" s="68" t="b">
        <v>0</v>
      </c>
      <c r="M32" t="s">
        <v>506</v>
      </c>
    </row>
    <row r="33" spans="1:16" ht="15.75" customHeight="1" x14ac:dyDescent="0.25">
      <c r="B33" s="68" t="b">
        <v>0</v>
      </c>
      <c r="C33" t="s">
        <v>511</v>
      </c>
      <c r="G33" s="68" t="b">
        <v>0</v>
      </c>
      <c r="H33" t="s">
        <v>435</v>
      </c>
      <c r="J33" s="68"/>
      <c r="L33" s="68" t="b">
        <v>0</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0</v>
      </c>
      <c r="H38" s="644" t="s">
        <v>432</v>
      </c>
      <c r="I38" s="644"/>
      <c r="J38" s="644"/>
      <c r="L38" s="68" t="b">
        <v>0</v>
      </c>
      <c r="M38" s="48" t="s">
        <v>431</v>
      </c>
      <c r="N38" s="48"/>
      <c r="O38" s="48"/>
      <c r="P38" s="48"/>
    </row>
    <row r="39" spans="1:16" ht="15.75" customHeight="1" x14ac:dyDescent="0.25">
      <c r="B39" s="68" t="b">
        <v>1</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1</v>
      </c>
      <c r="C44" t="s">
        <v>427</v>
      </c>
      <c r="G44" s="68" t="b">
        <v>0</v>
      </c>
      <c r="H44" t="s">
        <v>514</v>
      </c>
      <c r="K44" s="443" t="str">
        <f>IF(G44=TRUE,"Name of Outside Firm:","")</f>
        <v/>
      </c>
      <c r="M44" s="578"/>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IQrMxL2ohSdox64pepE8TrDqprV4avibh0G4qtCBZq2dzC5duBx/qB1yrrqtAI2l/fKEIgkDtH4uvgLxB89V2A==" saltValue="I7mHrWw9/KkKiU6Dfft8u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topLeftCell="A24" zoomScaleNormal="115" zoomScaleSheetLayoutView="100" workbookViewId="0">
      <selection activeCell="E7" sqref="E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645" t="s">
        <v>574</v>
      </c>
      <c r="F6" s="579"/>
      <c r="G6" s="579"/>
      <c r="H6" s="579"/>
      <c r="I6" s="579"/>
      <c r="J6" s="580"/>
    </row>
    <row r="8" spans="1:16" ht="15.75" customHeight="1" x14ac:dyDescent="0.25">
      <c r="A8" s="1" t="s">
        <v>510</v>
      </c>
    </row>
    <row r="9" spans="1:16" ht="15.75" customHeight="1" x14ac:dyDescent="0.25">
      <c r="B9" s="68" t="b">
        <v>0</v>
      </c>
      <c r="C9" t="s">
        <v>450</v>
      </c>
      <c r="G9" s="68" t="b">
        <v>1</v>
      </c>
      <c r="H9" t="s">
        <v>449</v>
      </c>
    </row>
    <row r="11" spans="1:16" ht="15.75" customHeight="1" x14ac:dyDescent="0.25">
      <c r="A11" s="1" t="s">
        <v>448</v>
      </c>
    </row>
    <row r="12" spans="1:16" ht="15.75" customHeight="1" x14ac:dyDescent="0.25">
      <c r="B12" s="68" t="b">
        <v>1</v>
      </c>
      <c r="C12" t="s">
        <v>447</v>
      </c>
      <c r="G12" s="68" t="b">
        <v>0</v>
      </c>
      <c r="H12" t="s">
        <v>446</v>
      </c>
    </row>
    <row r="13" spans="1:16" ht="15.75" customHeight="1" x14ac:dyDescent="0.25">
      <c r="B13" s="68" t="b">
        <v>0</v>
      </c>
      <c r="C13" t="s">
        <v>445</v>
      </c>
      <c r="G13" s="68" t="b">
        <v>0</v>
      </c>
      <c r="H13" t="s">
        <v>452</v>
      </c>
      <c r="I13" s="578"/>
      <c r="J13" s="579"/>
      <c r="K13" s="580"/>
    </row>
    <row r="14" spans="1:16" ht="15.75" customHeight="1" x14ac:dyDescent="0.25">
      <c r="I14" s="49"/>
      <c r="J14" s="49"/>
      <c r="K14" s="49"/>
    </row>
    <row r="15" spans="1:16" ht="15.75" hidden="1" customHeight="1" x14ac:dyDescent="0.25">
      <c r="A15" s="1" t="s">
        <v>442</v>
      </c>
    </row>
    <row r="16" spans="1:16" ht="15.75" hidden="1" customHeight="1" x14ac:dyDescent="0.25">
      <c r="B16" s="68" t="b">
        <v>0</v>
      </c>
      <c r="C16" t="s">
        <v>44</v>
      </c>
      <c r="G16" s="68" t="b">
        <v>0</v>
      </c>
      <c r="H16" t="s">
        <v>40</v>
      </c>
      <c r="L16" s="68" t="b">
        <v>0</v>
      </c>
      <c r="M16" t="s">
        <v>441</v>
      </c>
    </row>
    <row r="17" spans="1:15" ht="15.75" hidden="1" customHeight="1" x14ac:dyDescent="0.25">
      <c r="B17" s="68" t="b">
        <v>0</v>
      </c>
      <c r="C17" t="s">
        <v>444</v>
      </c>
      <c r="G17" s="68" t="b">
        <v>0</v>
      </c>
      <c r="H17" t="s">
        <v>438</v>
      </c>
      <c r="L17" s="68" t="b">
        <v>0</v>
      </c>
      <c r="M17" t="s">
        <v>443</v>
      </c>
      <c r="N17" s="643"/>
      <c r="O17" s="643"/>
    </row>
    <row r="18" spans="1:15" ht="15.75" hidden="1" customHeight="1" x14ac:dyDescent="0.25">
      <c r="B18" s="68" t="b">
        <v>0</v>
      </c>
      <c r="C18" t="s">
        <v>452</v>
      </c>
      <c r="D18" s="578"/>
      <c r="E18" s="580"/>
      <c r="G18" s="68"/>
      <c r="L18" s="68"/>
      <c r="N18" s="558"/>
      <c r="O18" s="558"/>
    </row>
    <row r="19" spans="1:15" ht="15.75" hidden="1" customHeight="1" x14ac:dyDescent="0.25"/>
    <row r="20" spans="1:15" ht="15.75" hidden="1" customHeight="1" x14ac:dyDescent="0.25">
      <c r="A20" s="1" t="s">
        <v>442</v>
      </c>
    </row>
    <row r="21" spans="1:15" ht="15.75" hidden="1" customHeight="1" x14ac:dyDescent="0.25">
      <c r="B21" s="68" t="b">
        <v>0</v>
      </c>
      <c r="C21" t="s">
        <v>40</v>
      </c>
      <c r="G21" s="68" t="b">
        <v>0</v>
      </c>
      <c r="H21" t="s">
        <v>441</v>
      </c>
    </row>
    <row r="22" spans="1:15" ht="15.75" hidden="1" customHeight="1" x14ac:dyDescent="0.25">
      <c r="B22" s="68"/>
      <c r="G22" s="68"/>
    </row>
    <row r="23" spans="1:15" ht="15.75" hidden="1" customHeight="1" x14ac:dyDescent="0.25"/>
    <row r="24" spans="1:15" ht="15.75" customHeight="1" x14ac:dyDescent="0.25">
      <c r="A24" s="1" t="s">
        <v>509</v>
      </c>
    </row>
    <row r="25" spans="1:15" ht="15.75" customHeight="1" x14ac:dyDescent="0.25">
      <c r="B25" s="68" t="b">
        <v>0</v>
      </c>
      <c r="C25" t="s">
        <v>440</v>
      </c>
      <c r="G25" s="68" t="b">
        <v>0</v>
      </c>
      <c r="H25" t="s">
        <v>439</v>
      </c>
      <c r="L25" s="68" t="b">
        <v>1</v>
      </c>
      <c r="M25" t="s">
        <v>452</v>
      </c>
      <c r="N25" s="578" t="s">
        <v>561</v>
      </c>
      <c r="O25" s="580"/>
    </row>
    <row r="26" spans="1:15" ht="15.75"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562</v>
      </c>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0</v>
      </c>
      <c r="M33" t="s">
        <v>512</v>
      </c>
      <c r="O33" s="68"/>
    </row>
    <row r="34" spans="1:16" ht="15.75" customHeight="1" x14ac:dyDescent="0.25">
      <c r="B34" s="68" t="b">
        <v>0</v>
      </c>
      <c r="C34" t="s">
        <v>507</v>
      </c>
      <c r="G34" s="68" t="b">
        <v>1</v>
      </c>
      <c r="H34" s="68" t="s">
        <v>513</v>
      </c>
      <c r="I34" s="578" t="s">
        <v>563</v>
      </c>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0</v>
      </c>
      <c r="H38" s="644" t="s">
        <v>432</v>
      </c>
      <c r="I38" s="644"/>
      <c r="J38" s="644"/>
      <c r="L38" s="68" t="b">
        <v>1</v>
      </c>
      <c r="M38" s="48" t="s">
        <v>431</v>
      </c>
      <c r="N38" s="48"/>
      <c r="O38" s="48"/>
      <c r="P38" s="48"/>
    </row>
    <row r="39" spans="1:16" ht="15.75" customHeight="1" x14ac:dyDescent="0.25">
      <c r="B39" s="68" t="b">
        <v>1</v>
      </c>
      <c r="C39" s="644" t="s">
        <v>466</v>
      </c>
      <c r="D39" s="644"/>
      <c r="E39" s="644"/>
      <c r="G39" s="68" t="b">
        <v>0</v>
      </c>
      <c r="L39" s="68"/>
      <c r="M39" s="48"/>
      <c r="N39" s="48"/>
      <c r="O39" s="48"/>
      <c r="P39" s="48"/>
    </row>
    <row r="40" spans="1:16" ht="15.75" customHeight="1" x14ac:dyDescent="0.25">
      <c r="I40" s="49"/>
      <c r="K40" s="443" t="s">
        <v>430</v>
      </c>
      <c r="L40" s="49"/>
      <c r="M40" s="578" t="s">
        <v>555</v>
      </c>
      <c r="N40" s="580"/>
    </row>
    <row r="41" spans="1:16" ht="15.75" customHeight="1" x14ac:dyDescent="0.25">
      <c r="I41" s="49"/>
      <c r="K41" s="443" t="s">
        <v>429</v>
      </c>
      <c r="L41" s="49"/>
      <c r="M41" s="578" t="s">
        <v>555</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554</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hpyvOypI5n5K63366B9iiBOkJOfzHccC+e+i4zzrNCn9ew9SsArh934YfTFIguiCrOttLkIY0GRjVcT+uMbMKg==" saltValue="dNiusToCWhyfKT6LQ0Yc9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569</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0</v>
      </c>
      <c r="H12" t="s">
        <v>446</v>
      </c>
    </row>
    <row r="13" spans="1:16" ht="15.75" customHeight="1" x14ac:dyDescent="0.25">
      <c r="B13" s="68" t="b">
        <v>1</v>
      </c>
      <c r="C13" t="s">
        <v>445</v>
      </c>
      <c r="G13" s="68" t="b">
        <v>0</v>
      </c>
      <c r="H13" t="s">
        <v>452</v>
      </c>
      <c r="I13" s="578"/>
      <c r="J13" s="579"/>
      <c r="K13" s="580"/>
    </row>
    <row r="14" spans="1:16" ht="15.75" customHeight="1" x14ac:dyDescent="0.25">
      <c r="I14" s="49"/>
      <c r="J14" s="49"/>
      <c r="K14" s="49"/>
    </row>
    <row r="15" spans="1:16" ht="15.75" customHeight="1" x14ac:dyDescent="0.25">
      <c r="A15" s="1" t="s">
        <v>442</v>
      </c>
    </row>
    <row r="16" spans="1:16" ht="15.75" customHeight="1" x14ac:dyDescent="0.25">
      <c r="B16" s="68" t="b">
        <v>0</v>
      </c>
      <c r="C16" t="s">
        <v>44</v>
      </c>
      <c r="G16" s="68" t="b">
        <v>0</v>
      </c>
      <c r="H16" t="s">
        <v>40</v>
      </c>
      <c r="L16" s="68" t="b">
        <v>0</v>
      </c>
      <c r="M16" t="s">
        <v>441</v>
      </c>
    </row>
    <row r="17" spans="1:15" ht="15.75" customHeight="1" x14ac:dyDescent="0.25">
      <c r="B17" s="68" t="b">
        <v>0</v>
      </c>
      <c r="C17" t="s">
        <v>444</v>
      </c>
      <c r="G17" s="68" t="b">
        <v>1</v>
      </c>
      <c r="H17" t="s">
        <v>438</v>
      </c>
      <c r="L17" s="68" t="b">
        <v>0</v>
      </c>
      <c r="M17" t="s">
        <v>443</v>
      </c>
      <c r="N17" s="643"/>
      <c r="O17" s="643"/>
    </row>
    <row r="18" spans="1:15" ht="15.75" customHeight="1" x14ac:dyDescent="0.25">
      <c r="B18" s="68" t="b">
        <v>0</v>
      </c>
      <c r="C18" t="s">
        <v>452</v>
      </c>
      <c r="D18" s="578"/>
      <c r="E18" s="580"/>
      <c r="G18" s="68"/>
      <c r="L18" s="68"/>
      <c r="N18" s="558"/>
      <c r="O18" s="558"/>
    </row>
    <row r="20" spans="1:15" ht="15.75" hidden="1" customHeight="1" x14ac:dyDescent="0.25">
      <c r="A20" s="1" t="s">
        <v>442</v>
      </c>
    </row>
    <row r="21" spans="1:15" ht="15.75" hidden="1" customHeight="1" x14ac:dyDescent="0.25">
      <c r="B21" s="68" t="b">
        <v>0</v>
      </c>
      <c r="C21" t="s">
        <v>40</v>
      </c>
      <c r="G21" s="68" t="b">
        <v>0</v>
      </c>
      <c r="H21" t="s">
        <v>441</v>
      </c>
    </row>
    <row r="22" spans="1:15" ht="15.75" hidden="1"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1</v>
      </c>
      <c r="C38" t="s">
        <v>433</v>
      </c>
      <c r="G38" s="68" t="b">
        <v>0</v>
      </c>
      <c r="H38" s="644" t="s">
        <v>432</v>
      </c>
      <c r="I38" s="644"/>
      <c r="J38" s="644"/>
      <c r="L38" s="68" t="b">
        <v>0</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hidden="1" customHeight="1" x14ac:dyDescent="0.25">
      <c r="I40" s="49"/>
      <c r="K40" s="443" t="s">
        <v>430</v>
      </c>
      <c r="L40" s="49"/>
      <c r="M40" s="578"/>
      <c r="N40" s="580"/>
    </row>
    <row r="41" spans="1:16" ht="15.75" hidden="1" customHeight="1" x14ac:dyDescent="0.25">
      <c r="I41" s="49"/>
      <c r="K41" s="443" t="s">
        <v>429</v>
      </c>
      <c r="L41" s="49"/>
      <c r="M41" s="578"/>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570</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DgEaDcEec30Boitemal3FsmM90WZP10mcZmonEWkJ+aBtMkysNOOV3TxtJBeCffHQTh2m5banMwUKv14XiLLdw==" saltValue="QIeNaPrx/YlWiLVWE2Xtx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571</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1</v>
      </c>
      <c r="H12" t="s">
        <v>446</v>
      </c>
    </row>
    <row r="13" spans="1:16" ht="15.75" customHeight="1" x14ac:dyDescent="0.25">
      <c r="B13" s="68" t="b">
        <v>0</v>
      </c>
      <c r="C13" t="s">
        <v>445</v>
      </c>
      <c r="G13" s="68" t="b">
        <v>0</v>
      </c>
      <c r="H13" t="s">
        <v>452</v>
      </c>
      <c r="I13" s="578"/>
      <c r="J13" s="579"/>
      <c r="K13" s="580"/>
    </row>
    <row r="14" spans="1:16" ht="15.75" customHeight="1" x14ac:dyDescent="0.25">
      <c r="I14" s="49"/>
      <c r="J14" s="49"/>
      <c r="K14" s="49"/>
    </row>
    <row r="15" spans="1:16" ht="15.75" hidden="1" customHeight="1" x14ac:dyDescent="0.25">
      <c r="A15" s="1" t="s">
        <v>442</v>
      </c>
    </row>
    <row r="16" spans="1:16" ht="15.75" hidden="1" customHeight="1" x14ac:dyDescent="0.25">
      <c r="B16" s="68" t="b">
        <v>0</v>
      </c>
      <c r="C16" t="s">
        <v>44</v>
      </c>
      <c r="G16" s="68" t="b">
        <v>0</v>
      </c>
      <c r="H16" t="s">
        <v>40</v>
      </c>
      <c r="L16" s="68" t="b">
        <v>0</v>
      </c>
      <c r="M16" t="s">
        <v>441</v>
      </c>
    </row>
    <row r="17" spans="1:15" ht="15.75" hidden="1" customHeight="1" x14ac:dyDescent="0.25">
      <c r="B17" s="68" t="b">
        <v>0</v>
      </c>
      <c r="C17" t="s">
        <v>444</v>
      </c>
      <c r="G17" s="68" t="b">
        <v>0</v>
      </c>
      <c r="H17" t="s">
        <v>438</v>
      </c>
      <c r="L17" s="68" t="b">
        <v>0</v>
      </c>
      <c r="M17" t="s">
        <v>443</v>
      </c>
      <c r="N17" s="643"/>
      <c r="O17" s="643"/>
    </row>
    <row r="18" spans="1:15" ht="15.75" hidden="1" customHeight="1" x14ac:dyDescent="0.25">
      <c r="B18" s="68" t="b">
        <v>0</v>
      </c>
      <c r="C18" t="s">
        <v>452</v>
      </c>
      <c r="D18" s="578"/>
      <c r="E18" s="580"/>
      <c r="G18" s="68"/>
      <c r="L18" s="68"/>
      <c r="N18" s="558"/>
      <c r="O18" s="558"/>
    </row>
    <row r="19" spans="1:15" ht="15.75" hidden="1" customHeight="1" x14ac:dyDescent="0.25"/>
    <row r="20" spans="1:15" ht="15.75" customHeight="1" x14ac:dyDescent="0.25">
      <c r="A20" s="1" t="s">
        <v>442</v>
      </c>
    </row>
    <row r="21" spans="1:15" ht="15.75" customHeight="1" x14ac:dyDescent="0.25">
      <c r="B21" s="68" t="b">
        <v>0</v>
      </c>
      <c r="C21" t="s">
        <v>40</v>
      </c>
      <c r="G21" s="68" t="b">
        <v>1</v>
      </c>
      <c r="H21" t="s">
        <v>441</v>
      </c>
    </row>
    <row r="22" spans="1:15" ht="15.75"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58"/>
      <c r="O30" s="558"/>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1</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558</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Df2UuhE28ywKGblqRBuwuk+MvACHZPrFiRvtE7zTHjNKTZunXM+i4ZfTKSva1fuSsaLZ2wqPFmQdxH4+HEo/7A==" saltValue="DqXpVhto1CQlPhcWJKs+H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5E477-50A1-4C9A-8F58-39B188942B48}">
  <sheetPr codeName="Sheet24">
    <tabColor rgb="FF0000FF"/>
  </sheetPr>
  <dimension ref="A1:P48"/>
  <sheetViews>
    <sheetView showGridLines="0" view="pageBreakPreview" topLeftCell="A12" zoomScaleNormal="115" zoomScaleSheetLayoutView="100" workbookViewId="0">
      <selection activeCell="M9" sqref="M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453</v>
      </c>
      <c r="B4" s="3"/>
      <c r="C4" s="3"/>
      <c r="D4" s="3"/>
      <c r="E4" s="3"/>
      <c r="F4" s="3"/>
      <c r="G4" s="3"/>
      <c r="H4" s="3"/>
      <c r="I4" s="3"/>
      <c r="J4" s="3"/>
      <c r="K4" s="3"/>
      <c r="L4" s="3"/>
      <c r="M4" s="3"/>
      <c r="N4" s="3"/>
      <c r="O4" s="3"/>
    </row>
    <row r="6" spans="1:16" ht="15.75" customHeight="1" x14ac:dyDescent="0.25">
      <c r="A6" s="1" t="s">
        <v>451</v>
      </c>
      <c r="E6" s="578" t="s">
        <v>572</v>
      </c>
      <c r="F6" s="579"/>
      <c r="G6" s="579"/>
      <c r="H6" s="579"/>
      <c r="I6" s="579"/>
      <c r="J6" s="580"/>
    </row>
    <row r="8" spans="1:16" ht="15.75" customHeight="1" x14ac:dyDescent="0.25">
      <c r="A8" s="1" t="s">
        <v>510</v>
      </c>
    </row>
    <row r="9" spans="1:16" ht="15.75" customHeight="1" x14ac:dyDescent="0.25">
      <c r="B9" s="68" t="b">
        <v>1</v>
      </c>
      <c r="C9" t="s">
        <v>450</v>
      </c>
      <c r="G9" s="68" t="b">
        <v>0</v>
      </c>
      <c r="H9" t="s">
        <v>449</v>
      </c>
    </row>
    <row r="11" spans="1:16" ht="15.75" customHeight="1" x14ac:dyDescent="0.25">
      <c r="A11" s="1" t="s">
        <v>448</v>
      </c>
    </row>
    <row r="12" spans="1:16" ht="15.75" customHeight="1" x14ac:dyDescent="0.25">
      <c r="B12" s="68" t="b">
        <v>0</v>
      </c>
      <c r="C12" t="s">
        <v>447</v>
      </c>
      <c r="G12" s="68" t="b">
        <v>1</v>
      </c>
      <c r="H12" t="s">
        <v>446</v>
      </c>
    </row>
    <row r="13" spans="1:16" ht="15.75" customHeight="1" x14ac:dyDescent="0.25">
      <c r="B13" s="68" t="b">
        <v>0</v>
      </c>
      <c r="C13" t="s">
        <v>445</v>
      </c>
      <c r="G13" s="68" t="b">
        <v>0</v>
      </c>
      <c r="H13" t="s">
        <v>452</v>
      </c>
      <c r="I13" s="578"/>
      <c r="J13" s="579"/>
      <c r="K13" s="580"/>
    </row>
    <row r="14" spans="1:16" ht="15.75" customHeight="1" x14ac:dyDescent="0.25">
      <c r="I14" s="49"/>
      <c r="J14" s="49"/>
      <c r="K14" s="49"/>
    </row>
    <row r="15" spans="1:16" ht="15.75" hidden="1" customHeight="1" x14ac:dyDescent="0.25">
      <c r="A15" s="1" t="s">
        <v>442</v>
      </c>
    </row>
    <row r="16" spans="1:16" ht="15.75" hidden="1" customHeight="1" x14ac:dyDescent="0.25">
      <c r="B16" s="68" t="b">
        <v>0</v>
      </c>
      <c r="C16" t="s">
        <v>44</v>
      </c>
      <c r="G16" s="68" t="b">
        <v>0</v>
      </c>
      <c r="H16" t="s">
        <v>40</v>
      </c>
      <c r="L16" s="68" t="b">
        <v>0</v>
      </c>
      <c r="M16" t="s">
        <v>441</v>
      </c>
    </row>
    <row r="17" spans="1:15" ht="15.75" hidden="1" customHeight="1" x14ac:dyDescent="0.25">
      <c r="B17" s="68" t="b">
        <v>0</v>
      </c>
      <c r="C17" t="s">
        <v>444</v>
      </c>
      <c r="G17" s="68" t="b">
        <v>0</v>
      </c>
      <c r="H17" t="s">
        <v>438</v>
      </c>
      <c r="L17" s="68" t="b">
        <v>0</v>
      </c>
      <c r="M17" t="s">
        <v>443</v>
      </c>
      <c r="N17" s="643"/>
      <c r="O17" s="643"/>
    </row>
    <row r="18" spans="1:15" ht="15.75" hidden="1" customHeight="1" x14ac:dyDescent="0.25">
      <c r="B18" s="68" t="b">
        <v>0</v>
      </c>
      <c r="C18" t="s">
        <v>452</v>
      </c>
      <c r="D18" s="578"/>
      <c r="E18" s="580"/>
      <c r="G18" s="68"/>
      <c r="L18" s="68"/>
      <c r="N18" s="565"/>
      <c r="O18" s="565"/>
    </row>
    <row r="19" spans="1:15" ht="15.75" hidden="1" customHeight="1" x14ac:dyDescent="0.25"/>
    <row r="20" spans="1:15" ht="15.75" customHeight="1" x14ac:dyDescent="0.25">
      <c r="A20" s="1" t="s">
        <v>442</v>
      </c>
    </row>
    <row r="21" spans="1:15" ht="15.75" customHeight="1" x14ac:dyDescent="0.25">
      <c r="B21" s="68" t="b">
        <v>0</v>
      </c>
      <c r="C21" t="s">
        <v>40</v>
      </c>
      <c r="G21" s="68" t="b">
        <v>1</v>
      </c>
      <c r="H21" t="s">
        <v>441</v>
      </c>
    </row>
    <row r="22" spans="1:15" ht="15.75" customHeight="1" x14ac:dyDescent="0.25">
      <c r="B22" s="68"/>
      <c r="G22" s="68"/>
    </row>
    <row r="23" spans="1:15" ht="15.75" hidden="1" customHeight="1" x14ac:dyDescent="0.25"/>
    <row r="24" spans="1:15" ht="15.75" hidden="1" customHeight="1" x14ac:dyDescent="0.25">
      <c r="A24" s="1" t="s">
        <v>509</v>
      </c>
    </row>
    <row r="25" spans="1:15" ht="15.75" hidden="1" customHeight="1" x14ac:dyDescent="0.25">
      <c r="B25" s="68" t="b">
        <v>0</v>
      </c>
      <c r="C25" t="s">
        <v>440</v>
      </c>
      <c r="G25" s="68" t="b">
        <v>0</v>
      </c>
      <c r="H25" t="s">
        <v>439</v>
      </c>
      <c r="L25" s="68" t="b">
        <v>0</v>
      </c>
      <c r="M25" t="s">
        <v>452</v>
      </c>
      <c r="N25" s="578"/>
      <c r="O25" s="580"/>
    </row>
    <row r="26" spans="1:15" ht="15.75" hidden="1" customHeight="1" x14ac:dyDescent="0.25">
      <c r="B26" s="68"/>
      <c r="G26" s="68"/>
      <c r="K26" s="49"/>
    </row>
    <row r="27" spans="1:15" ht="15.75" hidden="1" customHeight="1" x14ac:dyDescent="0.25"/>
    <row r="28" spans="1:15" ht="15.75" customHeight="1" x14ac:dyDescent="0.25">
      <c r="A28" s="212" t="s">
        <v>516</v>
      </c>
    </row>
    <row r="29" spans="1:15" ht="15.75" customHeight="1" x14ac:dyDescent="0.25">
      <c r="B29" s="68" t="b">
        <v>0</v>
      </c>
      <c r="C29" t="s">
        <v>508</v>
      </c>
      <c r="G29" s="68" t="b">
        <v>0</v>
      </c>
      <c r="H29" t="s">
        <v>503</v>
      </c>
      <c r="L29" s="68" t="b">
        <v>1</v>
      </c>
      <c r="M29" t="s">
        <v>504</v>
      </c>
      <c r="N29" s="578" t="s">
        <v>552</v>
      </c>
      <c r="O29" s="580"/>
    </row>
    <row r="30" spans="1:15" ht="15.75" customHeight="1" x14ac:dyDescent="0.25">
      <c r="B30" s="68"/>
      <c r="G30" s="68"/>
      <c r="L30" s="68"/>
      <c r="N30" s="565"/>
      <c r="O30" s="565"/>
    </row>
    <row r="31" spans="1:15" ht="15.75" customHeight="1" x14ac:dyDescent="0.25">
      <c r="A31" s="1" t="s">
        <v>437</v>
      </c>
      <c r="I31" s="1"/>
    </row>
    <row r="32" spans="1:15" ht="15.75" customHeight="1" x14ac:dyDescent="0.25">
      <c r="B32" s="68" t="b">
        <v>0</v>
      </c>
      <c r="C32" t="s">
        <v>505</v>
      </c>
      <c r="G32" s="68" t="b">
        <v>0</v>
      </c>
      <c r="H32" t="s">
        <v>436</v>
      </c>
      <c r="J32" s="68"/>
      <c r="L32" s="68" t="b">
        <v>0</v>
      </c>
      <c r="M32" t="s">
        <v>506</v>
      </c>
    </row>
    <row r="33" spans="1:16" ht="15.75" customHeight="1" x14ac:dyDescent="0.25">
      <c r="B33" s="68" t="b">
        <v>0</v>
      </c>
      <c r="C33" t="s">
        <v>511</v>
      </c>
      <c r="G33" s="68" t="b">
        <v>0</v>
      </c>
      <c r="H33" t="s">
        <v>435</v>
      </c>
      <c r="J33" s="68"/>
      <c r="L33" s="68" t="b">
        <v>1</v>
      </c>
      <c r="M33" t="s">
        <v>512</v>
      </c>
      <c r="O33" s="68"/>
    </row>
    <row r="34" spans="1:16" ht="15.75" customHeight="1" x14ac:dyDescent="0.25">
      <c r="B34" s="68" t="b">
        <v>0</v>
      </c>
      <c r="C34" t="s">
        <v>507</v>
      </c>
      <c r="G34" s="68" t="b">
        <v>0</v>
      </c>
      <c r="H34" s="68" t="s">
        <v>513</v>
      </c>
      <c r="I34" s="578"/>
      <c r="J34" s="580"/>
    </row>
    <row r="35" spans="1:16" ht="15.75" customHeight="1" x14ac:dyDescent="0.25">
      <c r="B35" s="68"/>
      <c r="C35" s="555"/>
      <c r="E35" s="68"/>
      <c r="J35" s="68"/>
      <c r="K35" s="555"/>
    </row>
    <row r="37" spans="1:16" ht="15.75" customHeight="1" x14ac:dyDescent="0.25">
      <c r="A37" s="1" t="s">
        <v>434</v>
      </c>
    </row>
    <row r="38" spans="1:16" ht="15.75" customHeight="1" x14ac:dyDescent="0.25">
      <c r="B38" s="68" t="b">
        <v>0</v>
      </c>
      <c r="C38" t="s">
        <v>433</v>
      </c>
      <c r="G38" s="68" t="b">
        <v>1</v>
      </c>
      <c r="H38" s="644" t="s">
        <v>432</v>
      </c>
      <c r="I38" s="644"/>
      <c r="J38" s="644"/>
      <c r="L38" s="68" t="b">
        <v>1</v>
      </c>
      <c r="M38" s="48" t="s">
        <v>431</v>
      </c>
      <c r="N38" s="48"/>
      <c r="O38" s="48"/>
      <c r="P38" s="48"/>
    </row>
    <row r="39" spans="1:16" ht="15.75" customHeight="1" x14ac:dyDescent="0.25">
      <c r="B39" s="68" t="b">
        <v>0</v>
      </c>
      <c r="C39" s="644" t="s">
        <v>466</v>
      </c>
      <c r="D39" s="644"/>
      <c r="E39" s="644"/>
      <c r="G39" s="68" t="b">
        <v>0</v>
      </c>
      <c r="L39" s="68"/>
      <c r="M39" s="48"/>
      <c r="N39" s="48"/>
      <c r="O39" s="48"/>
      <c r="P39" s="48"/>
    </row>
    <row r="40" spans="1:16" ht="15.75" customHeight="1" x14ac:dyDescent="0.25">
      <c r="I40" s="49"/>
      <c r="K40" s="443" t="s">
        <v>430</v>
      </c>
      <c r="L40" s="49"/>
      <c r="M40" s="578" t="s">
        <v>545</v>
      </c>
      <c r="N40" s="580"/>
    </row>
    <row r="41" spans="1:16" ht="15.75" customHeight="1" x14ac:dyDescent="0.25">
      <c r="I41" s="49"/>
      <c r="K41" s="443" t="s">
        <v>429</v>
      </c>
      <c r="L41" s="49"/>
      <c r="M41" s="578" t="s">
        <v>553</v>
      </c>
      <c r="N41" s="580"/>
    </row>
    <row r="42" spans="1:16" ht="15.75" customHeight="1" x14ac:dyDescent="0.25">
      <c r="I42" s="49"/>
      <c r="K42" s="49"/>
      <c r="L42" s="49"/>
      <c r="M42" s="49"/>
    </row>
    <row r="43" spans="1:16" ht="15.75" customHeight="1" x14ac:dyDescent="0.25">
      <c r="A43" s="1" t="s">
        <v>428</v>
      </c>
      <c r="N43" s="49"/>
    </row>
    <row r="44" spans="1:16" ht="15.75" customHeight="1" x14ac:dyDescent="0.25">
      <c r="B44" s="68" t="b">
        <v>0</v>
      </c>
      <c r="C44" t="s">
        <v>427</v>
      </c>
      <c r="G44" s="68" t="b">
        <v>1</v>
      </c>
      <c r="H44" t="s">
        <v>514</v>
      </c>
      <c r="K44" s="443" t="str">
        <f>IF(G44=TRUE,"Name of Outside Firm:","")</f>
        <v>Name of Outside Firm:</v>
      </c>
      <c r="M44" s="578" t="s">
        <v>554</v>
      </c>
      <c r="N44" s="579"/>
      <c r="O44" s="580"/>
    </row>
    <row r="45" spans="1:16" ht="15.75" customHeight="1" x14ac:dyDescent="0.25">
      <c r="N45" s="49"/>
    </row>
    <row r="47" spans="1:16" ht="15.75" customHeight="1" x14ac:dyDescent="0.25">
      <c r="A47" s="48"/>
      <c r="B47" s="48"/>
      <c r="C47" s="48"/>
      <c r="D47" s="48"/>
      <c r="E47" s="48"/>
      <c r="H47" s="445" t="s">
        <v>454</v>
      </c>
      <c r="I47" s="446">
        <f>'4.Proposed Impact'!D6</f>
        <v>0.114</v>
      </c>
    </row>
    <row r="48" spans="1:16" ht="15.75" customHeight="1" x14ac:dyDescent="0.25">
      <c r="H48" s="445" t="s">
        <v>464</v>
      </c>
      <c r="I48" s="545" t="s">
        <v>555</v>
      </c>
    </row>
  </sheetData>
  <sheetProtection algorithmName="SHA-512" hashValue="X+LQYmqI+X0AeA2oXR0Vl9D9Y/lGntw+F7AJurv1BBBomIXzzJZjetiJDL5l8DYNfDJ7lK5yVoSdVTyNPanWGQ==" saltValue="KuwvzkD/uVdZ/pGPqnYt6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661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661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661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66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66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66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66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66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66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661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662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66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66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66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66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66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66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66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66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66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663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663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66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66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66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66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66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66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66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66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66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66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66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66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149</vt:i4>
      </vt:variant>
    </vt:vector>
  </HeadingPairs>
  <TitlesOfParts>
    <vt:vector size="171"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Brett Ware</cp:lastModifiedBy>
  <cp:lastPrinted>2023-02-24T18:09:17Z</cp:lastPrinted>
  <dcterms:created xsi:type="dcterms:W3CDTF">2014-04-24T17:59:28Z</dcterms:created>
  <dcterms:modified xsi:type="dcterms:W3CDTF">2023-10-24T14:33:55Z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2023-01-13T17:59:35Z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ff9204d7-c5d3-47f1-b65d-55e46e2cfc5f</vt:lpwstr>
  </property>
  <property fmtid="{D5CDD505-2E9C-101B-9397-08002B2CF9AE}" pid="8" name="MSIP_Label_261ecbe3-7ba9-4124-b9d7-ffd820687beb_ContentBits">
    <vt:lpwstr>0</vt:lpwstr>
  </property>
</Properties>
</file>