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01" codeName="{AE6600E7-7A62-396C-DE95-9942FA9DD81E}"/>
  <workbookPr codeName="ThisWorkbook"/>
  <mc:AlternateContent xmlns:mc="http://schemas.openxmlformats.org/markup-compatibility/2006">
    <mc:Choice Requires="x15">
      <x15ac:absPath xmlns:x15ac="http://schemas.microsoft.com/office/spreadsheetml/2010/11/ac" url="W:\P-C ACTUARIAL\HOMEOWNERS\State Files 2019 and Forward\California\2023\RDP\Filing\Filing Documents\Standard Exhibits\"/>
    </mc:Choice>
  </mc:AlternateContent>
  <xr:revisionPtr revIDLastSave="0" documentId="13_ncr:1_{B3539575-9185-4E19-AB4A-73A0E6FF6365}" xr6:coauthVersionLast="47" xr6:coauthVersionMax="47" xr10:uidLastSave="{00000000-0000-0000-0000-000000000000}"/>
  <bookViews>
    <workbookView xWindow="-120" yWindow="-120" windowWidth="29040" windowHeight="15840" firstSheet="2" activeTab="3" xr2:uid="{00000000-000D-0000-FFFF-FFFF00000000}"/>
  </bookViews>
  <sheets>
    <sheet name="Settings" sheetId="8" state="veryHidden" r:id="rId1"/>
    <sheet name="References" sheetId="11" state="veryHidden" r:id="rId2"/>
    <sheet name="Instructions" sheetId="9" r:id="rId3"/>
    <sheet name="1.General" sheetId="10" r:id="rId4"/>
    <sheet name="2.Exhibit 5" sheetId="1" r:id="rId5"/>
    <sheet name="3.Exhibit 7 - Annual" sheetId="2" r:id="rId6"/>
    <sheet name="4.Exhibit 8" sheetId="4" r:id="rId7"/>
  </sheets>
  <functionGroups builtInGroupCount="19"/>
  <definedNames>
    <definedName name="AggMethod">Settings!$B$26</definedName>
    <definedName name="CDI_FileNo">Settings!$B$23</definedName>
    <definedName name="CNP_Exh7Paid">'1.General'!$C$51</definedName>
    <definedName name="CNP_Exh7Reported">'1.General'!$C$47</definedName>
    <definedName name="CNP_Exh8Closed">'1.General'!$C$53</definedName>
    <definedName name="CNP_Exh8Reported">'1.General'!$C$55</definedName>
    <definedName name="Co_Name">Settings!$B$21</definedName>
    <definedName name="Completed_By">Settings!$B$24</definedName>
    <definedName name="Completed_Date">Settings!$B$25</definedName>
    <definedName name="CompSrc1">'1.General'!$G$21</definedName>
    <definedName name="CompSrc10">'1.General'!$G$30</definedName>
    <definedName name="CompSrc2">'1.General'!$G$22</definedName>
    <definedName name="CompSrc3">'1.General'!$G$23</definedName>
    <definedName name="CompSrc4">'1.General'!$G$24</definedName>
    <definedName name="CompSrc5">'1.General'!$G$25</definedName>
    <definedName name="CompSrc6">'1.General'!$G$26</definedName>
    <definedName name="CompSrc7">'1.General'!$G$27</definedName>
    <definedName name="CompSrc8">'1.General'!$G$28</definedName>
    <definedName name="CompSrc9">'1.General'!$G$29</definedName>
    <definedName name="Covg01">'1.General'!$C$21</definedName>
    <definedName name="Covg02">'1.General'!$C$22</definedName>
    <definedName name="Covg03">'1.General'!$C$23</definedName>
    <definedName name="Covg04">'1.General'!$C$24</definedName>
    <definedName name="Covg05">'1.General'!$C$25</definedName>
    <definedName name="Covg06">'1.General'!$C$26</definedName>
    <definedName name="Covg07">'1.General'!$C$27</definedName>
    <definedName name="Covg08">'1.General'!$C$28</definedName>
    <definedName name="Covg09">'1.General'!$C$29</definedName>
    <definedName name="Covg10">'1.General'!$C$30</definedName>
    <definedName name="DCCE_LTrndCo">'1.General'!$C$43</definedName>
    <definedName name="DCCE_LTrndComp">'1.General'!$C$45</definedName>
    <definedName name="DCCEDevtBasis">'1.General'!$C$57</definedName>
    <definedName name="Detailed_LineDesc01">'1.General'!$A$21</definedName>
    <definedName name="Detailed_LineDesc02">'1.General'!$A$22</definedName>
    <definedName name="Detailed_LineDesc03">'1.General'!$A$23</definedName>
    <definedName name="Detailed_LineDesc04">'1.General'!$A$24</definedName>
    <definedName name="Detailed_LineDesc05">'1.General'!$A$25</definedName>
    <definedName name="Detailed_LineDesc06">'1.General'!$A$26</definedName>
    <definedName name="Detailed_LineDesc07">'1.General'!$A$27</definedName>
    <definedName name="Detailed_LineDesc08">'1.General'!$A$28</definedName>
    <definedName name="Detailed_LineDesc09">'1.General'!$A$29</definedName>
    <definedName name="Detailed_LineDesc10">'1.General'!$A$30</definedName>
    <definedName name="Edition_Date">Settings!$B$20</definedName>
    <definedName name="EffDate_Proposed">'1.General'!$B$10</definedName>
    <definedName name="exh5_Coverage1">'2.Exhibit 5'!$B$1:$L$51</definedName>
    <definedName name="exh5_Coverage10">'2.Exhibit 5'!$CW$1:$DG$51</definedName>
    <definedName name="exh5_Coverage2">'2.Exhibit 5'!$M$1:$W$51</definedName>
    <definedName name="exh5_Coverage3">'2.Exhibit 5'!$X$1:$AH$51</definedName>
    <definedName name="exh5_Coverage4">'2.Exhibit 5'!$AI$1:$AS$51</definedName>
    <definedName name="exh5_Coverage5">'2.Exhibit 5'!$AT$1:$BD$51</definedName>
    <definedName name="exh5_Coverage6">'2.Exhibit 5'!$BE$1:$BO$51</definedName>
    <definedName name="exh5_Coverage7">'2.Exhibit 5'!$BP$1:$BZ$51</definedName>
    <definedName name="exh5_Coverage8">'2.Exhibit 5'!$CA$1:$CK$51</definedName>
    <definedName name="exh5_Coverage9">'2.Exhibit 5'!$CL$1:$CV$51</definedName>
    <definedName name="Exh7_Covg01_IncurredDCCE">'3.Exhibit 7 - Annual'!$A$241:$L$275</definedName>
    <definedName name="Exh7_Covg01_IncurredDCCEtoLossRatio">'3.Exhibit 7 - Annual'!$A$276:$L$313</definedName>
    <definedName name="Exh7_Covg01_IncurredLoss">'3.Exhibit 7 - Annual'!$A$206:$L$240</definedName>
    <definedName name="Exh7_Covg01_IncurredLossDCCE">'3.Exhibit 7 - Annual'!$A$171:$L$205</definedName>
    <definedName name="Exh7_Covg01_PaidDCCE">'3.Exhibit 7 - Annual'!$A$98:$L$132</definedName>
    <definedName name="Exh7_Covg01_PaidDCCEtoLossRatio">'3.Exhibit 7 - Annual'!$A$133:$L$170</definedName>
    <definedName name="Exh7_Covg01_PaidLoss">'3.Exhibit 7 - Annual'!$A$63:$L$97</definedName>
    <definedName name="Exh7_Covg01_PaidLossDCCE">'3.Exhibit 7 - Annual'!$A$28:$L$62</definedName>
    <definedName name="exh7A_Coverage1">'3.Exhibit 7 - Annual'!$A$1:$L$453</definedName>
    <definedName name="exh7A_Coverage10">'3.Exhibit 7 - Annual'!$DE$1:$DP$453</definedName>
    <definedName name="exh7A_Coverage2">'3.Exhibit 7 - Annual'!$M$1:$X$453</definedName>
    <definedName name="exh7A_Coverage3">'3.Exhibit 7 - Annual'!$Y$1:$AJ$453</definedName>
    <definedName name="exh7A_Coverage4">'3.Exhibit 7 - Annual'!$AK$1:$AV$453</definedName>
    <definedName name="exh7A_Coverage5">'3.Exhibit 7 - Annual'!$AW$1:$BH$453</definedName>
    <definedName name="exh7A_Coverage6">'3.Exhibit 7 - Annual'!$BI$1:$BT$453</definedName>
    <definedName name="exh7A_Coverage7">'3.Exhibit 7 - Annual'!$BU$1:$CF$453</definedName>
    <definedName name="exh7A_Coverage8">'3.Exhibit 7 - Annual'!$CG$1:$CR$453</definedName>
    <definedName name="exh7A_Coverage9">'3.Exhibit 7 - Annual'!$CS$1:$DD$453</definedName>
    <definedName name="exh8_Coverage1">'4.Exhibit 8'!$B$1:$S$100</definedName>
    <definedName name="exh8_Coverage10">'4.Exhibit 8'!$FH$1:$FY$100</definedName>
    <definedName name="exh8_Coverage2">'4.Exhibit 8'!$T$1:$AK$100</definedName>
    <definedName name="exh8_Coverage3">'4.Exhibit 8'!$AL$1:$BC$100</definedName>
    <definedName name="exh8_Coverage4">'4.Exhibit 8'!$BD$1:$BU$100</definedName>
    <definedName name="exh8_Coverage5">'4.Exhibit 8'!$BV$1:$CM$100</definedName>
    <definedName name="exh8_Coverage6">'4.Exhibit 8'!$CN$1:$DE$100</definedName>
    <definedName name="exh8_Coverage7">'4.Exhibit 8'!$DF$1:$DW$100</definedName>
    <definedName name="exh8_Coverage8">'4.Exhibit 8'!$DX$1:$EO$100</definedName>
    <definedName name="exh8_Coverage9">'4.Exhibit 8'!$EP$1:$FG$100</definedName>
    <definedName name="FYQtr">'1.General'!$C$37</definedName>
    <definedName name="FYQtr_Comp">'1.General'!$C$39</definedName>
    <definedName name="FYQtr_LDF">'1.General'!$C$38</definedName>
    <definedName name="General_Line">Settings!$B$22</definedName>
    <definedName name="List_AggMethod">References!$L$6:$L$9</definedName>
    <definedName name="List_DetailLine">References!$I$41:$J$42</definedName>
    <definedName name="List_GeneralLine">References!$F$6:$F$30</definedName>
    <definedName name="List_LineType">References!$D$6:$D$8</definedName>
    <definedName name="List_PrintExh">References!$N$6:$N$9</definedName>
    <definedName name="List_YNIndicator">References!$B$6:$B$7</definedName>
    <definedName name="List_YNnaIndicator">References!$B$6:$B$8</definedName>
    <definedName name="LTrnd_Cov1">'4.Exhibit 8'!$H$43</definedName>
    <definedName name="LTrnd_Cov10">'4.Exhibit 8'!$FN$43</definedName>
    <definedName name="LTrnd_Cov2">'4.Exhibit 8'!$Z$43</definedName>
    <definedName name="LTrnd_Cov3">'4.Exhibit 8'!$AR$43</definedName>
    <definedName name="LTrnd_Cov4">'4.Exhibit 8'!$BJ$43</definedName>
    <definedName name="LTrnd_Cov5">'4.Exhibit 8'!$CB$43</definedName>
    <definedName name="LTrnd_Cov6">'4.Exhibit 8'!$CT$43</definedName>
    <definedName name="LTrnd_Cov7">'4.Exhibit 8'!$DL$43</definedName>
    <definedName name="LTrnd_Cov8">'4.Exhibit 8'!$ED$43</definedName>
    <definedName name="LTrnd_Cov9">'4.Exhibit 8'!$EV$43</definedName>
    <definedName name="Mos_Devt">'1.General'!$C$34</definedName>
    <definedName name="NAICsplit">'1.General'!$C$59</definedName>
    <definedName name="NumCovgs">'1.General'!$D$31</definedName>
    <definedName name="OpenClosed_Exh7Paid">'1.General'!$C$49</definedName>
    <definedName name="PolicyTermAvgAnn">'1.General'!$C$61</definedName>
    <definedName name="_xlnm.Print_Area" localSheetId="3">'1.General'!$A$1:$H$66</definedName>
    <definedName name="_xlnm.Print_Area" localSheetId="4">'2.Exhibit 5'!$B$1:$L$51</definedName>
    <definedName name="_xlnm.Print_Area" localSheetId="5">'3.Exhibit 7 - Annual'!$A$1:$L$453</definedName>
    <definedName name="_xlnm.Print_Area" localSheetId="6">'4.Exhibit 8'!$B$1:$S$55</definedName>
    <definedName name="_xlnm.Print_Area" localSheetId="2">Instructions!$A$1:$B$15</definedName>
    <definedName name="_xlnm.Print_Area" localSheetId="0">Settings!$A$1:$B$26</definedName>
    <definedName name="PTrnd_Cov1">'2.Exhibit 5'!$E$40</definedName>
    <definedName name="PTrnd_Cov10">'2.Exhibit 5'!$CZ$40</definedName>
    <definedName name="PTrnd_Cov2">'2.Exhibit 5'!$P$40</definedName>
    <definedName name="PTrnd_Cov3">'2.Exhibit 5'!$AA$40</definedName>
    <definedName name="PTrnd_Cov4">'2.Exhibit 5'!$AL$40</definedName>
    <definedName name="PTrnd_Cov5">'2.Exhibit 5'!$AW$40</definedName>
    <definedName name="PTrnd_Cov6">'2.Exhibit 5'!$BH$40</definedName>
    <definedName name="PTrnd_Cov7">'2.Exhibit 5'!$BS$40</definedName>
    <definedName name="PTrnd_Cov8">'2.Exhibit 5'!$CD$40</definedName>
    <definedName name="PTrnd_Cov9">'2.Exhibit 5'!$CO$40</definedName>
    <definedName name="PTrndBasis">'1.General'!$C$41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57" i="10" l="1"/>
  <c r="F246" i="2" s="1"/>
  <c r="R246" i="2" s="1"/>
  <c r="DJ246" i="2" l="1"/>
  <c r="BZ246" i="2"/>
  <c r="BN246" i="2"/>
  <c r="BB246" i="2"/>
  <c r="AP246" i="2"/>
  <c r="CX246" i="2"/>
  <c r="CL246" i="2"/>
  <c r="AD246" i="2"/>
  <c r="F46" i="4"/>
  <c r="G42" i="1"/>
  <c r="R12" i="2" l="1"/>
  <c r="R13" i="2"/>
  <c r="R14" i="2"/>
  <c r="R15" i="2"/>
  <c r="K262" i="2" l="1"/>
  <c r="F259" i="2" s="1"/>
  <c r="K49" i="2"/>
  <c r="F46" i="2" s="1"/>
  <c r="FJ7" i="4" l="1"/>
  <c r="ER7" i="4"/>
  <c r="DZ7" i="4"/>
  <c r="DH7" i="4"/>
  <c r="CP7" i="4"/>
  <c r="BX7" i="4"/>
  <c r="BF7" i="4"/>
  <c r="AN7" i="4"/>
  <c r="V7" i="4"/>
  <c r="D7" i="4"/>
  <c r="D6" i="4"/>
  <c r="CY8" i="1"/>
  <c r="CN8" i="1"/>
  <c r="CC8" i="1"/>
  <c r="BR8" i="1"/>
  <c r="BG8" i="1"/>
  <c r="AV8" i="1"/>
  <c r="AK8" i="1"/>
  <c r="Z8" i="1"/>
  <c r="O8" i="1"/>
  <c r="D8" i="1"/>
  <c r="D141" i="2" l="1"/>
  <c r="C141" i="2"/>
  <c r="DP311" i="2" l="1"/>
  <c r="DO311" i="2"/>
  <c r="DN311" i="2"/>
  <c r="DM311" i="2"/>
  <c r="DL311" i="2"/>
  <c r="DK311" i="2"/>
  <c r="DJ311" i="2"/>
  <c r="DI311" i="2"/>
  <c r="DH311" i="2"/>
  <c r="DG311" i="2"/>
  <c r="DP168" i="2"/>
  <c r="DO168" i="2"/>
  <c r="DN168" i="2"/>
  <c r="DM168" i="2"/>
  <c r="DL168" i="2"/>
  <c r="DK168" i="2"/>
  <c r="DJ168" i="2"/>
  <c r="DI168" i="2"/>
  <c r="DH168" i="2"/>
  <c r="DG168" i="2"/>
  <c r="DP21" i="2"/>
  <c r="DO21" i="2"/>
  <c r="DN21" i="2"/>
  <c r="DM21" i="2"/>
  <c r="DL21" i="2"/>
  <c r="DK21" i="2"/>
  <c r="DJ21" i="2"/>
  <c r="DI21" i="2"/>
  <c r="DH21" i="2"/>
  <c r="DG21" i="2"/>
  <c r="DP20" i="2"/>
  <c r="DO20" i="2"/>
  <c r="DN20" i="2"/>
  <c r="DM20" i="2"/>
  <c r="DL20" i="2"/>
  <c r="DK20" i="2"/>
  <c r="DJ20" i="2"/>
  <c r="DI20" i="2"/>
  <c r="DH20" i="2"/>
  <c r="DG20" i="2"/>
  <c r="DP19" i="2"/>
  <c r="DO19" i="2"/>
  <c r="DN19" i="2"/>
  <c r="DM19" i="2"/>
  <c r="DL19" i="2"/>
  <c r="DK19" i="2"/>
  <c r="DJ19" i="2"/>
  <c r="DI19" i="2"/>
  <c r="DH19" i="2"/>
  <c r="DG19" i="2"/>
  <c r="DP18" i="2"/>
  <c r="DO18" i="2"/>
  <c r="DN18" i="2"/>
  <c r="DM18" i="2"/>
  <c r="DL18" i="2"/>
  <c r="DK18" i="2"/>
  <c r="DJ18" i="2"/>
  <c r="DI18" i="2"/>
  <c r="DH18" i="2"/>
  <c r="DG18" i="2"/>
  <c r="DP17" i="2"/>
  <c r="DO17" i="2"/>
  <c r="DN17" i="2"/>
  <c r="DM17" i="2"/>
  <c r="DL17" i="2"/>
  <c r="DK17" i="2"/>
  <c r="DJ17" i="2"/>
  <c r="DI17" i="2"/>
  <c r="DH17" i="2"/>
  <c r="DG17" i="2"/>
  <c r="DP26" i="2"/>
  <c r="DO26" i="2"/>
  <c r="DN26" i="2"/>
  <c r="DM26" i="2"/>
  <c r="DL26" i="2"/>
  <c r="DK26" i="2"/>
  <c r="DJ26" i="2"/>
  <c r="DI26" i="2"/>
  <c r="DH26" i="2"/>
  <c r="DG26" i="2"/>
  <c r="DE26" i="2"/>
  <c r="DP25" i="2"/>
  <c r="DO25" i="2"/>
  <c r="DN25" i="2"/>
  <c r="DM25" i="2"/>
  <c r="DL25" i="2"/>
  <c r="DK25" i="2"/>
  <c r="DJ25" i="2"/>
  <c r="DI25" i="2"/>
  <c r="DH25" i="2"/>
  <c r="DG25" i="2"/>
  <c r="DE25" i="2"/>
  <c r="DD26" i="2"/>
  <c r="DC26" i="2"/>
  <c r="DB26" i="2"/>
  <c r="DA26" i="2"/>
  <c r="CZ26" i="2"/>
  <c r="CY26" i="2"/>
  <c r="CX26" i="2"/>
  <c r="CW26" i="2"/>
  <c r="CV26" i="2"/>
  <c r="CU26" i="2"/>
  <c r="CS26" i="2"/>
  <c r="DD25" i="2"/>
  <c r="DC25" i="2"/>
  <c r="DB25" i="2"/>
  <c r="DA25" i="2"/>
  <c r="CZ25" i="2"/>
  <c r="CY25" i="2"/>
  <c r="CX25" i="2"/>
  <c r="CW25" i="2"/>
  <c r="CV25" i="2"/>
  <c r="CU25" i="2"/>
  <c r="CS25" i="2"/>
  <c r="CG26" i="2"/>
  <c r="CR25" i="2"/>
  <c r="CQ25" i="2"/>
  <c r="CP25" i="2"/>
  <c r="CO25" i="2"/>
  <c r="CN25" i="2"/>
  <c r="CM25" i="2"/>
  <c r="CL25" i="2"/>
  <c r="CK25" i="2"/>
  <c r="CJ25" i="2"/>
  <c r="CI25" i="2"/>
  <c r="CG25" i="2"/>
  <c r="CF26" i="2"/>
  <c r="CE26" i="2"/>
  <c r="CD26" i="2"/>
  <c r="CC26" i="2"/>
  <c r="CB26" i="2"/>
  <c r="CA26" i="2"/>
  <c r="BZ26" i="2"/>
  <c r="BY26" i="2"/>
  <c r="BX26" i="2"/>
  <c r="BW26" i="2"/>
  <c r="BU26" i="2"/>
  <c r="CF25" i="2"/>
  <c r="CE25" i="2"/>
  <c r="CD25" i="2"/>
  <c r="CC25" i="2"/>
  <c r="CB25" i="2"/>
  <c r="CA25" i="2"/>
  <c r="BZ25" i="2"/>
  <c r="BY25" i="2"/>
  <c r="BX25" i="2"/>
  <c r="BW25" i="2"/>
  <c r="BU25" i="2"/>
  <c r="BT26" i="2"/>
  <c r="BS26" i="2"/>
  <c r="BR26" i="2"/>
  <c r="BQ26" i="2"/>
  <c r="BP26" i="2"/>
  <c r="BO26" i="2"/>
  <c r="BN26" i="2"/>
  <c r="BM26" i="2"/>
  <c r="BL26" i="2"/>
  <c r="BK26" i="2"/>
  <c r="BI26" i="2"/>
  <c r="BT25" i="2"/>
  <c r="BS25" i="2"/>
  <c r="BR25" i="2"/>
  <c r="BQ25" i="2"/>
  <c r="BP25" i="2"/>
  <c r="BO25" i="2"/>
  <c r="BN25" i="2"/>
  <c r="BM25" i="2"/>
  <c r="BL25" i="2"/>
  <c r="BK25" i="2"/>
  <c r="BI25" i="2"/>
  <c r="BH26" i="2"/>
  <c r="BG26" i="2"/>
  <c r="BF26" i="2"/>
  <c r="BE26" i="2"/>
  <c r="BD26" i="2"/>
  <c r="BC26" i="2"/>
  <c r="BB26" i="2"/>
  <c r="BA26" i="2"/>
  <c r="AZ26" i="2"/>
  <c r="AY26" i="2"/>
  <c r="AW26" i="2"/>
  <c r="BH25" i="2"/>
  <c r="BG25" i="2"/>
  <c r="BF25" i="2"/>
  <c r="BE25" i="2"/>
  <c r="BD25" i="2"/>
  <c r="BC25" i="2"/>
  <c r="BB25" i="2"/>
  <c r="BA25" i="2"/>
  <c r="AZ25" i="2"/>
  <c r="AY25" i="2"/>
  <c r="AW25" i="2"/>
  <c r="AV26" i="2"/>
  <c r="AU26" i="2"/>
  <c r="AT26" i="2"/>
  <c r="AS26" i="2"/>
  <c r="AR26" i="2"/>
  <c r="AQ26" i="2"/>
  <c r="AP26" i="2"/>
  <c r="AO26" i="2"/>
  <c r="AN26" i="2"/>
  <c r="AM26" i="2"/>
  <c r="AK26" i="2"/>
  <c r="AV25" i="2"/>
  <c r="AU25" i="2"/>
  <c r="AT25" i="2"/>
  <c r="AS25" i="2"/>
  <c r="AR25" i="2"/>
  <c r="AQ25" i="2"/>
  <c r="AP25" i="2"/>
  <c r="AO25" i="2"/>
  <c r="AN25" i="2"/>
  <c r="AM25" i="2"/>
  <c r="AK25" i="2"/>
  <c r="AJ26" i="2"/>
  <c r="AI26" i="2"/>
  <c r="AH26" i="2"/>
  <c r="AG26" i="2"/>
  <c r="AF26" i="2"/>
  <c r="AE26" i="2"/>
  <c r="AD26" i="2"/>
  <c r="AC26" i="2"/>
  <c r="AB26" i="2"/>
  <c r="AA26" i="2"/>
  <c r="Y26" i="2"/>
  <c r="AJ25" i="2"/>
  <c r="AI25" i="2"/>
  <c r="AH25" i="2"/>
  <c r="AG25" i="2"/>
  <c r="AF25" i="2"/>
  <c r="AE25" i="2"/>
  <c r="AD25" i="2"/>
  <c r="AC25" i="2"/>
  <c r="AB25" i="2"/>
  <c r="AA25" i="2"/>
  <c r="Y25" i="2"/>
  <c r="X26" i="2"/>
  <c r="W26" i="2"/>
  <c r="V26" i="2"/>
  <c r="U26" i="2"/>
  <c r="T26" i="2"/>
  <c r="S26" i="2"/>
  <c r="R26" i="2"/>
  <c r="Q26" i="2"/>
  <c r="P26" i="2"/>
  <c r="O26" i="2"/>
  <c r="M26" i="2"/>
  <c r="X25" i="2"/>
  <c r="W25" i="2"/>
  <c r="V25" i="2"/>
  <c r="U25" i="2"/>
  <c r="T25" i="2"/>
  <c r="S25" i="2"/>
  <c r="R25" i="2"/>
  <c r="Q25" i="2"/>
  <c r="P25" i="2"/>
  <c r="O25" i="2"/>
  <c r="M25" i="2"/>
  <c r="C25" i="2"/>
  <c r="L26" i="2"/>
  <c r="K26" i="2"/>
  <c r="J26" i="2"/>
  <c r="I26" i="2"/>
  <c r="H26" i="2"/>
  <c r="G26" i="2"/>
  <c r="F26" i="2"/>
  <c r="E26" i="2"/>
  <c r="D26" i="2"/>
  <c r="A26" i="2"/>
  <c r="C26" i="2"/>
  <c r="A25" i="2"/>
  <c r="DD311" i="2" l="1"/>
  <c r="DC311" i="2"/>
  <c r="DB311" i="2"/>
  <c r="DA311" i="2"/>
  <c r="CZ311" i="2"/>
  <c r="CY311" i="2"/>
  <c r="CX311" i="2"/>
  <c r="CW311" i="2"/>
  <c r="CV311" i="2"/>
  <c r="CU311" i="2"/>
  <c r="CR311" i="2"/>
  <c r="CQ311" i="2"/>
  <c r="CP311" i="2"/>
  <c r="CO311" i="2"/>
  <c r="CN311" i="2"/>
  <c r="CM311" i="2"/>
  <c r="CL311" i="2"/>
  <c r="CK311" i="2"/>
  <c r="CJ311" i="2"/>
  <c r="CI311" i="2"/>
  <c r="CF311" i="2"/>
  <c r="CE311" i="2"/>
  <c r="CD311" i="2"/>
  <c r="CC311" i="2"/>
  <c r="CB311" i="2"/>
  <c r="CA311" i="2"/>
  <c r="BZ311" i="2"/>
  <c r="BY311" i="2"/>
  <c r="BX311" i="2"/>
  <c r="BW311" i="2"/>
  <c r="BT311" i="2"/>
  <c r="BS311" i="2"/>
  <c r="BR311" i="2"/>
  <c r="BQ311" i="2"/>
  <c r="BP311" i="2"/>
  <c r="BO311" i="2"/>
  <c r="BN311" i="2"/>
  <c r="BM311" i="2"/>
  <c r="BL311" i="2"/>
  <c r="BK311" i="2"/>
  <c r="BH311" i="2"/>
  <c r="BG311" i="2"/>
  <c r="BF311" i="2"/>
  <c r="BE311" i="2"/>
  <c r="BD311" i="2"/>
  <c r="BC311" i="2"/>
  <c r="BB311" i="2"/>
  <c r="BA311" i="2"/>
  <c r="AZ311" i="2"/>
  <c r="AY311" i="2"/>
  <c r="AV311" i="2"/>
  <c r="AU311" i="2"/>
  <c r="AT311" i="2"/>
  <c r="AS311" i="2"/>
  <c r="AR311" i="2"/>
  <c r="AQ311" i="2"/>
  <c r="AP311" i="2"/>
  <c r="AO311" i="2"/>
  <c r="AN311" i="2"/>
  <c r="AM311" i="2"/>
  <c r="AJ311" i="2"/>
  <c r="AI311" i="2"/>
  <c r="AH311" i="2"/>
  <c r="AG311" i="2"/>
  <c r="AF311" i="2"/>
  <c r="AE311" i="2"/>
  <c r="AD311" i="2"/>
  <c r="AC311" i="2"/>
  <c r="AB311" i="2"/>
  <c r="AA311" i="2"/>
  <c r="X311" i="2"/>
  <c r="W311" i="2"/>
  <c r="V311" i="2"/>
  <c r="U311" i="2"/>
  <c r="T311" i="2"/>
  <c r="S311" i="2"/>
  <c r="R311" i="2"/>
  <c r="Q311" i="2"/>
  <c r="P311" i="2"/>
  <c r="O311" i="2"/>
  <c r="DD168" i="2"/>
  <c r="DC168" i="2"/>
  <c r="DB168" i="2"/>
  <c r="DA168" i="2"/>
  <c r="CZ168" i="2"/>
  <c r="CY168" i="2"/>
  <c r="CX168" i="2"/>
  <c r="CW168" i="2"/>
  <c r="CV168" i="2"/>
  <c r="CU168" i="2"/>
  <c r="CR168" i="2"/>
  <c r="CQ168" i="2"/>
  <c r="CP168" i="2"/>
  <c r="CO168" i="2"/>
  <c r="CN168" i="2"/>
  <c r="CM168" i="2"/>
  <c r="CL168" i="2"/>
  <c r="CK168" i="2"/>
  <c r="CJ168" i="2"/>
  <c r="CI168" i="2"/>
  <c r="CF168" i="2"/>
  <c r="CE168" i="2"/>
  <c r="CD168" i="2"/>
  <c r="CC168" i="2"/>
  <c r="CB168" i="2"/>
  <c r="CA168" i="2"/>
  <c r="BZ168" i="2"/>
  <c r="BY168" i="2"/>
  <c r="BX168" i="2"/>
  <c r="BW168" i="2"/>
  <c r="BT168" i="2"/>
  <c r="BS168" i="2"/>
  <c r="BR168" i="2"/>
  <c r="BQ168" i="2"/>
  <c r="BP168" i="2"/>
  <c r="BO168" i="2"/>
  <c r="BN168" i="2"/>
  <c r="BM168" i="2"/>
  <c r="BL168" i="2"/>
  <c r="BK168" i="2"/>
  <c r="BH168" i="2"/>
  <c r="BG168" i="2"/>
  <c r="BF168" i="2"/>
  <c r="BE168" i="2"/>
  <c r="BD168" i="2"/>
  <c r="BC168" i="2"/>
  <c r="BB168" i="2"/>
  <c r="BA168" i="2"/>
  <c r="AZ168" i="2"/>
  <c r="AY168" i="2"/>
  <c r="AV168" i="2"/>
  <c r="AU168" i="2"/>
  <c r="AT168" i="2"/>
  <c r="AS168" i="2"/>
  <c r="AR168" i="2"/>
  <c r="AQ168" i="2"/>
  <c r="AP168" i="2"/>
  <c r="AO168" i="2"/>
  <c r="AN168" i="2"/>
  <c r="AM168" i="2"/>
  <c r="AJ168" i="2"/>
  <c r="AI168" i="2"/>
  <c r="AH168" i="2"/>
  <c r="AG168" i="2"/>
  <c r="AF168" i="2"/>
  <c r="AE168" i="2"/>
  <c r="AD168" i="2"/>
  <c r="AC168" i="2"/>
  <c r="AB168" i="2"/>
  <c r="AA168" i="2"/>
  <c r="X168" i="2"/>
  <c r="W168" i="2"/>
  <c r="V168" i="2"/>
  <c r="U168" i="2"/>
  <c r="T168" i="2"/>
  <c r="S168" i="2"/>
  <c r="R168" i="2"/>
  <c r="Q168" i="2"/>
  <c r="P168" i="2"/>
  <c r="O168" i="2"/>
  <c r="C168" i="2"/>
  <c r="DD20" i="2"/>
  <c r="DC20" i="2"/>
  <c r="DB20" i="2"/>
  <c r="DA20" i="2"/>
  <c r="CZ20" i="2"/>
  <c r="CY20" i="2"/>
  <c r="CX20" i="2"/>
  <c r="CW20" i="2"/>
  <c r="CV20" i="2"/>
  <c r="CU20" i="2"/>
  <c r="CW19" i="2"/>
  <c r="CV19" i="2"/>
  <c r="CU19" i="2"/>
  <c r="DD18" i="2"/>
  <c r="DC18" i="2"/>
  <c r="DB18" i="2"/>
  <c r="DA18" i="2"/>
  <c r="CZ18" i="2"/>
  <c r="CY18" i="2"/>
  <c r="CX18" i="2"/>
  <c r="CW18" i="2"/>
  <c r="CV18" i="2"/>
  <c r="CU18" i="2"/>
  <c r="DD17" i="2"/>
  <c r="DD21" i="2" s="1"/>
  <c r="DC17" i="2"/>
  <c r="DC21" i="2" s="1"/>
  <c r="DB17" i="2"/>
  <c r="DB21" i="2" s="1"/>
  <c r="DA17" i="2"/>
  <c r="DA21" i="2" s="1"/>
  <c r="CZ17" i="2"/>
  <c r="CZ21" i="2" s="1"/>
  <c r="CY17" i="2"/>
  <c r="CY21" i="2" s="1"/>
  <c r="CX17" i="2"/>
  <c r="CX21" i="2" s="1"/>
  <c r="CW17" i="2"/>
  <c r="CW21" i="2" s="1"/>
  <c r="CV17" i="2"/>
  <c r="CV21" i="2" s="1"/>
  <c r="CU17" i="2"/>
  <c r="CU21" i="2" s="1"/>
  <c r="CR20" i="2"/>
  <c r="CQ20" i="2"/>
  <c r="CP20" i="2"/>
  <c r="CO20" i="2"/>
  <c r="CN20" i="2"/>
  <c r="CM20" i="2"/>
  <c r="CL20" i="2"/>
  <c r="CK20" i="2"/>
  <c r="CJ20" i="2"/>
  <c r="CI20" i="2"/>
  <c r="CR19" i="2"/>
  <c r="CQ19" i="2"/>
  <c r="CP19" i="2"/>
  <c r="CO19" i="2"/>
  <c r="CN19" i="2"/>
  <c r="CM19" i="2"/>
  <c r="CL19" i="2"/>
  <c r="CK19" i="2"/>
  <c r="CJ19" i="2"/>
  <c r="CI19" i="2"/>
  <c r="CR18" i="2"/>
  <c r="CR21" i="2" s="1"/>
  <c r="CQ18" i="2"/>
  <c r="CQ21" i="2" s="1"/>
  <c r="CP18" i="2"/>
  <c r="CP21" i="2" s="1"/>
  <c r="CO18" i="2"/>
  <c r="CO21" i="2" s="1"/>
  <c r="CN18" i="2"/>
  <c r="CN21" i="2" s="1"/>
  <c r="CM18" i="2"/>
  <c r="CM21" i="2" s="1"/>
  <c r="CL18" i="2"/>
  <c r="CL21" i="2" s="1"/>
  <c r="CK18" i="2"/>
  <c r="CK21" i="2" s="1"/>
  <c r="CJ18" i="2"/>
  <c r="CJ21" i="2" s="1"/>
  <c r="CI18" i="2"/>
  <c r="CI21" i="2" s="1"/>
  <c r="CR17" i="2"/>
  <c r="CQ17" i="2"/>
  <c r="CP17" i="2"/>
  <c r="CO17" i="2"/>
  <c r="CN17" i="2"/>
  <c r="CM17" i="2"/>
  <c r="CL17" i="2"/>
  <c r="CK17" i="2"/>
  <c r="CJ17" i="2"/>
  <c r="CI17" i="2"/>
  <c r="CF21" i="2"/>
  <c r="CE21" i="2"/>
  <c r="CD21" i="2"/>
  <c r="CC21" i="2"/>
  <c r="CB21" i="2"/>
  <c r="CA21" i="2"/>
  <c r="BZ21" i="2"/>
  <c r="BY21" i="2"/>
  <c r="BX21" i="2"/>
  <c r="BW21" i="2"/>
  <c r="CF20" i="2"/>
  <c r="CE20" i="2"/>
  <c r="CD20" i="2"/>
  <c r="CC20" i="2"/>
  <c r="CB20" i="2"/>
  <c r="CA20" i="2"/>
  <c r="BZ20" i="2"/>
  <c r="BY20" i="2"/>
  <c r="BX20" i="2"/>
  <c r="BW20" i="2"/>
  <c r="CF19" i="2"/>
  <c r="CE19" i="2"/>
  <c r="CD19" i="2"/>
  <c r="CC19" i="2"/>
  <c r="CB19" i="2"/>
  <c r="CA19" i="2"/>
  <c r="BZ19" i="2"/>
  <c r="BY19" i="2"/>
  <c r="BX19" i="2"/>
  <c r="BW19" i="2"/>
  <c r="CF18" i="2"/>
  <c r="CE18" i="2"/>
  <c r="CD18" i="2"/>
  <c r="CC18" i="2"/>
  <c r="CB18" i="2"/>
  <c r="CA18" i="2"/>
  <c r="BZ18" i="2"/>
  <c r="BY18" i="2"/>
  <c r="BX18" i="2"/>
  <c r="BW18" i="2"/>
  <c r="CF17" i="2"/>
  <c r="CE17" i="2"/>
  <c r="CD17" i="2"/>
  <c r="CC17" i="2"/>
  <c r="CB17" i="2"/>
  <c r="CA17" i="2"/>
  <c r="BZ17" i="2"/>
  <c r="BY17" i="2"/>
  <c r="BX17" i="2"/>
  <c r="BW17" i="2"/>
  <c r="BT21" i="2"/>
  <c r="BS21" i="2"/>
  <c r="BR21" i="2"/>
  <c r="BQ21" i="2"/>
  <c r="BP21" i="2"/>
  <c r="BO21" i="2"/>
  <c r="BN21" i="2"/>
  <c r="BM21" i="2"/>
  <c r="BL21" i="2"/>
  <c r="BK21" i="2"/>
  <c r="BT20" i="2"/>
  <c r="BS20" i="2"/>
  <c r="BR20" i="2"/>
  <c r="BQ20" i="2"/>
  <c r="BP20" i="2"/>
  <c r="BO20" i="2"/>
  <c r="BN20" i="2"/>
  <c r="BM20" i="2"/>
  <c r="BL20" i="2"/>
  <c r="BK20" i="2"/>
  <c r="BT19" i="2"/>
  <c r="BS19" i="2"/>
  <c r="BR19" i="2"/>
  <c r="BQ19" i="2"/>
  <c r="BP19" i="2"/>
  <c r="BO19" i="2"/>
  <c r="BN19" i="2"/>
  <c r="BM19" i="2"/>
  <c r="BL19" i="2"/>
  <c r="BK19" i="2"/>
  <c r="BT18" i="2"/>
  <c r="BS18" i="2"/>
  <c r="BR18" i="2"/>
  <c r="BQ18" i="2"/>
  <c r="BP18" i="2"/>
  <c r="BO18" i="2"/>
  <c r="BN18" i="2"/>
  <c r="BM18" i="2"/>
  <c r="BL18" i="2"/>
  <c r="BK18" i="2"/>
  <c r="BT17" i="2"/>
  <c r="BS17" i="2"/>
  <c r="BR17" i="2"/>
  <c r="BQ17" i="2"/>
  <c r="BP17" i="2"/>
  <c r="BO17" i="2"/>
  <c r="BN17" i="2"/>
  <c r="BM17" i="2"/>
  <c r="BL17" i="2"/>
  <c r="BK17" i="2"/>
  <c r="BH21" i="2"/>
  <c r="BG21" i="2"/>
  <c r="BF21" i="2"/>
  <c r="BE21" i="2"/>
  <c r="BD21" i="2"/>
  <c r="BC21" i="2"/>
  <c r="BB21" i="2"/>
  <c r="BA21" i="2"/>
  <c r="AZ21" i="2"/>
  <c r="AY21" i="2"/>
  <c r="BH20" i="2"/>
  <c r="BG20" i="2"/>
  <c r="BF20" i="2"/>
  <c r="BE20" i="2"/>
  <c r="BD20" i="2"/>
  <c r="BC20" i="2"/>
  <c r="BB20" i="2"/>
  <c r="BA20" i="2"/>
  <c r="AZ20" i="2"/>
  <c r="AY20" i="2"/>
  <c r="BH19" i="2"/>
  <c r="BG19" i="2"/>
  <c r="BF19" i="2"/>
  <c r="BE19" i="2"/>
  <c r="BD19" i="2"/>
  <c r="BC19" i="2"/>
  <c r="BB19" i="2"/>
  <c r="BA19" i="2"/>
  <c r="AZ19" i="2"/>
  <c r="AY19" i="2"/>
  <c r="BH18" i="2"/>
  <c r="BG18" i="2"/>
  <c r="BF18" i="2"/>
  <c r="BE18" i="2"/>
  <c r="BD18" i="2"/>
  <c r="BC18" i="2"/>
  <c r="BB18" i="2"/>
  <c r="BA18" i="2"/>
  <c r="AZ18" i="2"/>
  <c r="AY18" i="2"/>
  <c r="BH17" i="2"/>
  <c r="BG17" i="2"/>
  <c r="BF17" i="2"/>
  <c r="BE17" i="2"/>
  <c r="BD17" i="2"/>
  <c r="BC17" i="2"/>
  <c r="BB17" i="2"/>
  <c r="BA17" i="2"/>
  <c r="AZ17" i="2"/>
  <c r="AY17" i="2"/>
  <c r="AV21" i="2"/>
  <c r="AU21" i="2"/>
  <c r="AT21" i="2"/>
  <c r="AS21" i="2"/>
  <c r="AR21" i="2"/>
  <c r="AQ21" i="2"/>
  <c r="AP21" i="2"/>
  <c r="AO21" i="2"/>
  <c r="AN21" i="2"/>
  <c r="AM21" i="2"/>
  <c r="AV20" i="2"/>
  <c r="AU20" i="2"/>
  <c r="AT20" i="2"/>
  <c r="AS20" i="2"/>
  <c r="AR20" i="2"/>
  <c r="AQ20" i="2"/>
  <c r="AP20" i="2"/>
  <c r="AO20" i="2"/>
  <c r="AN20" i="2"/>
  <c r="AM20" i="2"/>
  <c r="AV19" i="2"/>
  <c r="AU19" i="2"/>
  <c r="AT19" i="2"/>
  <c r="AS19" i="2"/>
  <c r="AR19" i="2"/>
  <c r="AQ19" i="2"/>
  <c r="AP19" i="2"/>
  <c r="AO19" i="2"/>
  <c r="AN19" i="2"/>
  <c r="AM19" i="2"/>
  <c r="AV18" i="2"/>
  <c r="AU18" i="2"/>
  <c r="AT18" i="2"/>
  <c r="AS18" i="2"/>
  <c r="AR18" i="2"/>
  <c r="AQ18" i="2"/>
  <c r="AP18" i="2"/>
  <c r="AO18" i="2"/>
  <c r="AN18" i="2"/>
  <c r="AM18" i="2"/>
  <c r="AV17" i="2"/>
  <c r="AU17" i="2"/>
  <c r="AT17" i="2"/>
  <c r="AS17" i="2"/>
  <c r="AR17" i="2"/>
  <c r="AQ17" i="2"/>
  <c r="AP17" i="2"/>
  <c r="AO17" i="2"/>
  <c r="AN17" i="2"/>
  <c r="AM17" i="2"/>
  <c r="AJ17" i="2"/>
  <c r="AJ21" i="2"/>
  <c r="AI21" i="2"/>
  <c r="AH21" i="2"/>
  <c r="AG21" i="2"/>
  <c r="AF21" i="2"/>
  <c r="AE21" i="2"/>
  <c r="AD21" i="2"/>
  <c r="AC21" i="2"/>
  <c r="AB21" i="2"/>
  <c r="AA21" i="2"/>
  <c r="AJ20" i="2"/>
  <c r="AI20" i="2"/>
  <c r="AH20" i="2"/>
  <c r="AG20" i="2"/>
  <c r="AF20" i="2"/>
  <c r="AE20" i="2"/>
  <c r="AD20" i="2"/>
  <c r="AC20" i="2"/>
  <c r="AB20" i="2"/>
  <c r="AA20" i="2"/>
  <c r="AJ19" i="2"/>
  <c r="AI19" i="2"/>
  <c r="AH19" i="2"/>
  <c r="AG19" i="2"/>
  <c r="AF19" i="2"/>
  <c r="AE19" i="2"/>
  <c r="AD19" i="2"/>
  <c r="AC19" i="2"/>
  <c r="AB19" i="2"/>
  <c r="AA19" i="2"/>
  <c r="AJ18" i="2"/>
  <c r="AI18" i="2"/>
  <c r="AH18" i="2"/>
  <c r="AG18" i="2"/>
  <c r="AF18" i="2"/>
  <c r="AE18" i="2"/>
  <c r="AD18" i="2"/>
  <c r="AC18" i="2"/>
  <c r="AB18" i="2"/>
  <c r="AA18" i="2"/>
  <c r="AI17" i="2"/>
  <c r="AH17" i="2"/>
  <c r="AG17" i="2"/>
  <c r="AF17" i="2"/>
  <c r="AE17" i="2"/>
  <c r="AD17" i="2"/>
  <c r="AC17" i="2"/>
  <c r="AB17" i="2"/>
  <c r="AA17" i="2"/>
  <c r="X21" i="2"/>
  <c r="W21" i="2"/>
  <c r="V21" i="2"/>
  <c r="U21" i="2"/>
  <c r="T21" i="2"/>
  <c r="S21" i="2"/>
  <c r="R21" i="2"/>
  <c r="Q21" i="2"/>
  <c r="P21" i="2"/>
  <c r="O21" i="2"/>
  <c r="X20" i="2"/>
  <c r="W20" i="2"/>
  <c r="V20" i="2"/>
  <c r="U20" i="2"/>
  <c r="T20" i="2"/>
  <c r="S20" i="2"/>
  <c r="R20" i="2"/>
  <c r="Q20" i="2"/>
  <c r="P20" i="2"/>
  <c r="O20" i="2"/>
  <c r="X19" i="2"/>
  <c r="W19" i="2"/>
  <c r="V19" i="2"/>
  <c r="U19" i="2"/>
  <c r="T19" i="2"/>
  <c r="S19" i="2"/>
  <c r="R19" i="2"/>
  <c r="Q19" i="2"/>
  <c r="P19" i="2"/>
  <c r="O19" i="2"/>
  <c r="X18" i="2"/>
  <c r="W18" i="2"/>
  <c r="V18" i="2"/>
  <c r="U18" i="2"/>
  <c r="T18" i="2"/>
  <c r="S18" i="2"/>
  <c r="R18" i="2"/>
  <c r="Q18" i="2"/>
  <c r="P18" i="2"/>
  <c r="O18" i="2"/>
  <c r="X17" i="2"/>
  <c r="W17" i="2"/>
  <c r="V17" i="2"/>
  <c r="U17" i="2"/>
  <c r="T17" i="2"/>
  <c r="S17" i="2"/>
  <c r="R17" i="2"/>
  <c r="Q17" i="2"/>
  <c r="P17" i="2"/>
  <c r="O17" i="2"/>
  <c r="DH56" i="2" l="1"/>
  <c r="DH55" i="2"/>
  <c r="DI55" i="2"/>
  <c r="DH54" i="2"/>
  <c r="DI54" i="2"/>
  <c r="DJ54" i="2"/>
  <c r="DH53" i="2"/>
  <c r="DI53" i="2"/>
  <c r="DJ53" i="2"/>
  <c r="DK53" i="2"/>
  <c r="DH52" i="2"/>
  <c r="DI52" i="2"/>
  <c r="DJ52" i="2"/>
  <c r="DK52" i="2"/>
  <c r="DL52" i="2"/>
  <c r="DH51" i="2"/>
  <c r="DI51" i="2"/>
  <c r="DJ51" i="2"/>
  <c r="DK51" i="2"/>
  <c r="DL51" i="2"/>
  <c r="DM51" i="2"/>
  <c r="DH50" i="2"/>
  <c r="DI50" i="2"/>
  <c r="DJ50" i="2"/>
  <c r="DK50" i="2"/>
  <c r="DL50" i="2"/>
  <c r="DM50" i="2"/>
  <c r="DN50" i="2"/>
  <c r="DG50" i="2"/>
  <c r="DG51" i="2"/>
  <c r="DG52" i="2"/>
  <c r="DG53" i="2"/>
  <c r="DG54" i="2"/>
  <c r="DG55" i="2"/>
  <c r="DG56" i="2"/>
  <c r="DG57" i="2"/>
  <c r="DH49" i="2"/>
  <c r="DI49" i="2"/>
  <c r="DJ49" i="2"/>
  <c r="DK49" i="2"/>
  <c r="DL49" i="2"/>
  <c r="DM49" i="2"/>
  <c r="DN49" i="2"/>
  <c r="DO49" i="2"/>
  <c r="DJ46" i="2" s="1"/>
  <c r="DG49" i="2"/>
  <c r="DH91" i="2"/>
  <c r="DH90" i="2"/>
  <c r="DI90" i="2"/>
  <c r="DH89" i="2"/>
  <c r="DI89" i="2"/>
  <c r="DJ89" i="2"/>
  <c r="DH88" i="2"/>
  <c r="DI88" i="2"/>
  <c r="DJ88" i="2"/>
  <c r="DK88" i="2"/>
  <c r="DH87" i="2"/>
  <c r="DI87" i="2"/>
  <c r="DJ87" i="2"/>
  <c r="DK87" i="2"/>
  <c r="DL87" i="2"/>
  <c r="DH86" i="2"/>
  <c r="DI86" i="2"/>
  <c r="DJ86" i="2"/>
  <c r="DK86" i="2"/>
  <c r="DL86" i="2"/>
  <c r="DM86" i="2"/>
  <c r="DH85" i="2"/>
  <c r="DI85" i="2"/>
  <c r="DJ85" i="2"/>
  <c r="DK85" i="2"/>
  <c r="DL85" i="2"/>
  <c r="DM85" i="2"/>
  <c r="DN85" i="2"/>
  <c r="DG85" i="2"/>
  <c r="DG86" i="2"/>
  <c r="DG87" i="2"/>
  <c r="DG88" i="2"/>
  <c r="DG89" i="2"/>
  <c r="DG90" i="2"/>
  <c r="DG91" i="2"/>
  <c r="DG92" i="2"/>
  <c r="DH84" i="2"/>
  <c r="DI84" i="2"/>
  <c r="DJ84" i="2"/>
  <c r="DK84" i="2"/>
  <c r="DL84" i="2"/>
  <c r="DM84" i="2"/>
  <c r="DN84" i="2"/>
  <c r="DO84" i="2"/>
  <c r="DJ81" i="2" s="1"/>
  <c r="DG84" i="2"/>
  <c r="DH126" i="2"/>
  <c r="DH125" i="2"/>
  <c r="DI125" i="2"/>
  <c r="DH124" i="2"/>
  <c r="DI124" i="2"/>
  <c r="DJ124" i="2"/>
  <c r="DH123" i="2"/>
  <c r="DI123" i="2"/>
  <c r="DJ123" i="2"/>
  <c r="DK123" i="2"/>
  <c r="DH122" i="2"/>
  <c r="DI122" i="2"/>
  <c r="DJ122" i="2"/>
  <c r="DK122" i="2"/>
  <c r="DL122" i="2"/>
  <c r="DH121" i="2"/>
  <c r="DI121" i="2"/>
  <c r="DJ121" i="2"/>
  <c r="DK121" i="2"/>
  <c r="DL121" i="2"/>
  <c r="DM121" i="2"/>
  <c r="DH120" i="2"/>
  <c r="DI120" i="2"/>
  <c r="DJ120" i="2"/>
  <c r="DK120" i="2"/>
  <c r="DL120" i="2"/>
  <c r="DM120" i="2"/>
  <c r="DN120" i="2"/>
  <c r="DG120" i="2"/>
  <c r="DG121" i="2"/>
  <c r="DG122" i="2"/>
  <c r="DG123" i="2"/>
  <c r="DG124" i="2"/>
  <c r="DG125" i="2"/>
  <c r="DG126" i="2"/>
  <c r="DG127" i="2"/>
  <c r="DH119" i="2"/>
  <c r="DI119" i="2"/>
  <c r="DJ119" i="2"/>
  <c r="DK119" i="2"/>
  <c r="DL119" i="2"/>
  <c r="DM119" i="2"/>
  <c r="DN119" i="2"/>
  <c r="DO119" i="2"/>
  <c r="DJ116" i="2" s="1"/>
  <c r="DG119" i="2"/>
  <c r="DH199" i="2"/>
  <c r="DH198" i="2"/>
  <c r="DI198" i="2"/>
  <c r="DH197" i="2"/>
  <c r="DI197" i="2"/>
  <c r="DJ197" i="2"/>
  <c r="DH196" i="2"/>
  <c r="DI196" i="2"/>
  <c r="DJ196" i="2"/>
  <c r="DK196" i="2"/>
  <c r="DH195" i="2"/>
  <c r="DI195" i="2"/>
  <c r="DJ195" i="2"/>
  <c r="DK195" i="2"/>
  <c r="DL195" i="2"/>
  <c r="DH194" i="2"/>
  <c r="DI194" i="2"/>
  <c r="DJ194" i="2"/>
  <c r="DK194" i="2"/>
  <c r="DL194" i="2"/>
  <c r="DM194" i="2"/>
  <c r="DH193" i="2"/>
  <c r="DI193" i="2"/>
  <c r="DJ193" i="2"/>
  <c r="DK193" i="2"/>
  <c r="DL193" i="2"/>
  <c r="DM193" i="2"/>
  <c r="DN193" i="2"/>
  <c r="DG193" i="2"/>
  <c r="DG194" i="2"/>
  <c r="DG195" i="2"/>
  <c r="DG196" i="2"/>
  <c r="DG197" i="2"/>
  <c r="DG198" i="2"/>
  <c r="DG199" i="2"/>
  <c r="DG200" i="2"/>
  <c r="DH192" i="2"/>
  <c r="DI192" i="2"/>
  <c r="DJ192" i="2"/>
  <c r="DK192" i="2"/>
  <c r="DL192" i="2"/>
  <c r="DM192" i="2"/>
  <c r="DN192" i="2"/>
  <c r="DO192" i="2"/>
  <c r="DJ189" i="2" s="1"/>
  <c r="DG192" i="2"/>
  <c r="DH234" i="2"/>
  <c r="DH233" i="2"/>
  <c r="DI233" i="2"/>
  <c r="DH232" i="2"/>
  <c r="DI232" i="2"/>
  <c r="DJ232" i="2"/>
  <c r="DH231" i="2"/>
  <c r="DI231" i="2"/>
  <c r="DJ231" i="2"/>
  <c r="DK231" i="2"/>
  <c r="DH230" i="2"/>
  <c r="DI230" i="2"/>
  <c r="DJ230" i="2"/>
  <c r="DK230" i="2"/>
  <c r="DL230" i="2"/>
  <c r="DH229" i="2"/>
  <c r="DI229" i="2"/>
  <c r="DJ229" i="2"/>
  <c r="DK229" i="2"/>
  <c r="DL229" i="2"/>
  <c r="DM229" i="2"/>
  <c r="DH228" i="2"/>
  <c r="DI228" i="2"/>
  <c r="DJ228" i="2"/>
  <c r="DK228" i="2"/>
  <c r="DL228" i="2"/>
  <c r="DM228" i="2"/>
  <c r="DN228" i="2"/>
  <c r="DH227" i="2"/>
  <c r="DI227" i="2"/>
  <c r="DJ227" i="2"/>
  <c r="DK227" i="2"/>
  <c r="DL227" i="2"/>
  <c r="DM227" i="2"/>
  <c r="DN227" i="2"/>
  <c r="DO227" i="2"/>
  <c r="DJ224" i="2" s="1"/>
  <c r="DG228" i="2"/>
  <c r="DG229" i="2"/>
  <c r="DG230" i="2"/>
  <c r="DG231" i="2"/>
  <c r="DG232" i="2"/>
  <c r="DG233" i="2"/>
  <c r="DG234" i="2"/>
  <c r="DG235" i="2"/>
  <c r="DG227" i="2"/>
  <c r="DH269" i="2"/>
  <c r="DH268" i="2"/>
  <c r="DI268" i="2"/>
  <c r="DH267" i="2"/>
  <c r="DI267" i="2"/>
  <c r="DJ267" i="2"/>
  <c r="DH266" i="2"/>
  <c r="DI266" i="2"/>
  <c r="DJ266" i="2"/>
  <c r="DK266" i="2"/>
  <c r="DH265" i="2"/>
  <c r="DI265" i="2"/>
  <c r="DJ265" i="2"/>
  <c r="DK265" i="2"/>
  <c r="DL265" i="2"/>
  <c r="DH264" i="2"/>
  <c r="DI264" i="2"/>
  <c r="DJ264" i="2"/>
  <c r="DK264" i="2"/>
  <c r="DL264" i="2"/>
  <c r="DM264" i="2"/>
  <c r="DH263" i="2"/>
  <c r="DI263" i="2"/>
  <c r="DJ263" i="2"/>
  <c r="DK263" i="2"/>
  <c r="DL263" i="2"/>
  <c r="DM263" i="2"/>
  <c r="DN263" i="2"/>
  <c r="DG263" i="2"/>
  <c r="DG264" i="2"/>
  <c r="DG265" i="2"/>
  <c r="DG266" i="2"/>
  <c r="DG267" i="2"/>
  <c r="DG268" i="2"/>
  <c r="DG269" i="2"/>
  <c r="DG270" i="2"/>
  <c r="DH262" i="2"/>
  <c r="DI262" i="2"/>
  <c r="DJ262" i="2"/>
  <c r="DK262" i="2"/>
  <c r="DL262" i="2"/>
  <c r="DM262" i="2"/>
  <c r="DN262" i="2"/>
  <c r="DO262" i="2"/>
  <c r="DJ259" i="2" s="1"/>
  <c r="DG262" i="2"/>
  <c r="DH342" i="2"/>
  <c r="DH341" i="2"/>
  <c r="DI341" i="2"/>
  <c r="DH340" i="2"/>
  <c r="DI340" i="2"/>
  <c r="DJ340" i="2"/>
  <c r="DH339" i="2"/>
  <c r="DI339" i="2"/>
  <c r="DJ339" i="2"/>
  <c r="DK339" i="2"/>
  <c r="DH338" i="2"/>
  <c r="DI338" i="2"/>
  <c r="DJ338" i="2"/>
  <c r="DK338" i="2"/>
  <c r="DL338" i="2"/>
  <c r="DH337" i="2"/>
  <c r="DI337" i="2"/>
  <c r="DJ337" i="2"/>
  <c r="DK337" i="2"/>
  <c r="DL337" i="2"/>
  <c r="DM337" i="2"/>
  <c r="DH336" i="2"/>
  <c r="DI336" i="2"/>
  <c r="DJ336" i="2"/>
  <c r="DK336" i="2"/>
  <c r="DL336" i="2"/>
  <c r="DM336" i="2"/>
  <c r="DN336" i="2"/>
  <c r="DG336" i="2"/>
  <c r="DG337" i="2"/>
  <c r="DG338" i="2"/>
  <c r="DG339" i="2"/>
  <c r="DG340" i="2"/>
  <c r="DG341" i="2"/>
  <c r="DG342" i="2"/>
  <c r="DG343" i="2"/>
  <c r="DH335" i="2"/>
  <c r="DI335" i="2"/>
  <c r="DJ335" i="2"/>
  <c r="DK335" i="2"/>
  <c r="DL335" i="2"/>
  <c r="DM335" i="2"/>
  <c r="DN335" i="2"/>
  <c r="DO335" i="2"/>
  <c r="DG335" i="2"/>
  <c r="DH377" i="2"/>
  <c r="DH376" i="2"/>
  <c r="DI376" i="2"/>
  <c r="DH375" i="2"/>
  <c r="DI375" i="2"/>
  <c r="DJ375" i="2"/>
  <c r="DH374" i="2"/>
  <c r="DI374" i="2"/>
  <c r="DJ374" i="2"/>
  <c r="DK374" i="2"/>
  <c r="DH373" i="2"/>
  <c r="DI373" i="2"/>
  <c r="DJ373" i="2"/>
  <c r="DK373" i="2"/>
  <c r="DL373" i="2"/>
  <c r="DH372" i="2"/>
  <c r="DI372" i="2"/>
  <c r="DJ372" i="2"/>
  <c r="DK372" i="2"/>
  <c r="DL372" i="2"/>
  <c r="DM372" i="2"/>
  <c r="DH371" i="2"/>
  <c r="DI371" i="2"/>
  <c r="DJ371" i="2"/>
  <c r="DK371" i="2"/>
  <c r="DL371" i="2"/>
  <c r="DM371" i="2"/>
  <c r="DN371" i="2"/>
  <c r="DG371" i="2"/>
  <c r="DG372" i="2"/>
  <c r="DG373" i="2"/>
  <c r="DG374" i="2"/>
  <c r="DG375" i="2"/>
  <c r="DG376" i="2"/>
  <c r="DG377" i="2"/>
  <c r="DG378" i="2"/>
  <c r="DH370" i="2"/>
  <c r="DI370" i="2"/>
  <c r="DJ370" i="2"/>
  <c r="DK370" i="2"/>
  <c r="DL370" i="2"/>
  <c r="DM370" i="2"/>
  <c r="DN370" i="2"/>
  <c r="DO370" i="2"/>
  <c r="DG370" i="2"/>
  <c r="DH412" i="2"/>
  <c r="DH411" i="2"/>
  <c r="DI411" i="2"/>
  <c r="DH410" i="2"/>
  <c r="DI410" i="2"/>
  <c r="DJ410" i="2"/>
  <c r="DH409" i="2"/>
  <c r="DI409" i="2"/>
  <c r="DJ409" i="2"/>
  <c r="DK409" i="2"/>
  <c r="DH408" i="2"/>
  <c r="DI408" i="2"/>
  <c r="DJ408" i="2"/>
  <c r="DK408" i="2"/>
  <c r="DL408" i="2"/>
  <c r="DH407" i="2"/>
  <c r="DI407" i="2"/>
  <c r="DJ407" i="2"/>
  <c r="DK407" i="2"/>
  <c r="DL407" i="2"/>
  <c r="DM407" i="2"/>
  <c r="DH406" i="2"/>
  <c r="DI406" i="2"/>
  <c r="DJ406" i="2"/>
  <c r="DK406" i="2"/>
  <c r="DL406" i="2"/>
  <c r="DM406" i="2"/>
  <c r="DN406" i="2"/>
  <c r="DG406" i="2"/>
  <c r="DG407" i="2"/>
  <c r="DG408" i="2"/>
  <c r="DG409" i="2"/>
  <c r="DG410" i="2"/>
  <c r="DG411" i="2"/>
  <c r="DG412" i="2"/>
  <c r="DG413" i="2"/>
  <c r="DH405" i="2"/>
  <c r="DI405" i="2"/>
  <c r="DJ405" i="2"/>
  <c r="DK405" i="2"/>
  <c r="DL405" i="2"/>
  <c r="DM405" i="2"/>
  <c r="DN405" i="2"/>
  <c r="DO405" i="2"/>
  <c r="DG405" i="2"/>
  <c r="DH447" i="2"/>
  <c r="DH446" i="2"/>
  <c r="DI446" i="2"/>
  <c r="DH445" i="2"/>
  <c r="DI445" i="2"/>
  <c r="DJ445" i="2"/>
  <c r="DH444" i="2"/>
  <c r="DI444" i="2"/>
  <c r="DJ444" i="2"/>
  <c r="DK444" i="2"/>
  <c r="DH443" i="2"/>
  <c r="DI443" i="2"/>
  <c r="DJ443" i="2"/>
  <c r="DK443" i="2"/>
  <c r="DL443" i="2"/>
  <c r="DH442" i="2"/>
  <c r="DI442" i="2"/>
  <c r="DJ442" i="2"/>
  <c r="DK442" i="2"/>
  <c r="DL442" i="2"/>
  <c r="DM442" i="2"/>
  <c r="DH441" i="2"/>
  <c r="DI441" i="2"/>
  <c r="DJ441" i="2"/>
  <c r="DK441" i="2"/>
  <c r="DL441" i="2"/>
  <c r="DM441" i="2"/>
  <c r="DN441" i="2"/>
  <c r="DG441" i="2"/>
  <c r="DG442" i="2"/>
  <c r="DG443" i="2"/>
  <c r="DG444" i="2"/>
  <c r="DG445" i="2"/>
  <c r="DG446" i="2"/>
  <c r="DG447" i="2"/>
  <c r="DG448" i="2"/>
  <c r="DH440" i="2"/>
  <c r="DI440" i="2"/>
  <c r="DJ440" i="2"/>
  <c r="DK440" i="2"/>
  <c r="DL440" i="2"/>
  <c r="DM440" i="2"/>
  <c r="DN440" i="2"/>
  <c r="DO440" i="2"/>
  <c r="DG440" i="2"/>
  <c r="CV447" i="2"/>
  <c r="CV446" i="2"/>
  <c r="CW446" i="2"/>
  <c r="CV445" i="2"/>
  <c r="CW445" i="2"/>
  <c r="CX445" i="2"/>
  <c r="CV444" i="2"/>
  <c r="CW444" i="2"/>
  <c r="CX444" i="2"/>
  <c r="CY444" i="2"/>
  <c r="CV443" i="2"/>
  <c r="CW443" i="2"/>
  <c r="CX443" i="2"/>
  <c r="CY443" i="2"/>
  <c r="CZ443" i="2"/>
  <c r="CV442" i="2"/>
  <c r="CW442" i="2"/>
  <c r="CX442" i="2"/>
  <c r="CY442" i="2"/>
  <c r="CZ442" i="2"/>
  <c r="DA442" i="2"/>
  <c r="CV441" i="2"/>
  <c r="CW441" i="2"/>
  <c r="CX441" i="2"/>
  <c r="CY441" i="2"/>
  <c r="CZ441" i="2"/>
  <c r="DA441" i="2"/>
  <c r="DB441" i="2"/>
  <c r="CU441" i="2"/>
  <c r="CU442" i="2"/>
  <c r="CU443" i="2"/>
  <c r="CU444" i="2"/>
  <c r="CU445" i="2"/>
  <c r="CU446" i="2"/>
  <c r="CU447" i="2"/>
  <c r="CU448" i="2"/>
  <c r="CV440" i="2"/>
  <c r="CW440" i="2"/>
  <c r="CX440" i="2"/>
  <c r="CY440" i="2"/>
  <c r="CZ440" i="2"/>
  <c r="DA440" i="2"/>
  <c r="DB440" i="2"/>
  <c r="DC440" i="2"/>
  <c r="CU440" i="2"/>
  <c r="CV412" i="2"/>
  <c r="CV411" i="2"/>
  <c r="CW411" i="2"/>
  <c r="CV410" i="2"/>
  <c r="CW410" i="2"/>
  <c r="CX410" i="2"/>
  <c r="CV409" i="2"/>
  <c r="CW409" i="2"/>
  <c r="CX409" i="2"/>
  <c r="CY409" i="2"/>
  <c r="CV408" i="2"/>
  <c r="CW408" i="2"/>
  <c r="CX408" i="2"/>
  <c r="CY408" i="2"/>
  <c r="CZ408" i="2"/>
  <c r="CV407" i="2"/>
  <c r="CW407" i="2"/>
  <c r="CX407" i="2"/>
  <c r="CY407" i="2"/>
  <c r="CZ407" i="2"/>
  <c r="DA407" i="2"/>
  <c r="CV406" i="2"/>
  <c r="CW406" i="2"/>
  <c r="CX406" i="2"/>
  <c r="CY406" i="2"/>
  <c r="CZ406" i="2"/>
  <c r="DA406" i="2"/>
  <c r="DB406" i="2"/>
  <c r="CU406" i="2"/>
  <c r="CU407" i="2"/>
  <c r="CU408" i="2"/>
  <c r="CU409" i="2"/>
  <c r="CU410" i="2"/>
  <c r="CU411" i="2"/>
  <c r="CU412" i="2"/>
  <c r="CU413" i="2"/>
  <c r="CV405" i="2"/>
  <c r="CW405" i="2"/>
  <c r="CX405" i="2"/>
  <c r="CY405" i="2"/>
  <c r="CZ405" i="2"/>
  <c r="DA405" i="2"/>
  <c r="DB405" i="2"/>
  <c r="DC405" i="2"/>
  <c r="CU405" i="2"/>
  <c r="CV377" i="2"/>
  <c r="CV376" i="2"/>
  <c r="CW376" i="2"/>
  <c r="CV375" i="2"/>
  <c r="CW375" i="2"/>
  <c r="CX375" i="2"/>
  <c r="CV374" i="2"/>
  <c r="CW374" i="2"/>
  <c r="CX374" i="2"/>
  <c r="CY374" i="2"/>
  <c r="CV373" i="2"/>
  <c r="CW373" i="2"/>
  <c r="CX373" i="2"/>
  <c r="CY373" i="2"/>
  <c r="CZ373" i="2"/>
  <c r="CV372" i="2"/>
  <c r="CW372" i="2"/>
  <c r="CX372" i="2"/>
  <c r="CY372" i="2"/>
  <c r="CZ372" i="2"/>
  <c r="DA372" i="2"/>
  <c r="CV371" i="2"/>
  <c r="CW371" i="2"/>
  <c r="CX371" i="2"/>
  <c r="CY371" i="2"/>
  <c r="CZ371" i="2"/>
  <c r="DA371" i="2"/>
  <c r="DB371" i="2"/>
  <c r="CU371" i="2"/>
  <c r="CU372" i="2"/>
  <c r="CU373" i="2"/>
  <c r="CU374" i="2"/>
  <c r="CU375" i="2"/>
  <c r="CU376" i="2"/>
  <c r="CU377" i="2"/>
  <c r="CU378" i="2"/>
  <c r="CV370" i="2"/>
  <c r="CW370" i="2"/>
  <c r="CX370" i="2"/>
  <c r="CY370" i="2"/>
  <c r="CZ370" i="2"/>
  <c r="DA370" i="2"/>
  <c r="DB370" i="2"/>
  <c r="DC370" i="2"/>
  <c r="CU370" i="2"/>
  <c r="CV342" i="2"/>
  <c r="CV341" i="2"/>
  <c r="CW341" i="2"/>
  <c r="CV340" i="2"/>
  <c r="CW340" i="2"/>
  <c r="CX340" i="2"/>
  <c r="CV339" i="2"/>
  <c r="CW339" i="2"/>
  <c r="CX339" i="2"/>
  <c r="CY339" i="2"/>
  <c r="CV338" i="2"/>
  <c r="CW338" i="2"/>
  <c r="CX338" i="2"/>
  <c r="CY338" i="2"/>
  <c r="CZ338" i="2"/>
  <c r="CV337" i="2"/>
  <c r="CW337" i="2"/>
  <c r="CX337" i="2"/>
  <c r="CY337" i="2"/>
  <c r="CZ337" i="2"/>
  <c r="DA337" i="2"/>
  <c r="DB336" i="2"/>
  <c r="CV336" i="2"/>
  <c r="CW336" i="2"/>
  <c r="CX336" i="2"/>
  <c r="CY336" i="2"/>
  <c r="CZ336" i="2"/>
  <c r="DA336" i="2"/>
  <c r="CU336" i="2"/>
  <c r="CU337" i="2"/>
  <c r="CU338" i="2"/>
  <c r="CU339" i="2"/>
  <c r="CU340" i="2"/>
  <c r="CU341" i="2"/>
  <c r="CU342" i="2"/>
  <c r="CU343" i="2"/>
  <c r="CV335" i="2"/>
  <c r="CW335" i="2"/>
  <c r="CX335" i="2"/>
  <c r="CY335" i="2"/>
  <c r="CZ335" i="2"/>
  <c r="DA335" i="2"/>
  <c r="DB335" i="2"/>
  <c r="DC335" i="2"/>
  <c r="CU335" i="2"/>
  <c r="CV269" i="2"/>
  <c r="CV268" i="2"/>
  <c r="CW268" i="2"/>
  <c r="CV267" i="2"/>
  <c r="CW267" i="2"/>
  <c r="CX267" i="2"/>
  <c r="CV266" i="2"/>
  <c r="CW266" i="2"/>
  <c r="CX266" i="2"/>
  <c r="CY266" i="2"/>
  <c r="CV265" i="2"/>
  <c r="CW265" i="2"/>
  <c r="CX265" i="2"/>
  <c r="CY265" i="2"/>
  <c r="CZ265" i="2"/>
  <c r="CV264" i="2"/>
  <c r="CW264" i="2"/>
  <c r="CX264" i="2"/>
  <c r="CY264" i="2"/>
  <c r="CZ264" i="2"/>
  <c r="DA264" i="2"/>
  <c r="CV263" i="2"/>
  <c r="CW263" i="2"/>
  <c r="CX263" i="2"/>
  <c r="CY263" i="2"/>
  <c r="CZ263" i="2"/>
  <c r="DA263" i="2"/>
  <c r="DB263" i="2"/>
  <c r="CU263" i="2"/>
  <c r="CU264" i="2"/>
  <c r="CU265" i="2"/>
  <c r="CU266" i="2"/>
  <c r="CU267" i="2"/>
  <c r="CU268" i="2"/>
  <c r="CU269" i="2"/>
  <c r="CU270" i="2"/>
  <c r="CV262" i="2"/>
  <c r="CW262" i="2"/>
  <c r="CX262" i="2"/>
  <c r="CY262" i="2"/>
  <c r="CZ262" i="2"/>
  <c r="DA262" i="2"/>
  <c r="DB262" i="2"/>
  <c r="DC262" i="2"/>
  <c r="CX259" i="2" s="1"/>
  <c r="CU262" i="2"/>
  <c r="CV234" i="2"/>
  <c r="CV233" i="2"/>
  <c r="CW233" i="2"/>
  <c r="CV232" i="2"/>
  <c r="CW232" i="2"/>
  <c r="CX232" i="2"/>
  <c r="CV231" i="2"/>
  <c r="CW231" i="2"/>
  <c r="CX231" i="2"/>
  <c r="CY231" i="2"/>
  <c r="CV230" i="2"/>
  <c r="CW230" i="2"/>
  <c r="CX230" i="2"/>
  <c r="CY230" i="2"/>
  <c r="CZ230" i="2"/>
  <c r="CV229" i="2"/>
  <c r="CW229" i="2"/>
  <c r="CX229" i="2"/>
  <c r="CY229" i="2"/>
  <c r="CZ229" i="2"/>
  <c r="DA229" i="2"/>
  <c r="CV228" i="2"/>
  <c r="CW228" i="2"/>
  <c r="CX228" i="2"/>
  <c r="CY228" i="2"/>
  <c r="CZ228" i="2"/>
  <c r="DA228" i="2"/>
  <c r="DB228" i="2"/>
  <c r="CU228" i="2"/>
  <c r="CU229" i="2"/>
  <c r="CU230" i="2"/>
  <c r="CU231" i="2"/>
  <c r="CU232" i="2"/>
  <c r="CU233" i="2"/>
  <c r="CU234" i="2"/>
  <c r="CU235" i="2"/>
  <c r="CV227" i="2"/>
  <c r="CW227" i="2"/>
  <c r="CX227" i="2"/>
  <c r="CY227" i="2"/>
  <c r="CZ227" i="2"/>
  <c r="DA227" i="2"/>
  <c r="DB227" i="2"/>
  <c r="DC227" i="2"/>
  <c r="CX224" i="2" s="1"/>
  <c r="CU227" i="2"/>
  <c r="CV199" i="2"/>
  <c r="CV198" i="2"/>
  <c r="CW198" i="2"/>
  <c r="CV197" i="2"/>
  <c r="CW197" i="2"/>
  <c r="CX197" i="2"/>
  <c r="CV196" i="2"/>
  <c r="CW196" i="2"/>
  <c r="CX196" i="2"/>
  <c r="CY196" i="2"/>
  <c r="CV195" i="2"/>
  <c r="CW195" i="2"/>
  <c r="CX195" i="2"/>
  <c r="CY195" i="2"/>
  <c r="CZ195" i="2"/>
  <c r="CV194" i="2"/>
  <c r="CW194" i="2"/>
  <c r="CX194" i="2"/>
  <c r="CY194" i="2"/>
  <c r="CZ194" i="2"/>
  <c r="DA194" i="2"/>
  <c r="CV193" i="2"/>
  <c r="CW193" i="2"/>
  <c r="CX193" i="2"/>
  <c r="CY193" i="2"/>
  <c r="CZ193" i="2"/>
  <c r="DA193" i="2"/>
  <c r="DB193" i="2"/>
  <c r="CU193" i="2"/>
  <c r="CU194" i="2"/>
  <c r="CU195" i="2"/>
  <c r="CU196" i="2"/>
  <c r="CU197" i="2"/>
  <c r="CU198" i="2"/>
  <c r="CU199" i="2"/>
  <c r="CU200" i="2"/>
  <c r="CV192" i="2"/>
  <c r="CW192" i="2"/>
  <c r="CX192" i="2"/>
  <c r="CY192" i="2"/>
  <c r="CZ192" i="2"/>
  <c r="DA192" i="2"/>
  <c r="DB192" i="2"/>
  <c r="DC192" i="2"/>
  <c r="CX189" i="2" s="1"/>
  <c r="CU192" i="2"/>
  <c r="CV126" i="2"/>
  <c r="CV125" i="2"/>
  <c r="CW125" i="2"/>
  <c r="CV124" i="2"/>
  <c r="CW124" i="2"/>
  <c r="CX124" i="2"/>
  <c r="CV123" i="2"/>
  <c r="CW123" i="2"/>
  <c r="CX123" i="2"/>
  <c r="CY123" i="2"/>
  <c r="CV122" i="2"/>
  <c r="CW122" i="2"/>
  <c r="CX122" i="2"/>
  <c r="CY122" i="2"/>
  <c r="CZ122" i="2"/>
  <c r="CV121" i="2"/>
  <c r="CW121" i="2"/>
  <c r="CX121" i="2"/>
  <c r="CY121" i="2"/>
  <c r="CZ121" i="2"/>
  <c r="DA121" i="2"/>
  <c r="CV120" i="2"/>
  <c r="CW120" i="2"/>
  <c r="CX120" i="2"/>
  <c r="CY120" i="2"/>
  <c r="CZ120" i="2"/>
  <c r="DA120" i="2"/>
  <c r="DB120" i="2"/>
  <c r="CU120" i="2"/>
  <c r="CU121" i="2"/>
  <c r="CU122" i="2"/>
  <c r="CU123" i="2"/>
  <c r="CU124" i="2"/>
  <c r="CU125" i="2"/>
  <c r="CU126" i="2"/>
  <c r="CU127" i="2"/>
  <c r="CV119" i="2"/>
  <c r="CW119" i="2"/>
  <c r="CX119" i="2"/>
  <c r="CY119" i="2"/>
  <c r="CZ119" i="2"/>
  <c r="DA119" i="2"/>
  <c r="DB119" i="2"/>
  <c r="DC119" i="2"/>
  <c r="CX116" i="2" s="1"/>
  <c r="CU119" i="2"/>
  <c r="CV91" i="2"/>
  <c r="CV90" i="2"/>
  <c r="CW90" i="2"/>
  <c r="CV89" i="2"/>
  <c r="CW89" i="2"/>
  <c r="CX89" i="2"/>
  <c r="CV88" i="2"/>
  <c r="CW88" i="2"/>
  <c r="CX88" i="2"/>
  <c r="CY88" i="2"/>
  <c r="CV87" i="2"/>
  <c r="CW87" i="2"/>
  <c r="CX87" i="2"/>
  <c r="CY87" i="2"/>
  <c r="CZ87" i="2"/>
  <c r="CV86" i="2"/>
  <c r="CW86" i="2"/>
  <c r="CX86" i="2"/>
  <c r="CY86" i="2"/>
  <c r="CZ86" i="2"/>
  <c r="DA86" i="2"/>
  <c r="CV85" i="2"/>
  <c r="CW85" i="2"/>
  <c r="CX85" i="2"/>
  <c r="CY85" i="2"/>
  <c r="CZ85" i="2"/>
  <c r="DA85" i="2"/>
  <c r="DB85" i="2"/>
  <c r="CU85" i="2"/>
  <c r="CU86" i="2"/>
  <c r="CU87" i="2"/>
  <c r="CU88" i="2"/>
  <c r="CU89" i="2"/>
  <c r="CU90" i="2"/>
  <c r="CU91" i="2"/>
  <c r="CU92" i="2"/>
  <c r="CV84" i="2"/>
  <c r="CW84" i="2"/>
  <c r="CX84" i="2"/>
  <c r="CY84" i="2"/>
  <c r="CZ84" i="2"/>
  <c r="DA84" i="2"/>
  <c r="DB84" i="2"/>
  <c r="DC84" i="2"/>
  <c r="CX81" i="2" s="1"/>
  <c r="CU84" i="2"/>
  <c r="CV56" i="2"/>
  <c r="CV55" i="2"/>
  <c r="CW55" i="2"/>
  <c r="CV54" i="2"/>
  <c r="CW54" i="2"/>
  <c r="CX54" i="2"/>
  <c r="CV53" i="2"/>
  <c r="CW53" i="2"/>
  <c r="CX53" i="2"/>
  <c r="CY53" i="2"/>
  <c r="CV52" i="2"/>
  <c r="CW52" i="2"/>
  <c r="CX52" i="2"/>
  <c r="CY52" i="2"/>
  <c r="CZ52" i="2"/>
  <c r="CV51" i="2"/>
  <c r="CW51" i="2"/>
  <c r="CX51" i="2"/>
  <c r="CY51" i="2"/>
  <c r="CZ51" i="2"/>
  <c r="DA51" i="2"/>
  <c r="CV50" i="2"/>
  <c r="CW50" i="2"/>
  <c r="CX50" i="2"/>
  <c r="CY50" i="2"/>
  <c r="CZ50" i="2"/>
  <c r="DA50" i="2"/>
  <c r="DB50" i="2"/>
  <c r="CU50" i="2"/>
  <c r="CU51" i="2"/>
  <c r="CU52" i="2"/>
  <c r="CU53" i="2"/>
  <c r="CU54" i="2"/>
  <c r="CU55" i="2"/>
  <c r="CU56" i="2"/>
  <c r="CU57" i="2"/>
  <c r="CV49" i="2"/>
  <c r="CW49" i="2"/>
  <c r="CX49" i="2"/>
  <c r="CY49" i="2"/>
  <c r="CZ49" i="2"/>
  <c r="DA49" i="2"/>
  <c r="DB49" i="2"/>
  <c r="DC49" i="2"/>
  <c r="CX46" i="2" s="1"/>
  <c r="CU49" i="2"/>
  <c r="CJ56" i="2"/>
  <c r="CJ55" i="2"/>
  <c r="CK55" i="2"/>
  <c r="CJ54" i="2"/>
  <c r="CK54" i="2"/>
  <c r="CL54" i="2"/>
  <c r="CJ53" i="2"/>
  <c r="CK53" i="2"/>
  <c r="CL53" i="2"/>
  <c r="CM53" i="2"/>
  <c r="CJ52" i="2"/>
  <c r="CK52" i="2"/>
  <c r="CL52" i="2"/>
  <c r="CM52" i="2"/>
  <c r="CN52" i="2"/>
  <c r="CJ51" i="2"/>
  <c r="CK51" i="2"/>
  <c r="CL51" i="2"/>
  <c r="CM51" i="2"/>
  <c r="CN51" i="2"/>
  <c r="CO51" i="2"/>
  <c r="CJ50" i="2"/>
  <c r="CK50" i="2"/>
  <c r="CL50" i="2"/>
  <c r="CM50" i="2"/>
  <c r="CN50" i="2"/>
  <c r="CO50" i="2"/>
  <c r="CP50" i="2"/>
  <c r="CI50" i="2"/>
  <c r="CI51" i="2"/>
  <c r="CI52" i="2"/>
  <c r="CI53" i="2"/>
  <c r="CI54" i="2"/>
  <c r="CI55" i="2"/>
  <c r="CI56" i="2"/>
  <c r="CI57" i="2"/>
  <c r="CJ49" i="2"/>
  <c r="CK49" i="2"/>
  <c r="CL49" i="2"/>
  <c r="CM49" i="2"/>
  <c r="CN49" i="2"/>
  <c r="CO49" i="2"/>
  <c r="CP49" i="2"/>
  <c r="CQ49" i="2"/>
  <c r="CL46" i="2" s="1"/>
  <c r="CI49" i="2"/>
  <c r="CJ91" i="2"/>
  <c r="CJ90" i="2"/>
  <c r="CK90" i="2"/>
  <c r="CJ89" i="2"/>
  <c r="CK89" i="2"/>
  <c r="CL89" i="2"/>
  <c r="CJ88" i="2"/>
  <c r="CK88" i="2"/>
  <c r="CL88" i="2"/>
  <c r="CM88" i="2"/>
  <c r="CJ87" i="2"/>
  <c r="CK87" i="2"/>
  <c r="CL87" i="2"/>
  <c r="CM87" i="2"/>
  <c r="CN87" i="2"/>
  <c r="CI88" i="2"/>
  <c r="CI89" i="2"/>
  <c r="CI90" i="2"/>
  <c r="CI91" i="2"/>
  <c r="CI92" i="2"/>
  <c r="CJ86" i="2"/>
  <c r="CK86" i="2"/>
  <c r="CL86" i="2"/>
  <c r="CM86" i="2"/>
  <c r="CN86" i="2"/>
  <c r="CO86" i="2"/>
  <c r="CJ85" i="2"/>
  <c r="CK85" i="2"/>
  <c r="CL85" i="2"/>
  <c r="CM85" i="2"/>
  <c r="CN85" i="2"/>
  <c r="CO85" i="2"/>
  <c r="CP85" i="2"/>
  <c r="CI85" i="2"/>
  <c r="CI86" i="2"/>
  <c r="CI87" i="2"/>
  <c r="CJ84" i="2"/>
  <c r="CK84" i="2"/>
  <c r="CL84" i="2"/>
  <c r="CM84" i="2"/>
  <c r="CN84" i="2"/>
  <c r="CO84" i="2"/>
  <c r="CP84" i="2"/>
  <c r="CQ84" i="2"/>
  <c r="CL81" i="2" s="1"/>
  <c r="CI84" i="2"/>
  <c r="CJ126" i="2"/>
  <c r="CJ125" i="2"/>
  <c r="CK125" i="2"/>
  <c r="CJ124" i="2"/>
  <c r="CK124" i="2"/>
  <c r="CL124" i="2"/>
  <c r="CJ123" i="2"/>
  <c r="CK123" i="2"/>
  <c r="CL123" i="2"/>
  <c r="CM123" i="2"/>
  <c r="CJ122" i="2"/>
  <c r="CK122" i="2"/>
  <c r="CL122" i="2"/>
  <c r="CM122" i="2"/>
  <c r="CN122" i="2"/>
  <c r="CJ121" i="2"/>
  <c r="CK121" i="2"/>
  <c r="CL121" i="2"/>
  <c r="CM121" i="2"/>
  <c r="CN121" i="2"/>
  <c r="CO121" i="2"/>
  <c r="CJ120" i="2"/>
  <c r="CK120" i="2"/>
  <c r="CL120" i="2"/>
  <c r="CM120" i="2"/>
  <c r="CN120" i="2"/>
  <c r="CO120" i="2"/>
  <c r="CP120" i="2"/>
  <c r="CI120" i="2"/>
  <c r="CI121" i="2"/>
  <c r="CI122" i="2"/>
  <c r="CI123" i="2"/>
  <c r="CI124" i="2"/>
  <c r="CI125" i="2"/>
  <c r="CI126" i="2"/>
  <c r="CI127" i="2"/>
  <c r="CJ119" i="2"/>
  <c r="CK119" i="2"/>
  <c r="CL119" i="2"/>
  <c r="CM119" i="2"/>
  <c r="CN119" i="2"/>
  <c r="CO119" i="2"/>
  <c r="CP119" i="2"/>
  <c r="CQ119" i="2"/>
  <c r="CL116" i="2" s="1"/>
  <c r="CI119" i="2"/>
  <c r="CJ199" i="2"/>
  <c r="CJ198" i="2"/>
  <c r="CK198" i="2"/>
  <c r="CJ197" i="2"/>
  <c r="CK197" i="2"/>
  <c r="CL197" i="2"/>
  <c r="CJ196" i="2"/>
  <c r="CK196" i="2"/>
  <c r="CL196" i="2"/>
  <c r="CM196" i="2"/>
  <c r="CJ195" i="2"/>
  <c r="CK195" i="2"/>
  <c r="CL195" i="2"/>
  <c r="CM195" i="2"/>
  <c r="CN195" i="2"/>
  <c r="CJ194" i="2"/>
  <c r="CK194" i="2"/>
  <c r="CL194" i="2"/>
  <c r="CM194" i="2"/>
  <c r="CN194" i="2"/>
  <c r="CO194" i="2"/>
  <c r="CJ193" i="2"/>
  <c r="CK193" i="2"/>
  <c r="CL193" i="2"/>
  <c r="CM193" i="2"/>
  <c r="CN193" i="2"/>
  <c r="CO193" i="2"/>
  <c r="CP193" i="2"/>
  <c r="CJ192" i="2"/>
  <c r="CK192" i="2"/>
  <c r="CL192" i="2"/>
  <c r="CM192" i="2"/>
  <c r="CN192" i="2"/>
  <c r="CO192" i="2"/>
  <c r="CP192" i="2"/>
  <c r="CQ192" i="2"/>
  <c r="CL189" i="2" s="1"/>
  <c r="CI193" i="2"/>
  <c r="CI194" i="2"/>
  <c r="CI195" i="2"/>
  <c r="CI196" i="2"/>
  <c r="CI197" i="2"/>
  <c r="CI198" i="2"/>
  <c r="CI199" i="2"/>
  <c r="CI200" i="2"/>
  <c r="CI192" i="2"/>
  <c r="CJ234" i="2"/>
  <c r="CJ233" i="2"/>
  <c r="CK233" i="2"/>
  <c r="CJ232" i="2"/>
  <c r="CK232" i="2"/>
  <c r="CL232" i="2"/>
  <c r="CJ231" i="2"/>
  <c r="CK231" i="2"/>
  <c r="CL231" i="2"/>
  <c r="CM231" i="2"/>
  <c r="CJ230" i="2"/>
  <c r="CK230" i="2"/>
  <c r="CL230" i="2"/>
  <c r="CM230" i="2"/>
  <c r="CN230" i="2"/>
  <c r="CJ229" i="2"/>
  <c r="CK229" i="2"/>
  <c r="CL229" i="2"/>
  <c r="CM229" i="2"/>
  <c r="CN229" i="2"/>
  <c r="CO229" i="2"/>
  <c r="CJ228" i="2"/>
  <c r="CK228" i="2"/>
  <c r="CL228" i="2"/>
  <c r="CM228" i="2"/>
  <c r="CN228" i="2"/>
  <c r="CO228" i="2"/>
  <c r="CP228" i="2"/>
  <c r="CI228" i="2"/>
  <c r="CI229" i="2"/>
  <c r="CI230" i="2"/>
  <c r="CI231" i="2"/>
  <c r="CI232" i="2"/>
  <c r="CI233" i="2"/>
  <c r="CI234" i="2"/>
  <c r="CI235" i="2"/>
  <c r="CJ227" i="2"/>
  <c r="CK227" i="2"/>
  <c r="CL227" i="2"/>
  <c r="CM227" i="2"/>
  <c r="CN227" i="2"/>
  <c r="CO227" i="2"/>
  <c r="CP227" i="2"/>
  <c r="CQ227" i="2"/>
  <c r="CL224" i="2" s="1"/>
  <c r="CI227" i="2"/>
  <c r="CJ269" i="2"/>
  <c r="CJ268" i="2"/>
  <c r="CK268" i="2"/>
  <c r="CJ267" i="2"/>
  <c r="CK267" i="2"/>
  <c r="CL267" i="2"/>
  <c r="CJ266" i="2"/>
  <c r="CK266" i="2"/>
  <c r="CL266" i="2"/>
  <c r="CM266" i="2"/>
  <c r="CJ265" i="2"/>
  <c r="CK265" i="2"/>
  <c r="CL265" i="2"/>
  <c r="CM265" i="2"/>
  <c r="CN265" i="2"/>
  <c r="CJ264" i="2"/>
  <c r="CK264" i="2"/>
  <c r="CL264" i="2"/>
  <c r="CM264" i="2"/>
  <c r="CN264" i="2"/>
  <c r="CO264" i="2"/>
  <c r="CJ263" i="2"/>
  <c r="CK263" i="2"/>
  <c r="CL263" i="2"/>
  <c r="CM263" i="2"/>
  <c r="CN263" i="2"/>
  <c r="CO263" i="2"/>
  <c r="CP263" i="2"/>
  <c r="CJ262" i="2"/>
  <c r="CK262" i="2"/>
  <c r="CL262" i="2"/>
  <c r="CM262" i="2"/>
  <c r="CN262" i="2"/>
  <c r="CO262" i="2"/>
  <c r="CP262" i="2"/>
  <c r="CQ262" i="2"/>
  <c r="CL259" i="2" s="1"/>
  <c r="CI263" i="2"/>
  <c r="CI264" i="2"/>
  <c r="CI265" i="2"/>
  <c r="CI266" i="2"/>
  <c r="CI267" i="2"/>
  <c r="CI268" i="2"/>
  <c r="CI269" i="2"/>
  <c r="CI270" i="2"/>
  <c r="CI262" i="2"/>
  <c r="CJ342" i="2"/>
  <c r="CJ341" i="2"/>
  <c r="CK341" i="2"/>
  <c r="CJ340" i="2"/>
  <c r="CK340" i="2"/>
  <c r="CL340" i="2"/>
  <c r="CJ339" i="2"/>
  <c r="CK339" i="2"/>
  <c r="CL339" i="2"/>
  <c r="CM339" i="2"/>
  <c r="CJ338" i="2"/>
  <c r="CK338" i="2"/>
  <c r="CL338" i="2"/>
  <c r="CM338" i="2"/>
  <c r="CN338" i="2"/>
  <c r="CJ337" i="2"/>
  <c r="CK337" i="2"/>
  <c r="CL337" i="2"/>
  <c r="CM337" i="2"/>
  <c r="CN337" i="2"/>
  <c r="CO337" i="2"/>
  <c r="CJ336" i="2"/>
  <c r="CK336" i="2"/>
  <c r="CL336" i="2"/>
  <c r="CM336" i="2"/>
  <c r="CN336" i="2"/>
  <c r="CO336" i="2"/>
  <c r="CP336" i="2"/>
  <c r="CJ335" i="2"/>
  <c r="CK335" i="2"/>
  <c r="CL335" i="2"/>
  <c r="CM335" i="2"/>
  <c r="CN335" i="2"/>
  <c r="CO335" i="2"/>
  <c r="CP335" i="2"/>
  <c r="CQ335" i="2"/>
  <c r="CI336" i="2"/>
  <c r="CI337" i="2"/>
  <c r="CI338" i="2"/>
  <c r="CI339" i="2"/>
  <c r="CI340" i="2"/>
  <c r="CI341" i="2"/>
  <c r="CI342" i="2"/>
  <c r="CI343" i="2"/>
  <c r="CI335" i="2"/>
  <c r="CJ377" i="2"/>
  <c r="CJ376" i="2"/>
  <c r="CK376" i="2"/>
  <c r="CJ375" i="2"/>
  <c r="CK375" i="2"/>
  <c r="CL375" i="2"/>
  <c r="CJ374" i="2"/>
  <c r="CK374" i="2"/>
  <c r="CL374" i="2"/>
  <c r="CM374" i="2"/>
  <c r="CJ373" i="2"/>
  <c r="CK373" i="2"/>
  <c r="CL373" i="2"/>
  <c r="CM373" i="2"/>
  <c r="CN373" i="2"/>
  <c r="CJ372" i="2"/>
  <c r="CK372" i="2"/>
  <c r="CL372" i="2"/>
  <c r="CM372" i="2"/>
  <c r="CN372" i="2"/>
  <c r="CO372" i="2"/>
  <c r="CJ371" i="2"/>
  <c r="CK371" i="2"/>
  <c r="CL371" i="2"/>
  <c r="CM371" i="2"/>
  <c r="CN371" i="2"/>
  <c r="CO371" i="2"/>
  <c r="CP371" i="2"/>
  <c r="CI371" i="2"/>
  <c r="CI372" i="2"/>
  <c r="CI373" i="2"/>
  <c r="CI374" i="2"/>
  <c r="CI375" i="2"/>
  <c r="CI376" i="2"/>
  <c r="CI377" i="2"/>
  <c r="CI378" i="2"/>
  <c r="CJ370" i="2"/>
  <c r="CK370" i="2"/>
  <c r="CL370" i="2"/>
  <c r="CM370" i="2"/>
  <c r="CN370" i="2"/>
  <c r="CO370" i="2"/>
  <c r="CP370" i="2"/>
  <c r="CQ370" i="2"/>
  <c r="CI370" i="2"/>
  <c r="CJ412" i="2"/>
  <c r="CJ411" i="2"/>
  <c r="CK411" i="2"/>
  <c r="CJ410" i="2"/>
  <c r="CK410" i="2"/>
  <c r="CL410" i="2"/>
  <c r="CJ409" i="2"/>
  <c r="CK409" i="2"/>
  <c r="CL409" i="2"/>
  <c r="CM409" i="2"/>
  <c r="CJ408" i="2"/>
  <c r="CK408" i="2"/>
  <c r="CL408" i="2"/>
  <c r="CM408" i="2"/>
  <c r="CN408" i="2"/>
  <c r="CJ407" i="2"/>
  <c r="CK407" i="2"/>
  <c r="CL407" i="2"/>
  <c r="CM407" i="2"/>
  <c r="CN407" i="2"/>
  <c r="CO407" i="2"/>
  <c r="CJ406" i="2"/>
  <c r="CK406" i="2"/>
  <c r="CL406" i="2"/>
  <c r="CM406" i="2"/>
  <c r="CN406" i="2"/>
  <c r="CO406" i="2"/>
  <c r="CP406" i="2"/>
  <c r="CJ405" i="2"/>
  <c r="CK405" i="2"/>
  <c r="CL405" i="2"/>
  <c r="CM405" i="2"/>
  <c r="CN405" i="2"/>
  <c r="CO405" i="2"/>
  <c r="CP405" i="2"/>
  <c r="CQ405" i="2"/>
  <c r="CI406" i="2"/>
  <c r="CI407" i="2"/>
  <c r="CI408" i="2"/>
  <c r="CI409" i="2"/>
  <c r="CI410" i="2"/>
  <c r="CI411" i="2"/>
  <c r="CI412" i="2"/>
  <c r="CI413" i="2"/>
  <c r="CI405" i="2"/>
  <c r="CJ447" i="2"/>
  <c r="CJ446" i="2"/>
  <c r="CK446" i="2"/>
  <c r="CJ445" i="2"/>
  <c r="CK445" i="2"/>
  <c r="CL445" i="2"/>
  <c r="CJ444" i="2"/>
  <c r="CK444" i="2"/>
  <c r="CL444" i="2"/>
  <c r="CM444" i="2"/>
  <c r="CJ443" i="2"/>
  <c r="CK443" i="2"/>
  <c r="CL443" i="2"/>
  <c r="CM443" i="2"/>
  <c r="CN443" i="2"/>
  <c r="CJ442" i="2"/>
  <c r="CK442" i="2"/>
  <c r="CL442" i="2"/>
  <c r="CM442" i="2"/>
  <c r="CN442" i="2"/>
  <c r="CO442" i="2"/>
  <c r="CJ441" i="2"/>
  <c r="CK441" i="2"/>
  <c r="CL441" i="2"/>
  <c r="CM441" i="2"/>
  <c r="CN441" i="2"/>
  <c r="CO441" i="2"/>
  <c r="CP441" i="2"/>
  <c r="CI441" i="2"/>
  <c r="CI442" i="2"/>
  <c r="CI443" i="2"/>
  <c r="CI444" i="2"/>
  <c r="CI445" i="2"/>
  <c r="CI446" i="2"/>
  <c r="CI447" i="2"/>
  <c r="CI448" i="2"/>
  <c r="CJ440" i="2"/>
  <c r="CK440" i="2"/>
  <c r="CL440" i="2"/>
  <c r="CM440" i="2"/>
  <c r="CN440" i="2"/>
  <c r="CO440" i="2"/>
  <c r="CP440" i="2"/>
  <c r="CQ440" i="2"/>
  <c r="CI440" i="2"/>
  <c r="BX447" i="2"/>
  <c r="BX446" i="2"/>
  <c r="BY446" i="2"/>
  <c r="BX445" i="2"/>
  <c r="BY445" i="2"/>
  <c r="BZ445" i="2"/>
  <c r="BX444" i="2"/>
  <c r="BY444" i="2"/>
  <c r="BZ444" i="2"/>
  <c r="CA444" i="2"/>
  <c r="BX443" i="2"/>
  <c r="BY443" i="2"/>
  <c r="BZ443" i="2"/>
  <c r="CA443" i="2"/>
  <c r="CB443" i="2"/>
  <c r="BX442" i="2"/>
  <c r="BY442" i="2"/>
  <c r="BZ442" i="2"/>
  <c r="CA442" i="2"/>
  <c r="CB442" i="2"/>
  <c r="CC442" i="2"/>
  <c r="BX441" i="2"/>
  <c r="BY441" i="2"/>
  <c r="BZ441" i="2"/>
  <c r="CA441" i="2"/>
  <c r="CB441" i="2"/>
  <c r="CC441" i="2"/>
  <c r="CD441" i="2"/>
  <c r="BW441" i="2"/>
  <c r="BW442" i="2"/>
  <c r="BW443" i="2"/>
  <c r="BW444" i="2"/>
  <c r="BW445" i="2"/>
  <c r="BW446" i="2"/>
  <c r="BW447" i="2"/>
  <c r="BW448" i="2"/>
  <c r="BX440" i="2"/>
  <c r="BY440" i="2"/>
  <c r="BZ440" i="2"/>
  <c r="CA440" i="2"/>
  <c r="CB440" i="2"/>
  <c r="CC440" i="2"/>
  <c r="CD440" i="2"/>
  <c r="CE440" i="2"/>
  <c r="BW440" i="2"/>
  <c r="BX412" i="2"/>
  <c r="BX411" i="2"/>
  <c r="BY411" i="2"/>
  <c r="BX410" i="2"/>
  <c r="BY410" i="2"/>
  <c r="BZ410" i="2"/>
  <c r="BX409" i="2"/>
  <c r="BY409" i="2"/>
  <c r="BZ409" i="2"/>
  <c r="CA409" i="2"/>
  <c r="BX408" i="2"/>
  <c r="BY408" i="2"/>
  <c r="BZ408" i="2"/>
  <c r="CA408" i="2"/>
  <c r="CB408" i="2"/>
  <c r="BX407" i="2"/>
  <c r="BY407" i="2"/>
  <c r="BZ407" i="2"/>
  <c r="CA407" i="2"/>
  <c r="CB407" i="2"/>
  <c r="CC407" i="2"/>
  <c r="BX406" i="2"/>
  <c r="BY406" i="2"/>
  <c r="BZ406" i="2"/>
  <c r="CA406" i="2"/>
  <c r="CB406" i="2"/>
  <c r="CC406" i="2"/>
  <c r="CD406" i="2"/>
  <c r="BW406" i="2"/>
  <c r="BW407" i="2"/>
  <c r="BW408" i="2"/>
  <c r="BW409" i="2"/>
  <c r="BW410" i="2"/>
  <c r="BW411" i="2"/>
  <c r="BW412" i="2"/>
  <c r="BW413" i="2"/>
  <c r="BX405" i="2"/>
  <c r="BY405" i="2"/>
  <c r="BZ405" i="2"/>
  <c r="CA405" i="2"/>
  <c r="CB405" i="2"/>
  <c r="CC405" i="2"/>
  <c r="CD405" i="2"/>
  <c r="CE405" i="2"/>
  <c r="BW405" i="2"/>
  <c r="BX377" i="2"/>
  <c r="BX376" i="2"/>
  <c r="BY376" i="2"/>
  <c r="BX375" i="2"/>
  <c r="BY375" i="2"/>
  <c r="BZ375" i="2"/>
  <c r="BX374" i="2"/>
  <c r="BY374" i="2"/>
  <c r="BZ374" i="2"/>
  <c r="CA374" i="2"/>
  <c r="BX373" i="2"/>
  <c r="BY373" i="2"/>
  <c r="BZ373" i="2"/>
  <c r="CA373" i="2"/>
  <c r="CB373" i="2"/>
  <c r="BX372" i="2"/>
  <c r="BY372" i="2"/>
  <c r="BZ372" i="2"/>
  <c r="CA372" i="2"/>
  <c r="CB372" i="2"/>
  <c r="CC372" i="2"/>
  <c r="BX371" i="2"/>
  <c r="BY371" i="2"/>
  <c r="BZ371" i="2"/>
  <c r="CA371" i="2"/>
  <c r="CB371" i="2"/>
  <c r="CC371" i="2"/>
  <c r="CD371" i="2"/>
  <c r="BW371" i="2"/>
  <c r="BW372" i="2"/>
  <c r="BW373" i="2"/>
  <c r="BW374" i="2"/>
  <c r="BW375" i="2"/>
  <c r="BW376" i="2"/>
  <c r="BW377" i="2"/>
  <c r="BW378" i="2"/>
  <c r="BX370" i="2"/>
  <c r="BY370" i="2"/>
  <c r="BZ370" i="2"/>
  <c r="CA370" i="2"/>
  <c r="CB370" i="2"/>
  <c r="CC370" i="2"/>
  <c r="CD370" i="2"/>
  <c r="CE370" i="2"/>
  <c r="BW370" i="2"/>
  <c r="BX342" i="2"/>
  <c r="BX341" i="2"/>
  <c r="BY341" i="2"/>
  <c r="BX340" i="2"/>
  <c r="BY340" i="2"/>
  <c r="BZ340" i="2"/>
  <c r="BX339" i="2"/>
  <c r="BY339" i="2"/>
  <c r="BZ339" i="2"/>
  <c r="CA339" i="2"/>
  <c r="BX338" i="2"/>
  <c r="BY338" i="2"/>
  <c r="BZ338" i="2"/>
  <c r="CA338" i="2"/>
  <c r="CB338" i="2"/>
  <c r="BX337" i="2"/>
  <c r="BY337" i="2"/>
  <c r="BZ337" i="2"/>
  <c r="CA337" i="2"/>
  <c r="CB337" i="2"/>
  <c r="CC337" i="2"/>
  <c r="BX336" i="2"/>
  <c r="BY336" i="2"/>
  <c r="BZ336" i="2"/>
  <c r="CA336" i="2"/>
  <c r="CB336" i="2"/>
  <c r="CC336" i="2"/>
  <c r="CD336" i="2"/>
  <c r="BW336" i="2"/>
  <c r="BW337" i="2"/>
  <c r="BW338" i="2"/>
  <c r="BW339" i="2"/>
  <c r="BW340" i="2"/>
  <c r="BW341" i="2"/>
  <c r="BW342" i="2"/>
  <c r="BW343" i="2"/>
  <c r="BX335" i="2"/>
  <c r="BY335" i="2"/>
  <c r="BZ335" i="2"/>
  <c r="CA335" i="2"/>
  <c r="CB335" i="2"/>
  <c r="CC335" i="2"/>
  <c r="CD335" i="2"/>
  <c r="CE335" i="2"/>
  <c r="BW335" i="2"/>
  <c r="BX269" i="2"/>
  <c r="BX268" i="2"/>
  <c r="BY268" i="2"/>
  <c r="BX267" i="2"/>
  <c r="BY267" i="2"/>
  <c r="BZ267" i="2"/>
  <c r="BX266" i="2"/>
  <c r="BY266" i="2"/>
  <c r="BZ266" i="2"/>
  <c r="CA266" i="2"/>
  <c r="BX265" i="2"/>
  <c r="BY265" i="2"/>
  <c r="BZ265" i="2"/>
  <c r="CA265" i="2"/>
  <c r="CB265" i="2"/>
  <c r="BX264" i="2"/>
  <c r="BY264" i="2"/>
  <c r="BZ264" i="2"/>
  <c r="CA264" i="2"/>
  <c r="CB264" i="2"/>
  <c r="CC264" i="2"/>
  <c r="BX263" i="2"/>
  <c r="BY263" i="2"/>
  <c r="BZ263" i="2"/>
  <c r="CA263" i="2"/>
  <c r="CB263" i="2"/>
  <c r="CC263" i="2"/>
  <c r="CD263" i="2"/>
  <c r="BW263" i="2"/>
  <c r="BW264" i="2"/>
  <c r="BW265" i="2"/>
  <c r="BW266" i="2"/>
  <c r="BW267" i="2"/>
  <c r="BW268" i="2"/>
  <c r="BW269" i="2"/>
  <c r="BW270" i="2"/>
  <c r="BX262" i="2"/>
  <c r="BY262" i="2"/>
  <c r="BZ262" i="2"/>
  <c r="CA262" i="2"/>
  <c r="CB262" i="2"/>
  <c r="CC262" i="2"/>
  <c r="CD262" i="2"/>
  <c r="CE262" i="2"/>
  <c r="BZ259" i="2" s="1"/>
  <c r="BW262" i="2"/>
  <c r="BX234" i="2"/>
  <c r="BX233" i="2"/>
  <c r="BY233" i="2"/>
  <c r="BX232" i="2"/>
  <c r="BY232" i="2"/>
  <c r="BZ232" i="2"/>
  <c r="BX231" i="2"/>
  <c r="BY231" i="2"/>
  <c r="BZ231" i="2"/>
  <c r="CA231" i="2"/>
  <c r="BX230" i="2"/>
  <c r="BY230" i="2"/>
  <c r="BZ230" i="2"/>
  <c r="CA230" i="2"/>
  <c r="CB230" i="2"/>
  <c r="BX229" i="2"/>
  <c r="BY229" i="2"/>
  <c r="BZ229" i="2"/>
  <c r="CA229" i="2"/>
  <c r="CB229" i="2"/>
  <c r="CC229" i="2"/>
  <c r="BX228" i="2"/>
  <c r="BY228" i="2"/>
  <c r="BZ228" i="2"/>
  <c r="CA228" i="2"/>
  <c r="CB228" i="2"/>
  <c r="CC228" i="2"/>
  <c r="CD228" i="2"/>
  <c r="BW228" i="2"/>
  <c r="BW229" i="2"/>
  <c r="BW230" i="2"/>
  <c r="BW231" i="2"/>
  <c r="BW232" i="2"/>
  <c r="BW233" i="2"/>
  <c r="BW234" i="2"/>
  <c r="BW235" i="2"/>
  <c r="BX227" i="2"/>
  <c r="BY227" i="2"/>
  <c r="BZ227" i="2"/>
  <c r="CA227" i="2"/>
  <c r="CB227" i="2"/>
  <c r="CC227" i="2"/>
  <c r="CD227" i="2"/>
  <c r="CE227" i="2"/>
  <c r="BZ224" i="2" s="1"/>
  <c r="BW227" i="2"/>
  <c r="BX199" i="2"/>
  <c r="BX198" i="2"/>
  <c r="BY198" i="2"/>
  <c r="BX197" i="2"/>
  <c r="BY197" i="2"/>
  <c r="BZ197" i="2"/>
  <c r="BX196" i="2"/>
  <c r="BY196" i="2"/>
  <c r="BZ196" i="2"/>
  <c r="CA196" i="2"/>
  <c r="BX195" i="2"/>
  <c r="BY195" i="2"/>
  <c r="BZ195" i="2"/>
  <c r="CA195" i="2"/>
  <c r="CB195" i="2"/>
  <c r="BX194" i="2"/>
  <c r="BY194" i="2"/>
  <c r="BZ194" i="2"/>
  <c r="CA194" i="2"/>
  <c r="CB194" i="2"/>
  <c r="CC194" i="2"/>
  <c r="BX193" i="2"/>
  <c r="BY193" i="2"/>
  <c r="BZ193" i="2"/>
  <c r="CA193" i="2"/>
  <c r="CB193" i="2"/>
  <c r="CC193" i="2"/>
  <c r="CD193" i="2"/>
  <c r="BW193" i="2"/>
  <c r="BW194" i="2"/>
  <c r="BW195" i="2"/>
  <c r="BW196" i="2"/>
  <c r="BW197" i="2"/>
  <c r="BW198" i="2"/>
  <c r="BW199" i="2"/>
  <c r="BW200" i="2"/>
  <c r="BX192" i="2"/>
  <c r="BY192" i="2"/>
  <c r="BZ192" i="2"/>
  <c r="CA192" i="2"/>
  <c r="CB192" i="2"/>
  <c r="CC192" i="2"/>
  <c r="CD192" i="2"/>
  <c r="CE192" i="2"/>
  <c r="BZ189" i="2" s="1"/>
  <c r="BW192" i="2"/>
  <c r="BX126" i="2"/>
  <c r="BX125" i="2"/>
  <c r="BY125" i="2"/>
  <c r="BX124" i="2"/>
  <c r="BY124" i="2"/>
  <c r="BZ124" i="2"/>
  <c r="BX123" i="2"/>
  <c r="BY123" i="2"/>
  <c r="BZ123" i="2"/>
  <c r="CA123" i="2"/>
  <c r="BX122" i="2"/>
  <c r="BY122" i="2"/>
  <c r="BZ122" i="2"/>
  <c r="CA122" i="2"/>
  <c r="CB122" i="2"/>
  <c r="BX121" i="2"/>
  <c r="BY121" i="2"/>
  <c r="BZ121" i="2"/>
  <c r="CA121" i="2"/>
  <c r="CB121" i="2"/>
  <c r="CC121" i="2"/>
  <c r="BX120" i="2"/>
  <c r="BY120" i="2"/>
  <c r="BZ120" i="2"/>
  <c r="CA120" i="2"/>
  <c r="CB120" i="2"/>
  <c r="CC120" i="2"/>
  <c r="CD120" i="2"/>
  <c r="BW120" i="2"/>
  <c r="BW121" i="2"/>
  <c r="BW122" i="2"/>
  <c r="BW123" i="2"/>
  <c r="BW124" i="2"/>
  <c r="BW125" i="2"/>
  <c r="BW126" i="2"/>
  <c r="BW127" i="2"/>
  <c r="BX119" i="2"/>
  <c r="BY119" i="2"/>
  <c r="BZ119" i="2"/>
  <c r="CA119" i="2"/>
  <c r="CB119" i="2"/>
  <c r="CC119" i="2"/>
  <c r="CD119" i="2"/>
  <c r="CE119" i="2"/>
  <c r="BZ116" i="2" s="1"/>
  <c r="BW119" i="2"/>
  <c r="BX91" i="2"/>
  <c r="BX90" i="2"/>
  <c r="BY90" i="2"/>
  <c r="BX89" i="2"/>
  <c r="BY89" i="2"/>
  <c r="BZ89" i="2"/>
  <c r="BX88" i="2"/>
  <c r="BY88" i="2"/>
  <c r="BZ88" i="2"/>
  <c r="CA88" i="2"/>
  <c r="BX87" i="2"/>
  <c r="BY87" i="2"/>
  <c r="BZ87" i="2"/>
  <c r="CA87" i="2"/>
  <c r="CB87" i="2"/>
  <c r="BX86" i="2"/>
  <c r="BY86" i="2"/>
  <c r="BZ86" i="2"/>
  <c r="CA86" i="2"/>
  <c r="CB86" i="2"/>
  <c r="CC86" i="2"/>
  <c r="BX85" i="2"/>
  <c r="BY85" i="2"/>
  <c r="BZ85" i="2"/>
  <c r="CA85" i="2"/>
  <c r="CB85" i="2"/>
  <c r="CC85" i="2"/>
  <c r="CD85" i="2"/>
  <c r="BW85" i="2"/>
  <c r="BW86" i="2"/>
  <c r="BW87" i="2"/>
  <c r="BW88" i="2"/>
  <c r="BW89" i="2"/>
  <c r="BW90" i="2"/>
  <c r="BW91" i="2"/>
  <c r="BW92" i="2"/>
  <c r="BX84" i="2"/>
  <c r="BY84" i="2"/>
  <c r="BZ84" i="2"/>
  <c r="CA84" i="2"/>
  <c r="CB84" i="2"/>
  <c r="CC84" i="2"/>
  <c r="CD84" i="2"/>
  <c r="CE84" i="2"/>
  <c r="BZ81" i="2" s="1"/>
  <c r="BW84" i="2"/>
  <c r="BX56" i="2"/>
  <c r="BX55" i="2"/>
  <c r="BY55" i="2"/>
  <c r="BX54" i="2"/>
  <c r="BY54" i="2"/>
  <c r="BZ54" i="2"/>
  <c r="BX53" i="2"/>
  <c r="BY53" i="2"/>
  <c r="BZ53" i="2"/>
  <c r="CA53" i="2"/>
  <c r="BX52" i="2"/>
  <c r="BY52" i="2"/>
  <c r="BZ52" i="2"/>
  <c r="CA52" i="2"/>
  <c r="CB52" i="2"/>
  <c r="BX51" i="2"/>
  <c r="BY51" i="2"/>
  <c r="BZ51" i="2"/>
  <c r="CA51" i="2"/>
  <c r="CB51" i="2"/>
  <c r="CC51" i="2"/>
  <c r="BX50" i="2"/>
  <c r="BY50" i="2"/>
  <c r="BZ50" i="2"/>
  <c r="CA50" i="2"/>
  <c r="CB50" i="2"/>
  <c r="CC50" i="2"/>
  <c r="CD50" i="2"/>
  <c r="BW50" i="2"/>
  <c r="BW51" i="2"/>
  <c r="BW52" i="2"/>
  <c r="BW53" i="2"/>
  <c r="BW54" i="2"/>
  <c r="BW55" i="2"/>
  <c r="BW56" i="2"/>
  <c r="BW57" i="2"/>
  <c r="BX49" i="2"/>
  <c r="BY49" i="2"/>
  <c r="BZ49" i="2"/>
  <c r="CA49" i="2"/>
  <c r="CB49" i="2"/>
  <c r="CC49" i="2"/>
  <c r="CD49" i="2"/>
  <c r="CE49" i="2"/>
  <c r="BZ46" i="2" s="1"/>
  <c r="BW49" i="2"/>
  <c r="BL56" i="2"/>
  <c r="BL55" i="2"/>
  <c r="BM55" i="2"/>
  <c r="BL54" i="2"/>
  <c r="BM54" i="2"/>
  <c r="BN54" i="2"/>
  <c r="BL53" i="2"/>
  <c r="BM53" i="2"/>
  <c r="BN53" i="2"/>
  <c r="BO53" i="2"/>
  <c r="BL52" i="2"/>
  <c r="BM52" i="2"/>
  <c r="BN52" i="2"/>
  <c r="BO52" i="2"/>
  <c r="BP52" i="2"/>
  <c r="BL51" i="2"/>
  <c r="BM51" i="2"/>
  <c r="BN51" i="2"/>
  <c r="BO51" i="2"/>
  <c r="BP51" i="2"/>
  <c r="BQ51" i="2"/>
  <c r="BL50" i="2"/>
  <c r="BM50" i="2"/>
  <c r="BN50" i="2"/>
  <c r="BO50" i="2"/>
  <c r="BP50" i="2"/>
  <c r="BQ50" i="2"/>
  <c r="BR50" i="2"/>
  <c r="BK50" i="2"/>
  <c r="BK51" i="2"/>
  <c r="BK52" i="2"/>
  <c r="BK53" i="2"/>
  <c r="BK54" i="2"/>
  <c r="BK55" i="2"/>
  <c r="BK56" i="2"/>
  <c r="BK57" i="2"/>
  <c r="BL49" i="2"/>
  <c r="BM49" i="2"/>
  <c r="BN49" i="2"/>
  <c r="BO49" i="2"/>
  <c r="BP49" i="2"/>
  <c r="BQ49" i="2"/>
  <c r="BR49" i="2"/>
  <c r="BS49" i="2"/>
  <c r="BN46" i="2" s="1"/>
  <c r="BK49" i="2"/>
  <c r="BL91" i="2"/>
  <c r="BL90" i="2"/>
  <c r="BM90" i="2"/>
  <c r="BL89" i="2"/>
  <c r="BM89" i="2"/>
  <c r="BN89" i="2"/>
  <c r="BL88" i="2"/>
  <c r="BM88" i="2"/>
  <c r="BN88" i="2"/>
  <c r="BO88" i="2"/>
  <c r="BL87" i="2"/>
  <c r="BM87" i="2"/>
  <c r="BN87" i="2"/>
  <c r="BO87" i="2"/>
  <c r="BP87" i="2"/>
  <c r="BL86" i="2"/>
  <c r="BM86" i="2"/>
  <c r="BN86" i="2"/>
  <c r="BO86" i="2"/>
  <c r="BP86" i="2"/>
  <c r="BQ86" i="2"/>
  <c r="BL85" i="2"/>
  <c r="BM85" i="2"/>
  <c r="BN85" i="2"/>
  <c r="BO85" i="2"/>
  <c r="BP85" i="2"/>
  <c r="BQ85" i="2"/>
  <c r="BR85" i="2"/>
  <c r="BK85" i="2"/>
  <c r="BK86" i="2"/>
  <c r="BK87" i="2"/>
  <c r="BK88" i="2"/>
  <c r="BK89" i="2"/>
  <c r="BK90" i="2"/>
  <c r="BK91" i="2"/>
  <c r="BK92" i="2"/>
  <c r="BL84" i="2"/>
  <c r="BM84" i="2"/>
  <c r="BN84" i="2"/>
  <c r="BO84" i="2"/>
  <c r="BP84" i="2"/>
  <c r="BQ84" i="2"/>
  <c r="BR84" i="2"/>
  <c r="BS84" i="2"/>
  <c r="BN81" i="2" s="1"/>
  <c r="BK84" i="2"/>
  <c r="BL126" i="2"/>
  <c r="BL125" i="2"/>
  <c r="BM125" i="2"/>
  <c r="BL124" i="2"/>
  <c r="BM124" i="2"/>
  <c r="BN124" i="2"/>
  <c r="BL123" i="2"/>
  <c r="BM123" i="2"/>
  <c r="BN123" i="2"/>
  <c r="BO123" i="2"/>
  <c r="BL122" i="2"/>
  <c r="BM122" i="2"/>
  <c r="BN122" i="2"/>
  <c r="BO122" i="2"/>
  <c r="BP122" i="2"/>
  <c r="BL121" i="2"/>
  <c r="BM121" i="2"/>
  <c r="BN121" i="2"/>
  <c r="BO121" i="2"/>
  <c r="BP121" i="2"/>
  <c r="BQ121" i="2"/>
  <c r="BL120" i="2"/>
  <c r="BM120" i="2"/>
  <c r="BN120" i="2"/>
  <c r="BO120" i="2"/>
  <c r="BP120" i="2"/>
  <c r="BQ120" i="2"/>
  <c r="BR120" i="2"/>
  <c r="BK120" i="2"/>
  <c r="BK121" i="2"/>
  <c r="BK122" i="2"/>
  <c r="BK123" i="2"/>
  <c r="BK124" i="2"/>
  <c r="BK125" i="2"/>
  <c r="BK126" i="2"/>
  <c r="BK127" i="2"/>
  <c r="BL119" i="2"/>
  <c r="BM119" i="2"/>
  <c r="BN119" i="2"/>
  <c r="BO119" i="2"/>
  <c r="BP119" i="2"/>
  <c r="BQ119" i="2"/>
  <c r="BR119" i="2"/>
  <c r="BS119" i="2"/>
  <c r="BN116" i="2" s="1"/>
  <c r="BK119" i="2"/>
  <c r="BL199" i="2"/>
  <c r="BL198" i="2"/>
  <c r="BM198" i="2"/>
  <c r="BL197" i="2"/>
  <c r="BM197" i="2"/>
  <c r="BN197" i="2"/>
  <c r="BL196" i="2"/>
  <c r="BM196" i="2"/>
  <c r="BN196" i="2"/>
  <c r="BO196" i="2"/>
  <c r="BL195" i="2"/>
  <c r="BM195" i="2"/>
  <c r="BN195" i="2"/>
  <c r="BO195" i="2"/>
  <c r="BP195" i="2"/>
  <c r="BL194" i="2"/>
  <c r="BM194" i="2"/>
  <c r="BN194" i="2"/>
  <c r="BO194" i="2"/>
  <c r="BP194" i="2"/>
  <c r="BQ194" i="2"/>
  <c r="BL193" i="2"/>
  <c r="BM193" i="2"/>
  <c r="BN193" i="2"/>
  <c r="BO193" i="2"/>
  <c r="BP193" i="2"/>
  <c r="BQ193" i="2"/>
  <c r="BR193" i="2"/>
  <c r="BK193" i="2"/>
  <c r="BK194" i="2"/>
  <c r="BK195" i="2"/>
  <c r="BK196" i="2"/>
  <c r="BK197" i="2"/>
  <c r="BK198" i="2"/>
  <c r="BK199" i="2"/>
  <c r="BK200" i="2"/>
  <c r="BL192" i="2"/>
  <c r="BM192" i="2"/>
  <c r="BN192" i="2"/>
  <c r="BO192" i="2"/>
  <c r="BP192" i="2"/>
  <c r="BQ192" i="2"/>
  <c r="BR192" i="2"/>
  <c r="BS192" i="2"/>
  <c r="BN189" i="2" s="1"/>
  <c r="BK192" i="2"/>
  <c r="BL234" i="2"/>
  <c r="BL233" i="2"/>
  <c r="BM233" i="2"/>
  <c r="BL232" i="2"/>
  <c r="BM232" i="2"/>
  <c r="BN232" i="2"/>
  <c r="BL231" i="2"/>
  <c r="BM231" i="2"/>
  <c r="BN231" i="2"/>
  <c r="BO231" i="2"/>
  <c r="BL230" i="2"/>
  <c r="BM230" i="2"/>
  <c r="BN230" i="2"/>
  <c r="BO230" i="2"/>
  <c r="BP230" i="2"/>
  <c r="BL229" i="2"/>
  <c r="BM229" i="2"/>
  <c r="BN229" i="2"/>
  <c r="BO229" i="2"/>
  <c r="BP229" i="2"/>
  <c r="BQ229" i="2"/>
  <c r="BL228" i="2"/>
  <c r="BM228" i="2"/>
  <c r="BN228" i="2"/>
  <c r="BO228" i="2"/>
  <c r="BP228" i="2"/>
  <c r="BQ228" i="2"/>
  <c r="BR228" i="2"/>
  <c r="BK228" i="2"/>
  <c r="BK229" i="2"/>
  <c r="BK230" i="2"/>
  <c r="BK231" i="2"/>
  <c r="BK232" i="2"/>
  <c r="BK233" i="2"/>
  <c r="BK234" i="2"/>
  <c r="BK235" i="2"/>
  <c r="BL227" i="2"/>
  <c r="BM227" i="2"/>
  <c r="BN227" i="2"/>
  <c r="BO227" i="2"/>
  <c r="BP227" i="2"/>
  <c r="BQ227" i="2"/>
  <c r="BR227" i="2"/>
  <c r="BS227" i="2"/>
  <c r="BN224" i="2" s="1"/>
  <c r="BK227" i="2"/>
  <c r="BL269" i="2"/>
  <c r="BL268" i="2"/>
  <c r="BM268" i="2"/>
  <c r="BL267" i="2"/>
  <c r="BM267" i="2"/>
  <c r="BN267" i="2"/>
  <c r="BL266" i="2"/>
  <c r="BM266" i="2"/>
  <c r="BN266" i="2"/>
  <c r="BO266" i="2"/>
  <c r="BL265" i="2"/>
  <c r="BM265" i="2"/>
  <c r="BN265" i="2"/>
  <c r="BO265" i="2"/>
  <c r="BP265" i="2"/>
  <c r="BL264" i="2"/>
  <c r="BM264" i="2"/>
  <c r="BN264" i="2"/>
  <c r="BO264" i="2"/>
  <c r="BP264" i="2"/>
  <c r="BQ264" i="2"/>
  <c r="BL263" i="2"/>
  <c r="BM263" i="2"/>
  <c r="BN263" i="2"/>
  <c r="BO263" i="2"/>
  <c r="BP263" i="2"/>
  <c r="BQ263" i="2"/>
  <c r="BR263" i="2"/>
  <c r="BK263" i="2"/>
  <c r="BK264" i="2"/>
  <c r="BK265" i="2"/>
  <c r="BK266" i="2"/>
  <c r="BK267" i="2"/>
  <c r="BK268" i="2"/>
  <c r="BK269" i="2"/>
  <c r="BK270" i="2"/>
  <c r="BL262" i="2"/>
  <c r="BM262" i="2"/>
  <c r="BN262" i="2"/>
  <c r="BO262" i="2"/>
  <c r="BP262" i="2"/>
  <c r="BQ262" i="2"/>
  <c r="BR262" i="2"/>
  <c r="BS262" i="2"/>
  <c r="BN259" i="2" s="1"/>
  <c r="BK262" i="2"/>
  <c r="BL342" i="2"/>
  <c r="BL341" i="2"/>
  <c r="BM341" i="2"/>
  <c r="BL340" i="2"/>
  <c r="BM340" i="2"/>
  <c r="BN340" i="2"/>
  <c r="BL339" i="2"/>
  <c r="BM339" i="2"/>
  <c r="BN339" i="2"/>
  <c r="BO339" i="2"/>
  <c r="BL338" i="2"/>
  <c r="BM338" i="2"/>
  <c r="BN338" i="2"/>
  <c r="BO338" i="2"/>
  <c r="BP338" i="2"/>
  <c r="BL337" i="2"/>
  <c r="BM337" i="2"/>
  <c r="BN337" i="2"/>
  <c r="BO337" i="2"/>
  <c r="BP337" i="2"/>
  <c r="BQ337" i="2"/>
  <c r="BL336" i="2"/>
  <c r="BM336" i="2"/>
  <c r="BN336" i="2"/>
  <c r="BO336" i="2"/>
  <c r="BP336" i="2"/>
  <c r="BQ336" i="2"/>
  <c r="BR336" i="2"/>
  <c r="BK336" i="2"/>
  <c r="BK337" i="2"/>
  <c r="BK338" i="2"/>
  <c r="BK339" i="2"/>
  <c r="BK340" i="2"/>
  <c r="BK341" i="2"/>
  <c r="BK342" i="2"/>
  <c r="BK343" i="2"/>
  <c r="BL335" i="2"/>
  <c r="BM335" i="2"/>
  <c r="BN335" i="2"/>
  <c r="BO335" i="2"/>
  <c r="BP335" i="2"/>
  <c r="BQ335" i="2"/>
  <c r="BR335" i="2"/>
  <c r="BS335" i="2"/>
  <c r="BK335" i="2"/>
  <c r="BL377" i="2"/>
  <c r="BL376" i="2"/>
  <c r="BM376" i="2"/>
  <c r="BL375" i="2"/>
  <c r="BM375" i="2"/>
  <c r="BN375" i="2"/>
  <c r="BL374" i="2"/>
  <c r="BM374" i="2"/>
  <c r="BN374" i="2"/>
  <c r="BO374" i="2"/>
  <c r="BL373" i="2"/>
  <c r="BM373" i="2"/>
  <c r="BN373" i="2"/>
  <c r="BO373" i="2"/>
  <c r="BP373" i="2"/>
  <c r="BL372" i="2"/>
  <c r="BM372" i="2"/>
  <c r="BN372" i="2"/>
  <c r="BO372" i="2"/>
  <c r="BP372" i="2"/>
  <c r="BQ372" i="2"/>
  <c r="BL371" i="2"/>
  <c r="BM371" i="2"/>
  <c r="BN371" i="2"/>
  <c r="BO371" i="2"/>
  <c r="BP371" i="2"/>
  <c r="BQ371" i="2"/>
  <c r="BR371" i="2"/>
  <c r="BK371" i="2"/>
  <c r="BK372" i="2"/>
  <c r="BK373" i="2"/>
  <c r="BK374" i="2"/>
  <c r="BK375" i="2"/>
  <c r="BK376" i="2"/>
  <c r="BK377" i="2"/>
  <c r="BK378" i="2"/>
  <c r="BL370" i="2"/>
  <c r="BM370" i="2"/>
  <c r="BN370" i="2"/>
  <c r="BO370" i="2"/>
  <c r="BP370" i="2"/>
  <c r="BQ370" i="2"/>
  <c r="BR370" i="2"/>
  <c r="BS370" i="2"/>
  <c r="BK370" i="2"/>
  <c r="BL412" i="2"/>
  <c r="BL411" i="2"/>
  <c r="BM411" i="2"/>
  <c r="BL410" i="2"/>
  <c r="BM410" i="2"/>
  <c r="BN410" i="2"/>
  <c r="BL409" i="2"/>
  <c r="BM409" i="2"/>
  <c r="BN409" i="2"/>
  <c r="BO409" i="2"/>
  <c r="BL408" i="2"/>
  <c r="BM408" i="2"/>
  <c r="BN408" i="2"/>
  <c r="BO408" i="2"/>
  <c r="BP408" i="2"/>
  <c r="BL407" i="2"/>
  <c r="BM407" i="2"/>
  <c r="BN407" i="2"/>
  <c r="BO407" i="2"/>
  <c r="BP407" i="2"/>
  <c r="BQ407" i="2"/>
  <c r="BL406" i="2"/>
  <c r="BM406" i="2"/>
  <c r="BN406" i="2"/>
  <c r="BO406" i="2"/>
  <c r="BP406" i="2"/>
  <c r="BQ406" i="2"/>
  <c r="BR406" i="2"/>
  <c r="BK406" i="2"/>
  <c r="BK407" i="2"/>
  <c r="BK408" i="2"/>
  <c r="BK409" i="2"/>
  <c r="BK410" i="2"/>
  <c r="BK411" i="2"/>
  <c r="BK412" i="2"/>
  <c r="BK413" i="2"/>
  <c r="BL405" i="2"/>
  <c r="BM405" i="2"/>
  <c r="BN405" i="2"/>
  <c r="BO405" i="2"/>
  <c r="BP405" i="2"/>
  <c r="BQ405" i="2"/>
  <c r="BR405" i="2"/>
  <c r="BS405" i="2"/>
  <c r="BK405" i="2"/>
  <c r="BL447" i="2"/>
  <c r="BL446" i="2"/>
  <c r="BM446" i="2"/>
  <c r="BL445" i="2"/>
  <c r="BM445" i="2"/>
  <c r="BN445" i="2"/>
  <c r="BL444" i="2"/>
  <c r="BM444" i="2"/>
  <c r="BN444" i="2"/>
  <c r="BO444" i="2"/>
  <c r="BL443" i="2"/>
  <c r="BM443" i="2"/>
  <c r="BN443" i="2"/>
  <c r="BO443" i="2"/>
  <c r="BP443" i="2"/>
  <c r="BL442" i="2"/>
  <c r="BM442" i="2"/>
  <c r="BN442" i="2"/>
  <c r="BO442" i="2"/>
  <c r="BP442" i="2"/>
  <c r="BQ442" i="2"/>
  <c r="BL441" i="2"/>
  <c r="BM441" i="2"/>
  <c r="BN441" i="2"/>
  <c r="BO441" i="2"/>
  <c r="BP441" i="2"/>
  <c r="BQ441" i="2"/>
  <c r="BR441" i="2"/>
  <c r="BK441" i="2"/>
  <c r="BK442" i="2"/>
  <c r="BK443" i="2"/>
  <c r="BK444" i="2"/>
  <c r="BK445" i="2"/>
  <c r="BK446" i="2"/>
  <c r="BK447" i="2"/>
  <c r="BK448" i="2"/>
  <c r="BL440" i="2"/>
  <c r="BM440" i="2"/>
  <c r="BN440" i="2"/>
  <c r="BO440" i="2"/>
  <c r="BP440" i="2"/>
  <c r="BQ440" i="2"/>
  <c r="BR440" i="2"/>
  <c r="BS440" i="2"/>
  <c r="BK440" i="2"/>
  <c r="AZ447" i="2"/>
  <c r="AZ446" i="2"/>
  <c r="BA446" i="2"/>
  <c r="AZ445" i="2"/>
  <c r="BA445" i="2"/>
  <c r="BB445" i="2"/>
  <c r="AZ444" i="2"/>
  <c r="BA444" i="2"/>
  <c r="BB444" i="2"/>
  <c r="BC444" i="2"/>
  <c r="AZ443" i="2"/>
  <c r="BA443" i="2"/>
  <c r="BB443" i="2"/>
  <c r="BC443" i="2"/>
  <c r="BD443" i="2"/>
  <c r="AZ442" i="2"/>
  <c r="BA442" i="2"/>
  <c r="BB442" i="2"/>
  <c r="BC442" i="2"/>
  <c r="BD442" i="2"/>
  <c r="BE442" i="2"/>
  <c r="AZ441" i="2"/>
  <c r="BA441" i="2"/>
  <c r="BB441" i="2"/>
  <c r="BC441" i="2"/>
  <c r="BD441" i="2"/>
  <c r="BE441" i="2"/>
  <c r="BF441" i="2"/>
  <c r="AY441" i="2"/>
  <c r="AY442" i="2"/>
  <c r="AY443" i="2"/>
  <c r="AY444" i="2"/>
  <c r="AY445" i="2"/>
  <c r="AY446" i="2"/>
  <c r="AY447" i="2"/>
  <c r="AY448" i="2"/>
  <c r="AZ440" i="2"/>
  <c r="BA440" i="2"/>
  <c r="BB440" i="2"/>
  <c r="BC440" i="2"/>
  <c r="BD440" i="2"/>
  <c r="BE440" i="2"/>
  <c r="BF440" i="2"/>
  <c r="BG440" i="2"/>
  <c r="AY440" i="2"/>
  <c r="AZ412" i="2"/>
  <c r="AZ411" i="2"/>
  <c r="BA411" i="2"/>
  <c r="AZ410" i="2"/>
  <c r="BA410" i="2"/>
  <c r="BB410" i="2"/>
  <c r="AZ409" i="2"/>
  <c r="BA409" i="2"/>
  <c r="BB409" i="2"/>
  <c r="BC409" i="2"/>
  <c r="AZ408" i="2"/>
  <c r="BA408" i="2"/>
  <c r="BB408" i="2"/>
  <c r="BC408" i="2"/>
  <c r="BD408" i="2"/>
  <c r="AZ407" i="2"/>
  <c r="BA407" i="2"/>
  <c r="BB407" i="2"/>
  <c r="BC407" i="2"/>
  <c r="BD407" i="2"/>
  <c r="BE407" i="2"/>
  <c r="AZ406" i="2"/>
  <c r="BA406" i="2"/>
  <c r="BB406" i="2"/>
  <c r="BC406" i="2"/>
  <c r="BD406" i="2"/>
  <c r="BE406" i="2"/>
  <c r="BF406" i="2"/>
  <c r="AY406" i="2"/>
  <c r="AY407" i="2"/>
  <c r="AY408" i="2"/>
  <c r="AY409" i="2"/>
  <c r="AY410" i="2"/>
  <c r="AY411" i="2"/>
  <c r="AY412" i="2"/>
  <c r="AY413" i="2"/>
  <c r="AZ405" i="2"/>
  <c r="BA405" i="2"/>
  <c r="BB405" i="2"/>
  <c r="BC405" i="2"/>
  <c r="BD405" i="2"/>
  <c r="BE405" i="2"/>
  <c r="BF405" i="2"/>
  <c r="BG405" i="2"/>
  <c r="AY405" i="2"/>
  <c r="AZ377" i="2"/>
  <c r="AZ376" i="2"/>
  <c r="BA376" i="2"/>
  <c r="AZ375" i="2"/>
  <c r="BA375" i="2"/>
  <c r="BB375" i="2"/>
  <c r="AZ374" i="2"/>
  <c r="BA374" i="2"/>
  <c r="BB374" i="2"/>
  <c r="BC374" i="2"/>
  <c r="AZ373" i="2"/>
  <c r="BA373" i="2"/>
  <c r="BB373" i="2"/>
  <c r="BC373" i="2"/>
  <c r="BD373" i="2"/>
  <c r="AZ372" i="2"/>
  <c r="BA372" i="2"/>
  <c r="BB372" i="2"/>
  <c r="BC372" i="2"/>
  <c r="BD372" i="2"/>
  <c r="BE372" i="2"/>
  <c r="AZ371" i="2"/>
  <c r="BA371" i="2"/>
  <c r="BB371" i="2"/>
  <c r="BC371" i="2"/>
  <c r="BD371" i="2"/>
  <c r="BE371" i="2"/>
  <c r="BF371" i="2"/>
  <c r="AY371" i="2"/>
  <c r="AY372" i="2"/>
  <c r="AY373" i="2"/>
  <c r="AY374" i="2"/>
  <c r="AY375" i="2"/>
  <c r="AY376" i="2"/>
  <c r="AY377" i="2"/>
  <c r="AY378" i="2"/>
  <c r="AZ370" i="2"/>
  <c r="BA370" i="2"/>
  <c r="BB370" i="2"/>
  <c r="BC370" i="2"/>
  <c r="BD370" i="2"/>
  <c r="BE370" i="2"/>
  <c r="BF370" i="2"/>
  <c r="BG370" i="2"/>
  <c r="AY370" i="2"/>
  <c r="AZ342" i="2"/>
  <c r="AZ341" i="2"/>
  <c r="BA341" i="2"/>
  <c r="AZ340" i="2"/>
  <c r="BA340" i="2"/>
  <c r="BB340" i="2"/>
  <c r="AZ339" i="2"/>
  <c r="BA339" i="2"/>
  <c r="BB339" i="2"/>
  <c r="BC339" i="2"/>
  <c r="AZ338" i="2"/>
  <c r="BA338" i="2"/>
  <c r="BB338" i="2"/>
  <c r="BC338" i="2"/>
  <c r="BD338" i="2"/>
  <c r="AZ337" i="2"/>
  <c r="BA337" i="2"/>
  <c r="BB337" i="2"/>
  <c r="BC337" i="2"/>
  <c r="BD337" i="2"/>
  <c r="BE337" i="2"/>
  <c r="AZ336" i="2"/>
  <c r="BA336" i="2"/>
  <c r="BB336" i="2"/>
  <c r="BC336" i="2"/>
  <c r="BD336" i="2"/>
  <c r="BE336" i="2"/>
  <c r="BF336" i="2"/>
  <c r="AY336" i="2"/>
  <c r="AY337" i="2"/>
  <c r="AY338" i="2"/>
  <c r="AY339" i="2"/>
  <c r="AY340" i="2"/>
  <c r="AY341" i="2"/>
  <c r="AY342" i="2"/>
  <c r="AY343" i="2"/>
  <c r="AZ335" i="2"/>
  <c r="BA335" i="2"/>
  <c r="BB335" i="2"/>
  <c r="BC335" i="2"/>
  <c r="BD335" i="2"/>
  <c r="BE335" i="2"/>
  <c r="BF335" i="2"/>
  <c r="BG335" i="2"/>
  <c r="AY335" i="2"/>
  <c r="AZ269" i="2"/>
  <c r="AZ268" i="2"/>
  <c r="BA268" i="2"/>
  <c r="AZ267" i="2"/>
  <c r="BA267" i="2"/>
  <c r="BB267" i="2"/>
  <c r="AZ266" i="2"/>
  <c r="BA266" i="2"/>
  <c r="BB266" i="2"/>
  <c r="BC266" i="2"/>
  <c r="AZ265" i="2"/>
  <c r="BA265" i="2"/>
  <c r="BB265" i="2"/>
  <c r="BC265" i="2"/>
  <c r="BD265" i="2"/>
  <c r="AZ264" i="2"/>
  <c r="BA264" i="2"/>
  <c r="BB264" i="2"/>
  <c r="BC264" i="2"/>
  <c r="BD264" i="2"/>
  <c r="BE264" i="2"/>
  <c r="AZ263" i="2"/>
  <c r="BA263" i="2"/>
  <c r="BB263" i="2"/>
  <c r="BC263" i="2"/>
  <c r="BD263" i="2"/>
  <c r="BE263" i="2"/>
  <c r="BF263" i="2"/>
  <c r="AY263" i="2"/>
  <c r="AY264" i="2"/>
  <c r="AY265" i="2"/>
  <c r="AY266" i="2"/>
  <c r="AY267" i="2"/>
  <c r="AY268" i="2"/>
  <c r="AY269" i="2"/>
  <c r="AY270" i="2"/>
  <c r="AZ262" i="2"/>
  <c r="BA262" i="2"/>
  <c r="BB262" i="2"/>
  <c r="BC262" i="2"/>
  <c r="BD262" i="2"/>
  <c r="BE262" i="2"/>
  <c r="BF262" i="2"/>
  <c r="BG262" i="2"/>
  <c r="BB259" i="2" s="1"/>
  <c r="AY262" i="2"/>
  <c r="AZ234" i="2"/>
  <c r="AZ233" i="2"/>
  <c r="BA233" i="2"/>
  <c r="AZ232" i="2"/>
  <c r="BA232" i="2"/>
  <c r="BB232" i="2"/>
  <c r="AZ231" i="2"/>
  <c r="BA231" i="2"/>
  <c r="BB231" i="2"/>
  <c r="BC231" i="2"/>
  <c r="AZ230" i="2"/>
  <c r="BA230" i="2"/>
  <c r="BB230" i="2"/>
  <c r="BC230" i="2"/>
  <c r="BD230" i="2"/>
  <c r="AZ229" i="2"/>
  <c r="BA229" i="2"/>
  <c r="BB229" i="2"/>
  <c r="BC229" i="2"/>
  <c r="BD229" i="2"/>
  <c r="BE229" i="2"/>
  <c r="AZ228" i="2"/>
  <c r="BA228" i="2"/>
  <c r="BB228" i="2"/>
  <c r="BC228" i="2"/>
  <c r="BD228" i="2"/>
  <c r="BE228" i="2"/>
  <c r="BF228" i="2"/>
  <c r="AY228" i="2"/>
  <c r="AY229" i="2"/>
  <c r="AY230" i="2"/>
  <c r="AY231" i="2"/>
  <c r="AY232" i="2"/>
  <c r="AY233" i="2"/>
  <c r="AY234" i="2"/>
  <c r="AY235" i="2"/>
  <c r="AZ227" i="2"/>
  <c r="BA227" i="2"/>
  <c r="BB227" i="2"/>
  <c r="BC227" i="2"/>
  <c r="BD227" i="2"/>
  <c r="BE227" i="2"/>
  <c r="BF227" i="2"/>
  <c r="BG227" i="2"/>
  <c r="BB224" i="2" s="1"/>
  <c r="AY227" i="2"/>
  <c r="AZ199" i="2"/>
  <c r="AZ198" i="2"/>
  <c r="BA198" i="2"/>
  <c r="AZ197" i="2"/>
  <c r="BA197" i="2"/>
  <c r="BB197" i="2"/>
  <c r="AZ196" i="2"/>
  <c r="BA196" i="2"/>
  <c r="BB196" i="2"/>
  <c r="BC196" i="2"/>
  <c r="AZ195" i="2"/>
  <c r="BA195" i="2"/>
  <c r="BB195" i="2"/>
  <c r="BC195" i="2"/>
  <c r="BD195" i="2"/>
  <c r="AZ194" i="2"/>
  <c r="BA194" i="2"/>
  <c r="BB194" i="2"/>
  <c r="BC194" i="2"/>
  <c r="BD194" i="2"/>
  <c r="BE194" i="2"/>
  <c r="AZ193" i="2"/>
  <c r="BA193" i="2"/>
  <c r="BB193" i="2"/>
  <c r="BC193" i="2"/>
  <c r="BD193" i="2"/>
  <c r="BE193" i="2"/>
  <c r="BF193" i="2"/>
  <c r="AY193" i="2"/>
  <c r="AY194" i="2"/>
  <c r="AY195" i="2"/>
  <c r="AY196" i="2"/>
  <c r="AY197" i="2"/>
  <c r="AY198" i="2"/>
  <c r="AY199" i="2"/>
  <c r="AY200" i="2"/>
  <c r="AZ192" i="2"/>
  <c r="BA192" i="2"/>
  <c r="BB192" i="2"/>
  <c r="BC192" i="2"/>
  <c r="BD192" i="2"/>
  <c r="BE192" i="2"/>
  <c r="BF192" i="2"/>
  <c r="BG192" i="2"/>
  <c r="BB189" i="2" s="1"/>
  <c r="AY192" i="2"/>
  <c r="AZ126" i="2"/>
  <c r="AZ125" i="2"/>
  <c r="BA125" i="2"/>
  <c r="AZ124" i="2"/>
  <c r="BA124" i="2"/>
  <c r="BB124" i="2"/>
  <c r="AZ123" i="2"/>
  <c r="BA123" i="2"/>
  <c r="BB123" i="2"/>
  <c r="BC123" i="2"/>
  <c r="AZ122" i="2"/>
  <c r="BA122" i="2"/>
  <c r="BB122" i="2"/>
  <c r="BC122" i="2"/>
  <c r="BD122" i="2"/>
  <c r="AZ121" i="2"/>
  <c r="BA121" i="2"/>
  <c r="BB121" i="2"/>
  <c r="BC121" i="2"/>
  <c r="BD121" i="2"/>
  <c r="BE121" i="2"/>
  <c r="AZ120" i="2"/>
  <c r="BA120" i="2"/>
  <c r="BB120" i="2"/>
  <c r="BC120" i="2"/>
  <c r="BD120" i="2"/>
  <c r="BE120" i="2"/>
  <c r="BF120" i="2"/>
  <c r="AY120" i="2"/>
  <c r="AY121" i="2"/>
  <c r="AY122" i="2"/>
  <c r="AY123" i="2"/>
  <c r="AY124" i="2"/>
  <c r="AY125" i="2"/>
  <c r="AY126" i="2"/>
  <c r="AY127" i="2"/>
  <c r="AZ119" i="2"/>
  <c r="BA119" i="2"/>
  <c r="BB119" i="2"/>
  <c r="BC119" i="2"/>
  <c r="BD119" i="2"/>
  <c r="BE119" i="2"/>
  <c r="BF119" i="2"/>
  <c r="BG119" i="2"/>
  <c r="BB116" i="2" s="1"/>
  <c r="AY119" i="2"/>
  <c r="AZ91" i="2"/>
  <c r="AZ90" i="2"/>
  <c r="BA90" i="2"/>
  <c r="AZ89" i="2"/>
  <c r="BA89" i="2"/>
  <c r="BB89" i="2"/>
  <c r="AZ88" i="2"/>
  <c r="BA88" i="2"/>
  <c r="BB88" i="2"/>
  <c r="BC88" i="2"/>
  <c r="AZ87" i="2"/>
  <c r="BA87" i="2"/>
  <c r="BB87" i="2"/>
  <c r="BC87" i="2"/>
  <c r="BD87" i="2"/>
  <c r="AZ86" i="2"/>
  <c r="BA86" i="2"/>
  <c r="BB86" i="2"/>
  <c r="BC86" i="2"/>
  <c r="BD86" i="2"/>
  <c r="BE86" i="2"/>
  <c r="AZ85" i="2"/>
  <c r="BA85" i="2"/>
  <c r="BB85" i="2"/>
  <c r="BC85" i="2"/>
  <c r="BD85" i="2"/>
  <c r="BE85" i="2"/>
  <c r="BF85" i="2"/>
  <c r="AY85" i="2"/>
  <c r="AY86" i="2"/>
  <c r="AY87" i="2"/>
  <c r="AY88" i="2"/>
  <c r="AY89" i="2"/>
  <c r="AY90" i="2"/>
  <c r="AY91" i="2"/>
  <c r="AY92" i="2"/>
  <c r="AZ84" i="2"/>
  <c r="BA84" i="2"/>
  <c r="BB84" i="2"/>
  <c r="BC84" i="2"/>
  <c r="BD84" i="2"/>
  <c r="BE84" i="2"/>
  <c r="BF84" i="2"/>
  <c r="BG84" i="2"/>
  <c r="BB81" i="2" s="1"/>
  <c r="AY84" i="2"/>
  <c r="AZ56" i="2"/>
  <c r="AZ55" i="2"/>
  <c r="BA55" i="2"/>
  <c r="AZ54" i="2"/>
  <c r="BA54" i="2"/>
  <c r="BB54" i="2"/>
  <c r="AZ53" i="2"/>
  <c r="BA53" i="2"/>
  <c r="BB53" i="2"/>
  <c r="BC53" i="2"/>
  <c r="AZ52" i="2"/>
  <c r="BA52" i="2"/>
  <c r="BB52" i="2"/>
  <c r="BC52" i="2"/>
  <c r="BD52" i="2"/>
  <c r="AZ51" i="2"/>
  <c r="BA51" i="2"/>
  <c r="BB51" i="2"/>
  <c r="BC51" i="2"/>
  <c r="BD51" i="2"/>
  <c r="BE51" i="2"/>
  <c r="AZ50" i="2"/>
  <c r="BA50" i="2"/>
  <c r="BB50" i="2"/>
  <c r="BC50" i="2"/>
  <c r="BD50" i="2"/>
  <c r="BE50" i="2"/>
  <c r="BF50" i="2"/>
  <c r="AY50" i="2"/>
  <c r="AY51" i="2"/>
  <c r="AY52" i="2"/>
  <c r="AY53" i="2"/>
  <c r="AY54" i="2"/>
  <c r="AY55" i="2"/>
  <c r="AY56" i="2"/>
  <c r="AY57" i="2"/>
  <c r="AZ49" i="2"/>
  <c r="BA49" i="2"/>
  <c r="BB49" i="2"/>
  <c r="BC49" i="2"/>
  <c r="BD49" i="2"/>
  <c r="BE49" i="2"/>
  <c r="BF49" i="2"/>
  <c r="BG49" i="2"/>
  <c r="BB46" i="2" s="1"/>
  <c r="AY49" i="2"/>
  <c r="AN56" i="2"/>
  <c r="AN55" i="2"/>
  <c r="AO55" i="2"/>
  <c r="AN54" i="2"/>
  <c r="AO54" i="2"/>
  <c r="AP54" i="2"/>
  <c r="AN53" i="2"/>
  <c r="AO53" i="2"/>
  <c r="AP53" i="2"/>
  <c r="AQ53" i="2"/>
  <c r="AN52" i="2"/>
  <c r="AO52" i="2"/>
  <c r="AP52" i="2"/>
  <c r="AQ52" i="2"/>
  <c r="AR52" i="2"/>
  <c r="AN51" i="2"/>
  <c r="AO51" i="2"/>
  <c r="AP51" i="2"/>
  <c r="AQ51" i="2"/>
  <c r="AR51" i="2"/>
  <c r="AS51" i="2"/>
  <c r="AN50" i="2"/>
  <c r="AO50" i="2"/>
  <c r="AP50" i="2"/>
  <c r="AQ50" i="2"/>
  <c r="AR50" i="2"/>
  <c r="AS50" i="2"/>
  <c r="AT50" i="2"/>
  <c r="AM50" i="2"/>
  <c r="AM51" i="2"/>
  <c r="AM52" i="2"/>
  <c r="AM53" i="2"/>
  <c r="AM54" i="2"/>
  <c r="AM55" i="2"/>
  <c r="AM56" i="2"/>
  <c r="AM57" i="2"/>
  <c r="AN49" i="2"/>
  <c r="AO49" i="2"/>
  <c r="AP49" i="2"/>
  <c r="AQ49" i="2"/>
  <c r="AR49" i="2"/>
  <c r="AS49" i="2"/>
  <c r="AT49" i="2"/>
  <c r="AU49" i="2"/>
  <c r="AP46" i="2" s="1"/>
  <c r="AM49" i="2"/>
  <c r="AN91" i="2"/>
  <c r="AN90" i="2"/>
  <c r="AO90" i="2"/>
  <c r="AN89" i="2"/>
  <c r="AO89" i="2"/>
  <c r="AP89" i="2"/>
  <c r="AN88" i="2"/>
  <c r="AO88" i="2"/>
  <c r="AP88" i="2"/>
  <c r="AQ88" i="2"/>
  <c r="AN87" i="2"/>
  <c r="AO87" i="2"/>
  <c r="AP87" i="2"/>
  <c r="AQ87" i="2"/>
  <c r="AR87" i="2"/>
  <c r="AN86" i="2"/>
  <c r="AO86" i="2"/>
  <c r="AP86" i="2"/>
  <c r="AQ86" i="2"/>
  <c r="AR86" i="2"/>
  <c r="AS86" i="2"/>
  <c r="AN85" i="2"/>
  <c r="AO85" i="2"/>
  <c r="AP85" i="2"/>
  <c r="AQ85" i="2"/>
  <c r="AR85" i="2"/>
  <c r="AS85" i="2"/>
  <c r="AT85" i="2"/>
  <c r="AM85" i="2"/>
  <c r="AM86" i="2"/>
  <c r="AM87" i="2"/>
  <c r="AM88" i="2"/>
  <c r="AM89" i="2"/>
  <c r="AM90" i="2"/>
  <c r="AM91" i="2"/>
  <c r="AM92" i="2"/>
  <c r="AN84" i="2"/>
  <c r="AO84" i="2"/>
  <c r="AP84" i="2"/>
  <c r="AQ84" i="2"/>
  <c r="AR84" i="2"/>
  <c r="AS84" i="2"/>
  <c r="AT84" i="2"/>
  <c r="AU84" i="2"/>
  <c r="AP81" i="2" s="1"/>
  <c r="AM84" i="2"/>
  <c r="AN126" i="2"/>
  <c r="AN125" i="2"/>
  <c r="AO125" i="2"/>
  <c r="AN124" i="2"/>
  <c r="AO124" i="2"/>
  <c r="AP124" i="2"/>
  <c r="AN123" i="2"/>
  <c r="AO123" i="2"/>
  <c r="AP123" i="2"/>
  <c r="AQ123" i="2"/>
  <c r="AN122" i="2"/>
  <c r="AO122" i="2"/>
  <c r="AP122" i="2"/>
  <c r="AQ122" i="2"/>
  <c r="AR122" i="2"/>
  <c r="AN121" i="2"/>
  <c r="AO121" i="2"/>
  <c r="AP121" i="2"/>
  <c r="AQ121" i="2"/>
  <c r="AR121" i="2"/>
  <c r="AS121" i="2"/>
  <c r="AN120" i="2"/>
  <c r="AO120" i="2"/>
  <c r="AP120" i="2"/>
  <c r="AQ120" i="2"/>
  <c r="AR120" i="2"/>
  <c r="AS120" i="2"/>
  <c r="AT120" i="2"/>
  <c r="AM120" i="2"/>
  <c r="AM121" i="2"/>
  <c r="AM122" i="2"/>
  <c r="AM123" i="2"/>
  <c r="AM124" i="2"/>
  <c r="AM125" i="2"/>
  <c r="AM126" i="2"/>
  <c r="AM127" i="2"/>
  <c r="AN119" i="2"/>
  <c r="AO119" i="2"/>
  <c r="AP119" i="2"/>
  <c r="AQ119" i="2"/>
  <c r="AR119" i="2"/>
  <c r="AS119" i="2"/>
  <c r="AT119" i="2"/>
  <c r="AU119" i="2"/>
  <c r="AP116" i="2" s="1"/>
  <c r="AM119" i="2"/>
  <c r="AN199" i="2"/>
  <c r="AN198" i="2"/>
  <c r="AO198" i="2"/>
  <c r="AN197" i="2"/>
  <c r="AO197" i="2"/>
  <c r="AP197" i="2"/>
  <c r="AN196" i="2"/>
  <c r="AO196" i="2"/>
  <c r="AP196" i="2"/>
  <c r="AQ196" i="2"/>
  <c r="AN195" i="2"/>
  <c r="AO195" i="2"/>
  <c r="AP195" i="2"/>
  <c r="AQ195" i="2"/>
  <c r="AR195" i="2"/>
  <c r="AN194" i="2"/>
  <c r="AO194" i="2"/>
  <c r="AP194" i="2"/>
  <c r="AQ194" i="2"/>
  <c r="AR194" i="2"/>
  <c r="AS194" i="2"/>
  <c r="AN193" i="2"/>
  <c r="AO193" i="2"/>
  <c r="AP193" i="2"/>
  <c r="AQ193" i="2"/>
  <c r="AR193" i="2"/>
  <c r="AS193" i="2"/>
  <c r="AT193" i="2"/>
  <c r="AM193" i="2"/>
  <c r="AM194" i="2"/>
  <c r="AM195" i="2"/>
  <c r="AM196" i="2"/>
  <c r="AM197" i="2"/>
  <c r="AM198" i="2"/>
  <c r="AM199" i="2"/>
  <c r="AM200" i="2"/>
  <c r="AN192" i="2"/>
  <c r="AO192" i="2"/>
  <c r="AP192" i="2"/>
  <c r="AQ192" i="2"/>
  <c r="AR192" i="2"/>
  <c r="AS192" i="2"/>
  <c r="AT192" i="2"/>
  <c r="AU192" i="2"/>
  <c r="AP189" i="2" s="1"/>
  <c r="AM192" i="2"/>
  <c r="AN234" i="2"/>
  <c r="AN233" i="2"/>
  <c r="AO233" i="2"/>
  <c r="AN232" i="2"/>
  <c r="AO232" i="2"/>
  <c r="AP232" i="2"/>
  <c r="AN231" i="2"/>
  <c r="AO231" i="2"/>
  <c r="AP231" i="2"/>
  <c r="AQ231" i="2"/>
  <c r="AN230" i="2"/>
  <c r="AO230" i="2"/>
  <c r="AP230" i="2"/>
  <c r="AQ230" i="2"/>
  <c r="AR230" i="2"/>
  <c r="AN229" i="2"/>
  <c r="AO229" i="2"/>
  <c r="AP229" i="2"/>
  <c r="AQ229" i="2"/>
  <c r="AR229" i="2"/>
  <c r="AS229" i="2"/>
  <c r="AN228" i="2"/>
  <c r="AO228" i="2"/>
  <c r="AP228" i="2"/>
  <c r="AQ228" i="2"/>
  <c r="AR228" i="2"/>
  <c r="AS228" i="2"/>
  <c r="AT228" i="2"/>
  <c r="AM228" i="2"/>
  <c r="AM229" i="2"/>
  <c r="AM230" i="2"/>
  <c r="AM231" i="2"/>
  <c r="AM232" i="2"/>
  <c r="AM233" i="2"/>
  <c r="AM234" i="2"/>
  <c r="AM235" i="2"/>
  <c r="AN227" i="2"/>
  <c r="AO227" i="2"/>
  <c r="AP227" i="2"/>
  <c r="AQ227" i="2"/>
  <c r="AR227" i="2"/>
  <c r="AS227" i="2"/>
  <c r="AT227" i="2"/>
  <c r="AU227" i="2"/>
  <c r="AP224" i="2" s="1"/>
  <c r="AM227" i="2"/>
  <c r="AN269" i="2"/>
  <c r="AN268" i="2"/>
  <c r="AO268" i="2"/>
  <c r="AN267" i="2"/>
  <c r="AO267" i="2"/>
  <c r="AP267" i="2"/>
  <c r="AN266" i="2"/>
  <c r="AO266" i="2"/>
  <c r="AP266" i="2"/>
  <c r="AQ266" i="2"/>
  <c r="AN265" i="2"/>
  <c r="AO265" i="2"/>
  <c r="AP265" i="2"/>
  <c r="AQ265" i="2"/>
  <c r="AR265" i="2"/>
  <c r="AN264" i="2"/>
  <c r="AO264" i="2"/>
  <c r="AP264" i="2"/>
  <c r="AQ264" i="2"/>
  <c r="AR264" i="2"/>
  <c r="AS264" i="2"/>
  <c r="AN263" i="2"/>
  <c r="AO263" i="2"/>
  <c r="AP263" i="2"/>
  <c r="AQ263" i="2"/>
  <c r="AR263" i="2"/>
  <c r="AS263" i="2"/>
  <c r="AT263" i="2"/>
  <c r="AM263" i="2"/>
  <c r="AM264" i="2"/>
  <c r="AM265" i="2"/>
  <c r="AM266" i="2"/>
  <c r="AM267" i="2"/>
  <c r="AM268" i="2"/>
  <c r="AM269" i="2"/>
  <c r="AM270" i="2"/>
  <c r="AN262" i="2"/>
  <c r="AO262" i="2"/>
  <c r="AP262" i="2"/>
  <c r="AQ262" i="2"/>
  <c r="AR262" i="2"/>
  <c r="AS262" i="2"/>
  <c r="AT262" i="2"/>
  <c r="AU262" i="2"/>
  <c r="AP259" i="2" s="1"/>
  <c r="AM262" i="2"/>
  <c r="AN342" i="2"/>
  <c r="AN341" i="2"/>
  <c r="AO341" i="2"/>
  <c r="AN340" i="2"/>
  <c r="AO340" i="2"/>
  <c r="AP340" i="2"/>
  <c r="AN339" i="2"/>
  <c r="AO339" i="2"/>
  <c r="AP339" i="2"/>
  <c r="AQ339" i="2"/>
  <c r="AN338" i="2"/>
  <c r="AO338" i="2"/>
  <c r="AP338" i="2"/>
  <c r="AQ338" i="2"/>
  <c r="AR338" i="2"/>
  <c r="AN337" i="2"/>
  <c r="AO337" i="2"/>
  <c r="AP337" i="2"/>
  <c r="AQ337" i="2"/>
  <c r="AR337" i="2"/>
  <c r="AS337" i="2"/>
  <c r="AN336" i="2"/>
  <c r="AO336" i="2"/>
  <c r="AP336" i="2"/>
  <c r="AQ336" i="2"/>
  <c r="AR336" i="2"/>
  <c r="AS336" i="2"/>
  <c r="AT336" i="2"/>
  <c r="AM336" i="2"/>
  <c r="AM337" i="2"/>
  <c r="AM338" i="2"/>
  <c r="AM339" i="2"/>
  <c r="AM340" i="2"/>
  <c r="AM341" i="2"/>
  <c r="AM342" i="2"/>
  <c r="AM343" i="2"/>
  <c r="AN335" i="2"/>
  <c r="AO335" i="2"/>
  <c r="AP335" i="2"/>
  <c r="AQ335" i="2"/>
  <c r="AR335" i="2"/>
  <c r="AS335" i="2"/>
  <c r="AT335" i="2"/>
  <c r="AU335" i="2"/>
  <c r="AM335" i="2"/>
  <c r="AN377" i="2"/>
  <c r="AN376" i="2"/>
  <c r="AO376" i="2"/>
  <c r="AP375" i="2"/>
  <c r="AN375" i="2"/>
  <c r="AO375" i="2"/>
  <c r="AN374" i="2"/>
  <c r="AO374" i="2"/>
  <c r="AP374" i="2"/>
  <c r="AQ374" i="2"/>
  <c r="AN373" i="2"/>
  <c r="AO373" i="2"/>
  <c r="AP373" i="2"/>
  <c r="AQ373" i="2"/>
  <c r="AR373" i="2"/>
  <c r="AN372" i="2"/>
  <c r="AO372" i="2"/>
  <c r="AP372" i="2"/>
  <c r="AQ372" i="2"/>
  <c r="AR372" i="2"/>
  <c r="AS372" i="2"/>
  <c r="AN371" i="2"/>
  <c r="AO371" i="2"/>
  <c r="AP371" i="2"/>
  <c r="AQ371" i="2"/>
  <c r="AR371" i="2"/>
  <c r="AS371" i="2"/>
  <c r="AT371" i="2"/>
  <c r="AM371" i="2"/>
  <c r="AM372" i="2"/>
  <c r="AM373" i="2"/>
  <c r="AM374" i="2"/>
  <c r="AM375" i="2"/>
  <c r="AM376" i="2"/>
  <c r="AM377" i="2"/>
  <c r="AM378" i="2"/>
  <c r="AN370" i="2"/>
  <c r="AO370" i="2"/>
  <c r="AP370" i="2"/>
  <c r="AQ370" i="2"/>
  <c r="AR370" i="2"/>
  <c r="AS370" i="2"/>
  <c r="AT370" i="2"/>
  <c r="AU370" i="2"/>
  <c r="AM370" i="2"/>
  <c r="AN412" i="2"/>
  <c r="AN411" i="2"/>
  <c r="AO411" i="2"/>
  <c r="AN410" i="2"/>
  <c r="AO410" i="2"/>
  <c r="AP410" i="2"/>
  <c r="AN409" i="2"/>
  <c r="AO409" i="2"/>
  <c r="AP409" i="2"/>
  <c r="AQ409" i="2"/>
  <c r="AN408" i="2"/>
  <c r="AO408" i="2"/>
  <c r="AP408" i="2"/>
  <c r="AQ408" i="2"/>
  <c r="AR408" i="2"/>
  <c r="AN407" i="2"/>
  <c r="AO407" i="2"/>
  <c r="AP407" i="2"/>
  <c r="AQ407" i="2"/>
  <c r="AR407" i="2"/>
  <c r="AS407" i="2"/>
  <c r="AN406" i="2"/>
  <c r="AO406" i="2"/>
  <c r="AP406" i="2"/>
  <c r="AQ406" i="2"/>
  <c r="AR406" i="2"/>
  <c r="AS406" i="2"/>
  <c r="AT406" i="2"/>
  <c r="AM406" i="2"/>
  <c r="AM407" i="2"/>
  <c r="AM408" i="2"/>
  <c r="AM409" i="2"/>
  <c r="AM410" i="2"/>
  <c r="AM411" i="2"/>
  <c r="AM412" i="2"/>
  <c r="AM413" i="2"/>
  <c r="AN405" i="2"/>
  <c r="AO405" i="2"/>
  <c r="AP405" i="2"/>
  <c r="AQ405" i="2"/>
  <c r="AR405" i="2"/>
  <c r="AS405" i="2"/>
  <c r="AT405" i="2"/>
  <c r="AU405" i="2"/>
  <c r="AM405" i="2"/>
  <c r="AN447" i="2"/>
  <c r="AN446" i="2"/>
  <c r="AO446" i="2"/>
  <c r="AN445" i="2"/>
  <c r="AO445" i="2"/>
  <c r="AP445" i="2"/>
  <c r="AN444" i="2"/>
  <c r="AO444" i="2"/>
  <c r="AP444" i="2"/>
  <c r="AQ444" i="2"/>
  <c r="AN443" i="2"/>
  <c r="AO443" i="2"/>
  <c r="AP443" i="2"/>
  <c r="AQ443" i="2"/>
  <c r="AR443" i="2"/>
  <c r="AN442" i="2"/>
  <c r="AO442" i="2"/>
  <c r="AP442" i="2"/>
  <c r="AQ442" i="2"/>
  <c r="AR442" i="2"/>
  <c r="AS442" i="2"/>
  <c r="AN441" i="2"/>
  <c r="AO441" i="2"/>
  <c r="AP441" i="2"/>
  <c r="AQ441" i="2"/>
  <c r="AR441" i="2"/>
  <c r="AS441" i="2"/>
  <c r="AT441" i="2"/>
  <c r="AM441" i="2"/>
  <c r="AM442" i="2"/>
  <c r="AM443" i="2"/>
  <c r="AM444" i="2"/>
  <c r="AM445" i="2"/>
  <c r="AM446" i="2"/>
  <c r="AM447" i="2"/>
  <c r="AM448" i="2"/>
  <c r="AN440" i="2"/>
  <c r="AO440" i="2"/>
  <c r="AP440" i="2"/>
  <c r="AQ440" i="2"/>
  <c r="AR440" i="2"/>
  <c r="AS440" i="2"/>
  <c r="AT440" i="2"/>
  <c r="AU440" i="2"/>
  <c r="AM440" i="2"/>
  <c r="AB447" i="2"/>
  <c r="AB446" i="2"/>
  <c r="AC446" i="2"/>
  <c r="AB445" i="2"/>
  <c r="AC445" i="2"/>
  <c r="AD445" i="2"/>
  <c r="AB444" i="2"/>
  <c r="AC444" i="2"/>
  <c r="AD444" i="2"/>
  <c r="AE444" i="2"/>
  <c r="AB443" i="2"/>
  <c r="AC443" i="2"/>
  <c r="AD443" i="2"/>
  <c r="AE443" i="2"/>
  <c r="AF443" i="2"/>
  <c r="AB442" i="2"/>
  <c r="AC442" i="2"/>
  <c r="AD442" i="2"/>
  <c r="AE442" i="2"/>
  <c r="AF442" i="2"/>
  <c r="AG442" i="2"/>
  <c r="AB441" i="2"/>
  <c r="AC441" i="2"/>
  <c r="AD441" i="2"/>
  <c r="AE441" i="2"/>
  <c r="AF441" i="2"/>
  <c r="AG441" i="2"/>
  <c r="AH441" i="2"/>
  <c r="AA441" i="2"/>
  <c r="AA442" i="2"/>
  <c r="AA443" i="2"/>
  <c r="AA444" i="2"/>
  <c r="AA445" i="2"/>
  <c r="AA446" i="2"/>
  <c r="AA447" i="2"/>
  <c r="AA448" i="2"/>
  <c r="AB440" i="2"/>
  <c r="AC440" i="2"/>
  <c r="AD440" i="2"/>
  <c r="AE440" i="2"/>
  <c r="AF440" i="2"/>
  <c r="AG440" i="2"/>
  <c r="AH440" i="2"/>
  <c r="AI440" i="2"/>
  <c r="AA440" i="2"/>
  <c r="AB412" i="2"/>
  <c r="AB411" i="2"/>
  <c r="AC411" i="2"/>
  <c r="AB410" i="2"/>
  <c r="AC410" i="2"/>
  <c r="AD410" i="2"/>
  <c r="AB409" i="2"/>
  <c r="AC409" i="2"/>
  <c r="AD409" i="2"/>
  <c r="AE409" i="2"/>
  <c r="AB408" i="2"/>
  <c r="AC408" i="2"/>
  <c r="AD408" i="2"/>
  <c r="AE408" i="2"/>
  <c r="AF408" i="2"/>
  <c r="AB407" i="2"/>
  <c r="AC407" i="2"/>
  <c r="AD407" i="2"/>
  <c r="AE407" i="2"/>
  <c r="AF407" i="2"/>
  <c r="AG407" i="2"/>
  <c r="AB406" i="2"/>
  <c r="AC406" i="2"/>
  <c r="AD406" i="2"/>
  <c r="AE406" i="2"/>
  <c r="AF406" i="2"/>
  <c r="AG406" i="2"/>
  <c r="AH406" i="2"/>
  <c r="AA406" i="2"/>
  <c r="AA407" i="2"/>
  <c r="AA408" i="2"/>
  <c r="AA409" i="2"/>
  <c r="AA410" i="2"/>
  <c r="AA411" i="2"/>
  <c r="AA412" i="2"/>
  <c r="AA413" i="2"/>
  <c r="AB405" i="2"/>
  <c r="AC405" i="2"/>
  <c r="AD405" i="2"/>
  <c r="AE405" i="2"/>
  <c r="AF405" i="2"/>
  <c r="AG405" i="2"/>
  <c r="AH405" i="2"/>
  <c r="AI405" i="2"/>
  <c r="AA405" i="2"/>
  <c r="AB377" i="2"/>
  <c r="AB376" i="2"/>
  <c r="AC376" i="2"/>
  <c r="AB375" i="2"/>
  <c r="AC375" i="2"/>
  <c r="AD375" i="2"/>
  <c r="AB374" i="2"/>
  <c r="AC374" i="2"/>
  <c r="AD374" i="2"/>
  <c r="AE374" i="2"/>
  <c r="AB373" i="2"/>
  <c r="AC373" i="2"/>
  <c r="AD373" i="2"/>
  <c r="AE373" i="2"/>
  <c r="AF373" i="2"/>
  <c r="AB372" i="2"/>
  <c r="AC372" i="2"/>
  <c r="AD372" i="2"/>
  <c r="AE372" i="2"/>
  <c r="AF372" i="2"/>
  <c r="AG372" i="2"/>
  <c r="AB371" i="2"/>
  <c r="AC371" i="2"/>
  <c r="AD371" i="2"/>
  <c r="AE371" i="2"/>
  <c r="AF371" i="2"/>
  <c r="AG371" i="2"/>
  <c r="AH371" i="2"/>
  <c r="AA371" i="2"/>
  <c r="AA372" i="2"/>
  <c r="AA373" i="2"/>
  <c r="AA374" i="2"/>
  <c r="AA375" i="2"/>
  <c r="AA376" i="2"/>
  <c r="AA377" i="2"/>
  <c r="AA378" i="2"/>
  <c r="AB370" i="2"/>
  <c r="AC370" i="2"/>
  <c r="AD370" i="2"/>
  <c r="AE370" i="2"/>
  <c r="AF370" i="2"/>
  <c r="AG370" i="2"/>
  <c r="AH370" i="2"/>
  <c r="AI370" i="2"/>
  <c r="AA370" i="2"/>
  <c r="AB342" i="2"/>
  <c r="AB341" i="2"/>
  <c r="AC341" i="2"/>
  <c r="AB340" i="2"/>
  <c r="AC340" i="2"/>
  <c r="AD340" i="2"/>
  <c r="AB339" i="2"/>
  <c r="AC339" i="2"/>
  <c r="AD339" i="2"/>
  <c r="AE339" i="2"/>
  <c r="AB338" i="2"/>
  <c r="AC338" i="2"/>
  <c r="AD338" i="2"/>
  <c r="AE338" i="2"/>
  <c r="AF338" i="2"/>
  <c r="AB337" i="2"/>
  <c r="AC337" i="2"/>
  <c r="AD337" i="2"/>
  <c r="AE337" i="2"/>
  <c r="AF337" i="2"/>
  <c r="AG337" i="2"/>
  <c r="AB336" i="2"/>
  <c r="AC336" i="2"/>
  <c r="AD336" i="2"/>
  <c r="AE336" i="2"/>
  <c r="AF336" i="2"/>
  <c r="AG336" i="2"/>
  <c r="AH336" i="2"/>
  <c r="AA336" i="2"/>
  <c r="AA337" i="2"/>
  <c r="AA338" i="2"/>
  <c r="AA339" i="2"/>
  <c r="AA340" i="2"/>
  <c r="AA341" i="2"/>
  <c r="AA342" i="2"/>
  <c r="AA343" i="2"/>
  <c r="AB335" i="2"/>
  <c r="AC335" i="2"/>
  <c r="AD335" i="2"/>
  <c r="AE335" i="2"/>
  <c r="AF335" i="2"/>
  <c r="AG335" i="2"/>
  <c r="AH335" i="2"/>
  <c r="AI335" i="2"/>
  <c r="AA335" i="2"/>
  <c r="AB269" i="2"/>
  <c r="AB268" i="2"/>
  <c r="AC268" i="2"/>
  <c r="AB267" i="2"/>
  <c r="AC267" i="2"/>
  <c r="AD267" i="2"/>
  <c r="AB266" i="2"/>
  <c r="AC266" i="2"/>
  <c r="AD266" i="2"/>
  <c r="AE266" i="2"/>
  <c r="AB265" i="2"/>
  <c r="AC265" i="2"/>
  <c r="AD265" i="2"/>
  <c r="AE265" i="2"/>
  <c r="AF265" i="2"/>
  <c r="AB264" i="2"/>
  <c r="AC264" i="2"/>
  <c r="AD264" i="2"/>
  <c r="AE264" i="2"/>
  <c r="AF264" i="2"/>
  <c r="AG264" i="2"/>
  <c r="AB263" i="2"/>
  <c r="AC263" i="2"/>
  <c r="AD263" i="2"/>
  <c r="AE263" i="2"/>
  <c r="AF263" i="2"/>
  <c r="AG263" i="2"/>
  <c r="AH263" i="2"/>
  <c r="AA263" i="2"/>
  <c r="AA264" i="2"/>
  <c r="AA265" i="2"/>
  <c r="AA266" i="2"/>
  <c r="AA267" i="2"/>
  <c r="AA268" i="2"/>
  <c r="AA269" i="2"/>
  <c r="AA270" i="2"/>
  <c r="AB262" i="2"/>
  <c r="AC262" i="2"/>
  <c r="AD262" i="2"/>
  <c r="AE262" i="2"/>
  <c r="AF262" i="2"/>
  <c r="AG262" i="2"/>
  <c r="AH262" i="2"/>
  <c r="AI262" i="2"/>
  <c r="AD259" i="2" s="1"/>
  <c r="AA262" i="2"/>
  <c r="AB234" i="2"/>
  <c r="AB233" i="2"/>
  <c r="AC233" i="2"/>
  <c r="AB232" i="2"/>
  <c r="AC232" i="2"/>
  <c r="AD232" i="2"/>
  <c r="AB231" i="2"/>
  <c r="AC231" i="2"/>
  <c r="AD231" i="2"/>
  <c r="AE231" i="2"/>
  <c r="AB230" i="2"/>
  <c r="AC230" i="2"/>
  <c r="AD230" i="2"/>
  <c r="AE230" i="2"/>
  <c r="AF230" i="2"/>
  <c r="AB229" i="2"/>
  <c r="AC229" i="2"/>
  <c r="AD229" i="2"/>
  <c r="AE229" i="2"/>
  <c r="AF229" i="2"/>
  <c r="AG229" i="2"/>
  <c r="AB228" i="2"/>
  <c r="AC228" i="2"/>
  <c r="AD228" i="2"/>
  <c r="AE228" i="2"/>
  <c r="AF228" i="2"/>
  <c r="AG228" i="2"/>
  <c r="AH228" i="2"/>
  <c r="AA228" i="2"/>
  <c r="AA229" i="2"/>
  <c r="AA230" i="2"/>
  <c r="AA231" i="2"/>
  <c r="AA232" i="2"/>
  <c r="AA233" i="2"/>
  <c r="AA234" i="2"/>
  <c r="AA235" i="2"/>
  <c r="AB227" i="2"/>
  <c r="AC227" i="2"/>
  <c r="AD227" i="2"/>
  <c r="AE227" i="2"/>
  <c r="AF227" i="2"/>
  <c r="AG227" i="2"/>
  <c r="AH227" i="2"/>
  <c r="AI227" i="2"/>
  <c r="AD224" i="2" s="1"/>
  <c r="AA227" i="2"/>
  <c r="AB199" i="2"/>
  <c r="AB198" i="2"/>
  <c r="AC198" i="2"/>
  <c r="AB197" i="2"/>
  <c r="AC197" i="2"/>
  <c r="AD197" i="2"/>
  <c r="AB196" i="2"/>
  <c r="AC196" i="2"/>
  <c r="AD196" i="2"/>
  <c r="AE196" i="2"/>
  <c r="AB195" i="2"/>
  <c r="AC195" i="2"/>
  <c r="AD195" i="2"/>
  <c r="AE195" i="2"/>
  <c r="AF195" i="2"/>
  <c r="AB194" i="2"/>
  <c r="AC194" i="2"/>
  <c r="AD194" i="2"/>
  <c r="AE194" i="2"/>
  <c r="AF194" i="2"/>
  <c r="AG194" i="2"/>
  <c r="AB193" i="2"/>
  <c r="AC193" i="2"/>
  <c r="AD193" i="2"/>
  <c r="AE193" i="2"/>
  <c r="AF193" i="2"/>
  <c r="AG193" i="2"/>
  <c r="AH193" i="2"/>
  <c r="AA193" i="2"/>
  <c r="AA194" i="2"/>
  <c r="AA195" i="2"/>
  <c r="AA196" i="2"/>
  <c r="AA197" i="2"/>
  <c r="AA198" i="2"/>
  <c r="AA199" i="2"/>
  <c r="AA200" i="2"/>
  <c r="AB192" i="2"/>
  <c r="AC192" i="2"/>
  <c r="AD192" i="2"/>
  <c r="AE192" i="2"/>
  <c r="AF192" i="2"/>
  <c r="AG192" i="2"/>
  <c r="AH192" i="2"/>
  <c r="AI192" i="2"/>
  <c r="AD189" i="2" s="1"/>
  <c r="AA192" i="2"/>
  <c r="AB126" i="2"/>
  <c r="AB125" i="2"/>
  <c r="AC125" i="2"/>
  <c r="AB124" i="2"/>
  <c r="AC124" i="2"/>
  <c r="AD124" i="2"/>
  <c r="AB123" i="2"/>
  <c r="AC123" i="2"/>
  <c r="AD123" i="2"/>
  <c r="AE123" i="2"/>
  <c r="AB122" i="2"/>
  <c r="AC122" i="2"/>
  <c r="AD122" i="2"/>
  <c r="AE122" i="2"/>
  <c r="AF122" i="2"/>
  <c r="AB121" i="2"/>
  <c r="AC121" i="2"/>
  <c r="AD121" i="2"/>
  <c r="AE121" i="2"/>
  <c r="AF121" i="2"/>
  <c r="AG121" i="2"/>
  <c r="AB120" i="2"/>
  <c r="AC120" i="2"/>
  <c r="AD120" i="2"/>
  <c r="AE120" i="2"/>
  <c r="AF120" i="2"/>
  <c r="AG120" i="2"/>
  <c r="AH120" i="2"/>
  <c r="AA120" i="2"/>
  <c r="AA121" i="2"/>
  <c r="AA122" i="2"/>
  <c r="AA123" i="2"/>
  <c r="AA124" i="2"/>
  <c r="AA125" i="2"/>
  <c r="AA126" i="2"/>
  <c r="AA127" i="2"/>
  <c r="AB119" i="2"/>
  <c r="AC119" i="2"/>
  <c r="AD119" i="2"/>
  <c r="AE119" i="2"/>
  <c r="AF119" i="2"/>
  <c r="AG119" i="2"/>
  <c r="AH119" i="2"/>
  <c r="AI119" i="2"/>
  <c r="AD116" i="2" s="1"/>
  <c r="AA119" i="2"/>
  <c r="AB91" i="2"/>
  <c r="AB90" i="2"/>
  <c r="AC90" i="2"/>
  <c r="AB89" i="2"/>
  <c r="AC89" i="2"/>
  <c r="AD89" i="2"/>
  <c r="AB88" i="2"/>
  <c r="AC88" i="2"/>
  <c r="AD88" i="2"/>
  <c r="AE88" i="2"/>
  <c r="AB87" i="2"/>
  <c r="AC87" i="2"/>
  <c r="AD87" i="2"/>
  <c r="AE87" i="2"/>
  <c r="AF87" i="2"/>
  <c r="AB86" i="2"/>
  <c r="AC86" i="2"/>
  <c r="AD86" i="2"/>
  <c r="AE86" i="2"/>
  <c r="AF86" i="2"/>
  <c r="AG86" i="2"/>
  <c r="AB85" i="2"/>
  <c r="AC85" i="2"/>
  <c r="AD85" i="2"/>
  <c r="AE85" i="2"/>
  <c r="AF85" i="2"/>
  <c r="AG85" i="2"/>
  <c r="AH85" i="2"/>
  <c r="AA85" i="2"/>
  <c r="AA86" i="2"/>
  <c r="AA87" i="2"/>
  <c r="AA88" i="2"/>
  <c r="AA89" i="2"/>
  <c r="AA90" i="2"/>
  <c r="AA91" i="2"/>
  <c r="AA92" i="2"/>
  <c r="AB84" i="2"/>
  <c r="AC84" i="2"/>
  <c r="AD84" i="2"/>
  <c r="AE84" i="2"/>
  <c r="AF84" i="2"/>
  <c r="AG84" i="2"/>
  <c r="AH84" i="2"/>
  <c r="AI84" i="2"/>
  <c r="AD81" i="2" s="1"/>
  <c r="AA84" i="2"/>
  <c r="AB56" i="2"/>
  <c r="AB55" i="2"/>
  <c r="AC55" i="2"/>
  <c r="AB54" i="2"/>
  <c r="AC54" i="2"/>
  <c r="AD54" i="2"/>
  <c r="AB53" i="2"/>
  <c r="AC53" i="2"/>
  <c r="AD53" i="2"/>
  <c r="AE53" i="2"/>
  <c r="AB52" i="2"/>
  <c r="AC52" i="2"/>
  <c r="AD52" i="2"/>
  <c r="AE52" i="2"/>
  <c r="AF52" i="2"/>
  <c r="AB51" i="2"/>
  <c r="AC51" i="2"/>
  <c r="AD51" i="2"/>
  <c r="AE51" i="2"/>
  <c r="AF51" i="2"/>
  <c r="AG51" i="2"/>
  <c r="AB50" i="2"/>
  <c r="AC50" i="2"/>
  <c r="AD50" i="2"/>
  <c r="AE50" i="2"/>
  <c r="AF50" i="2"/>
  <c r="AG50" i="2"/>
  <c r="AH50" i="2"/>
  <c r="AA50" i="2"/>
  <c r="AA51" i="2"/>
  <c r="AA52" i="2"/>
  <c r="AA53" i="2"/>
  <c r="AA54" i="2"/>
  <c r="AA55" i="2"/>
  <c r="AA56" i="2"/>
  <c r="AA57" i="2"/>
  <c r="AB49" i="2"/>
  <c r="AC49" i="2"/>
  <c r="AD49" i="2"/>
  <c r="AE49" i="2"/>
  <c r="AF49" i="2"/>
  <c r="AG49" i="2"/>
  <c r="AH49" i="2"/>
  <c r="AI49" i="2"/>
  <c r="AD46" i="2" s="1"/>
  <c r="AA49" i="2"/>
  <c r="P56" i="2"/>
  <c r="P55" i="2"/>
  <c r="Q55" i="2"/>
  <c r="P54" i="2"/>
  <c r="Q54" i="2"/>
  <c r="R54" i="2"/>
  <c r="P53" i="2"/>
  <c r="Q53" i="2"/>
  <c r="R53" i="2"/>
  <c r="S53" i="2"/>
  <c r="P52" i="2"/>
  <c r="Q52" i="2"/>
  <c r="R52" i="2"/>
  <c r="S52" i="2"/>
  <c r="T52" i="2"/>
  <c r="P51" i="2"/>
  <c r="Q51" i="2"/>
  <c r="R51" i="2"/>
  <c r="S51" i="2"/>
  <c r="T51" i="2"/>
  <c r="U51" i="2"/>
  <c r="P50" i="2"/>
  <c r="Q50" i="2"/>
  <c r="R50" i="2"/>
  <c r="S50" i="2"/>
  <c r="T50" i="2"/>
  <c r="U50" i="2"/>
  <c r="V50" i="2"/>
  <c r="O50" i="2"/>
  <c r="O51" i="2"/>
  <c r="O52" i="2"/>
  <c r="O53" i="2"/>
  <c r="O54" i="2"/>
  <c r="O55" i="2"/>
  <c r="O56" i="2"/>
  <c r="O57" i="2"/>
  <c r="P49" i="2"/>
  <c r="Q49" i="2"/>
  <c r="R49" i="2"/>
  <c r="S49" i="2"/>
  <c r="T49" i="2"/>
  <c r="U49" i="2"/>
  <c r="V49" i="2"/>
  <c r="W49" i="2"/>
  <c r="R46" i="2" s="1"/>
  <c r="O49" i="2"/>
  <c r="P91" i="2"/>
  <c r="P90" i="2"/>
  <c r="Q90" i="2"/>
  <c r="P89" i="2"/>
  <c r="Q89" i="2"/>
  <c r="R89" i="2"/>
  <c r="P88" i="2"/>
  <c r="Q88" i="2"/>
  <c r="R88" i="2"/>
  <c r="S88" i="2"/>
  <c r="P87" i="2"/>
  <c r="Q87" i="2"/>
  <c r="R87" i="2"/>
  <c r="S87" i="2"/>
  <c r="T87" i="2"/>
  <c r="P86" i="2"/>
  <c r="Q86" i="2"/>
  <c r="R86" i="2"/>
  <c r="S86" i="2"/>
  <c r="T86" i="2"/>
  <c r="U86" i="2"/>
  <c r="P85" i="2"/>
  <c r="Q85" i="2"/>
  <c r="R85" i="2"/>
  <c r="S85" i="2"/>
  <c r="T85" i="2"/>
  <c r="U85" i="2"/>
  <c r="V85" i="2"/>
  <c r="O85" i="2"/>
  <c r="O86" i="2"/>
  <c r="O87" i="2"/>
  <c r="O88" i="2"/>
  <c r="O89" i="2"/>
  <c r="O90" i="2"/>
  <c r="O91" i="2"/>
  <c r="O92" i="2"/>
  <c r="P84" i="2"/>
  <c r="Q84" i="2"/>
  <c r="R84" i="2"/>
  <c r="S84" i="2"/>
  <c r="T84" i="2"/>
  <c r="U84" i="2"/>
  <c r="V84" i="2"/>
  <c r="W84" i="2"/>
  <c r="R81" i="2" s="1"/>
  <c r="O84" i="2"/>
  <c r="P126" i="2"/>
  <c r="P125" i="2"/>
  <c r="Q125" i="2"/>
  <c r="P124" i="2"/>
  <c r="Q124" i="2"/>
  <c r="R124" i="2"/>
  <c r="P123" i="2"/>
  <c r="Q123" i="2"/>
  <c r="R123" i="2"/>
  <c r="S123" i="2"/>
  <c r="P122" i="2"/>
  <c r="Q122" i="2"/>
  <c r="R122" i="2"/>
  <c r="S122" i="2"/>
  <c r="T122" i="2"/>
  <c r="P121" i="2"/>
  <c r="Q121" i="2"/>
  <c r="R121" i="2"/>
  <c r="S121" i="2"/>
  <c r="T121" i="2"/>
  <c r="U121" i="2"/>
  <c r="P120" i="2"/>
  <c r="Q120" i="2"/>
  <c r="R120" i="2"/>
  <c r="S120" i="2"/>
  <c r="T120" i="2"/>
  <c r="U120" i="2"/>
  <c r="V120" i="2"/>
  <c r="O120" i="2"/>
  <c r="O121" i="2"/>
  <c r="O122" i="2"/>
  <c r="O123" i="2"/>
  <c r="O124" i="2"/>
  <c r="O125" i="2"/>
  <c r="O126" i="2"/>
  <c r="O127" i="2"/>
  <c r="P119" i="2"/>
  <c r="Q119" i="2"/>
  <c r="R119" i="2"/>
  <c r="S119" i="2"/>
  <c r="T119" i="2"/>
  <c r="U119" i="2"/>
  <c r="V119" i="2"/>
  <c r="W119" i="2"/>
  <c r="R116" i="2" s="1"/>
  <c r="O119" i="2"/>
  <c r="P199" i="2"/>
  <c r="P198" i="2"/>
  <c r="Q198" i="2"/>
  <c r="P197" i="2"/>
  <c r="Q197" i="2"/>
  <c r="R197" i="2"/>
  <c r="P196" i="2"/>
  <c r="Q196" i="2"/>
  <c r="R196" i="2"/>
  <c r="S196" i="2"/>
  <c r="P195" i="2"/>
  <c r="Q195" i="2"/>
  <c r="R195" i="2"/>
  <c r="S195" i="2"/>
  <c r="T195" i="2"/>
  <c r="P194" i="2"/>
  <c r="Q194" i="2"/>
  <c r="R194" i="2"/>
  <c r="S194" i="2"/>
  <c r="T194" i="2"/>
  <c r="U194" i="2"/>
  <c r="P193" i="2"/>
  <c r="Q193" i="2"/>
  <c r="R193" i="2"/>
  <c r="S193" i="2"/>
  <c r="T193" i="2"/>
  <c r="U193" i="2"/>
  <c r="V193" i="2"/>
  <c r="O193" i="2"/>
  <c r="O194" i="2"/>
  <c r="O195" i="2"/>
  <c r="O196" i="2"/>
  <c r="O197" i="2"/>
  <c r="O198" i="2"/>
  <c r="O199" i="2"/>
  <c r="O200" i="2"/>
  <c r="P192" i="2"/>
  <c r="Q192" i="2"/>
  <c r="R192" i="2"/>
  <c r="S192" i="2"/>
  <c r="T192" i="2"/>
  <c r="U192" i="2"/>
  <c r="V192" i="2"/>
  <c r="W192" i="2"/>
  <c r="R189" i="2" s="1"/>
  <c r="O192" i="2"/>
  <c r="P234" i="2"/>
  <c r="P233" i="2"/>
  <c r="Q233" i="2"/>
  <c r="P232" i="2"/>
  <c r="Q232" i="2"/>
  <c r="R232" i="2"/>
  <c r="P231" i="2"/>
  <c r="Q231" i="2"/>
  <c r="R231" i="2"/>
  <c r="S231" i="2"/>
  <c r="P230" i="2"/>
  <c r="Q230" i="2"/>
  <c r="R230" i="2"/>
  <c r="S230" i="2"/>
  <c r="T230" i="2"/>
  <c r="P229" i="2"/>
  <c r="Q229" i="2"/>
  <c r="R229" i="2"/>
  <c r="S229" i="2"/>
  <c r="T229" i="2"/>
  <c r="U229" i="2"/>
  <c r="P228" i="2"/>
  <c r="Q228" i="2"/>
  <c r="R228" i="2"/>
  <c r="S228" i="2"/>
  <c r="T228" i="2"/>
  <c r="U228" i="2"/>
  <c r="V228" i="2"/>
  <c r="O228" i="2"/>
  <c r="O229" i="2"/>
  <c r="O230" i="2"/>
  <c r="O231" i="2"/>
  <c r="O232" i="2"/>
  <c r="O233" i="2"/>
  <c r="O234" i="2"/>
  <c r="O235" i="2"/>
  <c r="P227" i="2"/>
  <c r="Q227" i="2"/>
  <c r="R227" i="2"/>
  <c r="S227" i="2"/>
  <c r="T227" i="2"/>
  <c r="U227" i="2"/>
  <c r="V227" i="2"/>
  <c r="W227" i="2"/>
  <c r="R224" i="2" s="1"/>
  <c r="O227" i="2"/>
  <c r="P269" i="2"/>
  <c r="P268" i="2"/>
  <c r="Q268" i="2"/>
  <c r="P267" i="2"/>
  <c r="Q267" i="2"/>
  <c r="R267" i="2"/>
  <c r="P266" i="2"/>
  <c r="Q266" i="2"/>
  <c r="R266" i="2"/>
  <c r="S266" i="2"/>
  <c r="P265" i="2"/>
  <c r="Q265" i="2"/>
  <c r="R265" i="2"/>
  <c r="S265" i="2"/>
  <c r="T265" i="2"/>
  <c r="P264" i="2"/>
  <c r="Q264" i="2"/>
  <c r="R264" i="2"/>
  <c r="S264" i="2"/>
  <c r="T264" i="2"/>
  <c r="U264" i="2"/>
  <c r="P263" i="2"/>
  <c r="Q263" i="2"/>
  <c r="R263" i="2"/>
  <c r="S263" i="2"/>
  <c r="T263" i="2"/>
  <c r="U263" i="2"/>
  <c r="V263" i="2"/>
  <c r="O263" i="2"/>
  <c r="O264" i="2"/>
  <c r="O265" i="2"/>
  <c r="O266" i="2"/>
  <c r="O267" i="2"/>
  <c r="O268" i="2"/>
  <c r="O269" i="2"/>
  <c r="O270" i="2"/>
  <c r="P262" i="2"/>
  <c r="Q262" i="2"/>
  <c r="R262" i="2"/>
  <c r="S262" i="2"/>
  <c r="T262" i="2"/>
  <c r="U262" i="2"/>
  <c r="V262" i="2"/>
  <c r="W262" i="2"/>
  <c r="R259" i="2" s="1"/>
  <c r="O262" i="2"/>
  <c r="P342" i="2"/>
  <c r="P341" i="2"/>
  <c r="Q341" i="2"/>
  <c r="P340" i="2"/>
  <c r="Q340" i="2"/>
  <c r="R340" i="2"/>
  <c r="P339" i="2"/>
  <c r="Q339" i="2"/>
  <c r="R339" i="2"/>
  <c r="S339" i="2"/>
  <c r="P338" i="2"/>
  <c r="Q338" i="2"/>
  <c r="R338" i="2"/>
  <c r="S338" i="2"/>
  <c r="T338" i="2"/>
  <c r="P337" i="2"/>
  <c r="Q337" i="2"/>
  <c r="R337" i="2"/>
  <c r="S337" i="2"/>
  <c r="T337" i="2"/>
  <c r="U337" i="2"/>
  <c r="P336" i="2"/>
  <c r="Q336" i="2"/>
  <c r="R336" i="2"/>
  <c r="S336" i="2"/>
  <c r="T336" i="2"/>
  <c r="U336" i="2"/>
  <c r="V336" i="2"/>
  <c r="O336" i="2"/>
  <c r="O337" i="2"/>
  <c r="O338" i="2"/>
  <c r="O339" i="2"/>
  <c r="O340" i="2"/>
  <c r="O341" i="2"/>
  <c r="O342" i="2"/>
  <c r="O343" i="2"/>
  <c r="P335" i="2"/>
  <c r="Q335" i="2"/>
  <c r="R335" i="2"/>
  <c r="S335" i="2"/>
  <c r="T335" i="2"/>
  <c r="U335" i="2"/>
  <c r="V335" i="2"/>
  <c r="W335" i="2"/>
  <c r="O335" i="2"/>
  <c r="P377" i="2"/>
  <c r="P376" i="2"/>
  <c r="Q376" i="2"/>
  <c r="P375" i="2"/>
  <c r="Q375" i="2"/>
  <c r="R375" i="2"/>
  <c r="P374" i="2"/>
  <c r="Q374" i="2"/>
  <c r="R374" i="2"/>
  <c r="S374" i="2"/>
  <c r="P373" i="2"/>
  <c r="Q373" i="2"/>
  <c r="R373" i="2"/>
  <c r="S373" i="2"/>
  <c r="T373" i="2"/>
  <c r="P372" i="2"/>
  <c r="Q372" i="2"/>
  <c r="R372" i="2"/>
  <c r="S372" i="2"/>
  <c r="T372" i="2"/>
  <c r="U372" i="2"/>
  <c r="P371" i="2"/>
  <c r="Q371" i="2"/>
  <c r="R371" i="2"/>
  <c r="S371" i="2"/>
  <c r="T371" i="2"/>
  <c r="U371" i="2"/>
  <c r="V371" i="2"/>
  <c r="O371" i="2"/>
  <c r="O372" i="2"/>
  <c r="O373" i="2"/>
  <c r="O374" i="2"/>
  <c r="O375" i="2"/>
  <c r="O376" i="2"/>
  <c r="O377" i="2"/>
  <c r="O378" i="2"/>
  <c r="P370" i="2"/>
  <c r="Q370" i="2"/>
  <c r="R370" i="2"/>
  <c r="S370" i="2"/>
  <c r="T370" i="2"/>
  <c r="U370" i="2"/>
  <c r="V370" i="2"/>
  <c r="W370" i="2"/>
  <c r="O370" i="2"/>
  <c r="P412" i="2"/>
  <c r="P411" i="2"/>
  <c r="Q411" i="2"/>
  <c r="P410" i="2"/>
  <c r="Q410" i="2"/>
  <c r="R410" i="2"/>
  <c r="P409" i="2"/>
  <c r="Q409" i="2"/>
  <c r="R409" i="2"/>
  <c r="S409" i="2"/>
  <c r="P408" i="2"/>
  <c r="Q408" i="2"/>
  <c r="R408" i="2"/>
  <c r="S408" i="2"/>
  <c r="T408" i="2"/>
  <c r="P407" i="2"/>
  <c r="Q407" i="2"/>
  <c r="R407" i="2"/>
  <c r="S407" i="2"/>
  <c r="T407" i="2"/>
  <c r="U407" i="2"/>
  <c r="P406" i="2"/>
  <c r="Q406" i="2"/>
  <c r="R406" i="2"/>
  <c r="S406" i="2"/>
  <c r="T406" i="2"/>
  <c r="U406" i="2"/>
  <c r="V406" i="2"/>
  <c r="O406" i="2"/>
  <c r="O407" i="2"/>
  <c r="O408" i="2"/>
  <c r="O409" i="2"/>
  <c r="O410" i="2"/>
  <c r="O411" i="2"/>
  <c r="O412" i="2"/>
  <c r="O413" i="2"/>
  <c r="P405" i="2"/>
  <c r="Q405" i="2"/>
  <c r="R405" i="2"/>
  <c r="S405" i="2"/>
  <c r="T405" i="2"/>
  <c r="U405" i="2"/>
  <c r="V405" i="2"/>
  <c r="W405" i="2"/>
  <c r="O405" i="2"/>
  <c r="P447" i="2"/>
  <c r="P446" i="2"/>
  <c r="Q446" i="2"/>
  <c r="P445" i="2"/>
  <c r="Q445" i="2"/>
  <c r="R445" i="2"/>
  <c r="P444" i="2"/>
  <c r="Q444" i="2"/>
  <c r="R444" i="2"/>
  <c r="S444" i="2"/>
  <c r="P443" i="2"/>
  <c r="Q443" i="2"/>
  <c r="R443" i="2"/>
  <c r="S443" i="2"/>
  <c r="T443" i="2"/>
  <c r="P442" i="2"/>
  <c r="Q442" i="2"/>
  <c r="R442" i="2"/>
  <c r="S442" i="2"/>
  <c r="T442" i="2"/>
  <c r="U442" i="2"/>
  <c r="P441" i="2"/>
  <c r="Q441" i="2"/>
  <c r="R441" i="2"/>
  <c r="S441" i="2"/>
  <c r="T441" i="2"/>
  <c r="U441" i="2"/>
  <c r="V441" i="2"/>
  <c r="O441" i="2"/>
  <c r="O442" i="2"/>
  <c r="O443" i="2"/>
  <c r="O444" i="2"/>
  <c r="O445" i="2"/>
  <c r="O446" i="2"/>
  <c r="O447" i="2"/>
  <c r="O448" i="2"/>
  <c r="P440" i="2"/>
  <c r="Q440" i="2"/>
  <c r="R440" i="2"/>
  <c r="S440" i="2"/>
  <c r="T440" i="2"/>
  <c r="U440" i="2"/>
  <c r="V440" i="2"/>
  <c r="W440" i="2"/>
  <c r="O440" i="2"/>
  <c r="D447" i="2"/>
  <c r="D446" i="2"/>
  <c r="E446" i="2"/>
  <c r="D445" i="2"/>
  <c r="E445" i="2"/>
  <c r="F445" i="2"/>
  <c r="D444" i="2"/>
  <c r="E444" i="2"/>
  <c r="F444" i="2"/>
  <c r="G444" i="2"/>
  <c r="D443" i="2"/>
  <c r="E443" i="2"/>
  <c r="F443" i="2"/>
  <c r="G443" i="2"/>
  <c r="H443" i="2"/>
  <c r="D442" i="2"/>
  <c r="E442" i="2"/>
  <c r="F442" i="2"/>
  <c r="G442" i="2"/>
  <c r="H442" i="2"/>
  <c r="I442" i="2"/>
  <c r="D441" i="2"/>
  <c r="E441" i="2"/>
  <c r="F441" i="2"/>
  <c r="G441" i="2"/>
  <c r="H441" i="2"/>
  <c r="I441" i="2"/>
  <c r="J441" i="2"/>
  <c r="C441" i="2"/>
  <c r="C442" i="2"/>
  <c r="C443" i="2"/>
  <c r="C444" i="2"/>
  <c r="C445" i="2"/>
  <c r="C446" i="2"/>
  <c r="C447" i="2"/>
  <c r="C448" i="2"/>
  <c r="D440" i="2"/>
  <c r="E440" i="2"/>
  <c r="F440" i="2"/>
  <c r="G440" i="2"/>
  <c r="H440" i="2"/>
  <c r="I440" i="2"/>
  <c r="J440" i="2"/>
  <c r="K440" i="2"/>
  <c r="C440" i="2"/>
  <c r="D412" i="2"/>
  <c r="D411" i="2"/>
  <c r="E411" i="2"/>
  <c r="D410" i="2"/>
  <c r="E410" i="2"/>
  <c r="F410" i="2"/>
  <c r="D409" i="2"/>
  <c r="E409" i="2"/>
  <c r="F409" i="2"/>
  <c r="G409" i="2"/>
  <c r="D408" i="2"/>
  <c r="E408" i="2"/>
  <c r="F408" i="2"/>
  <c r="G408" i="2"/>
  <c r="H408" i="2"/>
  <c r="D407" i="2"/>
  <c r="E407" i="2"/>
  <c r="F407" i="2"/>
  <c r="G407" i="2"/>
  <c r="H407" i="2"/>
  <c r="I407" i="2"/>
  <c r="D406" i="2"/>
  <c r="E406" i="2"/>
  <c r="F406" i="2"/>
  <c r="G406" i="2"/>
  <c r="H406" i="2"/>
  <c r="I406" i="2"/>
  <c r="J406" i="2"/>
  <c r="C406" i="2"/>
  <c r="C407" i="2"/>
  <c r="C408" i="2"/>
  <c r="C409" i="2"/>
  <c r="C410" i="2"/>
  <c r="C411" i="2"/>
  <c r="C412" i="2"/>
  <c r="C413" i="2"/>
  <c r="D405" i="2"/>
  <c r="E405" i="2"/>
  <c r="F405" i="2"/>
  <c r="G405" i="2"/>
  <c r="H405" i="2"/>
  <c r="I405" i="2"/>
  <c r="J405" i="2"/>
  <c r="K405" i="2"/>
  <c r="C405" i="2"/>
  <c r="D377" i="2"/>
  <c r="D376" i="2"/>
  <c r="E376" i="2"/>
  <c r="D375" i="2"/>
  <c r="E375" i="2"/>
  <c r="F375" i="2"/>
  <c r="D374" i="2"/>
  <c r="E374" i="2"/>
  <c r="F374" i="2"/>
  <c r="G374" i="2"/>
  <c r="D373" i="2"/>
  <c r="E373" i="2"/>
  <c r="F373" i="2"/>
  <c r="G373" i="2"/>
  <c r="H373" i="2"/>
  <c r="D372" i="2"/>
  <c r="E372" i="2"/>
  <c r="F372" i="2"/>
  <c r="G372" i="2"/>
  <c r="H372" i="2"/>
  <c r="I372" i="2"/>
  <c r="D371" i="2"/>
  <c r="E371" i="2"/>
  <c r="F371" i="2"/>
  <c r="G371" i="2"/>
  <c r="H371" i="2"/>
  <c r="I371" i="2"/>
  <c r="J371" i="2"/>
  <c r="C371" i="2"/>
  <c r="C372" i="2"/>
  <c r="C373" i="2"/>
  <c r="C374" i="2"/>
  <c r="C375" i="2"/>
  <c r="C376" i="2"/>
  <c r="C377" i="2"/>
  <c r="C378" i="2"/>
  <c r="D370" i="2"/>
  <c r="E370" i="2"/>
  <c r="F370" i="2"/>
  <c r="G370" i="2"/>
  <c r="H370" i="2"/>
  <c r="I370" i="2"/>
  <c r="J370" i="2"/>
  <c r="K370" i="2"/>
  <c r="C370" i="2"/>
  <c r="D342" i="2"/>
  <c r="D341" i="2"/>
  <c r="E341" i="2"/>
  <c r="D340" i="2"/>
  <c r="E340" i="2"/>
  <c r="F340" i="2"/>
  <c r="D339" i="2"/>
  <c r="E339" i="2"/>
  <c r="F339" i="2"/>
  <c r="G339" i="2"/>
  <c r="D338" i="2"/>
  <c r="E338" i="2"/>
  <c r="F338" i="2"/>
  <c r="G338" i="2"/>
  <c r="H338" i="2"/>
  <c r="D337" i="2"/>
  <c r="E337" i="2"/>
  <c r="F337" i="2"/>
  <c r="G337" i="2"/>
  <c r="H337" i="2"/>
  <c r="I337" i="2"/>
  <c r="D336" i="2"/>
  <c r="E336" i="2"/>
  <c r="F336" i="2"/>
  <c r="G336" i="2"/>
  <c r="H336" i="2"/>
  <c r="I336" i="2"/>
  <c r="J336" i="2"/>
  <c r="C336" i="2"/>
  <c r="C337" i="2"/>
  <c r="C338" i="2"/>
  <c r="C339" i="2"/>
  <c r="C340" i="2"/>
  <c r="C341" i="2"/>
  <c r="C342" i="2"/>
  <c r="C343" i="2"/>
  <c r="D335" i="2"/>
  <c r="E335" i="2"/>
  <c r="F335" i="2"/>
  <c r="G335" i="2"/>
  <c r="H335" i="2"/>
  <c r="I335" i="2"/>
  <c r="J335" i="2"/>
  <c r="K335" i="2"/>
  <c r="C335" i="2"/>
  <c r="D269" i="2"/>
  <c r="D268" i="2"/>
  <c r="E268" i="2"/>
  <c r="D267" i="2"/>
  <c r="E267" i="2"/>
  <c r="F267" i="2"/>
  <c r="D266" i="2"/>
  <c r="E266" i="2"/>
  <c r="F266" i="2"/>
  <c r="G266" i="2"/>
  <c r="D265" i="2"/>
  <c r="E265" i="2"/>
  <c r="F265" i="2"/>
  <c r="G265" i="2"/>
  <c r="H265" i="2"/>
  <c r="D264" i="2"/>
  <c r="E264" i="2"/>
  <c r="F264" i="2"/>
  <c r="G264" i="2"/>
  <c r="H264" i="2"/>
  <c r="I264" i="2"/>
  <c r="D263" i="2"/>
  <c r="E263" i="2"/>
  <c r="F263" i="2"/>
  <c r="G263" i="2"/>
  <c r="H263" i="2"/>
  <c r="I263" i="2"/>
  <c r="J263" i="2"/>
  <c r="C263" i="2"/>
  <c r="C264" i="2"/>
  <c r="C265" i="2"/>
  <c r="C266" i="2"/>
  <c r="C267" i="2"/>
  <c r="C268" i="2"/>
  <c r="C269" i="2"/>
  <c r="C270" i="2"/>
  <c r="D262" i="2"/>
  <c r="E262" i="2"/>
  <c r="F262" i="2"/>
  <c r="G262" i="2"/>
  <c r="H262" i="2"/>
  <c r="I262" i="2"/>
  <c r="J262" i="2"/>
  <c r="C262" i="2"/>
  <c r="D234" i="2"/>
  <c r="D233" i="2"/>
  <c r="E233" i="2"/>
  <c r="D232" i="2"/>
  <c r="E232" i="2"/>
  <c r="F232" i="2"/>
  <c r="D231" i="2"/>
  <c r="E231" i="2"/>
  <c r="F231" i="2"/>
  <c r="G231" i="2"/>
  <c r="D230" i="2"/>
  <c r="E230" i="2"/>
  <c r="F230" i="2"/>
  <c r="G230" i="2"/>
  <c r="H230" i="2"/>
  <c r="D229" i="2"/>
  <c r="E229" i="2"/>
  <c r="F229" i="2"/>
  <c r="G229" i="2"/>
  <c r="H229" i="2"/>
  <c r="I229" i="2"/>
  <c r="D228" i="2"/>
  <c r="E228" i="2"/>
  <c r="F228" i="2"/>
  <c r="G228" i="2"/>
  <c r="H228" i="2"/>
  <c r="I228" i="2"/>
  <c r="J228" i="2"/>
  <c r="C228" i="2"/>
  <c r="C229" i="2"/>
  <c r="C230" i="2"/>
  <c r="C231" i="2"/>
  <c r="C232" i="2"/>
  <c r="C233" i="2"/>
  <c r="C234" i="2"/>
  <c r="C235" i="2"/>
  <c r="D227" i="2"/>
  <c r="E227" i="2"/>
  <c r="F227" i="2"/>
  <c r="G227" i="2"/>
  <c r="H227" i="2"/>
  <c r="I227" i="2"/>
  <c r="J227" i="2"/>
  <c r="K227" i="2"/>
  <c r="F224" i="2" s="1"/>
  <c r="C227" i="2"/>
  <c r="D199" i="2"/>
  <c r="D198" i="2"/>
  <c r="E198" i="2"/>
  <c r="D197" i="2"/>
  <c r="E197" i="2"/>
  <c r="F197" i="2"/>
  <c r="D196" i="2"/>
  <c r="E196" i="2"/>
  <c r="F196" i="2"/>
  <c r="G196" i="2"/>
  <c r="D195" i="2"/>
  <c r="E195" i="2"/>
  <c r="F195" i="2"/>
  <c r="G195" i="2"/>
  <c r="H195" i="2"/>
  <c r="D194" i="2"/>
  <c r="E194" i="2"/>
  <c r="F194" i="2"/>
  <c r="G194" i="2"/>
  <c r="H194" i="2"/>
  <c r="I194" i="2"/>
  <c r="D193" i="2"/>
  <c r="E193" i="2"/>
  <c r="F193" i="2"/>
  <c r="G193" i="2"/>
  <c r="H193" i="2"/>
  <c r="I193" i="2"/>
  <c r="J193" i="2"/>
  <c r="C193" i="2"/>
  <c r="C194" i="2"/>
  <c r="C195" i="2"/>
  <c r="C196" i="2"/>
  <c r="C197" i="2"/>
  <c r="C198" i="2"/>
  <c r="C199" i="2"/>
  <c r="C200" i="2"/>
  <c r="D192" i="2"/>
  <c r="E192" i="2"/>
  <c r="F192" i="2"/>
  <c r="G192" i="2"/>
  <c r="H192" i="2"/>
  <c r="I192" i="2"/>
  <c r="J192" i="2"/>
  <c r="K192" i="2"/>
  <c r="F189" i="2" s="1"/>
  <c r="C192" i="2"/>
  <c r="C154" i="2"/>
  <c r="D126" i="2"/>
  <c r="D125" i="2"/>
  <c r="E125" i="2"/>
  <c r="D124" i="2"/>
  <c r="E124" i="2"/>
  <c r="F124" i="2"/>
  <c r="D123" i="2"/>
  <c r="E123" i="2"/>
  <c r="F123" i="2"/>
  <c r="G123" i="2"/>
  <c r="D122" i="2"/>
  <c r="E122" i="2"/>
  <c r="F122" i="2"/>
  <c r="G122" i="2"/>
  <c r="H122" i="2"/>
  <c r="D121" i="2"/>
  <c r="E121" i="2"/>
  <c r="F121" i="2"/>
  <c r="G121" i="2"/>
  <c r="H121" i="2"/>
  <c r="I121" i="2"/>
  <c r="D120" i="2"/>
  <c r="E120" i="2"/>
  <c r="F120" i="2"/>
  <c r="G120" i="2"/>
  <c r="H120" i="2"/>
  <c r="I120" i="2"/>
  <c r="J120" i="2"/>
  <c r="C120" i="2"/>
  <c r="C121" i="2"/>
  <c r="C122" i="2"/>
  <c r="C123" i="2"/>
  <c r="C124" i="2"/>
  <c r="C125" i="2"/>
  <c r="C126" i="2"/>
  <c r="C127" i="2"/>
  <c r="D119" i="2"/>
  <c r="E119" i="2"/>
  <c r="F119" i="2"/>
  <c r="G119" i="2"/>
  <c r="H119" i="2"/>
  <c r="I119" i="2"/>
  <c r="J119" i="2"/>
  <c r="K119" i="2"/>
  <c r="F116" i="2" s="1"/>
  <c r="C119" i="2"/>
  <c r="D91" i="2"/>
  <c r="C91" i="2"/>
  <c r="D90" i="2"/>
  <c r="E90" i="2"/>
  <c r="D89" i="2"/>
  <c r="E89" i="2"/>
  <c r="F89" i="2"/>
  <c r="D88" i="2"/>
  <c r="E88" i="2"/>
  <c r="F88" i="2"/>
  <c r="G88" i="2"/>
  <c r="D87" i="2"/>
  <c r="E87" i="2"/>
  <c r="F87" i="2"/>
  <c r="G87" i="2"/>
  <c r="H87" i="2"/>
  <c r="D86" i="2"/>
  <c r="E86" i="2"/>
  <c r="F86" i="2"/>
  <c r="G86" i="2"/>
  <c r="H86" i="2"/>
  <c r="I86" i="2"/>
  <c r="D85" i="2"/>
  <c r="E85" i="2"/>
  <c r="F85" i="2"/>
  <c r="G85" i="2"/>
  <c r="H85" i="2"/>
  <c r="I85" i="2"/>
  <c r="J85" i="2"/>
  <c r="C85" i="2"/>
  <c r="C86" i="2"/>
  <c r="C87" i="2"/>
  <c r="C88" i="2"/>
  <c r="C89" i="2"/>
  <c r="C90" i="2"/>
  <c r="C92" i="2"/>
  <c r="D84" i="2"/>
  <c r="E84" i="2"/>
  <c r="F84" i="2"/>
  <c r="G84" i="2"/>
  <c r="H84" i="2"/>
  <c r="I84" i="2"/>
  <c r="J84" i="2"/>
  <c r="K84" i="2"/>
  <c r="F81" i="2" s="1"/>
  <c r="C84" i="2"/>
  <c r="D56" i="2"/>
  <c r="D55" i="2"/>
  <c r="E55" i="2"/>
  <c r="D54" i="2"/>
  <c r="E54" i="2"/>
  <c r="F54" i="2"/>
  <c r="D53" i="2"/>
  <c r="E53" i="2"/>
  <c r="F53" i="2"/>
  <c r="G53" i="2"/>
  <c r="D52" i="2"/>
  <c r="E52" i="2"/>
  <c r="F52" i="2"/>
  <c r="G52" i="2"/>
  <c r="H52" i="2"/>
  <c r="C53" i="2"/>
  <c r="D51" i="2"/>
  <c r="E51" i="2"/>
  <c r="F51" i="2"/>
  <c r="G51" i="2"/>
  <c r="H51" i="2"/>
  <c r="I51" i="2"/>
  <c r="D50" i="2"/>
  <c r="E50" i="2"/>
  <c r="F50" i="2"/>
  <c r="G50" i="2"/>
  <c r="H50" i="2"/>
  <c r="I50" i="2"/>
  <c r="J50" i="2"/>
  <c r="C50" i="2"/>
  <c r="C51" i="2"/>
  <c r="C52" i="2"/>
  <c r="C54" i="2"/>
  <c r="C55" i="2"/>
  <c r="C56" i="2"/>
  <c r="C57" i="2"/>
  <c r="D49" i="2"/>
  <c r="E49" i="2"/>
  <c r="F49" i="2"/>
  <c r="G49" i="2"/>
  <c r="H49" i="2"/>
  <c r="I49" i="2"/>
  <c r="J49" i="2"/>
  <c r="C49" i="2"/>
  <c r="L311" i="2"/>
  <c r="AP9" i="2" l="1"/>
  <c r="CL9" i="2"/>
  <c r="AD9" i="2"/>
  <c r="BZ9" i="2"/>
  <c r="R9" i="2"/>
  <c r="BN9" i="2"/>
  <c r="DJ9" i="2"/>
  <c r="BB9" i="2"/>
  <c r="CX9" i="2"/>
  <c r="F9" i="2"/>
  <c r="DJ8" i="2"/>
  <c r="CX8" i="2"/>
  <c r="CL8" i="2"/>
  <c r="BZ8" i="2"/>
  <c r="BN8" i="2"/>
  <c r="BB8" i="2"/>
  <c r="AP8" i="2"/>
  <c r="AD8" i="2"/>
  <c r="R8" i="2"/>
  <c r="F8" i="2"/>
  <c r="K311" i="2" l="1"/>
  <c r="J311" i="2"/>
  <c r="I311" i="2"/>
  <c r="H311" i="2"/>
  <c r="G311" i="2"/>
  <c r="F311" i="2"/>
  <c r="E311" i="2"/>
  <c r="D311" i="2"/>
  <c r="C311" i="2"/>
  <c r="L168" i="2"/>
  <c r="K168" i="2"/>
  <c r="J168" i="2"/>
  <c r="I168" i="2"/>
  <c r="H168" i="2"/>
  <c r="G168" i="2"/>
  <c r="F168" i="2"/>
  <c r="E168" i="2"/>
  <c r="D168" i="2"/>
  <c r="DE5" i="2" l="1"/>
  <c r="CS5" i="2"/>
  <c r="CG5" i="2"/>
  <c r="BU5" i="2"/>
  <c r="BI5" i="2"/>
  <c r="AW5" i="2"/>
  <c r="AK5" i="2"/>
  <c r="Y5" i="2"/>
  <c r="Y102" i="2" s="1"/>
  <c r="M5" i="2"/>
  <c r="DP451" i="2"/>
  <c r="DP452" i="2" s="1"/>
  <c r="DP453" i="2" s="1"/>
  <c r="DO450" i="2"/>
  <c r="DO451" i="2" s="1"/>
  <c r="DO452" i="2" s="1"/>
  <c r="DO453" i="2" s="1"/>
  <c r="DN450" i="2"/>
  <c r="DN451" i="2" s="1"/>
  <c r="DM450" i="2"/>
  <c r="DM451" i="2" s="1"/>
  <c r="DL450" i="2"/>
  <c r="DL451" i="2" s="1"/>
  <c r="DK450" i="2"/>
  <c r="DK451" i="2" s="1"/>
  <c r="DJ450" i="2"/>
  <c r="DJ451" i="2" s="1"/>
  <c r="DI450" i="2"/>
  <c r="DI451" i="2" s="1"/>
  <c r="DH450" i="2"/>
  <c r="DH451" i="2" s="1"/>
  <c r="DG450" i="2"/>
  <c r="DG451" i="2" s="1"/>
  <c r="DP416" i="2"/>
  <c r="DP417" i="2" s="1"/>
  <c r="DP418" i="2" s="1"/>
  <c r="DO415" i="2"/>
  <c r="DO416" i="2" s="1"/>
  <c r="DN415" i="2"/>
  <c r="DN416" i="2" s="1"/>
  <c r="DM415" i="2"/>
  <c r="DM416" i="2" s="1"/>
  <c r="DL415" i="2"/>
  <c r="DL416" i="2" s="1"/>
  <c r="DK415" i="2"/>
  <c r="DK416" i="2" s="1"/>
  <c r="DJ415" i="2"/>
  <c r="DJ416" i="2" s="1"/>
  <c r="DI415" i="2"/>
  <c r="DI416" i="2" s="1"/>
  <c r="DH415" i="2"/>
  <c r="DH416" i="2" s="1"/>
  <c r="DG415" i="2"/>
  <c r="DG416" i="2" s="1"/>
  <c r="DP381" i="2"/>
  <c r="DP382" i="2" s="1"/>
  <c r="DP383" i="2" s="1"/>
  <c r="DO380" i="2"/>
  <c r="DO381" i="2" s="1"/>
  <c r="DN380" i="2"/>
  <c r="DN381" i="2" s="1"/>
  <c r="DM380" i="2"/>
  <c r="DM381" i="2" s="1"/>
  <c r="DL380" i="2"/>
  <c r="DL381" i="2" s="1"/>
  <c r="DK380" i="2"/>
  <c r="DK381" i="2" s="1"/>
  <c r="DJ380" i="2"/>
  <c r="DJ381" i="2" s="1"/>
  <c r="DI380" i="2"/>
  <c r="DI381" i="2" s="1"/>
  <c r="DH380" i="2"/>
  <c r="DH381" i="2" s="1"/>
  <c r="DG380" i="2"/>
  <c r="DG381" i="2" s="1"/>
  <c r="DP346" i="2"/>
  <c r="DP347" i="2" s="1"/>
  <c r="DP348" i="2" s="1"/>
  <c r="DO345" i="2"/>
  <c r="DO346" i="2" s="1"/>
  <c r="DN345" i="2"/>
  <c r="DN346" i="2" s="1"/>
  <c r="DM345" i="2"/>
  <c r="DM346" i="2" s="1"/>
  <c r="DL345" i="2"/>
  <c r="DL346" i="2" s="1"/>
  <c r="DK345" i="2"/>
  <c r="DK346" i="2" s="1"/>
  <c r="DJ345" i="2"/>
  <c r="DJ346" i="2" s="1"/>
  <c r="DI345" i="2"/>
  <c r="DI346" i="2" s="1"/>
  <c r="DH345" i="2"/>
  <c r="DH346" i="2" s="1"/>
  <c r="DG345" i="2"/>
  <c r="DG346" i="2" s="1"/>
  <c r="DP308" i="2"/>
  <c r="DP309" i="2" s="1"/>
  <c r="DG293" i="2"/>
  <c r="DH292" i="2"/>
  <c r="DG292" i="2"/>
  <c r="DI291" i="2"/>
  <c r="DH291" i="2"/>
  <c r="DG291" i="2"/>
  <c r="DJ290" i="2"/>
  <c r="DI290" i="2"/>
  <c r="DH290" i="2"/>
  <c r="DG290" i="2"/>
  <c r="DK289" i="2"/>
  <c r="DJ289" i="2"/>
  <c r="DI289" i="2"/>
  <c r="DH289" i="2"/>
  <c r="DG302" i="2" s="1"/>
  <c r="DG289" i="2"/>
  <c r="DL288" i="2"/>
  <c r="DK288" i="2"/>
  <c r="DJ288" i="2"/>
  <c r="DI288" i="2"/>
  <c r="DH288" i="2"/>
  <c r="DG288" i="2"/>
  <c r="DM287" i="2"/>
  <c r="DL300" i="2" s="1"/>
  <c r="DL287" i="2"/>
  <c r="DK287" i="2"/>
  <c r="DJ287" i="2"/>
  <c r="DI287" i="2"/>
  <c r="DH287" i="2"/>
  <c r="DG287" i="2"/>
  <c r="DN286" i="2"/>
  <c r="DM286" i="2"/>
  <c r="DL299" i="2" s="1"/>
  <c r="DL286" i="2"/>
  <c r="DK286" i="2"/>
  <c r="DJ286" i="2"/>
  <c r="DI286" i="2"/>
  <c r="DH286" i="2"/>
  <c r="DG286" i="2"/>
  <c r="DO285" i="2"/>
  <c r="DN285" i="2"/>
  <c r="DM298" i="2" s="1"/>
  <c r="DM285" i="2"/>
  <c r="DL285" i="2"/>
  <c r="DK285" i="2"/>
  <c r="DJ285" i="2"/>
  <c r="DI285" i="2"/>
  <c r="DH285" i="2"/>
  <c r="DG285" i="2"/>
  <c r="DP284" i="2"/>
  <c r="DO297" i="2" s="1"/>
  <c r="DO284" i="2"/>
  <c r="DN284" i="2"/>
  <c r="DM284" i="2"/>
  <c r="DL284" i="2"/>
  <c r="DK284" i="2"/>
  <c r="DJ284" i="2"/>
  <c r="DI284" i="2"/>
  <c r="DH284" i="2"/>
  <c r="DG297" i="2" s="1"/>
  <c r="DG284" i="2"/>
  <c r="DE280" i="2"/>
  <c r="DP273" i="2"/>
  <c r="DP274" i="2" s="1"/>
  <c r="DP275" i="2" s="1"/>
  <c r="DO272" i="2"/>
  <c r="DO273" i="2" s="1"/>
  <c r="DN272" i="2"/>
  <c r="DN273" i="2" s="1"/>
  <c r="DM272" i="2"/>
  <c r="DM273" i="2" s="1"/>
  <c r="DL272" i="2"/>
  <c r="DL273" i="2" s="1"/>
  <c r="DK272" i="2"/>
  <c r="DK273" i="2" s="1"/>
  <c r="DJ272" i="2"/>
  <c r="DJ273" i="2" s="1"/>
  <c r="DI272" i="2"/>
  <c r="DI273" i="2" s="1"/>
  <c r="DH272" i="2"/>
  <c r="DH273" i="2" s="1"/>
  <c r="DG272" i="2"/>
  <c r="DG273" i="2" s="1"/>
  <c r="DP238" i="2"/>
  <c r="DP239" i="2" s="1"/>
  <c r="DP240" i="2" s="1"/>
  <c r="DO237" i="2"/>
  <c r="DO238" i="2" s="1"/>
  <c r="DN237" i="2"/>
  <c r="DN238" i="2" s="1"/>
  <c r="DM237" i="2"/>
  <c r="DM238" i="2" s="1"/>
  <c r="DL237" i="2"/>
  <c r="DL238" i="2" s="1"/>
  <c r="DK237" i="2"/>
  <c r="DK238" i="2" s="1"/>
  <c r="DJ237" i="2"/>
  <c r="DJ238" i="2" s="1"/>
  <c r="DI237" i="2"/>
  <c r="DI238" i="2" s="1"/>
  <c r="DH237" i="2"/>
  <c r="DH238" i="2" s="1"/>
  <c r="DG237" i="2"/>
  <c r="DG238" i="2" s="1"/>
  <c r="DP203" i="2"/>
  <c r="DP204" i="2" s="1"/>
  <c r="DP205" i="2" s="1"/>
  <c r="DO202" i="2"/>
  <c r="DO203" i="2" s="1"/>
  <c r="DN202" i="2"/>
  <c r="DN203" i="2" s="1"/>
  <c r="DM202" i="2"/>
  <c r="DM203" i="2" s="1"/>
  <c r="DL202" i="2"/>
  <c r="DL203" i="2" s="1"/>
  <c r="DK202" i="2"/>
  <c r="DK203" i="2" s="1"/>
  <c r="DJ202" i="2"/>
  <c r="DJ203" i="2" s="1"/>
  <c r="DI202" i="2"/>
  <c r="DI203" i="2" s="1"/>
  <c r="DH202" i="2"/>
  <c r="DH203" i="2" s="1"/>
  <c r="DG202" i="2"/>
  <c r="DG203" i="2" s="1"/>
  <c r="DP165" i="2"/>
  <c r="DP166" i="2" s="1"/>
  <c r="DG150" i="2"/>
  <c r="DH149" i="2"/>
  <c r="DG149" i="2"/>
  <c r="DI148" i="2"/>
  <c r="DH148" i="2"/>
  <c r="DG148" i="2"/>
  <c r="DJ147" i="2"/>
  <c r="DI147" i="2"/>
  <c r="DH147" i="2"/>
  <c r="DG147" i="2"/>
  <c r="DK146" i="2"/>
  <c r="DJ159" i="2" s="1"/>
  <c r="DJ146" i="2"/>
  <c r="DI146" i="2"/>
  <c r="DH146" i="2"/>
  <c r="DG146" i="2"/>
  <c r="DL145" i="2"/>
  <c r="DK145" i="2"/>
  <c r="DJ145" i="2"/>
  <c r="DI145" i="2"/>
  <c r="DH158" i="2" s="1"/>
  <c r="DH145" i="2"/>
  <c r="DG145" i="2"/>
  <c r="DM144" i="2"/>
  <c r="DL144" i="2"/>
  <c r="DK144" i="2"/>
  <c r="DJ144" i="2"/>
  <c r="DI144" i="2"/>
  <c r="DH144" i="2"/>
  <c r="DG157" i="2" s="1"/>
  <c r="DG144" i="2"/>
  <c r="DN143" i="2"/>
  <c r="DM143" i="2"/>
  <c r="DL143" i="2"/>
  <c r="DK143" i="2"/>
  <c r="DJ143" i="2"/>
  <c r="DI143" i="2"/>
  <c r="DH143" i="2"/>
  <c r="DG156" i="2" s="1"/>
  <c r="DG143" i="2"/>
  <c r="DO142" i="2"/>
  <c r="DN142" i="2"/>
  <c r="DM142" i="2"/>
  <c r="DL142" i="2"/>
  <c r="DK142" i="2"/>
  <c r="DJ142" i="2"/>
  <c r="DI142" i="2"/>
  <c r="DH155" i="2" s="1"/>
  <c r="DH142" i="2"/>
  <c r="DG142" i="2"/>
  <c r="DP141" i="2"/>
  <c r="DO141" i="2"/>
  <c r="DN141" i="2"/>
  <c r="DM141" i="2"/>
  <c r="DL141" i="2"/>
  <c r="DK141" i="2"/>
  <c r="DJ141" i="2"/>
  <c r="DI141" i="2"/>
  <c r="DH141" i="2"/>
  <c r="DG141" i="2"/>
  <c r="DP130" i="2"/>
  <c r="DP131" i="2" s="1"/>
  <c r="DP132" i="2" s="1"/>
  <c r="DO129" i="2"/>
  <c r="DO130" i="2" s="1"/>
  <c r="DN129" i="2"/>
  <c r="DN130" i="2" s="1"/>
  <c r="DM129" i="2"/>
  <c r="DM130" i="2" s="1"/>
  <c r="DL129" i="2"/>
  <c r="DL130" i="2" s="1"/>
  <c r="DK129" i="2"/>
  <c r="DK130" i="2" s="1"/>
  <c r="DJ129" i="2"/>
  <c r="DJ130" i="2" s="1"/>
  <c r="DI129" i="2"/>
  <c r="DI130" i="2" s="1"/>
  <c r="DH129" i="2"/>
  <c r="DH130" i="2" s="1"/>
  <c r="DG129" i="2"/>
  <c r="DG130" i="2" s="1"/>
  <c r="DP95" i="2"/>
  <c r="DP96" i="2" s="1"/>
  <c r="DP97" i="2" s="1"/>
  <c r="DO94" i="2"/>
  <c r="DO95" i="2" s="1"/>
  <c r="DN94" i="2"/>
  <c r="DN95" i="2" s="1"/>
  <c r="DM94" i="2"/>
  <c r="DM95" i="2" s="1"/>
  <c r="DL94" i="2"/>
  <c r="DL95" i="2" s="1"/>
  <c r="DK94" i="2"/>
  <c r="DK95" i="2" s="1"/>
  <c r="DJ94" i="2"/>
  <c r="DJ95" i="2" s="1"/>
  <c r="DI94" i="2"/>
  <c r="DI95" i="2" s="1"/>
  <c r="DH94" i="2"/>
  <c r="DH95" i="2" s="1"/>
  <c r="DG94" i="2"/>
  <c r="DG95" i="2" s="1"/>
  <c r="DE67" i="2"/>
  <c r="DP60" i="2"/>
  <c r="DP61" i="2" s="1"/>
  <c r="DP62" i="2" s="1"/>
  <c r="DO59" i="2"/>
  <c r="DO60" i="2" s="1"/>
  <c r="DN59" i="2"/>
  <c r="DN60" i="2" s="1"/>
  <c r="DM59" i="2"/>
  <c r="DM60" i="2" s="1"/>
  <c r="DL59" i="2"/>
  <c r="DL60" i="2" s="1"/>
  <c r="DK59" i="2"/>
  <c r="DK60" i="2" s="1"/>
  <c r="DJ59" i="2"/>
  <c r="DJ60" i="2" s="1"/>
  <c r="DI59" i="2"/>
  <c r="DI60" i="2" s="1"/>
  <c r="DH59" i="2"/>
  <c r="DH60" i="2" s="1"/>
  <c r="DG59" i="2"/>
  <c r="DG60" i="2" s="1"/>
  <c r="DE45" i="2"/>
  <c r="DE44" i="2" s="1"/>
  <c r="DE43" i="2" s="1"/>
  <c r="DE42" i="2" s="1"/>
  <c r="DE41" i="2" s="1"/>
  <c r="DE40" i="2" s="1"/>
  <c r="DE39" i="2" s="1"/>
  <c r="DE38" i="2" s="1"/>
  <c r="DE37" i="2" s="1"/>
  <c r="DE36" i="2" s="1"/>
  <c r="DG35" i="2"/>
  <c r="DE32" i="2"/>
  <c r="DP16" i="2"/>
  <c r="DO16" i="2"/>
  <c r="DN16" i="2"/>
  <c r="DM16" i="2"/>
  <c r="DL16" i="2"/>
  <c r="DK16" i="2"/>
  <c r="DJ16" i="2"/>
  <c r="DI16" i="2"/>
  <c r="DH16" i="2"/>
  <c r="DG16" i="2"/>
  <c r="DP15" i="2"/>
  <c r="DO15" i="2"/>
  <c r="DN15" i="2"/>
  <c r="DM15" i="2"/>
  <c r="DL15" i="2"/>
  <c r="DK15" i="2"/>
  <c r="DJ15" i="2"/>
  <c r="DI15" i="2"/>
  <c r="DH15" i="2"/>
  <c r="DG15" i="2"/>
  <c r="DP14" i="2"/>
  <c r="DO14" i="2"/>
  <c r="DN14" i="2"/>
  <c r="DM14" i="2"/>
  <c r="DL14" i="2"/>
  <c r="DK14" i="2"/>
  <c r="DJ14" i="2"/>
  <c r="DI14" i="2"/>
  <c r="DH14" i="2"/>
  <c r="DG14" i="2"/>
  <c r="DP13" i="2"/>
  <c r="DO13" i="2"/>
  <c r="DN13" i="2"/>
  <c r="DM13" i="2"/>
  <c r="DL13" i="2"/>
  <c r="DK13" i="2"/>
  <c r="DJ13" i="2"/>
  <c r="DI13" i="2"/>
  <c r="DH13" i="2"/>
  <c r="DG13" i="2"/>
  <c r="DP12" i="2"/>
  <c r="DO12" i="2"/>
  <c r="DN12" i="2"/>
  <c r="DM12" i="2"/>
  <c r="DL12" i="2"/>
  <c r="DK12" i="2"/>
  <c r="DJ12" i="2"/>
  <c r="DI12" i="2"/>
  <c r="DH12" i="2"/>
  <c r="DG12" i="2"/>
  <c r="DP11" i="2"/>
  <c r="DO11" i="2" s="1"/>
  <c r="DN11" i="2" s="1"/>
  <c r="DM11" i="2" s="1"/>
  <c r="DL11" i="2" s="1"/>
  <c r="DK11" i="2" s="1"/>
  <c r="DJ11" i="2" s="1"/>
  <c r="DI11" i="2" s="1"/>
  <c r="DH11" i="2" s="1"/>
  <c r="DG11" i="2" s="1"/>
  <c r="DE8" i="2"/>
  <c r="DE7" i="2"/>
  <c r="DD451" i="2"/>
  <c r="DD452" i="2" s="1"/>
  <c r="DD453" i="2" s="1"/>
  <c r="DC450" i="2"/>
  <c r="DC451" i="2" s="1"/>
  <c r="DB450" i="2"/>
  <c r="DB451" i="2" s="1"/>
  <c r="DA450" i="2"/>
  <c r="DA451" i="2" s="1"/>
  <c r="CZ450" i="2"/>
  <c r="CZ451" i="2" s="1"/>
  <c r="CY450" i="2"/>
  <c r="CY451" i="2" s="1"/>
  <c r="CX450" i="2"/>
  <c r="CX451" i="2" s="1"/>
  <c r="CW450" i="2"/>
  <c r="CW451" i="2" s="1"/>
  <c r="CV450" i="2"/>
  <c r="CV451" i="2" s="1"/>
  <c r="CU450" i="2"/>
  <c r="CU451" i="2" s="1"/>
  <c r="DD416" i="2"/>
  <c r="DD417" i="2" s="1"/>
  <c r="DD418" i="2" s="1"/>
  <c r="DC415" i="2"/>
  <c r="DC416" i="2" s="1"/>
  <c r="DB415" i="2"/>
  <c r="DB416" i="2" s="1"/>
  <c r="DA415" i="2"/>
  <c r="DA416" i="2" s="1"/>
  <c r="CZ415" i="2"/>
  <c r="CZ416" i="2" s="1"/>
  <c r="CY415" i="2"/>
  <c r="CY416" i="2" s="1"/>
  <c r="CX415" i="2"/>
  <c r="CX416" i="2" s="1"/>
  <c r="CW415" i="2"/>
  <c r="CW416" i="2" s="1"/>
  <c r="CV415" i="2"/>
  <c r="CV416" i="2" s="1"/>
  <c r="CU415" i="2"/>
  <c r="CU416" i="2" s="1"/>
  <c r="DD381" i="2"/>
  <c r="DD382" i="2" s="1"/>
  <c r="DD383" i="2" s="1"/>
  <c r="DC380" i="2"/>
  <c r="DC381" i="2" s="1"/>
  <c r="DB380" i="2"/>
  <c r="DB381" i="2" s="1"/>
  <c r="DA380" i="2"/>
  <c r="DA381" i="2" s="1"/>
  <c r="CZ380" i="2"/>
  <c r="CZ381" i="2" s="1"/>
  <c r="CY380" i="2"/>
  <c r="CY381" i="2" s="1"/>
  <c r="CX380" i="2"/>
  <c r="CX381" i="2" s="1"/>
  <c r="CW380" i="2"/>
  <c r="CW381" i="2" s="1"/>
  <c r="CV380" i="2"/>
  <c r="CV381" i="2" s="1"/>
  <c r="CU380" i="2"/>
  <c r="CU381" i="2" s="1"/>
  <c r="DD346" i="2"/>
  <c r="DC345" i="2"/>
  <c r="DC346" i="2" s="1"/>
  <c r="DB345" i="2"/>
  <c r="DB346" i="2" s="1"/>
  <c r="DA345" i="2"/>
  <c r="DA346" i="2" s="1"/>
  <c r="CZ345" i="2"/>
  <c r="CZ346" i="2" s="1"/>
  <c r="CY345" i="2"/>
  <c r="CY346" i="2" s="1"/>
  <c r="CX345" i="2"/>
  <c r="CX346" i="2" s="1"/>
  <c r="CW345" i="2"/>
  <c r="CW346" i="2" s="1"/>
  <c r="CV345" i="2"/>
  <c r="CV346" i="2" s="1"/>
  <c r="CU345" i="2"/>
  <c r="CU346" i="2" s="1"/>
  <c r="DD308" i="2"/>
  <c r="DD309" i="2" s="1"/>
  <c r="CU293" i="2"/>
  <c r="CV292" i="2"/>
  <c r="CU292" i="2"/>
  <c r="CW291" i="2"/>
  <c r="CV291" i="2"/>
  <c r="CU291" i="2"/>
  <c r="CX290" i="2"/>
  <c r="CW290" i="2"/>
  <c r="CV290" i="2"/>
  <c r="CU290" i="2"/>
  <c r="CY289" i="2"/>
  <c r="CX289" i="2"/>
  <c r="CW289" i="2"/>
  <c r="CV289" i="2"/>
  <c r="CU289" i="2"/>
  <c r="CZ288" i="2"/>
  <c r="CY288" i="2"/>
  <c r="CX288" i="2"/>
  <c r="CW288" i="2"/>
  <c r="CV288" i="2"/>
  <c r="CU288" i="2"/>
  <c r="DA287" i="2"/>
  <c r="CZ287" i="2"/>
  <c r="CY287" i="2"/>
  <c r="CX287" i="2"/>
  <c r="CW287" i="2"/>
  <c r="CV287" i="2"/>
  <c r="CU287" i="2"/>
  <c r="DB286" i="2"/>
  <c r="DA286" i="2"/>
  <c r="CZ286" i="2"/>
  <c r="CY286" i="2"/>
  <c r="CX286" i="2"/>
  <c r="CW286" i="2"/>
  <c r="CV286" i="2"/>
  <c r="CU286" i="2"/>
  <c r="DC285" i="2"/>
  <c r="DB285" i="2"/>
  <c r="DA285" i="2"/>
  <c r="CZ285" i="2"/>
  <c r="CY285" i="2"/>
  <c r="CX285" i="2"/>
  <c r="CW285" i="2"/>
  <c r="CV285" i="2"/>
  <c r="CU285" i="2"/>
  <c r="DD284" i="2"/>
  <c r="DC284" i="2"/>
  <c r="DB284" i="2"/>
  <c r="DA284" i="2"/>
  <c r="CZ284" i="2"/>
  <c r="CY284" i="2"/>
  <c r="CX284" i="2"/>
  <c r="CW284" i="2"/>
  <c r="CV284" i="2"/>
  <c r="CU284" i="2"/>
  <c r="DD273" i="2"/>
  <c r="DD274" i="2" s="1"/>
  <c r="DD275" i="2" s="1"/>
  <c r="DC272" i="2"/>
  <c r="DC273" i="2" s="1"/>
  <c r="DB272" i="2"/>
  <c r="DB273" i="2" s="1"/>
  <c r="DA272" i="2"/>
  <c r="DA273" i="2" s="1"/>
  <c r="CZ272" i="2"/>
  <c r="CZ273" i="2" s="1"/>
  <c r="CY272" i="2"/>
  <c r="CY273" i="2" s="1"/>
  <c r="CX272" i="2"/>
  <c r="CX273" i="2" s="1"/>
  <c r="CW272" i="2"/>
  <c r="CW273" i="2" s="1"/>
  <c r="CV272" i="2"/>
  <c r="CV273" i="2" s="1"/>
  <c r="CU272" i="2"/>
  <c r="CU273" i="2" s="1"/>
  <c r="DD238" i="2"/>
  <c r="DD239" i="2" s="1"/>
  <c r="DD240" i="2" s="1"/>
  <c r="DC237" i="2"/>
  <c r="DC238" i="2" s="1"/>
  <c r="DB237" i="2"/>
  <c r="DB238" i="2" s="1"/>
  <c r="DA237" i="2"/>
  <c r="DA238" i="2" s="1"/>
  <c r="CZ237" i="2"/>
  <c r="CZ238" i="2" s="1"/>
  <c r="CY237" i="2"/>
  <c r="CY238" i="2" s="1"/>
  <c r="CX237" i="2"/>
  <c r="CX238" i="2" s="1"/>
  <c r="CW237" i="2"/>
  <c r="CW238" i="2" s="1"/>
  <c r="CV237" i="2"/>
  <c r="CV238" i="2" s="1"/>
  <c r="CU237" i="2"/>
  <c r="CU238" i="2" s="1"/>
  <c r="DD203" i="2"/>
  <c r="DD204" i="2" s="1"/>
  <c r="DD205" i="2" s="1"/>
  <c r="DC202" i="2"/>
  <c r="DC203" i="2" s="1"/>
  <c r="DB202" i="2"/>
  <c r="DB203" i="2" s="1"/>
  <c r="DA202" i="2"/>
  <c r="DA203" i="2" s="1"/>
  <c r="CZ202" i="2"/>
  <c r="CZ203" i="2" s="1"/>
  <c r="CY202" i="2"/>
  <c r="CY203" i="2" s="1"/>
  <c r="CX202" i="2"/>
  <c r="CX203" i="2" s="1"/>
  <c r="CW202" i="2"/>
  <c r="CW203" i="2" s="1"/>
  <c r="CV202" i="2"/>
  <c r="CV203" i="2" s="1"/>
  <c r="CU202" i="2"/>
  <c r="CU203" i="2" s="1"/>
  <c r="DD165" i="2"/>
  <c r="DD166" i="2" s="1"/>
  <c r="CU150" i="2"/>
  <c r="CV149" i="2"/>
  <c r="CU149" i="2"/>
  <c r="CW148" i="2"/>
  <c r="CV148" i="2"/>
  <c r="CU148" i="2"/>
  <c r="CX147" i="2"/>
  <c r="CW147" i="2"/>
  <c r="CV147" i="2"/>
  <c r="CU147" i="2"/>
  <c r="CY146" i="2"/>
  <c r="CX146" i="2"/>
  <c r="CW146" i="2"/>
  <c r="CV146" i="2"/>
  <c r="CU146" i="2"/>
  <c r="CZ145" i="2"/>
  <c r="CY145" i="2"/>
  <c r="CX145" i="2"/>
  <c r="CW145" i="2"/>
  <c r="CV145" i="2"/>
  <c r="CU145" i="2"/>
  <c r="DA144" i="2"/>
  <c r="CZ144" i="2"/>
  <c r="CY144" i="2"/>
  <c r="CX144" i="2"/>
  <c r="CW144" i="2"/>
  <c r="CV144" i="2"/>
  <c r="CU144" i="2"/>
  <c r="DB143" i="2"/>
  <c r="DA143" i="2"/>
  <c r="CZ143" i="2"/>
  <c r="CY143" i="2"/>
  <c r="CX143" i="2"/>
  <c r="CW143" i="2"/>
  <c r="CV143" i="2"/>
  <c r="CU143" i="2"/>
  <c r="DC142" i="2"/>
  <c r="DB142" i="2"/>
  <c r="DA142" i="2"/>
  <c r="CZ142" i="2"/>
  <c r="CY142" i="2"/>
  <c r="CX142" i="2"/>
  <c r="CW142" i="2"/>
  <c r="CV142" i="2"/>
  <c r="CU142" i="2"/>
  <c r="DD141" i="2"/>
  <c r="DC141" i="2"/>
  <c r="DB141" i="2"/>
  <c r="DA141" i="2"/>
  <c r="CZ141" i="2"/>
  <c r="CY141" i="2"/>
  <c r="CX141" i="2"/>
  <c r="CW141" i="2"/>
  <c r="CV141" i="2"/>
  <c r="CU141" i="2"/>
  <c r="DD130" i="2"/>
  <c r="DD131" i="2" s="1"/>
  <c r="DD132" i="2" s="1"/>
  <c r="DC129" i="2"/>
  <c r="DC130" i="2" s="1"/>
  <c r="DB129" i="2"/>
  <c r="DB130" i="2" s="1"/>
  <c r="DA129" i="2"/>
  <c r="DA130" i="2" s="1"/>
  <c r="CZ129" i="2"/>
  <c r="CZ130" i="2" s="1"/>
  <c r="CY129" i="2"/>
  <c r="CY130" i="2" s="1"/>
  <c r="CX129" i="2"/>
  <c r="CX130" i="2" s="1"/>
  <c r="CW129" i="2"/>
  <c r="CW130" i="2" s="1"/>
  <c r="CV129" i="2"/>
  <c r="CV130" i="2" s="1"/>
  <c r="CU129" i="2"/>
  <c r="CU130" i="2" s="1"/>
  <c r="DD95" i="2"/>
  <c r="DD96" i="2" s="1"/>
  <c r="DD97" i="2" s="1"/>
  <c r="DC94" i="2"/>
  <c r="DC95" i="2" s="1"/>
  <c r="DB94" i="2"/>
  <c r="DB95" i="2" s="1"/>
  <c r="DA94" i="2"/>
  <c r="DA95" i="2" s="1"/>
  <c r="CZ94" i="2"/>
  <c r="CZ95" i="2" s="1"/>
  <c r="CY94" i="2"/>
  <c r="CY95" i="2" s="1"/>
  <c r="CX94" i="2"/>
  <c r="CX95" i="2" s="1"/>
  <c r="CW94" i="2"/>
  <c r="CW95" i="2" s="1"/>
  <c r="CV94" i="2"/>
  <c r="CV95" i="2" s="1"/>
  <c r="CU94" i="2"/>
  <c r="CU95" i="2" s="1"/>
  <c r="DD60" i="2"/>
  <c r="DD61" i="2" s="1"/>
  <c r="DD62" i="2" s="1"/>
  <c r="DC59" i="2"/>
  <c r="DC60" i="2" s="1"/>
  <c r="DB59" i="2"/>
  <c r="DB60" i="2" s="1"/>
  <c r="DA59" i="2"/>
  <c r="DA60" i="2" s="1"/>
  <c r="CZ59" i="2"/>
  <c r="CZ60" i="2" s="1"/>
  <c r="CY59" i="2"/>
  <c r="CY60" i="2" s="1"/>
  <c r="CX59" i="2"/>
  <c r="CX60" i="2" s="1"/>
  <c r="CW59" i="2"/>
  <c r="CW60" i="2" s="1"/>
  <c r="CV59" i="2"/>
  <c r="CV60" i="2" s="1"/>
  <c r="CU59" i="2"/>
  <c r="CU60" i="2" s="1"/>
  <c r="CS45" i="2"/>
  <c r="CS44" i="2" s="1"/>
  <c r="CS43" i="2" s="1"/>
  <c r="CS42" i="2" s="1"/>
  <c r="CS41" i="2" s="1"/>
  <c r="CS40" i="2" s="1"/>
  <c r="CS39" i="2" s="1"/>
  <c r="CS38" i="2" s="1"/>
  <c r="CS37" i="2" s="1"/>
  <c r="CS36" i="2" s="1"/>
  <c r="CU35" i="2"/>
  <c r="CV35" i="2" s="1"/>
  <c r="CW35" i="2" s="1"/>
  <c r="CX35" i="2" s="1"/>
  <c r="CY35" i="2" s="1"/>
  <c r="CZ35" i="2" s="1"/>
  <c r="DA35" i="2" s="1"/>
  <c r="DB35" i="2" s="1"/>
  <c r="DC35" i="2" s="1"/>
  <c r="DD35" i="2" s="1"/>
  <c r="DD16" i="2"/>
  <c r="DC16" i="2"/>
  <c r="DB16" i="2"/>
  <c r="DA16" i="2"/>
  <c r="CZ16" i="2"/>
  <c r="CY16" i="2"/>
  <c r="CX16" i="2"/>
  <c r="CW16" i="2"/>
  <c r="CV16" i="2"/>
  <c r="CU16" i="2"/>
  <c r="DD15" i="2"/>
  <c r="DC15" i="2"/>
  <c r="DB15" i="2"/>
  <c r="DA15" i="2"/>
  <c r="CZ15" i="2"/>
  <c r="CY15" i="2"/>
  <c r="CX15" i="2"/>
  <c r="CW15" i="2"/>
  <c r="CV15" i="2"/>
  <c r="CU15" i="2"/>
  <c r="DD14" i="2"/>
  <c r="DC14" i="2"/>
  <c r="DB14" i="2"/>
  <c r="DA14" i="2"/>
  <c r="CZ14" i="2"/>
  <c r="CY14" i="2"/>
  <c r="CX14" i="2"/>
  <c r="CW14" i="2"/>
  <c r="CV14" i="2"/>
  <c r="CU14" i="2"/>
  <c r="DD13" i="2"/>
  <c r="DC13" i="2"/>
  <c r="DB13" i="2"/>
  <c r="DA13" i="2"/>
  <c r="CZ13" i="2"/>
  <c r="CY13" i="2"/>
  <c r="CX13" i="2"/>
  <c r="CW13" i="2"/>
  <c r="CV13" i="2"/>
  <c r="CU13" i="2"/>
  <c r="DD12" i="2"/>
  <c r="DC12" i="2"/>
  <c r="DB12" i="2"/>
  <c r="DA12" i="2"/>
  <c r="CZ12" i="2"/>
  <c r="CY12" i="2"/>
  <c r="CX12" i="2"/>
  <c r="CW12" i="2"/>
  <c r="CV12" i="2"/>
  <c r="CU12" i="2"/>
  <c r="DD11" i="2"/>
  <c r="DC11" i="2" s="1"/>
  <c r="DB11" i="2" s="1"/>
  <c r="DA11" i="2" s="1"/>
  <c r="CZ11" i="2" s="1"/>
  <c r="CY11" i="2" s="1"/>
  <c r="CX11" i="2" s="1"/>
  <c r="CW11" i="2" s="1"/>
  <c r="CV11" i="2" s="1"/>
  <c r="CU11" i="2" s="1"/>
  <c r="CS8" i="2"/>
  <c r="CS7" i="2"/>
  <c r="CR451" i="2"/>
  <c r="CR452" i="2" s="1"/>
  <c r="CR453" i="2" s="1"/>
  <c r="CQ450" i="2"/>
  <c r="CQ451" i="2" s="1"/>
  <c r="CP450" i="2"/>
  <c r="CP451" i="2" s="1"/>
  <c r="CO450" i="2"/>
  <c r="CO451" i="2" s="1"/>
  <c r="CN450" i="2"/>
  <c r="CN451" i="2" s="1"/>
  <c r="CM450" i="2"/>
  <c r="CM451" i="2" s="1"/>
  <c r="CL450" i="2"/>
  <c r="CL451" i="2" s="1"/>
  <c r="CK450" i="2"/>
  <c r="CK451" i="2" s="1"/>
  <c r="CJ450" i="2"/>
  <c r="CJ451" i="2" s="1"/>
  <c r="CI450" i="2"/>
  <c r="CI451" i="2" s="1"/>
  <c r="CR416" i="2"/>
  <c r="CR417" i="2" s="1"/>
  <c r="CR418" i="2" s="1"/>
  <c r="CQ415" i="2"/>
  <c r="CQ416" i="2" s="1"/>
  <c r="CP415" i="2"/>
  <c r="CP416" i="2" s="1"/>
  <c r="CO415" i="2"/>
  <c r="CO416" i="2" s="1"/>
  <c r="CN415" i="2"/>
  <c r="CN416" i="2" s="1"/>
  <c r="CM415" i="2"/>
  <c r="CM416" i="2" s="1"/>
  <c r="CL415" i="2"/>
  <c r="CL416" i="2" s="1"/>
  <c r="CK415" i="2"/>
  <c r="CK416" i="2" s="1"/>
  <c r="CJ415" i="2"/>
  <c r="CJ416" i="2" s="1"/>
  <c r="CI415" i="2"/>
  <c r="CI416" i="2" s="1"/>
  <c r="CR381" i="2"/>
  <c r="CR382" i="2" s="1"/>
  <c r="CR383" i="2" s="1"/>
  <c r="CQ380" i="2"/>
  <c r="CQ381" i="2" s="1"/>
  <c r="CP380" i="2"/>
  <c r="CP381" i="2" s="1"/>
  <c r="CO380" i="2"/>
  <c r="CO381" i="2" s="1"/>
  <c r="CN380" i="2"/>
  <c r="CN381" i="2" s="1"/>
  <c r="CM380" i="2"/>
  <c r="CM381" i="2" s="1"/>
  <c r="CL380" i="2"/>
  <c r="CL381" i="2" s="1"/>
  <c r="CK380" i="2"/>
  <c r="CK381" i="2" s="1"/>
  <c r="CJ380" i="2"/>
  <c r="CJ381" i="2" s="1"/>
  <c r="CI380" i="2"/>
  <c r="CI381" i="2" s="1"/>
  <c r="CR346" i="2"/>
  <c r="CR347" i="2" s="1"/>
  <c r="CR348" i="2" s="1"/>
  <c r="CQ345" i="2"/>
  <c r="CQ346" i="2" s="1"/>
  <c r="CP345" i="2"/>
  <c r="CP346" i="2" s="1"/>
  <c r="CO345" i="2"/>
  <c r="CO346" i="2" s="1"/>
  <c r="CN345" i="2"/>
  <c r="CN346" i="2" s="1"/>
  <c r="CM345" i="2"/>
  <c r="CM346" i="2" s="1"/>
  <c r="CL345" i="2"/>
  <c r="CL346" i="2" s="1"/>
  <c r="CK345" i="2"/>
  <c r="CK346" i="2" s="1"/>
  <c r="CJ345" i="2"/>
  <c r="CJ346" i="2" s="1"/>
  <c r="CI345" i="2"/>
  <c r="CI346" i="2" s="1"/>
  <c r="CR308" i="2"/>
  <c r="CR309" i="2" s="1"/>
  <c r="CI293" i="2"/>
  <c r="CJ292" i="2"/>
  <c r="CI292" i="2"/>
  <c r="CK291" i="2"/>
  <c r="CJ291" i="2"/>
  <c r="CI291" i="2"/>
  <c r="CL290" i="2"/>
  <c r="CK290" i="2"/>
  <c r="CJ290" i="2"/>
  <c r="CI290" i="2"/>
  <c r="CM289" i="2"/>
  <c r="CL289" i="2"/>
  <c r="CK289" i="2"/>
  <c r="CJ289" i="2"/>
  <c r="CI289" i="2"/>
  <c r="CN288" i="2"/>
  <c r="CM288" i="2"/>
  <c r="CL288" i="2"/>
  <c r="CK288" i="2"/>
  <c r="CJ288" i="2"/>
  <c r="CI288" i="2"/>
  <c r="CO287" i="2"/>
  <c r="CN287" i="2"/>
  <c r="CM287" i="2"/>
  <c r="CL287" i="2"/>
  <c r="CK287" i="2"/>
  <c r="CJ287" i="2"/>
  <c r="CI287" i="2"/>
  <c r="CP286" i="2"/>
  <c r="CO286" i="2"/>
  <c r="CN286" i="2"/>
  <c r="CM286" i="2"/>
  <c r="CL286" i="2"/>
  <c r="CK286" i="2"/>
  <c r="CJ286" i="2"/>
  <c r="CI286" i="2"/>
  <c r="CQ285" i="2"/>
  <c r="CP285" i="2"/>
  <c r="CO285" i="2"/>
  <c r="CN285" i="2"/>
  <c r="CM285" i="2"/>
  <c r="CL285" i="2"/>
  <c r="CK285" i="2"/>
  <c r="CJ285" i="2"/>
  <c r="CI285" i="2"/>
  <c r="CR284" i="2"/>
  <c r="CQ284" i="2"/>
  <c r="CP284" i="2"/>
  <c r="CO284" i="2"/>
  <c r="CN284" i="2"/>
  <c r="CM284" i="2"/>
  <c r="CL284" i="2"/>
  <c r="CK284" i="2"/>
  <c r="CJ284" i="2"/>
  <c r="CI284" i="2"/>
  <c r="CR273" i="2"/>
  <c r="CR274" i="2" s="1"/>
  <c r="CR275" i="2" s="1"/>
  <c r="CQ272" i="2"/>
  <c r="CQ273" i="2" s="1"/>
  <c r="CP272" i="2"/>
  <c r="CP273" i="2" s="1"/>
  <c r="CO272" i="2"/>
  <c r="CO273" i="2" s="1"/>
  <c r="CN272" i="2"/>
  <c r="CN273" i="2" s="1"/>
  <c r="CM272" i="2"/>
  <c r="CM273" i="2" s="1"/>
  <c r="CL272" i="2"/>
  <c r="CL273" i="2" s="1"/>
  <c r="CK272" i="2"/>
  <c r="CK273" i="2" s="1"/>
  <c r="CJ272" i="2"/>
  <c r="CJ273" i="2" s="1"/>
  <c r="CI272" i="2"/>
  <c r="CI273" i="2" s="1"/>
  <c r="CR238" i="2"/>
  <c r="CR239" i="2" s="1"/>
  <c r="CR240" i="2" s="1"/>
  <c r="CQ237" i="2"/>
  <c r="CQ238" i="2" s="1"/>
  <c r="CP237" i="2"/>
  <c r="CP238" i="2" s="1"/>
  <c r="CO237" i="2"/>
  <c r="CO238" i="2" s="1"/>
  <c r="CN237" i="2"/>
  <c r="CN238" i="2" s="1"/>
  <c r="CM237" i="2"/>
  <c r="CM238" i="2" s="1"/>
  <c r="CL237" i="2"/>
  <c r="CL238" i="2" s="1"/>
  <c r="CK237" i="2"/>
  <c r="CK238" i="2" s="1"/>
  <c r="CJ237" i="2"/>
  <c r="CJ238" i="2" s="1"/>
  <c r="CI237" i="2"/>
  <c r="CI238" i="2" s="1"/>
  <c r="CR203" i="2"/>
  <c r="CR204" i="2" s="1"/>
  <c r="CR205" i="2" s="1"/>
  <c r="CQ202" i="2"/>
  <c r="CQ203" i="2" s="1"/>
  <c r="CP202" i="2"/>
  <c r="CP203" i="2" s="1"/>
  <c r="CO202" i="2"/>
  <c r="CO203" i="2" s="1"/>
  <c r="CN202" i="2"/>
  <c r="CN203" i="2" s="1"/>
  <c r="CM202" i="2"/>
  <c r="CM203" i="2" s="1"/>
  <c r="CL202" i="2"/>
  <c r="CL203" i="2" s="1"/>
  <c r="CK202" i="2"/>
  <c r="CK203" i="2" s="1"/>
  <c r="CJ202" i="2"/>
  <c r="CJ203" i="2" s="1"/>
  <c r="CI202" i="2"/>
  <c r="CI203" i="2" s="1"/>
  <c r="CR165" i="2"/>
  <c r="CR166" i="2" s="1"/>
  <c r="CI150" i="2"/>
  <c r="CJ149" i="2"/>
  <c r="CI149" i="2"/>
  <c r="CK148" i="2"/>
  <c r="CJ148" i="2"/>
  <c r="CI148" i="2"/>
  <c r="CL147" i="2"/>
  <c r="CK147" i="2"/>
  <c r="CJ147" i="2"/>
  <c r="CI147" i="2"/>
  <c r="CM146" i="2"/>
  <c r="CL146" i="2"/>
  <c r="CK146" i="2"/>
  <c r="CJ146" i="2"/>
  <c r="CI146" i="2"/>
  <c r="CN145" i="2"/>
  <c r="CM145" i="2"/>
  <c r="CL145" i="2"/>
  <c r="CK145" i="2"/>
  <c r="CJ145" i="2"/>
  <c r="CI145" i="2"/>
  <c r="CO144" i="2"/>
  <c r="CN144" i="2"/>
  <c r="CM144" i="2"/>
  <c r="CL144" i="2"/>
  <c r="CK144" i="2"/>
  <c r="CJ144" i="2"/>
  <c r="CI144" i="2"/>
  <c r="CP143" i="2"/>
  <c r="CO143" i="2"/>
  <c r="CN143" i="2"/>
  <c r="CM143" i="2"/>
  <c r="CL143" i="2"/>
  <c r="CK143" i="2"/>
  <c r="CJ143" i="2"/>
  <c r="CI143" i="2"/>
  <c r="CQ142" i="2"/>
  <c r="CP142" i="2"/>
  <c r="CO142" i="2"/>
  <c r="CN142" i="2"/>
  <c r="CM142" i="2"/>
  <c r="CL142" i="2"/>
  <c r="CK142" i="2"/>
  <c r="CJ142" i="2"/>
  <c r="CI142" i="2"/>
  <c r="CR141" i="2"/>
  <c r="CQ141" i="2"/>
  <c r="CP141" i="2"/>
  <c r="CO141" i="2"/>
  <c r="CN141" i="2"/>
  <c r="CM141" i="2"/>
  <c r="CL141" i="2"/>
  <c r="CK141" i="2"/>
  <c r="CJ141" i="2"/>
  <c r="CI141" i="2"/>
  <c r="CR130" i="2"/>
  <c r="CR131" i="2" s="1"/>
  <c r="CR132" i="2" s="1"/>
  <c r="CQ129" i="2"/>
  <c r="CQ130" i="2" s="1"/>
  <c r="CP129" i="2"/>
  <c r="CP130" i="2" s="1"/>
  <c r="CO129" i="2"/>
  <c r="CO130" i="2" s="1"/>
  <c r="CN129" i="2"/>
  <c r="CN130" i="2" s="1"/>
  <c r="CM129" i="2"/>
  <c r="CM130" i="2" s="1"/>
  <c r="CL129" i="2"/>
  <c r="CL130" i="2" s="1"/>
  <c r="CK129" i="2"/>
  <c r="CK130" i="2" s="1"/>
  <c r="CJ129" i="2"/>
  <c r="CJ130" i="2" s="1"/>
  <c r="CI129" i="2"/>
  <c r="CI130" i="2" s="1"/>
  <c r="CR95" i="2"/>
  <c r="CR96" i="2" s="1"/>
  <c r="CR97" i="2" s="1"/>
  <c r="CQ94" i="2"/>
  <c r="CQ95" i="2" s="1"/>
  <c r="CP94" i="2"/>
  <c r="CP95" i="2" s="1"/>
  <c r="CO94" i="2"/>
  <c r="CO95" i="2" s="1"/>
  <c r="CN94" i="2"/>
  <c r="CN95" i="2" s="1"/>
  <c r="CM94" i="2"/>
  <c r="CM95" i="2" s="1"/>
  <c r="CL94" i="2"/>
  <c r="CL95" i="2" s="1"/>
  <c r="CK94" i="2"/>
  <c r="CK95" i="2" s="1"/>
  <c r="CJ94" i="2"/>
  <c r="CJ95" i="2" s="1"/>
  <c r="CI94" i="2"/>
  <c r="CI95" i="2" s="1"/>
  <c r="CR60" i="2"/>
  <c r="CR61" i="2" s="1"/>
  <c r="CR62" i="2" s="1"/>
  <c r="CQ59" i="2"/>
  <c r="CQ60" i="2" s="1"/>
  <c r="CQ61" i="2" s="1"/>
  <c r="CQ62" i="2" s="1"/>
  <c r="CP59" i="2"/>
  <c r="CP60" i="2" s="1"/>
  <c r="CO59" i="2"/>
  <c r="CO60" i="2" s="1"/>
  <c r="CN59" i="2"/>
  <c r="CN60" i="2" s="1"/>
  <c r="CM59" i="2"/>
  <c r="CM60" i="2" s="1"/>
  <c r="CL59" i="2"/>
  <c r="CL60" i="2" s="1"/>
  <c r="CK59" i="2"/>
  <c r="CK60" i="2" s="1"/>
  <c r="CJ59" i="2"/>
  <c r="CJ60" i="2" s="1"/>
  <c r="CI59" i="2"/>
  <c r="CI60" i="2" s="1"/>
  <c r="CG45" i="2"/>
  <c r="CG44" i="2" s="1"/>
  <c r="CG43" i="2" s="1"/>
  <c r="CG42" i="2" s="1"/>
  <c r="CG41" i="2" s="1"/>
  <c r="CG40" i="2" s="1"/>
  <c r="CG39" i="2" s="1"/>
  <c r="CG38" i="2" s="1"/>
  <c r="CG37" i="2" s="1"/>
  <c r="CG36" i="2" s="1"/>
  <c r="CI35" i="2"/>
  <c r="CR16" i="2"/>
  <c r="CQ16" i="2"/>
  <c r="CP16" i="2"/>
  <c r="CO16" i="2"/>
  <c r="CN16" i="2"/>
  <c r="CM16" i="2"/>
  <c r="CL16" i="2"/>
  <c r="CK16" i="2"/>
  <c r="CJ16" i="2"/>
  <c r="CI16" i="2"/>
  <c r="CR15" i="2"/>
  <c r="CQ15" i="2"/>
  <c r="CP15" i="2"/>
  <c r="CO15" i="2"/>
  <c r="CN15" i="2"/>
  <c r="CM15" i="2"/>
  <c r="CL15" i="2"/>
  <c r="CK15" i="2"/>
  <c r="CJ15" i="2"/>
  <c r="CI15" i="2"/>
  <c r="CR14" i="2"/>
  <c r="CQ14" i="2"/>
  <c r="CP14" i="2"/>
  <c r="CO14" i="2"/>
  <c r="CN14" i="2"/>
  <c r="CM14" i="2"/>
  <c r="CL14" i="2"/>
  <c r="CK14" i="2"/>
  <c r="CJ14" i="2"/>
  <c r="CI14" i="2"/>
  <c r="CR13" i="2"/>
  <c r="CQ13" i="2"/>
  <c r="CP13" i="2"/>
  <c r="CO13" i="2"/>
  <c r="CN13" i="2"/>
  <c r="CM13" i="2"/>
  <c r="CL13" i="2"/>
  <c r="CK13" i="2"/>
  <c r="CJ13" i="2"/>
  <c r="CI13" i="2"/>
  <c r="CR12" i="2"/>
  <c r="CQ12" i="2"/>
  <c r="CP12" i="2"/>
  <c r="CO12" i="2"/>
  <c r="CN12" i="2"/>
  <c r="CM12" i="2"/>
  <c r="CL12" i="2"/>
  <c r="CK12" i="2"/>
  <c r="CJ12" i="2"/>
  <c r="CI12" i="2"/>
  <c r="CR11" i="2"/>
  <c r="CQ11" i="2" s="1"/>
  <c r="CP11" i="2" s="1"/>
  <c r="CO11" i="2" s="1"/>
  <c r="CN11" i="2" s="1"/>
  <c r="CM11" i="2" s="1"/>
  <c r="CL11" i="2" s="1"/>
  <c r="CK11" i="2" s="1"/>
  <c r="CJ11" i="2" s="1"/>
  <c r="CI11" i="2" s="1"/>
  <c r="CG8" i="2"/>
  <c r="CG7" i="2"/>
  <c r="CF451" i="2"/>
  <c r="CF452" i="2" s="1"/>
  <c r="CF453" i="2" s="1"/>
  <c r="CE450" i="2"/>
  <c r="CE451" i="2" s="1"/>
  <c r="CD450" i="2"/>
  <c r="CD451" i="2" s="1"/>
  <c r="CC450" i="2"/>
  <c r="CC451" i="2" s="1"/>
  <c r="CB450" i="2"/>
  <c r="CB451" i="2" s="1"/>
  <c r="CA450" i="2"/>
  <c r="CA451" i="2" s="1"/>
  <c r="BZ450" i="2"/>
  <c r="BZ451" i="2" s="1"/>
  <c r="BY450" i="2"/>
  <c r="BY451" i="2" s="1"/>
  <c r="BX450" i="2"/>
  <c r="BX451" i="2" s="1"/>
  <c r="BW450" i="2"/>
  <c r="BW451" i="2" s="1"/>
  <c r="CF416" i="2"/>
  <c r="CF417" i="2" s="1"/>
  <c r="CF418" i="2" s="1"/>
  <c r="CE415" i="2"/>
  <c r="CE416" i="2" s="1"/>
  <c r="CD415" i="2"/>
  <c r="CD416" i="2" s="1"/>
  <c r="CC415" i="2"/>
  <c r="CC416" i="2" s="1"/>
  <c r="CB415" i="2"/>
  <c r="CB416" i="2" s="1"/>
  <c r="CA415" i="2"/>
  <c r="CA416" i="2" s="1"/>
  <c r="BZ415" i="2"/>
  <c r="BZ416" i="2" s="1"/>
  <c r="BY415" i="2"/>
  <c r="BY416" i="2" s="1"/>
  <c r="BX415" i="2"/>
  <c r="BX416" i="2" s="1"/>
  <c r="BW415" i="2"/>
  <c r="BW416" i="2" s="1"/>
  <c r="CF381" i="2"/>
  <c r="CF382" i="2" s="1"/>
  <c r="CF383" i="2" s="1"/>
  <c r="CE380" i="2"/>
  <c r="CE381" i="2" s="1"/>
  <c r="CD380" i="2"/>
  <c r="CD381" i="2" s="1"/>
  <c r="CC380" i="2"/>
  <c r="CC381" i="2" s="1"/>
  <c r="CB380" i="2"/>
  <c r="CB381" i="2" s="1"/>
  <c r="CA380" i="2"/>
  <c r="CA381" i="2" s="1"/>
  <c r="BZ380" i="2"/>
  <c r="BZ381" i="2" s="1"/>
  <c r="BY380" i="2"/>
  <c r="BY381" i="2" s="1"/>
  <c r="BX380" i="2"/>
  <c r="BX381" i="2" s="1"/>
  <c r="BW380" i="2"/>
  <c r="BW381" i="2" s="1"/>
  <c r="CF346" i="2"/>
  <c r="CF347" i="2" s="1"/>
  <c r="CF348" i="2" s="1"/>
  <c r="CE345" i="2"/>
  <c r="CE346" i="2" s="1"/>
  <c r="CD345" i="2"/>
  <c r="CD346" i="2" s="1"/>
  <c r="CC345" i="2"/>
  <c r="CC346" i="2" s="1"/>
  <c r="CB345" i="2"/>
  <c r="CB346" i="2" s="1"/>
  <c r="CA345" i="2"/>
  <c r="CA346" i="2" s="1"/>
  <c r="BZ345" i="2"/>
  <c r="BZ346" i="2" s="1"/>
  <c r="BY345" i="2"/>
  <c r="BY346" i="2" s="1"/>
  <c r="BX345" i="2"/>
  <c r="BX346" i="2" s="1"/>
  <c r="BW345" i="2"/>
  <c r="BW346" i="2" s="1"/>
  <c r="CF308" i="2"/>
  <c r="CF309" i="2" s="1"/>
  <c r="BW293" i="2"/>
  <c r="BX292" i="2"/>
  <c r="BW292" i="2"/>
  <c r="BY291" i="2"/>
  <c r="BX291" i="2"/>
  <c r="BW291" i="2"/>
  <c r="BZ290" i="2"/>
  <c r="BY290" i="2"/>
  <c r="BX290" i="2"/>
  <c r="BW290" i="2"/>
  <c r="CA289" i="2"/>
  <c r="BZ289" i="2"/>
  <c r="BY289" i="2"/>
  <c r="BX289" i="2"/>
  <c r="BW289" i="2"/>
  <c r="CB288" i="2"/>
  <c r="CA288" i="2"/>
  <c r="BZ288" i="2"/>
  <c r="BY288" i="2"/>
  <c r="BX288" i="2"/>
  <c r="BW288" i="2"/>
  <c r="CC287" i="2"/>
  <c r="CB287" i="2"/>
  <c r="CA287" i="2"/>
  <c r="BZ287" i="2"/>
  <c r="BY287" i="2"/>
  <c r="BX287" i="2"/>
  <c r="BW287" i="2"/>
  <c r="CD286" i="2"/>
  <c r="CC286" i="2"/>
  <c r="CB286" i="2"/>
  <c r="CA286" i="2"/>
  <c r="BZ286" i="2"/>
  <c r="BY286" i="2"/>
  <c r="BX286" i="2"/>
  <c r="BW286" i="2"/>
  <c r="CE285" i="2"/>
  <c r="CD285" i="2"/>
  <c r="CC285" i="2"/>
  <c r="CB285" i="2"/>
  <c r="CA285" i="2"/>
  <c r="BZ285" i="2"/>
  <c r="BY285" i="2"/>
  <c r="BX285" i="2"/>
  <c r="BW285" i="2"/>
  <c r="CF284" i="2"/>
  <c r="CE284" i="2"/>
  <c r="CD284" i="2"/>
  <c r="CC284" i="2"/>
  <c r="CB284" i="2"/>
  <c r="CA284" i="2"/>
  <c r="BZ284" i="2"/>
  <c r="BY297" i="2" s="1"/>
  <c r="BY284" i="2"/>
  <c r="BX284" i="2"/>
  <c r="BW284" i="2"/>
  <c r="CF273" i="2"/>
  <c r="CF274" i="2" s="1"/>
  <c r="CF275" i="2" s="1"/>
  <c r="CE272" i="2"/>
  <c r="CE273" i="2" s="1"/>
  <c r="CD272" i="2"/>
  <c r="CD273" i="2" s="1"/>
  <c r="CC272" i="2"/>
  <c r="CC273" i="2" s="1"/>
  <c r="CB272" i="2"/>
  <c r="CB273" i="2" s="1"/>
  <c r="CA272" i="2"/>
  <c r="CA273" i="2" s="1"/>
  <c r="BZ272" i="2"/>
  <c r="BZ273" i="2" s="1"/>
  <c r="BY272" i="2"/>
  <c r="BY273" i="2" s="1"/>
  <c r="BX272" i="2"/>
  <c r="BX273" i="2" s="1"/>
  <c r="BW272" i="2"/>
  <c r="BW273" i="2" s="1"/>
  <c r="CF238" i="2"/>
  <c r="CF239" i="2" s="1"/>
  <c r="CF240" i="2" s="1"/>
  <c r="CE237" i="2"/>
  <c r="CE238" i="2" s="1"/>
  <c r="CD237" i="2"/>
  <c r="CD238" i="2" s="1"/>
  <c r="CC237" i="2"/>
  <c r="CC238" i="2" s="1"/>
  <c r="CB237" i="2"/>
  <c r="CB238" i="2" s="1"/>
  <c r="CA237" i="2"/>
  <c r="CA238" i="2" s="1"/>
  <c r="BZ237" i="2"/>
  <c r="BZ238" i="2" s="1"/>
  <c r="BY237" i="2"/>
  <c r="BY238" i="2" s="1"/>
  <c r="BX237" i="2"/>
  <c r="BX238" i="2" s="1"/>
  <c r="BW237" i="2"/>
  <c r="BW238" i="2" s="1"/>
  <c r="CF203" i="2"/>
  <c r="CF204" i="2" s="1"/>
  <c r="CF205" i="2" s="1"/>
  <c r="CE202" i="2"/>
  <c r="CE203" i="2" s="1"/>
  <c r="CD202" i="2"/>
  <c r="CD203" i="2" s="1"/>
  <c r="CC202" i="2"/>
  <c r="CC203" i="2" s="1"/>
  <c r="CB202" i="2"/>
  <c r="CB203" i="2" s="1"/>
  <c r="CA202" i="2"/>
  <c r="CA203" i="2" s="1"/>
  <c r="BZ202" i="2"/>
  <c r="BZ203" i="2" s="1"/>
  <c r="BY202" i="2"/>
  <c r="BY203" i="2" s="1"/>
  <c r="BX202" i="2"/>
  <c r="BX203" i="2" s="1"/>
  <c r="BW202" i="2"/>
  <c r="BW203" i="2" s="1"/>
  <c r="CF165" i="2"/>
  <c r="CF166" i="2" s="1"/>
  <c r="BW150" i="2"/>
  <c r="BX149" i="2"/>
  <c r="BW149" i="2"/>
  <c r="BY148" i="2"/>
  <c r="BX148" i="2"/>
  <c r="BW148" i="2"/>
  <c r="BZ147" i="2"/>
  <c r="BY147" i="2"/>
  <c r="BX147" i="2"/>
  <c r="BW147" i="2"/>
  <c r="CA146" i="2"/>
  <c r="BZ146" i="2"/>
  <c r="BY146" i="2"/>
  <c r="BX146" i="2"/>
  <c r="BW146" i="2"/>
  <c r="CB145" i="2"/>
  <c r="CA145" i="2"/>
  <c r="BZ145" i="2"/>
  <c r="BY145" i="2"/>
  <c r="BX145" i="2"/>
  <c r="BW145" i="2"/>
  <c r="CC144" i="2"/>
  <c r="CB144" i="2"/>
  <c r="CA144" i="2"/>
  <c r="BZ144" i="2"/>
  <c r="BY144" i="2"/>
  <c r="BX144" i="2"/>
  <c r="BW144" i="2"/>
  <c r="CD143" i="2"/>
  <c r="CC143" i="2"/>
  <c r="CB143" i="2"/>
  <c r="CA143" i="2"/>
  <c r="BZ143" i="2"/>
  <c r="BY143" i="2"/>
  <c r="BX143" i="2"/>
  <c r="BW143" i="2"/>
  <c r="CE142" i="2"/>
  <c r="CD142" i="2"/>
  <c r="CC142" i="2"/>
  <c r="CB142" i="2"/>
  <c r="CA142" i="2"/>
  <c r="BZ142" i="2"/>
  <c r="BY142" i="2"/>
  <c r="BX142" i="2"/>
  <c r="BW142" i="2"/>
  <c r="CF141" i="2"/>
  <c r="CE141" i="2"/>
  <c r="CD141" i="2"/>
  <c r="CC141" i="2"/>
  <c r="CB141" i="2"/>
  <c r="CA141" i="2"/>
  <c r="BZ141" i="2"/>
  <c r="BY141" i="2"/>
  <c r="BX141" i="2"/>
  <c r="BW141" i="2"/>
  <c r="CF130" i="2"/>
  <c r="CF131" i="2" s="1"/>
  <c r="CF132" i="2" s="1"/>
  <c r="CE129" i="2"/>
  <c r="CE130" i="2" s="1"/>
  <c r="CD129" i="2"/>
  <c r="CD130" i="2" s="1"/>
  <c r="CC129" i="2"/>
  <c r="CC130" i="2" s="1"/>
  <c r="CB129" i="2"/>
  <c r="CB130" i="2" s="1"/>
  <c r="CA129" i="2"/>
  <c r="CA130" i="2" s="1"/>
  <c r="BZ129" i="2"/>
  <c r="BZ130" i="2" s="1"/>
  <c r="BY129" i="2"/>
  <c r="BY130" i="2" s="1"/>
  <c r="BX129" i="2"/>
  <c r="BX130" i="2" s="1"/>
  <c r="BW129" i="2"/>
  <c r="BW130" i="2" s="1"/>
  <c r="CF95" i="2"/>
  <c r="CF96" i="2" s="1"/>
  <c r="CF97" i="2" s="1"/>
  <c r="CE94" i="2"/>
  <c r="CE95" i="2" s="1"/>
  <c r="CD94" i="2"/>
  <c r="CD95" i="2" s="1"/>
  <c r="CC94" i="2"/>
  <c r="CC95" i="2" s="1"/>
  <c r="CB94" i="2"/>
  <c r="CB95" i="2" s="1"/>
  <c r="CA94" i="2"/>
  <c r="CA95" i="2" s="1"/>
  <c r="BZ94" i="2"/>
  <c r="BZ95" i="2" s="1"/>
  <c r="BY94" i="2"/>
  <c r="BY95" i="2" s="1"/>
  <c r="BX94" i="2"/>
  <c r="BX95" i="2" s="1"/>
  <c r="BW94" i="2"/>
  <c r="BW95" i="2" s="1"/>
  <c r="CF60" i="2"/>
  <c r="CF61" i="2" s="1"/>
  <c r="CF62" i="2" s="1"/>
  <c r="CE59" i="2"/>
  <c r="CE60" i="2" s="1"/>
  <c r="CD59" i="2"/>
  <c r="CD60" i="2" s="1"/>
  <c r="CC59" i="2"/>
  <c r="CC60" i="2" s="1"/>
  <c r="CB59" i="2"/>
  <c r="CB60" i="2" s="1"/>
  <c r="CA59" i="2"/>
  <c r="CA60" i="2" s="1"/>
  <c r="BZ59" i="2"/>
  <c r="BZ60" i="2" s="1"/>
  <c r="BY59" i="2"/>
  <c r="BY60" i="2" s="1"/>
  <c r="BX59" i="2"/>
  <c r="BX60" i="2" s="1"/>
  <c r="BW59" i="2"/>
  <c r="BW60" i="2" s="1"/>
  <c r="BU45" i="2"/>
  <c r="BU44" i="2" s="1"/>
  <c r="BU43" i="2" s="1"/>
  <c r="BU42" i="2" s="1"/>
  <c r="BU41" i="2" s="1"/>
  <c r="BU40" i="2" s="1"/>
  <c r="BU39" i="2" s="1"/>
  <c r="BU38" i="2" s="1"/>
  <c r="BU37" i="2" s="1"/>
  <c r="BU36" i="2" s="1"/>
  <c r="BW35" i="2"/>
  <c r="BV35" i="2" s="1"/>
  <c r="CF16" i="2"/>
  <c r="CE16" i="2"/>
  <c r="CD16" i="2"/>
  <c r="CC16" i="2"/>
  <c r="CB16" i="2"/>
  <c r="CA16" i="2"/>
  <c r="BZ16" i="2"/>
  <c r="BY16" i="2"/>
  <c r="BX16" i="2"/>
  <c r="BW16" i="2"/>
  <c r="CF15" i="2"/>
  <c r="CE15" i="2"/>
  <c r="CD15" i="2"/>
  <c r="CC15" i="2"/>
  <c r="CB15" i="2"/>
  <c r="CA15" i="2"/>
  <c r="BZ15" i="2"/>
  <c r="BY15" i="2"/>
  <c r="BX15" i="2"/>
  <c r="BW15" i="2"/>
  <c r="CF14" i="2"/>
  <c r="CE14" i="2"/>
  <c r="CD14" i="2"/>
  <c r="CC14" i="2"/>
  <c r="CB14" i="2"/>
  <c r="CA14" i="2"/>
  <c r="BZ14" i="2"/>
  <c r="BY14" i="2"/>
  <c r="BX14" i="2"/>
  <c r="BW14" i="2"/>
  <c r="CF13" i="2"/>
  <c r="CE13" i="2"/>
  <c r="CD13" i="2"/>
  <c r="CC13" i="2"/>
  <c r="CB13" i="2"/>
  <c r="CA13" i="2"/>
  <c r="BZ13" i="2"/>
  <c r="BY13" i="2"/>
  <c r="BX13" i="2"/>
  <c r="BW13" i="2"/>
  <c r="CF12" i="2"/>
  <c r="CE12" i="2"/>
  <c r="CD12" i="2"/>
  <c r="CC12" i="2"/>
  <c r="CB12" i="2"/>
  <c r="CA12" i="2"/>
  <c r="BZ12" i="2"/>
  <c r="BY12" i="2"/>
  <c r="BX12" i="2"/>
  <c r="BW12" i="2"/>
  <c r="CF11" i="2"/>
  <c r="CE11" i="2" s="1"/>
  <c r="CD11" i="2" s="1"/>
  <c r="CC11" i="2" s="1"/>
  <c r="CB11" i="2" s="1"/>
  <c r="CA11" i="2" s="1"/>
  <c r="BZ11" i="2" s="1"/>
  <c r="BY11" i="2" s="1"/>
  <c r="BX11" i="2" s="1"/>
  <c r="BW11" i="2" s="1"/>
  <c r="BU8" i="2"/>
  <c r="BU7" i="2"/>
  <c r="BU102" i="2"/>
  <c r="BT451" i="2"/>
  <c r="BT452" i="2" s="1"/>
  <c r="BT453" i="2" s="1"/>
  <c r="BS450" i="2"/>
  <c r="BS451" i="2" s="1"/>
  <c r="BR450" i="2"/>
  <c r="BR451" i="2" s="1"/>
  <c r="BQ450" i="2"/>
  <c r="BQ451" i="2" s="1"/>
  <c r="BP450" i="2"/>
  <c r="BP451" i="2" s="1"/>
  <c r="BO450" i="2"/>
  <c r="BO451" i="2" s="1"/>
  <c r="BN450" i="2"/>
  <c r="BN451" i="2" s="1"/>
  <c r="BM450" i="2"/>
  <c r="BM451" i="2" s="1"/>
  <c r="BL450" i="2"/>
  <c r="BL451" i="2" s="1"/>
  <c r="BK450" i="2"/>
  <c r="BK451" i="2" s="1"/>
  <c r="BT416" i="2"/>
  <c r="BT417" i="2" s="1"/>
  <c r="BT418" i="2" s="1"/>
  <c r="BS415" i="2"/>
  <c r="BS416" i="2" s="1"/>
  <c r="BR415" i="2"/>
  <c r="BR416" i="2" s="1"/>
  <c r="BQ415" i="2"/>
  <c r="BQ416" i="2" s="1"/>
  <c r="BP415" i="2"/>
  <c r="BP416" i="2" s="1"/>
  <c r="BO415" i="2"/>
  <c r="BO416" i="2" s="1"/>
  <c r="BN415" i="2"/>
  <c r="BN416" i="2" s="1"/>
  <c r="BM415" i="2"/>
  <c r="BM416" i="2" s="1"/>
  <c r="BL415" i="2"/>
  <c r="BL416" i="2" s="1"/>
  <c r="BK415" i="2"/>
  <c r="BK416" i="2" s="1"/>
  <c r="BT381" i="2"/>
  <c r="BT382" i="2" s="1"/>
  <c r="BT383" i="2" s="1"/>
  <c r="BS380" i="2"/>
  <c r="BS381" i="2" s="1"/>
  <c r="BR380" i="2"/>
  <c r="BR381" i="2" s="1"/>
  <c r="BQ380" i="2"/>
  <c r="BQ381" i="2" s="1"/>
  <c r="BP380" i="2"/>
  <c r="BP381" i="2" s="1"/>
  <c r="BO380" i="2"/>
  <c r="BO381" i="2" s="1"/>
  <c r="BN380" i="2"/>
  <c r="BN381" i="2" s="1"/>
  <c r="BM380" i="2"/>
  <c r="BM381" i="2" s="1"/>
  <c r="BL380" i="2"/>
  <c r="BL381" i="2" s="1"/>
  <c r="BK380" i="2"/>
  <c r="BK381" i="2" s="1"/>
  <c r="BT346" i="2"/>
  <c r="BT347" i="2" s="1"/>
  <c r="BT348" i="2" s="1"/>
  <c r="BS345" i="2"/>
  <c r="BS346" i="2" s="1"/>
  <c r="BR345" i="2"/>
  <c r="BR346" i="2" s="1"/>
  <c r="BQ345" i="2"/>
  <c r="BQ346" i="2" s="1"/>
  <c r="BP345" i="2"/>
  <c r="BP346" i="2" s="1"/>
  <c r="BO345" i="2"/>
  <c r="BO346" i="2" s="1"/>
  <c r="BN345" i="2"/>
  <c r="BN346" i="2" s="1"/>
  <c r="BM345" i="2"/>
  <c r="BM346" i="2" s="1"/>
  <c r="BL345" i="2"/>
  <c r="BL346" i="2" s="1"/>
  <c r="BK345" i="2"/>
  <c r="BK346" i="2" s="1"/>
  <c r="BT308" i="2"/>
  <c r="BT309" i="2" s="1"/>
  <c r="BK293" i="2"/>
  <c r="BL292" i="2"/>
  <c r="BK292" i="2"/>
  <c r="BM291" i="2"/>
  <c r="BL291" i="2"/>
  <c r="BK291" i="2"/>
  <c r="BN290" i="2"/>
  <c r="BM290" i="2"/>
  <c r="BL290" i="2"/>
  <c r="BK303" i="2" s="1"/>
  <c r="BK290" i="2"/>
  <c r="BO289" i="2"/>
  <c r="BN289" i="2"/>
  <c r="BM289" i="2"/>
  <c r="BL289" i="2"/>
  <c r="BK289" i="2"/>
  <c r="BP288" i="2"/>
  <c r="BO288" i="2"/>
  <c r="BN301" i="2" s="1"/>
  <c r="BN288" i="2"/>
  <c r="BM288" i="2"/>
  <c r="BL288" i="2"/>
  <c r="BK288" i="2"/>
  <c r="BQ287" i="2"/>
  <c r="BP287" i="2"/>
  <c r="BO287" i="2"/>
  <c r="BN287" i="2"/>
  <c r="BM300" i="2" s="1"/>
  <c r="BM287" i="2"/>
  <c r="BL287" i="2"/>
  <c r="BK287" i="2"/>
  <c r="BR286" i="2"/>
  <c r="BQ286" i="2"/>
  <c r="BP286" i="2"/>
  <c r="BO286" i="2"/>
  <c r="BN286" i="2"/>
  <c r="BM299" i="2" s="1"/>
  <c r="BM286" i="2"/>
  <c r="BL286" i="2"/>
  <c r="BK286" i="2"/>
  <c r="BS285" i="2"/>
  <c r="BR285" i="2"/>
  <c r="BQ285" i="2"/>
  <c r="BP285" i="2"/>
  <c r="BO285" i="2"/>
  <c r="BN298" i="2" s="1"/>
  <c r="BN285" i="2"/>
  <c r="BM285" i="2"/>
  <c r="BL285" i="2"/>
  <c r="BK285" i="2"/>
  <c r="BT284" i="2"/>
  <c r="BS284" i="2"/>
  <c r="BR284" i="2"/>
  <c r="BQ284" i="2"/>
  <c r="BP297" i="2" s="1"/>
  <c r="BP284" i="2"/>
  <c r="BO284" i="2"/>
  <c r="BN284" i="2"/>
  <c r="BM284" i="2"/>
  <c r="BL284" i="2"/>
  <c r="BK284" i="2"/>
  <c r="BT273" i="2"/>
  <c r="BT274" i="2" s="1"/>
  <c r="BT275" i="2" s="1"/>
  <c r="BS272" i="2"/>
  <c r="BS273" i="2" s="1"/>
  <c r="BR272" i="2"/>
  <c r="BR273" i="2" s="1"/>
  <c r="BQ272" i="2"/>
  <c r="BQ273" i="2" s="1"/>
  <c r="BP272" i="2"/>
  <c r="BP273" i="2" s="1"/>
  <c r="BO272" i="2"/>
  <c r="BO273" i="2" s="1"/>
  <c r="BN272" i="2"/>
  <c r="BN273" i="2" s="1"/>
  <c r="BM272" i="2"/>
  <c r="BM273" i="2" s="1"/>
  <c r="BL272" i="2"/>
  <c r="BL273" i="2" s="1"/>
  <c r="BK272" i="2"/>
  <c r="BK273" i="2" s="1"/>
  <c r="BT238" i="2"/>
  <c r="BT239" i="2" s="1"/>
  <c r="BT240" i="2" s="1"/>
  <c r="BS237" i="2"/>
  <c r="BS238" i="2" s="1"/>
  <c r="BR237" i="2"/>
  <c r="BR238" i="2" s="1"/>
  <c r="BQ237" i="2"/>
  <c r="BQ238" i="2" s="1"/>
  <c r="BP237" i="2"/>
  <c r="BP238" i="2" s="1"/>
  <c r="BO237" i="2"/>
  <c r="BO238" i="2" s="1"/>
  <c r="BN237" i="2"/>
  <c r="BN238" i="2" s="1"/>
  <c r="BM237" i="2"/>
  <c r="BM238" i="2" s="1"/>
  <c r="BL237" i="2"/>
  <c r="BL238" i="2" s="1"/>
  <c r="BK237" i="2"/>
  <c r="BK238" i="2" s="1"/>
  <c r="BT203" i="2"/>
  <c r="BT204" i="2" s="1"/>
  <c r="BT205" i="2" s="1"/>
  <c r="BS202" i="2"/>
  <c r="BS203" i="2" s="1"/>
  <c r="BR202" i="2"/>
  <c r="BR203" i="2" s="1"/>
  <c r="BQ202" i="2"/>
  <c r="BQ203" i="2" s="1"/>
  <c r="BP202" i="2"/>
  <c r="BP203" i="2" s="1"/>
  <c r="BO202" i="2"/>
  <c r="BO203" i="2" s="1"/>
  <c r="BN202" i="2"/>
  <c r="BN203" i="2" s="1"/>
  <c r="BM202" i="2"/>
  <c r="BM203" i="2" s="1"/>
  <c r="BL202" i="2"/>
  <c r="BL203" i="2" s="1"/>
  <c r="BK202" i="2"/>
  <c r="BK203" i="2" s="1"/>
  <c r="BT165" i="2"/>
  <c r="BT166" i="2" s="1"/>
  <c r="BK150" i="2"/>
  <c r="BL149" i="2"/>
  <c r="BK149" i="2"/>
  <c r="BM148" i="2"/>
  <c r="BL148" i="2"/>
  <c r="BK148" i="2"/>
  <c r="BN147" i="2"/>
  <c r="BM147" i="2"/>
  <c r="BL147" i="2"/>
  <c r="BK147" i="2"/>
  <c r="BO146" i="2"/>
  <c r="BN159" i="2" s="1"/>
  <c r="BN146" i="2"/>
  <c r="BM146" i="2"/>
  <c r="BL146" i="2"/>
  <c r="BK146" i="2"/>
  <c r="BP145" i="2"/>
  <c r="BO145" i="2"/>
  <c r="BN145" i="2"/>
  <c r="BM145" i="2"/>
  <c r="BL158" i="2" s="1"/>
  <c r="BL145" i="2"/>
  <c r="BK145" i="2"/>
  <c r="BQ144" i="2"/>
  <c r="BP144" i="2"/>
  <c r="BO144" i="2"/>
  <c r="BN144" i="2"/>
  <c r="BM144" i="2"/>
  <c r="BL144" i="2"/>
  <c r="BK157" i="2" s="1"/>
  <c r="BK144" i="2"/>
  <c r="BR143" i="2"/>
  <c r="BQ143" i="2"/>
  <c r="BP143" i="2"/>
  <c r="BO143" i="2"/>
  <c r="BN143" i="2"/>
  <c r="BM143" i="2"/>
  <c r="BL143" i="2"/>
  <c r="BK156" i="2" s="1"/>
  <c r="BK143" i="2"/>
  <c r="BS142" i="2"/>
  <c r="BR142" i="2"/>
  <c r="BQ142" i="2"/>
  <c r="BP142" i="2"/>
  <c r="BO142" i="2"/>
  <c r="BN142" i="2"/>
  <c r="BM142" i="2"/>
  <c r="BL155" i="2" s="1"/>
  <c r="BL142" i="2"/>
  <c r="BK142" i="2"/>
  <c r="BT141" i="2"/>
  <c r="BS141" i="2"/>
  <c r="BR141" i="2"/>
  <c r="BQ141" i="2"/>
  <c r="BP141" i="2"/>
  <c r="BO141" i="2"/>
  <c r="BN154" i="2" s="1"/>
  <c r="BN141" i="2"/>
  <c r="BM141" i="2"/>
  <c r="BL141" i="2"/>
  <c r="BK141" i="2"/>
  <c r="BT130" i="2"/>
  <c r="BT131" i="2" s="1"/>
  <c r="BT132" i="2" s="1"/>
  <c r="BS129" i="2"/>
  <c r="BS130" i="2" s="1"/>
  <c r="BR129" i="2"/>
  <c r="BR130" i="2" s="1"/>
  <c r="BQ129" i="2"/>
  <c r="BQ130" i="2" s="1"/>
  <c r="BP129" i="2"/>
  <c r="BP130" i="2" s="1"/>
  <c r="BO129" i="2"/>
  <c r="BO130" i="2" s="1"/>
  <c r="BN129" i="2"/>
  <c r="BN130" i="2" s="1"/>
  <c r="BM129" i="2"/>
  <c r="BM130" i="2" s="1"/>
  <c r="BL129" i="2"/>
  <c r="BL130" i="2" s="1"/>
  <c r="BK129" i="2"/>
  <c r="BK130" i="2" s="1"/>
  <c r="BT96" i="2"/>
  <c r="BT97" i="2" s="1"/>
  <c r="BT95" i="2"/>
  <c r="BS94" i="2"/>
  <c r="BS95" i="2" s="1"/>
  <c r="BR94" i="2"/>
  <c r="BR95" i="2" s="1"/>
  <c r="BQ94" i="2"/>
  <c r="BQ95" i="2" s="1"/>
  <c r="BP94" i="2"/>
  <c r="BP95" i="2" s="1"/>
  <c r="BO94" i="2"/>
  <c r="BO95" i="2" s="1"/>
  <c r="BN94" i="2"/>
  <c r="BN95" i="2" s="1"/>
  <c r="BM94" i="2"/>
  <c r="BM95" i="2" s="1"/>
  <c r="BL94" i="2"/>
  <c r="BL95" i="2" s="1"/>
  <c r="BK94" i="2"/>
  <c r="BK95" i="2" s="1"/>
  <c r="BI67" i="2"/>
  <c r="BT60" i="2"/>
  <c r="BT61" i="2" s="1"/>
  <c r="BT62" i="2" s="1"/>
  <c r="BO60" i="2"/>
  <c r="BS59" i="2"/>
  <c r="BS60" i="2" s="1"/>
  <c r="BR59" i="2"/>
  <c r="BR60" i="2" s="1"/>
  <c r="BQ59" i="2"/>
  <c r="BQ60" i="2" s="1"/>
  <c r="BP59" i="2"/>
  <c r="BP60" i="2" s="1"/>
  <c r="BO59" i="2"/>
  <c r="BN59" i="2"/>
  <c r="BN60" i="2" s="1"/>
  <c r="BM59" i="2"/>
  <c r="BM60" i="2" s="1"/>
  <c r="BL59" i="2"/>
  <c r="BL60" i="2" s="1"/>
  <c r="BK59" i="2"/>
  <c r="BK60" i="2" s="1"/>
  <c r="BI45" i="2"/>
  <c r="BI44" i="2" s="1"/>
  <c r="BI43" i="2" s="1"/>
  <c r="BI42" i="2" s="1"/>
  <c r="BI41" i="2" s="1"/>
  <c r="BI40" i="2" s="1"/>
  <c r="BI39" i="2" s="1"/>
  <c r="BI38" i="2" s="1"/>
  <c r="BI37" i="2" s="1"/>
  <c r="BI36" i="2" s="1"/>
  <c r="BK35" i="2"/>
  <c r="BJ35" i="2" s="1"/>
  <c r="BI32" i="2"/>
  <c r="BT16" i="2"/>
  <c r="BS16" i="2"/>
  <c r="BR16" i="2"/>
  <c r="BQ16" i="2"/>
  <c r="BP16" i="2"/>
  <c r="BO16" i="2"/>
  <c r="BN16" i="2"/>
  <c r="BM16" i="2"/>
  <c r="BL16" i="2"/>
  <c r="BK16" i="2"/>
  <c r="BT15" i="2"/>
  <c r="BS15" i="2"/>
  <c r="BR15" i="2"/>
  <c r="BQ15" i="2"/>
  <c r="BP15" i="2"/>
  <c r="BO15" i="2"/>
  <c r="BN15" i="2"/>
  <c r="BM15" i="2"/>
  <c r="BL15" i="2"/>
  <c r="BK15" i="2"/>
  <c r="BT14" i="2"/>
  <c r="BS14" i="2"/>
  <c r="BR14" i="2"/>
  <c r="BQ14" i="2"/>
  <c r="BP14" i="2"/>
  <c r="BO14" i="2"/>
  <c r="BN14" i="2"/>
  <c r="BM14" i="2"/>
  <c r="BL14" i="2"/>
  <c r="BK14" i="2"/>
  <c r="BT13" i="2"/>
  <c r="BS13" i="2"/>
  <c r="BR13" i="2"/>
  <c r="BQ13" i="2"/>
  <c r="BP13" i="2"/>
  <c r="BO13" i="2"/>
  <c r="BN13" i="2"/>
  <c r="BM13" i="2"/>
  <c r="BL13" i="2"/>
  <c r="BK13" i="2"/>
  <c r="BT12" i="2"/>
  <c r="BS12" i="2"/>
  <c r="BR12" i="2"/>
  <c r="BQ12" i="2"/>
  <c r="BP12" i="2"/>
  <c r="BO12" i="2"/>
  <c r="BN12" i="2"/>
  <c r="BM12" i="2"/>
  <c r="BL12" i="2"/>
  <c r="BK12" i="2"/>
  <c r="BT11" i="2"/>
  <c r="BS11" i="2" s="1"/>
  <c r="BR11" i="2" s="1"/>
  <c r="BQ11" i="2" s="1"/>
  <c r="BP11" i="2" s="1"/>
  <c r="BO11" i="2" s="1"/>
  <c r="BN11" i="2" s="1"/>
  <c r="BM11" i="2" s="1"/>
  <c r="BL11" i="2" s="1"/>
  <c r="BK11" i="2" s="1"/>
  <c r="BI8" i="2"/>
  <c r="BI7" i="2"/>
  <c r="BI175" i="2"/>
  <c r="BH451" i="2"/>
  <c r="BH452" i="2" s="1"/>
  <c r="BH453" i="2" s="1"/>
  <c r="BG450" i="2"/>
  <c r="BG451" i="2" s="1"/>
  <c r="BF450" i="2"/>
  <c r="BF451" i="2" s="1"/>
  <c r="BE450" i="2"/>
  <c r="BE451" i="2" s="1"/>
  <c r="BD450" i="2"/>
  <c r="BD451" i="2" s="1"/>
  <c r="BC450" i="2"/>
  <c r="BC451" i="2" s="1"/>
  <c r="BB450" i="2"/>
  <c r="BB451" i="2" s="1"/>
  <c r="BA450" i="2"/>
  <c r="BA451" i="2" s="1"/>
  <c r="AZ450" i="2"/>
  <c r="AZ451" i="2" s="1"/>
  <c r="AY450" i="2"/>
  <c r="AY451" i="2" s="1"/>
  <c r="BH416" i="2"/>
  <c r="BH417" i="2" s="1"/>
  <c r="BH418" i="2" s="1"/>
  <c r="BG415" i="2"/>
  <c r="BG416" i="2" s="1"/>
  <c r="BF415" i="2"/>
  <c r="BF416" i="2" s="1"/>
  <c r="BE415" i="2"/>
  <c r="BE416" i="2" s="1"/>
  <c r="BD415" i="2"/>
  <c r="BD416" i="2" s="1"/>
  <c r="BC415" i="2"/>
  <c r="BC416" i="2" s="1"/>
  <c r="BB415" i="2"/>
  <c r="BB416" i="2" s="1"/>
  <c r="BA415" i="2"/>
  <c r="BA416" i="2" s="1"/>
  <c r="AZ415" i="2"/>
  <c r="AZ416" i="2" s="1"/>
  <c r="AY415" i="2"/>
  <c r="AY416" i="2" s="1"/>
  <c r="BH381" i="2"/>
  <c r="BH382" i="2" s="1"/>
  <c r="BH383" i="2" s="1"/>
  <c r="BG380" i="2"/>
  <c r="BG381" i="2" s="1"/>
  <c r="BF380" i="2"/>
  <c r="BF381" i="2" s="1"/>
  <c r="BE380" i="2"/>
  <c r="BE381" i="2" s="1"/>
  <c r="BD380" i="2"/>
  <c r="BD381" i="2" s="1"/>
  <c r="BC380" i="2"/>
  <c r="BC381" i="2" s="1"/>
  <c r="BB380" i="2"/>
  <c r="BB381" i="2" s="1"/>
  <c r="BA380" i="2"/>
  <c r="BA381" i="2" s="1"/>
  <c r="AZ380" i="2"/>
  <c r="AZ381" i="2" s="1"/>
  <c r="AY380" i="2"/>
  <c r="AY381" i="2" s="1"/>
  <c r="BH346" i="2"/>
  <c r="BH347" i="2" s="1"/>
  <c r="BH348" i="2" s="1"/>
  <c r="BG345" i="2"/>
  <c r="BG346" i="2" s="1"/>
  <c r="BF345" i="2"/>
  <c r="BF346" i="2" s="1"/>
  <c r="BE345" i="2"/>
  <c r="BE346" i="2" s="1"/>
  <c r="BD345" i="2"/>
  <c r="BD346" i="2" s="1"/>
  <c r="BC345" i="2"/>
  <c r="BC346" i="2" s="1"/>
  <c r="BB345" i="2"/>
  <c r="BB346" i="2" s="1"/>
  <c r="BA345" i="2"/>
  <c r="BA346" i="2" s="1"/>
  <c r="AZ345" i="2"/>
  <c r="AZ346" i="2" s="1"/>
  <c r="AY345" i="2"/>
  <c r="AY346" i="2" s="1"/>
  <c r="BH308" i="2"/>
  <c r="BH309" i="2" s="1"/>
  <c r="AY293" i="2"/>
  <c r="AZ292" i="2"/>
  <c r="AY292" i="2"/>
  <c r="BA291" i="2"/>
  <c r="AZ291" i="2"/>
  <c r="AY291" i="2"/>
  <c r="BB290" i="2"/>
  <c r="BA290" i="2"/>
  <c r="AZ290" i="2"/>
  <c r="AY290" i="2"/>
  <c r="BC289" i="2"/>
  <c r="BB289" i="2"/>
  <c r="BA289" i="2"/>
  <c r="AZ289" i="2"/>
  <c r="AY289" i="2"/>
  <c r="BD288" i="2"/>
  <c r="BC288" i="2"/>
  <c r="BB288" i="2"/>
  <c r="BA288" i="2"/>
  <c r="AZ288" i="2"/>
  <c r="AY288" i="2"/>
  <c r="BE287" i="2"/>
  <c r="BD287" i="2"/>
  <c r="BC287" i="2"/>
  <c r="BB287" i="2"/>
  <c r="BA287" i="2"/>
  <c r="AZ287" i="2"/>
  <c r="AY287" i="2"/>
  <c r="BF286" i="2"/>
  <c r="BE286" i="2"/>
  <c r="BD286" i="2"/>
  <c r="BC286" i="2"/>
  <c r="BB286" i="2"/>
  <c r="BA286" i="2"/>
  <c r="AZ286" i="2"/>
  <c r="AY286" i="2"/>
  <c r="BG285" i="2"/>
  <c r="BF285" i="2"/>
  <c r="BE285" i="2"/>
  <c r="BD285" i="2"/>
  <c r="BC285" i="2"/>
  <c r="BB285" i="2"/>
  <c r="BA285" i="2"/>
  <c r="AZ285" i="2"/>
  <c r="AY285" i="2"/>
  <c r="BH284" i="2"/>
  <c r="BG284" i="2"/>
  <c r="BF284" i="2"/>
  <c r="BE284" i="2"/>
  <c r="BD284" i="2"/>
  <c r="BC284" i="2"/>
  <c r="BB284" i="2"/>
  <c r="BA284" i="2"/>
  <c r="AZ284" i="2"/>
  <c r="AY284" i="2"/>
  <c r="AW280" i="2"/>
  <c r="BH273" i="2"/>
  <c r="BH274" i="2" s="1"/>
  <c r="BH275" i="2" s="1"/>
  <c r="BG272" i="2"/>
  <c r="BG273" i="2" s="1"/>
  <c r="BF272" i="2"/>
  <c r="BF273" i="2" s="1"/>
  <c r="BE272" i="2"/>
  <c r="BE273" i="2" s="1"/>
  <c r="BD272" i="2"/>
  <c r="BD273" i="2" s="1"/>
  <c r="BC272" i="2"/>
  <c r="BC273" i="2" s="1"/>
  <c r="BB272" i="2"/>
  <c r="BB273" i="2" s="1"/>
  <c r="BA272" i="2"/>
  <c r="BA273" i="2" s="1"/>
  <c r="AZ272" i="2"/>
  <c r="AZ273" i="2" s="1"/>
  <c r="AY272" i="2"/>
  <c r="AY273" i="2" s="1"/>
  <c r="BH238" i="2"/>
  <c r="BH239" i="2" s="1"/>
  <c r="BH240" i="2" s="1"/>
  <c r="BG237" i="2"/>
  <c r="BG238" i="2" s="1"/>
  <c r="BF237" i="2"/>
  <c r="BF238" i="2" s="1"/>
  <c r="BE237" i="2"/>
  <c r="BE238" i="2" s="1"/>
  <c r="BD237" i="2"/>
  <c r="BD238" i="2" s="1"/>
  <c r="BC237" i="2"/>
  <c r="BC238" i="2" s="1"/>
  <c r="BB237" i="2"/>
  <c r="BB238" i="2" s="1"/>
  <c r="BA237" i="2"/>
  <c r="BA238" i="2" s="1"/>
  <c r="AZ237" i="2"/>
  <c r="AZ238" i="2" s="1"/>
  <c r="AY237" i="2"/>
  <c r="AY238" i="2" s="1"/>
  <c r="BH203" i="2"/>
  <c r="BH204" i="2" s="1"/>
  <c r="BH205" i="2" s="1"/>
  <c r="BG202" i="2"/>
  <c r="BG203" i="2" s="1"/>
  <c r="BF202" i="2"/>
  <c r="BF203" i="2" s="1"/>
  <c r="BE202" i="2"/>
  <c r="BE203" i="2" s="1"/>
  <c r="BD202" i="2"/>
  <c r="BD203" i="2" s="1"/>
  <c r="BC202" i="2"/>
  <c r="BC203" i="2" s="1"/>
  <c r="BB202" i="2"/>
  <c r="BB203" i="2" s="1"/>
  <c r="BA202" i="2"/>
  <c r="BA203" i="2" s="1"/>
  <c r="AZ202" i="2"/>
  <c r="AZ203" i="2" s="1"/>
  <c r="AY202" i="2"/>
  <c r="AY203" i="2" s="1"/>
  <c r="BH165" i="2"/>
  <c r="BH166" i="2" s="1"/>
  <c r="AY150" i="2"/>
  <c r="AZ149" i="2"/>
  <c r="AY149" i="2"/>
  <c r="BA148" i="2"/>
  <c r="AZ148" i="2"/>
  <c r="AY148" i="2"/>
  <c r="BB147" i="2"/>
  <c r="BA147" i="2"/>
  <c r="AZ147" i="2"/>
  <c r="AY147" i="2"/>
  <c r="BC146" i="2"/>
  <c r="BB146" i="2"/>
  <c r="BA146" i="2"/>
  <c r="AZ146" i="2"/>
  <c r="AY146" i="2"/>
  <c r="BD145" i="2"/>
  <c r="BC145" i="2"/>
  <c r="BB145" i="2"/>
  <c r="BA145" i="2"/>
  <c r="AZ145" i="2"/>
  <c r="AY145" i="2"/>
  <c r="BE144" i="2"/>
  <c r="BD144" i="2"/>
  <c r="BC144" i="2"/>
  <c r="BB144" i="2"/>
  <c r="BA144" i="2"/>
  <c r="AZ144" i="2"/>
  <c r="AY144" i="2"/>
  <c r="BF143" i="2"/>
  <c r="BE143" i="2"/>
  <c r="BD143" i="2"/>
  <c r="BC143" i="2"/>
  <c r="BB143" i="2"/>
  <c r="BA143" i="2"/>
  <c r="AZ143" i="2"/>
  <c r="AY143" i="2"/>
  <c r="BG142" i="2"/>
  <c r="BF142" i="2"/>
  <c r="BE142" i="2"/>
  <c r="BD142" i="2"/>
  <c r="BC142" i="2"/>
  <c r="BB142" i="2"/>
  <c r="BA142" i="2"/>
  <c r="AZ142" i="2"/>
  <c r="AY142" i="2"/>
  <c r="BH141" i="2"/>
  <c r="BG141" i="2"/>
  <c r="BF141" i="2"/>
  <c r="BE141" i="2"/>
  <c r="BD141" i="2"/>
  <c r="BC141" i="2"/>
  <c r="BB141" i="2"/>
  <c r="BA141" i="2"/>
  <c r="AZ141" i="2"/>
  <c r="AY141" i="2"/>
  <c r="BH130" i="2"/>
  <c r="BH131" i="2" s="1"/>
  <c r="BH132" i="2" s="1"/>
  <c r="BG129" i="2"/>
  <c r="BG130" i="2" s="1"/>
  <c r="BF129" i="2"/>
  <c r="BF130" i="2" s="1"/>
  <c r="BE129" i="2"/>
  <c r="BE130" i="2" s="1"/>
  <c r="BD129" i="2"/>
  <c r="BD130" i="2" s="1"/>
  <c r="BC129" i="2"/>
  <c r="BC130" i="2" s="1"/>
  <c r="BB129" i="2"/>
  <c r="BB130" i="2" s="1"/>
  <c r="BA129" i="2"/>
  <c r="BA130" i="2" s="1"/>
  <c r="AZ129" i="2"/>
  <c r="AZ130" i="2" s="1"/>
  <c r="AY129" i="2"/>
  <c r="AY130" i="2" s="1"/>
  <c r="BH95" i="2"/>
  <c r="BH96" i="2" s="1"/>
  <c r="BH97" i="2" s="1"/>
  <c r="BG94" i="2"/>
  <c r="BG95" i="2" s="1"/>
  <c r="BF94" i="2"/>
  <c r="BF95" i="2" s="1"/>
  <c r="BE94" i="2"/>
  <c r="BE95" i="2" s="1"/>
  <c r="BD94" i="2"/>
  <c r="BD95" i="2" s="1"/>
  <c r="BC94" i="2"/>
  <c r="BC95" i="2" s="1"/>
  <c r="BB94" i="2"/>
  <c r="BB95" i="2" s="1"/>
  <c r="BA94" i="2"/>
  <c r="BA95" i="2" s="1"/>
  <c r="AZ94" i="2"/>
  <c r="AZ95" i="2" s="1"/>
  <c r="AY94" i="2"/>
  <c r="AY95" i="2" s="1"/>
  <c r="AW67" i="2"/>
  <c r="BH60" i="2"/>
  <c r="BH61" i="2" s="1"/>
  <c r="BH62" i="2" s="1"/>
  <c r="BG59" i="2"/>
  <c r="BG60" i="2" s="1"/>
  <c r="BF59" i="2"/>
  <c r="BF60" i="2" s="1"/>
  <c r="BE59" i="2"/>
  <c r="BE60" i="2" s="1"/>
  <c r="BD59" i="2"/>
  <c r="BD60" i="2" s="1"/>
  <c r="BC59" i="2"/>
  <c r="BC60" i="2" s="1"/>
  <c r="BB59" i="2"/>
  <c r="BB60" i="2" s="1"/>
  <c r="BA59" i="2"/>
  <c r="BA60" i="2" s="1"/>
  <c r="AZ59" i="2"/>
  <c r="AZ60" i="2" s="1"/>
  <c r="AY59" i="2"/>
  <c r="AY60" i="2" s="1"/>
  <c r="AW45" i="2"/>
  <c r="AW44" i="2" s="1"/>
  <c r="AW43" i="2" s="1"/>
  <c r="AW42" i="2" s="1"/>
  <c r="AW41" i="2" s="1"/>
  <c r="AW40" i="2" s="1"/>
  <c r="AW39" i="2" s="1"/>
  <c r="AW38" i="2" s="1"/>
  <c r="AW37" i="2" s="1"/>
  <c r="AW36" i="2" s="1"/>
  <c r="AY35" i="2"/>
  <c r="BH16" i="2"/>
  <c r="BG16" i="2"/>
  <c r="BF16" i="2"/>
  <c r="BE16" i="2"/>
  <c r="BD16" i="2"/>
  <c r="BC16" i="2"/>
  <c r="BB16" i="2"/>
  <c r="BA16" i="2"/>
  <c r="AZ16" i="2"/>
  <c r="AY16" i="2"/>
  <c r="BH15" i="2"/>
  <c r="BG15" i="2"/>
  <c r="BF15" i="2"/>
  <c r="BE15" i="2"/>
  <c r="BD15" i="2"/>
  <c r="BC15" i="2"/>
  <c r="BB15" i="2"/>
  <c r="BA15" i="2"/>
  <c r="AZ15" i="2"/>
  <c r="AY15" i="2"/>
  <c r="BH14" i="2"/>
  <c r="BG14" i="2"/>
  <c r="BF14" i="2"/>
  <c r="BE14" i="2"/>
  <c r="BD14" i="2"/>
  <c r="BC14" i="2"/>
  <c r="BB14" i="2"/>
  <c r="BA14" i="2"/>
  <c r="AZ14" i="2"/>
  <c r="AY14" i="2"/>
  <c r="BH13" i="2"/>
  <c r="BG13" i="2"/>
  <c r="BF13" i="2"/>
  <c r="BE13" i="2"/>
  <c r="BD13" i="2"/>
  <c r="BC13" i="2"/>
  <c r="BB13" i="2"/>
  <c r="BA13" i="2"/>
  <c r="AZ13" i="2"/>
  <c r="AY13" i="2"/>
  <c r="BH12" i="2"/>
  <c r="BG12" i="2"/>
  <c r="BF12" i="2"/>
  <c r="BE12" i="2"/>
  <c r="BD12" i="2"/>
  <c r="BC12" i="2"/>
  <c r="BB12" i="2"/>
  <c r="BA12" i="2"/>
  <c r="AZ12" i="2"/>
  <c r="AY12" i="2"/>
  <c r="BH11" i="2"/>
  <c r="BG11" i="2" s="1"/>
  <c r="BF11" i="2" s="1"/>
  <c r="BE11" i="2" s="1"/>
  <c r="BD11" i="2" s="1"/>
  <c r="BC11" i="2" s="1"/>
  <c r="BB11" i="2" s="1"/>
  <c r="BA11" i="2" s="1"/>
  <c r="AZ11" i="2" s="1"/>
  <c r="AY11" i="2" s="1"/>
  <c r="AW8" i="2"/>
  <c r="AW7" i="2"/>
  <c r="AV451" i="2"/>
  <c r="AV452" i="2" s="1"/>
  <c r="AV453" i="2" s="1"/>
  <c r="AU450" i="2"/>
  <c r="AU451" i="2" s="1"/>
  <c r="AT450" i="2"/>
  <c r="AT451" i="2" s="1"/>
  <c r="AS450" i="2"/>
  <c r="AS451" i="2" s="1"/>
  <c r="AR450" i="2"/>
  <c r="AR451" i="2" s="1"/>
  <c r="AQ450" i="2"/>
  <c r="AQ451" i="2" s="1"/>
  <c r="AP450" i="2"/>
  <c r="AP451" i="2" s="1"/>
  <c r="AO450" i="2"/>
  <c r="AO451" i="2" s="1"/>
  <c r="AN450" i="2"/>
  <c r="AN451" i="2" s="1"/>
  <c r="AM450" i="2"/>
  <c r="AM451" i="2" s="1"/>
  <c r="AV416" i="2"/>
  <c r="AV417" i="2" s="1"/>
  <c r="AV418" i="2" s="1"/>
  <c r="AU415" i="2"/>
  <c r="AU416" i="2" s="1"/>
  <c r="AT415" i="2"/>
  <c r="AT416" i="2" s="1"/>
  <c r="AS415" i="2"/>
  <c r="AS416" i="2" s="1"/>
  <c r="AR415" i="2"/>
  <c r="AR416" i="2" s="1"/>
  <c r="AQ415" i="2"/>
  <c r="AQ416" i="2" s="1"/>
  <c r="AP415" i="2"/>
  <c r="AP416" i="2" s="1"/>
  <c r="AO415" i="2"/>
  <c r="AO416" i="2" s="1"/>
  <c r="AN415" i="2"/>
  <c r="AN416" i="2" s="1"/>
  <c r="AM415" i="2"/>
  <c r="AM416" i="2" s="1"/>
  <c r="AV381" i="2"/>
  <c r="AV382" i="2" s="1"/>
  <c r="AV383" i="2" s="1"/>
  <c r="AU380" i="2"/>
  <c r="AU381" i="2" s="1"/>
  <c r="AT380" i="2"/>
  <c r="AT381" i="2" s="1"/>
  <c r="AS380" i="2"/>
  <c r="AS381" i="2" s="1"/>
  <c r="AR380" i="2"/>
  <c r="AR381" i="2" s="1"/>
  <c r="AQ380" i="2"/>
  <c r="AQ381" i="2" s="1"/>
  <c r="AP380" i="2"/>
  <c r="AP381" i="2" s="1"/>
  <c r="AO380" i="2"/>
  <c r="AO381" i="2" s="1"/>
  <c r="AN380" i="2"/>
  <c r="AN381" i="2" s="1"/>
  <c r="AM380" i="2"/>
  <c r="AM381" i="2" s="1"/>
  <c r="AV346" i="2"/>
  <c r="AV347" i="2" s="1"/>
  <c r="AV348" i="2" s="1"/>
  <c r="AU345" i="2"/>
  <c r="AU346" i="2" s="1"/>
  <c r="AT345" i="2"/>
  <c r="AT346" i="2" s="1"/>
  <c r="AS345" i="2"/>
  <c r="AS346" i="2" s="1"/>
  <c r="AR345" i="2"/>
  <c r="AR346" i="2" s="1"/>
  <c r="AQ345" i="2"/>
  <c r="AQ346" i="2" s="1"/>
  <c r="AP345" i="2"/>
  <c r="AP346" i="2" s="1"/>
  <c r="AO345" i="2"/>
  <c r="AO346" i="2" s="1"/>
  <c r="AN345" i="2"/>
  <c r="AN346" i="2" s="1"/>
  <c r="AM345" i="2"/>
  <c r="AM346" i="2" s="1"/>
  <c r="AV308" i="2"/>
  <c r="AV309" i="2" s="1"/>
  <c r="AM293" i="2"/>
  <c r="AN292" i="2"/>
  <c r="AM292" i="2"/>
  <c r="AO291" i="2"/>
  <c r="AN291" i="2"/>
  <c r="AM291" i="2"/>
  <c r="AP290" i="2"/>
  <c r="AO290" i="2"/>
  <c r="AN290" i="2"/>
  <c r="AM290" i="2"/>
  <c r="AQ289" i="2"/>
  <c r="AP289" i="2"/>
  <c r="AO289" i="2"/>
  <c r="AN289" i="2"/>
  <c r="AM289" i="2"/>
  <c r="AR288" i="2"/>
  <c r="AQ288" i="2"/>
  <c r="AP288" i="2"/>
  <c r="AO288" i="2"/>
  <c r="AN288" i="2"/>
  <c r="AM288" i="2"/>
  <c r="AS287" i="2"/>
  <c r="AR287" i="2"/>
  <c r="AQ287" i="2"/>
  <c r="AP287" i="2"/>
  <c r="AO287" i="2"/>
  <c r="AN287" i="2"/>
  <c r="AM287" i="2"/>
  <c r="AT286" i="2"/>
  <c r="AS286" i="2"/>
  <c r="AR286" i="2"/>
  <c r="AQ286" i="2"/>
  <c r="AP286" i="2"/>
  <c r="AO286" i="2"/>
  <c r="AN286" i="2"/>
  <c r="AM286" i="2"/>
  <c r="AU285" i="2"/>
  <c r="AT285" i="2"/>
  <c r="AS285" i="2"/>
  <c r="AR285" i="2"/>
  <c r="AQ285" i="2"/>
  <c r="AP285" i="2"/>
  <c r="AO285" i="2"/>
  <c r="AN285" i="2"/>
  <c r="AM285" i="2"/>
  <c r="AV284" i="2"/>
  <c r="AU284" i="2"/>
  <c r="AT284" i="2"/>
  <c r="AS284" i="2"/>
  <c r="AR284" i="2"/>
  <c r="AQ284" i="2"/>
  <c r="AP284" i="2"/>
  <c r="AO284" i="2"/>
  <c r="AN284" i="2"/>
  <c r="AM284" i="2"/>
  <c r="AV273" i="2"/>
  <c r="AV274" i="2" s="1"/>
  <c r="AV275" i="2" s="1"/>
  <c r="AU272" i="2"/>
  <c r="AU273" i="2" s="1"/>
  <c r="AT272" i="2"/>
  <c r="AT273" i="2" s="1"/>
  <c r="AS272" i="2"/>
  <c r="AS273" i="2" s="1"/>
  <c r="AR272" i="2"/>
  <c r="AR273" i="2" s="1"/>
  <c r="AQ272" i="2"/>
  <c r="AQ273" i="2" s="1"/>
  <c r="AP272" i="2"/>
  <c r="AP273" i="2" s="1"/>
  <c r="AO272" i="2"/>
  <c r="AO273" i="2" s="1"/>
  <c r="AN272" i="2"/>
  <c r="AN273" i="2" s="1"/>
  <c r="AM272" i="2"/>
  <c r="AM273" i="2" s="1"/>
  <c r="AV238" i="2"/>
  <c r="AV239" i="2" s="1"/>
  <c r="AV240" i="2" s="1"/>
  <c r="AU237" i="2"/>
  <c r="AU238" i="2" s="1"/>
  <c r="AT237" i="2"/>
  <c r="AT238" i="2" s="1"/>
  <c r="AS237" i="2"/>
  <c r="AS238" i="2" s="1"/>
  <c r="AR237" i="2"/>
  <c r="AR238" i="2" s="1"/>
  <c r="AQ237" i="2"/>
  <c r="AQ238" i="2" s="1"/>
  <c r="AP237" i="2"/>
  <c r="AP238" i="2" s="1"/>
  <c r="AO237" i="2"/>
  <c r="AO238" i="2" s="1"/>
  <c r="AN237" i="2"/>
  <c r="AN238" i="2" s="1"/>
  <c r="AM237" i="2"/>
  <c r="AM238" i="2" s="1"/>
  <c r="AV203" i="2"/>
  <c r="AV204" i="2" s="1"/>
  <c r="AV205" i="2" s="1"/>
  <c r="AU202" i="2"/>
  <c r="AU203" i="2" s="1"/>
  <c r="AT202" i="2"/>
  <c r="AT203" i="2" s="1"/>
  <c r="AS202" i="2"/>
  <c r="AS203" i="2" s="1"/>
  <c r="AR202" i="2"/>
  <c r="AR203" i="2" s="1"/>
  <c r="AQ202" i="2"/>
  <c r="AQ203" i="2" s="1"/>
  <c r="AP202" i="2"/>
  <c r="AP203" i="2" s="1"/>
  <c r="AO202" i="2"/>
  <c r="AO203" i="2" s="1"/>
  <c r="AN202" i="2"/>
  <c r="AN203" i="2" s="1"/>
  <c r="AM202" i="2"/>
  <c r="AM203" i="2" s="1"/>
  <c r="AV165" i="2"/>
  <c r="AV166" i="2" s="1"/>
  <c r="AM150" i="2"/>
  <c r="AN149" i="2"/>
  <c r="AM149" i="2"/>
  <c r="AO148" i="2"/>
  <c r="AN148" i="2"/>
  <c r="AM148" i="2"/>
  <c r="AP147" i="2"/>
  <c r="AO147" i="2"/>
  <c r="AN147" i="2"/>
  <c r="AM147" i="2"/>
  <c r="AQ146" i="2"/>
  <c r="AP146" i="2"/>
  <c r="AO146" i="2"/>
  <c r="AN146" i="2"/>
  <c r="AM146" i="2"/>
  <c r="AR145" i="2"/>
  <c r="AQ145" i="2"/>
  <c r="AP145" i="2"/>
  <c r="AO145" i="2"/>
  <c r="AN145" i="2"/>
  <c r="AM145" i="2"/>
  <c r="AS144" i="2"/>
  <c r="AR144" i="2"/>
  <c r="AQ144" i="2"/>
  <c r="AP144" i="2"/>
  <c r="AO144" i="2"/>
  <c r="AN144" i="2"/>
  <c r="AM144" i="2"/>
  <c r="AT143" i="2"/>
  <c r="AS143" i="2"/>
  <c r="AR143" i="2"/>
  <c r="AQ143" i="2"/>
  <c r="AP143" i="2"/>
  <c r="AO143" i="2"/>
  <c r="AN143" i="2"/>
  <c r="AM143" i="2"/>
  <c r="AU142" i="2"/>
  <c r="AT142" i="2"/>
  <c r="AS142" i="2"/>
  <c r="AR142" i="2"/>
  <c r="AQ142" i="2"/>
  <c r="AP142" i="2"/>
  <c r="AO142" i="2"/>
  <c r="AN142" i="2"/>
  <c r="AM142" i="2"/>
  <c r="AV141" i="2"/>
  <c r="AU141" i="2"/>
  <c r="AT141" i="2"/>
  <c r="AS141" i="2"/>
  <c r="AR141" i="2"/>
  <c r="AQ141" i="2"/>
  <c r="AP141" i="2"/>
  <c r="AO141" i="2"/>
  <c r="AN141" i="2"/>
  <c r="AM141" i="2"/>
  <c r="AV130" i="2"/>
  <c r="AV131" i="2" s="1"/>
  <c r="AV132" i="2" s="1"/>
  <c r="AU129" i="2"/>
  <c r="AU130" i="2" s="1"/>
  <c r="AT129" i="2"/>
  <c r="AT130" i="2" s="1"/>
  <c r="AS129" i="2"/>
  <c r="AS130" i="2" s="1"/>
  <c r="AR129" i="2"/>
  <c r="AR130" i="2" s="1"/>
  <c r="AQ129" i="2"/>
  <c r="AQ130" i="2" s="1"/>
  <c r="AP129" i="2"/>
  <c r="AP130" i="2" s="1"/>
  <c r="AO129" i="2"/>
  <c r="AO130" i="2" s="1"/>
  <c r="AN129" i="2"/>
  <c r="AN130" i="2" s="1"/>
  <c r="AM129" i="2"/>
  <c r="AM130" i="2" s="1"/>
  <c r="AV95" i="2"/>
  <c r="AV96" i="2" s="1"/>
  <c r="AV97" i="2" s="1"/>
  <c r="AU94" i="2"/>
  <c r="AU95" i="2" s="1"/>
  <c r="AT94" i="2"/>
  <c r="AT95" i="2" s="1"/>
  <c r="AS94" i="2"/>
  <c r="AS95" i="2" s="1"/>
  <c r="AR94" i="2"/>
  <c r="AR95" i="2" s="1"/>
  <c r="AQ94" i="2"/>
  <c r="AQ95" i="2" s="1"/>
  <c r="AP94" i="2"/>
  <c r="AP95" i="2" s="1"/>
  <c r="AO94" i="2"/>
  <c r="AO95" i="2" s="1"/>
  <c r="AN94" i="2"/>
  <c r="AN95" i="2" s="1"/>
  <c r="AM94" i="2"/>
  <c r="AM95" i="2" s="1"/>
  <c r="AV60" i="2"/>
  <c r="AV61" i="2" s="1"/>
  <c r="AV62" i="2" s="1"/>
  <c r="AU59" i="2"/>
  <c r="AU60" i="2" s="1"/>
  <c r="AT59" i="2"/>
  <c r="AT60" i="2" s="1"/>
  <c r="AS59" i="2"/>
  <c r="AS60" i="2" s="1"/>
  <c r="AR59" i="2"/>
  <c r="AR60" i="2" s="1"/>
  <c r="AQ59" i="2"/>
  <c r="AQ60" i="2" s="1"/>
  <c r="AP59" i="2"/>
  <c r="AP60" i="2" s="1"/>
  <c r="AO59" i="2"/>
  <c r="AO60" i="2" s="1"/>
  <c r="AN59" i="2"/>
  <c r="AN60" i="2" s="1"/>
  <c r="AM59" i="2"/>
  <c r="AM60" i="2" s="1"/>
  <c r="AK45" i="2"/>
  <c r="AK44" i="2" s="1"/>
  <c r="AK43" i="2" s="1"/>
  <c r="AK42" i="2" s="1"/>
  <c r="AK41" i="2" s="1"/>
  <c r="AK40" i="2" s="1"/>
  <c r="AK39" i="2" s="1"/>
  <c r="AK38" i="2" s="1"/>
  <c r="AK37" i="2" s="1"/>
  <c r="AK36" i="2" s="1"/>
  <c r="AM35" i="2"/>
  <c r="AL35" i="2" s="1"/>
  <c r="AV16" i="2"/>
  <c r="AU16" i="2"/>
  <c r="AT16" i="2"/>
  <c r="AS16" i="2"/>
  <c r="AR16" i="2"/>
  <c r="AQ16" i="2"/>
  <c r="AP16" i="2"/>
  <c r="AO16" i="2"/>
  <c r="AN16" i="2"/>
  <c r="AM16" i="2"/>
  <c r="AV15" i="2"/>
  <c r="AU15" i="2"/>
  <c r="AT15" i="2"/>
  <c r="AS15" i="2"/>
  <c r="AR15" i="2"/>
  <c r="AQ15" i="2"/>
  <c r="AP15" i="2"/>
  <c r="AO15" i="2"/>
  <c r="AN15" i="2"/>
  <c r="AM15" i="2"/>
  <c r="AV14" i="2"/>
  <c r="AU14" i="2"/>
  <c r="AT14" i="2"/>
  <c r="AS14" i="2"/>
  <c r="AR14" i="2"/>
  <c r="AQ14" i="2"/>
  <c r="AP14" i="2"/>
  <c r="AO14" i="2"/>
  <c r="AN14" i="2"/>
  <c r="AM14" i="2"/>
  <c r="AV13" i="2"/>
  <c r="AU13" i="2"/>
  <c r="AT13" i="2"/>
  <c r="AS13" i="2"/>
  <c r="AR13" i="2"/>
  <c r="AQ13" i="2"/>
  <c r="AP13" i="2"/>
  <c r="AO13" i="2"/>
  <c r="AN13" i="2"/>
  <c r="AM13" i="2"/>
  <c r="AV12" i="2"/>
  <c r="AU12" i="2"/>
  <c r="AT12" i="2"/>
  <c r="AS12" i="2"/>
  <c r="AR12" i="2"/>
  <c r="AQ12" i="2"/>
  <c r="AP12" i="2"/>
  <c r="AO12" i="2"/>
  <c r="AN12" i="2"/>
  <c r="AM12" i="2"/>
  <c r="AV11" i="2"/>
  <c r="AU11" i="2" s="1"/>
  <c r="AT11" i="2" s="1"/>
  <c r="AS11" i="2" s="1"/>
  <c r="AR11" i="2" s="1"/>
  <c r="AQ11" i="2" s="1"/>
  <c r="AP11" i="2" s="1"/>
  <c r="AO11" i="2" s="1"/>
  <c r="AN11" i="2" s="1"/>
  <c r="AM11" i="2" s="1"/>
  <c r="AK8" i="2"/>
  <c r="AK7" i="2"/>
  <c r="AJ451" i="2"/>
  <c r="AJ452" i="2" s="1"/>
  <c r="AJ453" i="2" s="1"/>
  <c r="AI450" i="2"/>
  <c r="AI451" i="2" s="1"/>
  <c r="AH450" i="2"/>
  <c r="AH451" i="2" s="1"/>
  <c r="AG450" i="2"/>
  <c r="AG451" i="2" s="1"/>
  <c r="AF450" i="2"/>
  <c r="AF451" i="2" s="1"/>
  <c r="AE450" i="2"/>
  <c r="AE451" i="2" s="1"/>
  <c r="AD450" i="2"/>
  <c r="AD451" i="2" s="1"/>
  <c r="AC450" i="2"/>
  <c r="AC451" i="2" s="1"/>
  <c r="AB450" i="2"/>
  <c r="AB451" i="2" s="1"/>
  <c r="AA450" i="2"/>
  <c r="AA451" i="2" s="1"/>
  <c r="AJ416" i="2"/>
  <c r="AJ417" i="2" s="1"/>
  <c r="AJ418" i="2" s="1"/>
  <c r="AI415" i="2"/>
  <c r="AI416" i="2" s="1"/>
  <c r="AH415" i="2"/>
  <c r="AH416" i="2" s="1"/>
  <c r="AG415" i="2"/>
  <c r="AG416" i="2" s="1"/>
  <c r="AF415" i="2"/>
  <c r="AF416" i="2" s="1"/>
  <c r="AE415" i="2"/>
  <c r="AE416" i="2" s="1"/>
  <c r="AD415" i="2"/>
  <c r="AD416" i="2" s="1"/>
  <c r="AC415" i="2"/>
  <c r="AC416" i="2" s="1"/>
  <c r="AB415" i="2"/>
  <c r="AB416" i="2" s="1"/>
  <c r="AA415" i="2"/>
  <c r="AA416" i="2" s="1"/>
  <c r="AJ381" i="2"/>
  <c r="AJ382" i="2" s="1"/>
  <c r="AJ383" i="2" s="1"/>
  <c r="AI380" i="2"/>
  <c r="AI381" i="2" s="1"/>
  <c r="AH380" i="2"/>
  <c r="AH381" i="2" s="1"/>
  <c r="AG380" i="2"/>
  <c r="AG381" i="2" s="1"/>
  <c r="AF380" i="2"/>
  <c r="AF381" i="2" s="1"/>
  <c r="AE380" i="2"/>
  <c r="AE381" i="2" s="1"/>
  <c r="AD380" i="2"/>
  <c r="AD381" i="2" s="1"/>
  <c r="AC380" i="2"/>
  <c r="AC381" i="2" s="1"/>
  <c r="AB380" i="2"/>
  <c r="AB381" i="2" s="1"/>
  <c r="AA380" i="2"/>
  <c r="AA381" i="2" s="1"/>
  <c r="AJ346" i="2"/>
  <c r="AJ347" i="2" s="1"/>
  <c r="AJ348" i="2" s="1"/>
  <c r="AI345" i="2"/>
  <c r="AI346" i="2" s="1"/>
  <c r="AH345" i="2"/>
  <c r="AH346" i="2" s="1"/>
  <c r="AG345" i="2"/>
  <c r="AG346" i="2" s="1"/>
  <c r="AF345" i="2"/>
  <c r="AF346" i="2" s="1"/>
  <c r="AE345" i="2"/>
  <c r="AE346" i="2" s="1"/>
  <c r="AD345" i="2"/>
  <c r="AD346" i="2" s="1"/>
  <c r="AC345" i="2"/>
  <c r="AC346" i="2" s="1"/>
  <c r="AB345" i="2"/>
  <c r="AB346" i="2" s="1"/>
  <c r="AA345" i="2"/>
  <c r="AA346" i="2" s="1"/>
  <c r="AJ308" i="2"/>
  <c r="AJ309" i="2" s="1"/>
  <c r="AA293" i="2"/>
  <c r="AB292" i="2"/>
  <c r="AA292" i="2"/>
  <c r="AC291" i="2"/>
  <c r="AB291" i="2"/>
  <c r="AA291" i="2"/>
  <c r="AD290" i="2"/>
  <c r="AC290" i="2"/>
  <c r="AB290" i="2"/>
  <c r="AA290" i="2"/>
  <c r="AE289" i="2"/>
  <c r="AD289" i="2"/>
  <c r="AC289" i="2"/>
  <c r="AB289" i="2"/>
  <c r="AA289" i="2"/>
  <c r="AF288" i="2"/>
  <c r="AE288" i="2"/>
  <c r="AD288" i="2"/>
  <c r="AC288" i="2"/>
  <c r="AB288" i="2"/>
  <c r="AA288" i="2"/>
  <c r="AG287" i="2"/>
  <c r="AF287" i="2"/>
  <c r="AE287" i="2"/>
  <c r="AD287" i="2"/>
  <c r="AC287" i="2"/>
  <c r="AB287" i="2"/>
  <c r="AA287" i="2"/>
  <c r="AH286" i="2"/>
  <c r="AG286" i="2"/>
  <c r="AF286" i="2"/>
  <c r="AE286" i="2"/>
  <c r="AD286" i="2"/>
  <c r="AC286" i="2"/>
  <c r="AB286" i="2"/>
  <c r="AA286" i="2"/>
  <c r="AI285" i="2"/>
  <c r="AH285" i="2"/>
  <c r="AG285" i="2"/>
  <c r="AF285" i="2"/>
  <c r="AE285" i="2"/>
  <c r="AD285" i="2"/>
  <c r="AC285" i="2"/>
  <c r="AB285" i="2"/>
  <c r="AA285" i="2"/>
  <c r="AJ284" i="2"/>
  <c r="AI284" i="2"/>
  <c r="AH284" i="2"/>
  <c r="AG284" i="2"/>
  <c r="AF284" i="2"/>
  <c r="AE284" i="2"/>
  <c r="AD284" i="2"/>
  <c r="AC284" i="2"/>
  <c r="AB284" i="2"/>
  <c r="AA284" i="2"/>
  <c r="AJ273" i="2"/>
  <c r="AJ274" i="2" s="1"/>
  <c r="AJ275" i="2" s="1"/>
  <c r="AI272" i="2"/>
  <c r="AI273" i="2" s="1"/>
  <c r="AH272" i="2"/>
  <c r="AH273" i="2" s="1"/>
  <c r="AG272" i="2"/>
  <c r="AG273" i="2" s="1"/>
  <c r="AF272" i="2"/>
  <c r="AF273" i="2" s="1"/>
  <c r="AE272" i="2"/>
  <c r="AE273" i="2" s="1"/>
  <c r="AD272" i="2"/>
  <c r="AD273" i="2" s="1"/>
  <c r="AC272" i="2"/>
  <c r="AC273" i="2" s="1"/>
  <c r="AB272" i="2"/>
  <c r="AB273" i="2" s="1"/>
  <c r="AA272" i="2"/>
  <c r="AA273" i="2" s="1"/>
  <c r="AJ238" i="2"/>
  <c r="AJ239" i="2" s="1"/>
  <c r="AJ240" i="2" s="1"/>
  <c r="AI237" i="2"/>
  <c r="AI238" i="2" s="1"/>
  <c r="AH237" i="2"/>
  <c r="AH238" i="2" s="1"/>
  <c r="AG237" i="2"/>
  <c r="AG238" i="2" s="1"/>
  <c r="AF237" i="2"/>
  <c r="AF238" i="2" s="1"/>
  <c r="AE237" i="2"/>
  <c r="AE238" i="2" s="1"/>
  <c r="AD237" i="2"/>
  <c r="AD238" i="2" s="1"/>
  <c r="AC237" i="2"/>
  <c r="AC238" i="2" s="1"/>
  <c r="AB237" i="2"/>
  <c r="AB238" i="2" s="1"/>
  <c r="AA237" i="2"/>
  <c r="AA238" i="2" s="1"/>
  <c r="AJ203" i="2"/>
  <c r="AJ204" i="2" s="1"/>
  <c r="AJ205" i="2" s="1"/>
  <c r="AI202" i="2"/>
  <c r="AI203" i="2" s="1"/>
  <c r="AH202" i="2"/>
  <c r="AH203" i="2" s="1"/>
  <c r="AG202" i="2"/>
  <c r="AG203" i="2" s="1"/>
  <c r="AF202" i="2"/>
  <c r="AF203" i="2" s="1"/>
  <c r="AE202" i="2"/>
  <c r="AE203" i="2" s="1"/>
  <c r="AD202" i="2"/>
  <c r="AD203" i="2" s="1"/>
  <c r="AC202" i="2"/>
  <c r="AC203" i="2" s="1"/>
  <c r="AB202" i="2"/>
  <c r="AB203" i="2" s="1"/>
  <c r="AA202" i="2"/>
  <c r="AA203" i="2" s="1"/>
  <c r="AJ165" i="2"/>
  <c r="AJ166" i="2" s="1"/>
  <c r="AA150" i="2"/>
  <c r="AB149" i="2"/>
  <c r="AA149" i="2"/>
  <c r="AC148" i="2"/>
  <c r="AB148" i="2"/>
  <c r="AA148" i="2"/>
  <c r="AD147" i="2"/>
  <c r="AC147" i="2"/>
  <c r="AB147" i="2"/>
  <c r="AA147" i="2"/>
  <c r="AE146" i="2"/>
  <c r="AD146" i="2"/>
  <c r="AC146" i="2"/>
  <c r="AB146" i="2"/>
  <c r="AA146" i="2"/>
  <c r="AF145" i="2"/>
  <c r="AE145" i="2"/>
  <c r="AD145" i="2"/>
  <c r="AC145" i="2"/>
  <c r="AB145" i="2"/>
  <c r="AA145" i="2"/>
  <c r="AG144" i="2"/>
  <c r="AF144" i="2"/>
  <c r="AE144" i="2"/>
  <c r="AD144" i="2"/>
  <c r="AC144" i="2"/>
  <c r="AB144" i="2"/>
  <c r="AA144" i="2"/>
  <c r="AH143" i="2"/>
  <c r="AG143" i="2"/>
  <c r="AF143" i="2"/>
  <c r="AE143" i="2"/>
  <c r="AD143" i="2"/>
  <c r="AC143" i="2"/>
  <c r="AB143" i="2"/>
  <c r="AA143" i="2"/>
  <c r="AI142" i="2"/>
  <c r="AH142" i="2"/>
  <c r="AG142" i="2"/>
  <c r="AF142" i="2"/>
  <c r="AE142" i="2"/>
  <c r="AD142" i="2"/>
  <c r="AC142" i="2"/>
  <c r="AB142" i="2"/>
  <c r="AA142" i="2"/>
  <c r="AJ141" i="2"/>
  <c r="AI141" i="2"/>
  <c r="AH141" i="2"/>
  <c r="AG141" i="2"/>
  <c r="AF141" i="2"/>
  <c r="AE141" i="2"/>
  <c r="AD141" i="2"/>
  <c r="AC141" i="2"/>
  <c r="AB141" i="2"/>
  <c r="AA141" i="2"/>
  <c r="AJ130" i="2"/>
  <c r="AJ131" i="2" s="1"/>
  <c r="AJ132" i="2" s="1"/>
  <c r="AI129" i="2"/>
  <c r="AI130" i="2" s="1"/>
  <c r="AH129" i="2"/>
  <c r="AH130" i="2" s="1"/>
  <c r="AG129" i="2"/>
  <c r="AG130" i="2" s="1"/>
  <c r="AF129" i="2"/>
  <c r="AF130" i="2" s="1"/>
  <c r="AE129" i="2"/>
  <c r="AE130" i="2" s="1"/>
  <c r="AD129" i="2"/>
  <c r="AD130" i="2" s="1"/>
  <c r="AC129" i="2"/>
  <c r="AC130" i="2" s="1"/>
  <c r="AB129" i="2"/>
  <c r="AB130" i="2" s="1"/>
  <c r="AA129" i="2"/>
  <c r="AA130" i="2" s="1"/>
  <c r="AJ95" i="2"/>
  <c r="AJ96" i="2" s="1"/>
  <c r="AJ97" i="2" s="1"/>
  <c r="AI94" i="2"/>
  <c r="AI95" i="2" s="1"/>
  <c r="AH94" i="2"/>
  <c r="AH95" i="2" s="1"/>
  <c r="AG94" i="2"/>
  <c r="AG95" i="2" s="1"/>
  <c r="AF94" i="2"/>
  <c r="AF95" i="2" s="1"/>
  <c r="AE94" i="2"/>
  <c r="AE95" i="2" s="1"/>
  <c r="AD94" i="2"/>
  <c r="AD95" i="2" s="1"/>
  <c r="AC94" i="2"/>
  <c r="AC95" i="2" s="1"/>
  <c r="AB94" i="2"/>
  <c r="AB95" i="2" s="1"/>
  <c r="AA94" i="2"/>
  <c r="AA95" i="2" s="1"/>
  <c r="AJ60" i="2"/>
  <c r="AI59" i="2"/>
  <c r="AI60" i="2" s="1"/>
  <c r="AH59" i="2"/>
  <c r="AH60" i="2" s="1"/>
  <c r="AG59" i="2"/>
  <c r="AG60" i="2" s="1"/>
  <c r="AF59" i="2"/>
  <c r="AF60" i="2" s="1"/>
  <c r="AE59" i="2"/>
  <c r="AE60" i="2" s="1"/>
  <c r="AD59" i="2"/>
  <c r="AD60" i="2" s="1"/>
  <c r="AC59" i="2"/>
  <c r="AC60" i="2" s="1"/>
  <c r="AB59" i="2"/>
  <c r="AB60" i="2" s="1"/>
  <c r="AA59" i="2"/>
  <c r="AA60" i="2" s="1"/>
  <c r="Y45" i="2"/>
  <c r="Y44" i="2" s="1"/>
  <c r="Y43" i="2" s="1"/>
  <c r="Y42" i="2" s="1"/>
  <c r="Y41" i="2" s="1"/>
  <c r="Y40" i="2" s="1"/>
  <c r="Y39" i="2" s="1"/>
  <c r="Y38" i="2" s="1"/>
  <c r="Y37" i="2" s="1"/>
  <c r="Y36" i="2" s="1"/>
  <c r="AA35" i="2"/>
  <c r="AJ16" i="2"/>
  <c r="AI16" i="2"/>
  <c r="AH16" i="2"/>
  <c r="AG16" i="2"/>
  <c r="AF16" i="2"/>
  <c r="AE16" i="2"/>
  <c r="AD16" i="2"/>
  <c r="AC16" i="2"/>
  <c r="AB16" i="2"/>
  <c r="AA16" i="2"/>
  <c r="AJ15" i="2"/>
  <c r="AI15" i="2"/>
  <c r="AH15" i="2"/>
  <c r="AG15" i="2"/>
  <c r="AF15" i="2"/>
  <c r="AE15" i="2"/>
  <c r="AD15" i="2"/>
  <c r="AC15" i="2"/>
  <c r="AB15" i="2"/>
  <c r="AA15" i="2"/>
  <c r="AJ14" i="2"/>
  <c r="AI14" i="2"/>
  <c r="AH14" i="2"/>
  <c r="AG14" i="2"/>
  <c r="AF14" i="2"/>
  <c r="AE14" i="2"/>
  <c r="AD14" i="2"/>
  <c r="AC14" i="2"/>
  <c r="AB14" i="2"/>
  <c r="AA14" i="2"/>
  <c r="AJ13" i="2"/>
  <c r="AI13" i="2"/>
  <c r="AH13" i="2"/>
  <c r="AG13" i="2"/>
  <c r="AF13" i="2"/>
  <c r="AE13" i="2"/>
  <c r="AD13" i="2"/>
  <c r="AC13" i="2"/>
  <c r="AB13" i="2"/>
  <c r="AA13" i="2"/>
  <c r="AJ12" i="2"/>
  <c r="AI12" i="2"/>
  <c r="AH12" i="2"/>
  <c r="AG12" i="2"/>
  <c r="AF12" i="2"/>
  <c r="AE12" i="2"/>
  <c r="AD12" i="2"/>
  <c r="AC12" i="2"/>
  <c r="AB12" i="2"/>
  <c r="AA12" i="2"/>
  <c r="AJ11" i="2"/>
  <c r="AI11" i="2" s="1"/>
  <c r="AH11" i="2" s="1"/>
  <c r="AG11" i="2" s="1"/>
  <c r="AF11" i="2" s="1"/>
  <c r="AE11" i="2" s="1"/>
  <c r="AD11" i="2" s="1"/>
  <c r="AC11" i="2" s="1"/>
  <c r="AB11" i="2" s="1"/>
  <c r="AA11" i="2" s="1"/>
  <c r="Y8" i="2"/>
  <c r="Y7" i="2"/>
  <c r="X451" i="2"/>
  <c r="X452" i="2" s="1"/>
  <c r="X453" i="2" s="1"/>
  <c r="W450" i="2"/>
  <c r="W451" i="2" s="1"/>
  <c r="V450" i="2"/>
  <c r="V451" i="2" s="1"/>
  <c r="U450" i="2"/>
  <c r="U451" i="2" s="1"/>
  <c r="T450" i="2"/>
  <c r="T451" i="2" s="1"/>
  <c r="S450" i="2"/>
  <c r="S451" i="2" s="1"/>
  <c r="R450" i="2"/>
  <c r="R451" i="2" s="1"/>
  <c r="Q450" i="2"/>
  <c r="Q451" i="2" s="1"/>
  <c r="P450" i="2"/>
  <c r="P451" i="2" s="1"/>
  <c r="O450" i="2"/>
  <c r="O451" i="2" s="1"/>
  <c r="X416" i="2"/>
  <c r="X417" i="2" s="1"/>
  <c r="X418" i="2" s="1"/>
  <c r="W415" i="2"/>
  <c r="W416" i="2" s="1"/>
  <c r="V415" i="2"/>
  <c r="V416" i="2" s="1"/>
  <c r="U415" i="2"/>
  <c r="U416" i="2" s="1"/>
  <c r="T415" i="2"/>
  <c r="T416" i="2" s="1"/>
  <c r="S415" i="2"/>
  <c r="S416" i="2" s="1"/>
  <c r="R415" i="2"/>
  <c r="R416" i="2" s="1"/>
  <c r="Q415" i="2"/>
  <c r="Q416" i="2" s="1"/>
  <c r="P415" i="2"/>
  <c r="P416" i="2" s="1"/>
  <c r="O415" i="2"/>
  <c r="O416" i="2" s="1"/>
  <c r="X381" i="2"/>
  <c r="X382" i="2" s="1"/>
  <c r="X383" i="2" s="1"/>
  <c r="W380" i="2"/>
  <c r="W381" i="2" s="1"/>
  <c r="V380" i="2"/>
  <c r="V381" i="2" s="1"/>
  <c r="U380" i="2"/>
  <c r="U381" i="2" s="1"/>
  <c r="T380" i="2"/>
  <c r="T381" i="2" s="1"/>
  <c r="S380" i="2"/>
  <c r="S381" i="2" s="1"/>
  <c r="R380" i="2"/>
  <c r="R381" i="2" s="1"/>
  <c r="Q380" i="2"/>
  <c r="Q381" i="2" s="1"/>
  <c r="P380" i="2"/>
  <c r="P381" i="2" s="1"/>
  <c r="O380" i="2"/>
  <c r="O381" i="2" s="1"/>
  <c r="X346" i="2"/>
  <c r="X347" i="2" s="1"/>
  <c r="X348" i="2" s="1"/>
  <c r="W345" i="2"/>
  <c r="W346" i="2" s="1"/>
  <c r="V345" i="2"/>
  <c r="V346" i="2" s="1"/>
  <c r="U345" i="2"/>
  <c r="U346" i="2" s="1"/>
  <c r="T345" i="2"/>
  <c r="T346" i="2" s="1"/>
  <c r="S345" i="2"/>
  <c r="S346" i="2" s="1"/>
  <c r="R345" i="2"/>
  <c r="R346" i="2" s="1"/>
  <c r="Q345" i="2"/>
  <c r="Q346" i="2" s="1"/>
  <c r="P345" i="2"/>
  <c r="P346" i="2" s="1"/>
  <c r="O345" i="2"/>
  <c r="O346" i="2" s="1"/>
  <c r="X308" i="2"/>
  <c r="X309" i="2" s="1"/>
  <c r="O293" i="2"/>
  <c r="P292" i="2"/>
  <c r="O292" i="2"/>
  <c r="Q291" i="2"/>
  <c r="P304" i="2" s="1"/>
  <c r="P291" i="2"/>
  <c r="O291" i="2"/>
  <c r="R290" i="2"/>
  <c r="Q290" i="2"/>
  <c r="P290" i="2"/>
  <c r="O290" i="2"/>
  <c r="S289" i="2"/>
  <c r="R289" i="2"/>
  <c r="Q302" i="2" s="1"/>
  <c r="Q289" i="2"/>
  <c r="P289" i="2"/>
  <c r="O289" i="2"/>
  <c r="T288" i="2"/>
  <c r="S288" i="2"/>
  <c r="R288" i="2"/>
  <c r="Q288" i="2"/>
  <c r="P288" i="2"/>
  <c r="O301" i="2" s="1"/>
  <c r="O288" i="2"/>
  <c r="U287" i="2"/>
  <c r="T287" i="2"/>
  <c r="S287" i="2"/>
  <c r="R287" i="2"/>
  <c r="Q287" i="2"/>
  <c r="P287" i="2"/>
  <c r="O287" i="2"/>
  <c r="V286" i="2"/>
  <c r="U286" i="2"/>
  <c r="T286" i="2"/>
  <c r="S286" i="2"/>
  <c r="R286" i="2"/>
  <c r="Q286" i="2"/>
  <c r="P286" i="2"/>
  <c r="O286" i="2"/>
  <c r="W285" i="2"/>
  <c r="V285" i="2"/>
  <c r="U285" i="2"/>
  <c r="T285" i="2"/>
  <c r="S285" i="2"/>
  <c r="R285" i="2"/>
  <c r="Q285" i="2"/>
  <c r="P285" i="2"/>
  <c r="O298" i="2" s="1"/>
  <c r="O285" i="2"/>
  <c r="X284" i="2"/>
  <c r="W284" i="2"/>
  <c r="V284" i="2"/>
  <c r="U284" i="2"/>
  <c r="T284" i="2"/>
  <c r="S284" i="2"/>
  <c r="R284" i="2"/>
  <c r="Q297" i="2" s="1"/>
  <c r="Q284" i="2"/>
  <c r="P284" i="2"/>
  <c r="O284" i="2"/>
  <c r="X273" i="2"/>
  <c r="X274" i="2" s="1"/>
  <c r="X275" i="2" s="1"/>
  <c r="W272" i="2"/>
  <c r="W273" i="2" s="1"/>
  <c r="V272" i="2"/>
  <c r="V273" i="2" s="1"/>
  <c r="U272" i="2"/>
  <c r="U273" i="2" s="1"/>
  <c r="T272" i="2"/>
  <c r="T273" i="2" s="1"/>
  <c r="S272" i="2"/>
  <c r="S273" i="2" s="1"/>
  <c r="R272" i="2"/>
  <c r="R273" i="2" s="1"/>
  <c r="Q272" i="2"/>
  <c r="Q273" i="2" s="1"/>
  <c r="P272" i="2"/>
  <c r="P273" i="2" s="1"/>
  <c r="O272" i="2"/>
  <c r="O273" i="2" s="1"/>
  <c r="X238" i="2"/>
  <c r="X239" i="2" s="1"/>
  <c r="X240" i="2" s="1"/>
  <c r="W237" i="2"/>
  <c r="W238" i="2" s="1"/>
  <c r="V237" i="2"/>
  <c r="V238" i="2" s="1"/>
  <c r="U237" i="2"/>
  <c r="U238" i="2" s="1"/>
  <c r="T237" i="2"/>
  <c r="T238" i="2" s="1"/>
  <c r="S237" i="2"/>
  <c r="S238" i="2" s="1"/>
  <c r="R237" i="2"/>
  <c r="R238" i="2" s="1"/>
  <c r="Q237" i="2"/>
  <c r="Q238" i="2" s="1"/>
  <c r="P237" i="2"/>
  <c r="P238" i="2" s="1"/>
  <c r="O237" i="2"/>
  <c r="O238" i="2" s="1"/>
  <c r="X203" i="2"/>
  <c r="X204" i="2" s="1"/>
  <c r="X205" i="2" s="1"/>
  <c r="W202" i="2"/>
  <c r="W203" i="2" s="1"/>
  <c r="V202" i="2"/>
  <c r="V203" i="2" s="1"/>
  <c r="U202" i="2"/>
  <c r="U203" i="2" s="1"/>
  <c r="T202" i="2"/>
  <c r="T203" i="2" s="1"/>
  <c r="S202" i="2"/>
  <c r="S203" i="2" s="1"/>
  <c r="R202" i="2"/>
  <c r="R203" i="2" s="1"/>
  <c r="Q202" i="2"/>
  <c r="Q203" i="2" s="1"/>
  <c r="P202" i="2"/>
  <c r="P203" i="2" s="1"/>
  <c r="O202" i="2"/>
  <c r="O203" i="2" s="1"/>
  <c r="X165" i="2"/>
  <c r="X166" i="2" s="1"/>
  <c r="O150" i="2"/>
  <c r="P149" i="2"/>
  <c r="O149" i="2"/>
  <c r="Q148" i="2"/>
  <c r="P148" i="2"/>
  <c r="O148" i="2"/>
  <c r="R147" i="2"/>
  <c r="Q147" i="2"/>
  <c r="P147" i="2"/>
  <c r="O147" i="2"/>
  <c r="S146" i="2"/>
  <c r="R146" i="2"/>
  <c r="Q146" i="2"/>
  <c r="P146" i="2"/>
  <c r="O146" i="2"/>
  <c r="T145" i="2"/>
  <c r="S145" i="2"/>
  <c r="R145" i="2"/>
  <c r="Q145" i="2"/>
  <c r="P145" i="2"/>
  <c r="O145" i="2"/>
  <c r="U144" i="2"/>
  <c r="T144" i="2"/>
  <c r="S144" i="2"/>
  <c r="R144" i="2"/>
  <c r="Q144" i="2"/>
  <c r="P144" i="2"/>
  <c r="O144" i="2"/>
  <c r="V143" i="2"/>
  <c r="U143" i="2"/>
  <c r="T143" i="2"/>
  <c r="S143" i="2"/>
  <c r="R143" i="2"/>
  <c r="Q143" i="2"/>
  <c r="P143" i="2"/>
  <c r="O143" i="2"/>
  <c r="W142" i="2"/>
  <c r="V142" i="2"/>
  <c r="U142" i="2"/>
  <c r="T142" i="2"/>
  <c r="S142" i="2"/>
  <c r="R142" i="2"/>
  <c r="Q142" i="2"/>
  <c r="P142" i="2"/>
  <c r="O142" i="2"/>
  <c r="X141" i="2"/>
  <c r="W141" i="2"/>
  <c r="V141" i="2"/>
  <c r="U141" i="2"/>
  <c r="T141" i="2"/>
  <c r="S141" i="2"/>
  <c r="R141" i="2"/>
  <c r="Q141" i="2"/>
  <c r="P141" i="2"/>
  <c r="O141" i="2"/>
  <c r="X130" i="2"/>
  <c r="X131" i="2" s="1"/>
  <c r="X132" i="2" s="1"/>
  <c r="W129" i="2"/>
  <c r="W130" i="2" s="1"/>
  <c r="V129" i="2"/>
  <c r="V130" i="2" s="1"/>
  <c r="U129" i="2"/>
  <c r="U130" i="2" s="1"/>
  <c r="T129" i="2"/>
  <c r="T130" i="2" s="1"/>
  <c r="S129" i="2"/>
  <c r="S130" i="2" s="1"/>
  <c r="R129" i="2"/>
  <c r="R130" i="2" s="1"/>
  <c r="Q129" i="2"/>
  <c r="Q130" i="2" s="1"/>
  <c r="P129" i="2"/>
  <c r="P130" i="2" s="1"/>
  <c r="O129" i="2"/>
  <c r="O130" i="2" s="1"/>
  <c r="X95" i="2"/>
  <c r="X96" i="2" s="1"/>
  <c r="X97" i="2" s="1"/>
  <c r="W94" i="2"/>
  <c r="W95" i="2" s="1"/>
  <c r="V94" i="2"/>
  <c r="V95" i="2" s="1"/>
  <c r="U94" i="2"/>
  <c r="U95" i="2" s="1"/>
  <c r="T94" i="2"/>
  <c r="T95" i="2" s="1"/>
  <c r="S94" i="2"/>
  <c r="S95" i="2" s="1"/>
  <c r="R94" i="2"/>
  <c r="R95" i="2" s="1"/>
  <c r="Q94" i="2"/>
  <c r="Q95" i="2" s="1"/>
  <c r="P94" i="2"/>
  <c r="P95" i="2" s="1"/>
  <c r="O94" i="2"/>
  <c r="O95" i="2" s="1"/>
  <c r="X60" i="2"/>
  <c r="X61" i="2" s="1"/>
  <c r="X62" i="2" s="1"/>
  <c r="W59" i="2"/>
  <c r="W60" i="2" s="1"/>
  <c r="V59" i="2"/>
  <c r="V60" i="2" s="1"/>
  <c r="U59" i="2"/>
  <c r="U60" i="2" s="1"/>
  <c r="T59" i="2"/>
  <c r="T60" i="2" s="1"/>
  <c r="S59" i="2"/>
  <c r="S60" i="2" s="1"/>
  <c r="R59" i="2"/>
  <c r="R60" i="2" s="1"/>
  <c r="Q59" i="2"/>
  <c r="Q60" i="2" s="1"/>
  <c r="P59" i="2"/>
  <c r="P60" i="2" s="1"/>
  <c r="O59" i="2"/>
  <c r="O60" i="2" s="1"/>
  <c r="M45" i="2"/>
  <c r="M44" i="2" s="1"/>
  <c r="M43" i="2" s="1"/>
  <c r="M42" i="2" s="1"/>
  <c r="M41" i="2" s="1"/>
  <c r="M40" i="2" s="1"/>
  <c r="M39" i="2" s="1"/>
  <c r="M38" i="2" s="1"/>
  <c r="M37" i="2" s="1"/>
  <c r="M36" i="2" s="1"/>
  <c r="O35" i="2"/>
  <c r="N35" i="2" s="1"/>
  <c r="M32" i="2"/>
  <c r="X16" i="2"/>
  <c r="W16" i="2"/>
  <c r="V16" i="2"/>
  <c r="U16" i="2"/>
  <c r="T16" i="2"/>
  <c r="S16" i="2"/>
  <c r="R16" i="2"/>
  <c r="Q16" i="2"/>
  <c r="P16" i="2"/>
  <c r="O16" i="2"/>
  <c r="X15" i="2"/>
  <c r="W15" i="2"/>
  <c r="V15" i="2"/>
  <c r="U15" i="2"/>
  <c r="T15" i="2"/>
  <c r="S15" i="2"/>
  <c r="Q15" i="2"/>
  <c r="P15" i="2"/>
  <c r="O15" i="2"/>
  <c r="X14" i="2"/>
  <c r="W14" i="2"/>
  <c r="V14" i="2"/>
  <c r="U14" i="2"/>
  <c r="T14" i="2"/>
  <c r="S14" i="2"/>
  <c r="Q14" i="2"/>
  <c r="P14" i="2"/>
  <c r="O14" i="2"/>
  <c r="X13" i="2"/>
  <c r="W13" i="2"/>
  <c r="V13" i="2"/>
  <c r="U13" i="2"/>
  <c r="T13" i="2"/>
  <c r="S13" i="2"/>
  <c r="Q13" i="2"/>
  <c r="P13" i="2"/>
  <c r="O13" i="2"/>
  <c r="X12" i="2"/>
  <c r="W12" i="2"/>
  <c r="V12" i="2"/>
  <c r="U12" i="2"/>
  <c r="T12" i="2"/>
  <c r="S12" i="2"/>
  <c r="Q12" i="2"/>
  <c r="P12" i="2"/>
  <c r="O12" i="2"/>
  <c r="X11" i="2"/>
  <c r="W11" i="2" s="1"/>
  <c r="V11" i="2" s="1"/>
  <c r="U11" i="2" s="1"/>
  <c r="T11" i="2" s="1"/>
  <c r="S11" i="2" s="1"/>
  <c r="M8" i="2"/>
  <c r="M7" i="2"/>
  <c r="M280" i="2"/>
  <c r="AI154" i="2" l="1"/>
  <c r="AA159" i="2"/>
  <c r="AS297" i="2"/>
  <c r="AQ298" i="2"/>
  <c r="AP299" i="2"/>
  <c r="AP300" i="2"/>
  <c r="AQ301" i="2"/>
  <c r="AN303" i="2"/>
  <c r="CI154" i="2"/>
  <c r="CQ154" i="2"/>
  <c r="CO155" i="2"/>
  <c r="CN156" i="2"/>
  <c r="CN164" i="2" s="1"/>
  <c r="CN165" i="2" s="1"/>
  <c r="CN157" i="2"/>
  <c r="CI159" i="2"/>
  <c r="CW303" i="2"/>
  <c r="AA154" i="2"/>
  <c r="AF156" i="2"/>
  <c r="Q157" i="2"/>
  <c r="AG155" i="2"/>
  <c r="R155" i="2"/>
  <c r="R158" i="2"/>
  <c r="AM297" i="2"/>
  <c r="AU297" i="2"/>
  <c r="AU307" i="2" s="1"/>
  <c r="AU308" i="2" s="1"/>
  <c r="AU309" i="2" s="1"/>
  <c r="AU310" i="2" s="1"/>
  <c r="AU312" i="2" s="1"/>
  <c r="AU313" i="2" s="1"/>
  <c r="AS298" i="2"/>
  <c r="AR299" i="2"/>
  <c r="AR300" i="2"/>
  <c r="AM302" i="2"/>
  <c r="O160" i="2"/>
  <c r="AU382" i="2"/>
  <c r="AU383" i="2" s="1"/>
  <c r="DN452" i="2"/>
  <c r="DN453" i="2" s="1"/>
  <c r="AF157" i="2"/>
  <c r="AF164" i="2" s="1"/>
  <c r="AF165" i="2" s="1"/>
  <c r="T154" i="2"/>
  <c r="Q156" i="2"/>
  <c r="CO297" i="2"/>
  <c r="CM298" i="2"/>
  <c r="CL299" i="2"/>
  <c r="CL300" i="2"/>
  <c r="CM301" i="2"/>
  <c r="CJ303" i="2"/>
  <c r="CJ307" i="2" s="1"/>
  <c r="CJ308" i="2" s="1"/>
  <c r="AQ297" i="2"/>
  <c r="AO298" i="2"/>
  <c r="AN299" i="2"/>
  <c r="AN300" i="2"/>
  <c r="AO301" i="2"/>
  <c r="AM305" i="2"/>
  <c r="AG154" i="2"/>
  <c r="AE155" i="2"/>
  <c r="AD156" i="2"/>
  <c r="AD157" i="2"/>
  <c r="AE158" i="2"/>
  <c r="AB160" i="2"/>
  <c r="AG297" i="2"/>
  <c r="AG307" i="2" s="1"/>
  <c r="AG308" i="2" s="1"/>
  <c r="AE298" i="2"/>
  <c r="AD299" i="2"/>
  <c r="AD300" i="2"/>
  <c r="AE301" i="2"/>
  <c r="AB303" i="2"/>
  <c r="CV297" i="2"/>
  <c r="DB298" i="2"/>
  <c r="CV302" i="2"/>
  <c r="CU304" i="2"/>
  <c r="DI154" i="2"/>
  <c r="DG155" i="2"/>
  <c r="DG158" i="2"/>
  <c r="DI159" i="2"/>
  <c r="AH61" i="2"/>
  <c r="AH62" i="2" s="1"/>
  <c r="BS274" i="2"/>
  <c r="BS275" i="2" s="1"/>
  <c r="CM154" i="2"/>
  <c r="CK155" i="2"/>
  <c r="CJ156" i="2"/>
  <c r="CJ157" i="2"/>
  <c r="CK158" i="2"/>
  <c r="CI162" i="2"/>
  <c r="DM452" i="2"/>
  <c r="DM453" i="2" s="1"/>
  <c r="CR310" i="2"/>
  <c r="CR312" i="2" s="1"/>
  <c r="CR313" i="2" s="1"/>
  <c r="BG204" i="2"/>
  <c r="BG205" i="2" s="1"/>
  <c r="CO154" i="2"/>
  <c r="CM155" i="2"/>
  <c r="CL156" i="2"/>
  <c r="CL157" i="2"/>
  <c r="CM158" i="2"/>
  <c r="CJ160" i="2"/>
  <c r="AI274" i="2"/>
  <c r="AI275" i="2" s="1"/>
  <c r="BG61" i="2"/>
  <c r="BG62" i="2" s="1"/>
  <c r="BT167" i="2"/>
  <c r="BT169" i="2" s="1"/>
  <c r="BT170" i="2" s="1"/>
  <c r="AE154" i="2"/>
  <c r="AC155" i="2"/>
  <c r="AB156" i="2"/>
  <c r="AB157" i="2"/>
  <c r="AC158" i="2"/>
  <c r="AA162" i="2"/>
  <c r="CQ382" i="2"/>
  <c r="CQ383" i="2" s="1"/>
  <c r="AU61" i="2"/>
  <c r="AU62" i="2" s="1"/>
  <c r="W297" i="2"/>
  <c r="O297" i="2"/>
  <c r="BA154" i="2"/>
  <c r="AY155" i="2"/>
  <c r="AY158" i="2"/>
  <c r="BA159" i="2"/>
  <c r="AZ161" i="2"/>
  <c r="BW297" i="2"/>
  <c r="CE297" i="2"/>
  <c r="CC298" i="2"/>
  <c r="CC307" i="2" s="1"/>
  <c r="CC308" i="2" s="1"/>
  <c r="CC309" i="2" s="1"/>
  <c r="CC310" i="2" s="1"/>
  <c r="CC312" i="2" s="1"/>
  <c r="CC313" i="2" s="1"/>
  <c r="CB299" i="2"/>
  <c r="CB300" i="2"/>
  <c r="BW302" i="2"/>
  <c r="CX297" i="2"/>
  <c r="CV298" i="2"/>
  <c r="CU299" i="2"/>
  <c r="CU300" i="2"/>
  <c r="CV301" i="2"/>
  <c r="DJ154" i="2"/>
  <c r="DJ297" i="2"/>
  <c r="DH298" i="2"/>
  <c r="DG299" i="2"/>
  <c r="DG300" i="2"/>
  <c r="DH301" i="2"/>
  <c r="DJ302" i="2"/>
  <c r="O302" i="2"/>
  <c r="AN154" i="2"/>
  <c r="AT155" i="2"/>
  <c r="AS156" i="2"/>
  <c r="AN159" i="2"/>
  <c r="AM161" i="2"/>
  <c r="BE131" i="2"/>
  <c r="BE132" i="2" s="1"/>
  <c r="AY297" i="2"/>
  <c r="BG297" i="2"/>
  <c r="BG307" i="2" s="1"/>
  <c r="BG308" i="2" s="1"/>
  <c r="BG309" i="2" s="1"/>
  <c r="BG310" i="2" s="1"/>
  <c r="BG312" i="2" s="1"/>
  <c r="BG313" i="2" s="1"/>
  <c r="BE298" i="2"/>
  <c r="BD299" i="2"/>
  <c r="BD300" i="2"/>
  <c r="AY302" i="2"/>
  <c r="BP154" i="2"/>
  <c r="BN155" i="2"/>
  <c r="BM156" i="2"/>
  <c r="BM157" i="2"/>
  <c r="BN158" i="2"/>
  <c r="BK160" i="2"/>
  <c r="BP298" i="2"/>
  <c r="BO299" i="2"/>
  <c r="BO300" i="2"/>
  <c r="BM303" i="2"/>
  <c r="BW154" i="2"/>
  <c r="CE154" i="2"/>
  <c r="CC155" i="2"/>
  <c r="CB156" i="2"/>
  <c r="CB157" i="2"/>
  <c r="BW159" i="2"/>
  <c r="CE382" i="2"/>
  <c r="CE383" i="2" s="1"/>
  <c r="CJ297" i="2"/>
  <c r="CP298" i="2"/>
  <c r="CO299" i="2"/>
  <c r="CJ302" i="2"/>
  <c r="CI304" i="2"/>
  <c r="CN417" i="2"/>
  <c r="CN418" i="2" s="1"/>
  <c r="DC96" i="2"/>
  <c r="DC97" i="2" s="1"/>
  <c r="CW154" i="2"/>
  <c r="CU155" i="2"/>
  <c r="CU158" i="2"/>
  <c r="CW159" i="2"/>
  <c r="CW164" i="2" s="1"/>
  <c r="CW165" i="2" s="1"/>
  <c r="CV161" i="2"/>
  <c r="DO274" i="2"/>
  <c r="DO275" i="2" s="1"/>
  <c r="U298" i="2"/>
  <c r="AR131" i="2"/>
  <c r="AR132" i="2" s="1"/>
  <c r="T300" i="2"/>
  <c r="BA297" i="2"/>
  <c r="AY298" i="2"/>
  <c r="AY301" i="2"/>
  <c r="BA302" i="2"/>
  <c r="AZ304" i="2"/>
  <c r="BY154" i="2"/>
  <c r="BW155" i="2"/>
  <c r="BW158" i="2"/>
  <c r="BY159" i="2"/>
  <c r="BX161" i="2"/>
  <c r="CL297" i="2"/>
  <c r="CJ298" i="2"/>
  <c r="CI299" i="2"/>
  <c r="CI300" i="2"/>
  <c r="CJ301" i="2"/>
  <c r="CL302" i="2"/>
  <c r="DC131" i="2"/>
  <c r="DC132" i="2" s="1"/>
  <c r="CY154" i="2"/>
  <c r="CW155" i="2"/>
  <c r="CV156" i="2"/>
  <c r="CV157" i="2"/>
  <c r="CW158" i="2"/>
  <c r="CU162" i="2"/>
  <c r="CX299" i="2"/>
  <c r="CX300" i="2"/>
  <c r="CY301" i="2"/>
  <c r="CV303" i="2"/>
  <c r="DM154" i="2"/>
  <c r="DK155" i="2"/>
  <c r="DJ156" i="2"/>
  <c r="DJ157" i="2"/>
  <c r="DK158" i="2"/>
  <c r="DH160" i="2"/>
  <c r="T299" i="2"/>
  <c r="U297" i="2"/>
  <c r="U307" i="2" s="1"/>
  <c r="U308" i="2" s="1"/>
  <c r="S298" i="2"/>
  <c r="R299" i="2"/>
  <c r="R300" i="2"/>
  <c r="S301" i="2"/>
  <c r="P303" i="2"/>
  <c r="BF204" i="2"/>
  <c r="BF205" i="2" s="1"/>
  <c r="BG274" i="2"/>
  <c r="BG275" i="2" s="1"/>
  <c r="BC297" i="2"/>
  <c r="BA298" i="2"/>
  <c r="AZ299" i="2"/>
  <c r="AZ300" i="2"/>
  <c r="BA301" i="2"/>
  <c r="AY305" i="2"/>
  <c r="BS96" i="2"/>
  <c r="BS97" i="2" s="1"/>
  <c r="BL154" i="2"/>
  <c r="BR155" i="2"/>
  <c r="BQ156" i="2"/>
  <c r="BL159" i="2"/>
  <c r="BK161" i="2"/>
  <c r="BN297" i="2"/>
  <c r="BL298" i="2"/>
  <c r="BK299" i="2"/>
  <c r="BK300" i="2"/>
  <c r="BL301" i="2"/>
  <c r="BN302" i="2"/>
  <c r="BQ452" i="2"/>
  <c r="BQ453" i="2" s="1"/>
  <c r="CN297" i="2"/>
  <c r="CL298" i="2"/>
  <c r="CK299" i="2"/>
  <c r="CK300" i="2"/>
  <c r="CL301" i="2"/>
  <c r="CI303" i="2"/>
  <c r="CI307" i="2" s="1"/>
  <c r="CI308" i="2" s="1"/>
  <c r="DA154" i="2"/>
  <c r="CY155" i="2"/>
  <c r="CX156" i="2"/>
  <c r="CX157" i="2"/>
  <c r="CY158" i="2"/>
  <c r="CV160" i="2"/>
  <c r="R11" i="2"/>
  <c r="Q11" i="2" s="1"/>
  <c r="P11" i="2" s="1"/>
  <c r="O11" i="2" s="1"/>
  <c r="DA299" i="2"/>
  <c r="DA307" i="2" s="1"/>
  <c r="DA308" i="2" s="1"/>
  <c r="T155" i="2"/>
  <c r="S156" i="2"/>
  <c r="S157" i="2"/>
  <c r="Q160" i="2"/>
  <c r="AA297" i="2"/>
  <c r="AI297" i="2"/>
  <c r="AI307" i="2" s="1"/>
  <c r="AI308" i="2" s="1"/>
  <c r="AI309" i="2" s="1"/>
  <c r="AI310" i="2" s="1"/>
  <c r="AI312" i="2" s="1"/>
  <c r="AI313" i="2" s="1"/>
  <c r="AG298" i="2"/>
  <c r="AF299" i="2"/>
  <c r="AF300" i="2"/>
  <c r="AA302" i="2"/>
  <c r="AI452" i="2"/>
  <c r="AI453" i="2" s="1"/>
  <c r="AU96" i="2"/>
  <c r="AU97" i="2" s="1"/>
  <c r="AP154" i="2"/>
  <c r="AN155" i="2"/>
  <c r="AM156" i="2"/>
  <c r="AM157" i="2"/>
  <c r="AN158" i="2"/>
  <c r="AP159" i="2"/>
  <c r="AU452" i="2"/>
  <c r="AU453" i="2" s="1"/>
  <c r="BE61" i="2"/>
  <c r="BE62" i="2" s="1"/>
  <c r="BC154" i="2"/>
  <c r="BA155" i="2"/>
  <c r="AZ156" i="2"/>
  <c r="AZ157" i="2"/>
  <c r="BA158" i="2"/>
  <c r="AY162" i="2"/>
  <c r="CA154" i="2"/>
  <c r="BY155" i="2"/>
  <c r="BX156" i="2"/>
  <c r="BX157" i="2"/>
  <c r="BY158" i="2"/>
  <c r="BW162" i="2"/>
  <c r="CA297" i="2"/>
  <c r="BY298" i="2"/>
  <c r="BX299" i="2"/>
  <c r="BX300" i="2"/>
  <c r="BY301" i="2"/>
  <c r="BW305" i="2"/>
  <c r="CQ131" i="2"/>
  <c r="CQ132" i="2" s="1"/>
  <c r="CK297" i="2"/>
  <c r="CI298" i="2"/>
  <c r="CI301" i="2"/>
  <c r="CK302" i="2"/>
  <c r="CJ304" i="2"/>
  <c r="CZ297" i="2"/>
  <c r="CX298" i="2"/>
  <c r="CW299" i="2"/>
  <c r="CW300" i="2"/>
  <c r="CX301" i="2"/>
  <c r="CU303" i="2"/>
  <c r="DL155" i="2"/>
  <c r="DK156" i="2"/>
  <c r="DK157" i="2"/>
  <c r="DK164" i="2" s="1"/>
  <c r="DK165" i="2" s="1"/>
  <c r="DI160" i="2"/>
  <c r="DO204" i="2"/>
  <c r="DO205" i="2" s="1"/>
  <c r="DK297" i="2"/>
  <c r="DI298" i="2"/>
  <c r="DH299" i="2"/>
  <c r="DH300" i="2"/>
  <c r="DI301" i="2"/>
  <c r="DG305" i="2"/>
  <c r="AJ167" i="2"/>
  <c r="AJ169" i="2" s="1"/>
  <c r="AJ170" i="2" s="1"/>
  <c r="P154" i="2"/>
  <c r="V155" i="2"/>
  <c r="V164" i="2" s="1"/>
  <c r="V165" i="2" s="1"/>
  <c r="U156" i="2"/>
  <c r="P159" i="2"/>
  <c r="O161" i="2"/>
  <c r="AC297" i="2"/>
  <c r="AA298" i="2"/>
  <c r="AA301" i="2"/>
  <c r="AC302" i="2"/>
  <c r="AB304" i="2"/>
  <c r="AR154" i="2"/>
  <c r="AP155" i="2"/>
  <c r="AO156" i="2"/>
  <c r="AO157" i="2"/>
  <c r="AP158" i="2"/>
  <c r="AM160" i="2"/>
  <c r="BC155" i="2"/>
  <c r="BB156" i="2"/>
  <c r="BB157" i="2"/>
  <c r="BC158" i="2"/>
  <c r="AZ160" i="2"/>
  <c r="BX35" i="2"/>
  <c r="BY35" i="2" s="1"/>
  <c r="BZ35" i="2" s="1"/>
  <c r="CA35" i="2" s="1"/>
  <c r="CB35" i="2" s="1"/>
  <c r="CC35" i="2" s="1"/>
  <c r="CD35" i="2" s="1"/>
  <c r="CE35" i="2" s="1"/>
  <c r="CF35" i="2" s="1"/>
  <c r="CA155" i="2"/>
  <c r="BZ156" i="2"/>
  <c r="BZ157" i="2"/>
  <c r="CA158" i="2"/>
  <c r="BX160" i="2"/>
  <c r="CD204" i="2"/>
  <c r="CD205" i="2" s="1"/>
  <c r="CC297" i="2"/>
  <c r="CA298" i="2"/>
  <c r="BZ299" i="2"/>
  <c r="BZ300" i="2"/>
  <c r="CA301" i="2"/>
  <c r="BX303" i="2"/>
  <c r="CE452" i="2"/>
  <c r="CE453" i="2" s="1"/>
  <c r="CQ204" i="2"/>
  <c r="CQ205" i="2" s="1"/>
  <c r="CQ274" i="2"/>
  <c r="CQ275" i="2" s="1"/>
  <c r="DB297" i="2"/>
  <c r="CZ298" i="2"/>
  <c r="CY299" i="2"/>
  <c r="CY307" i="2" s="1"/>
  <c r="CY308" i="2" s="1"/>
  <c r="CY300" i="2"/>
  <c r="DA382" i="2"/>
  <c r="DA383" i="2" s="1"/>
  <c r="AH239" i="2"/>
  <c r="AH240" i="2" s="1"/>
  <c r="BF452" i="2"/>
  <c r="BF453" i="2" s="1"/>
  <c r="BM61" i="2"/>
  <c r="BM62" i="2" s="1"/>
  <c r="BS131" i="2"/>
  <c r="BS132" i="2" s="1"/>
  <c r="DH161" i="2"/>
  <c r="DL298" i="2"/>
  <c r="DL307" i="2" s="1"/>
  <c r="DL308" i="2" s="1"/>
  <c r="DK299" i="2"/>
  <c r="DK300" i="2"/>
  <c r="DK307" i="2" s="1"/>
  <c r="DK308" i="2" s="1"/>
  <c r="DI303" i="2"/>
  <c r="R154" i="2"/>
  <c r="O156" i="2"/>
  <c r="P158" i="2"/>
  <c r="R159" i="2"/>
  <c r="AE297" i="2"/>
  <c r="AC298" i="2"/>
  <c r="AB299" i="2"/>
  <c r="AB300" i="2"/>
  <c r="AC301" i="2"/>
  <c r="AA305" i="2"/>
  <c r="AT154" i="2"/>
  <c r="AR155" i="2"/>
  <c r="AR164" i="2" s="1"/>
  <c r="AR165" i="2" s="1"/>
  <c r="AQ156" i="2"/>
  <c r="AQ157" i="2"/>
  <c r="AO160" i="2"/>
  <c r="AO164" i="2" s="1"/>
  <c r="AO165" i="2" s="1"/>
  <c r="AY154" i="2"/>
  <c r="BG154" i="2"/>
  <c r="BG164" i="2" s="1"/>
  <c r="BG165" i="2" s="1"/>
  <c r="BG166" i="2" s="1"/>
  <c r="BE155" i="2"/>
  <c r="BD156" i="2"/>
  <c r="BD157" i="2"/>
  <c r="AY159" i="2"/>
  <c r="DK204" i="2"/>
  <c r="DK205" i="2" s="1"/>
  <c r="DH347" i="2"/>
  <c r="DH348" i="2" s="1"/>
  <c r="P155" i="2"/>
  <c r="O157" i="2"/>
  <c r="W274" i="2"/>
  <c r="W275" i="2" s="1"/>
  <c r="S297" i="2"/>
  <c r="Q298" i="2"/>
  <c r="P299" i="2"/>
  <c r="P300" i="2"/>
  <c r="Q301" i="2"/>
  <c r="Q307" i="2" s="1"/>
  <c r="Q308" i="2" s="1"/>
  <c r="O305" i="2"/>
  <c r="AC154" i="2"/>
  <c r="AA155" i="2"/>
  <c r="AA158" i="2"/>
  <c r="AC159" i="2"/>
  <c r="AB161" i="2"/>
  <c r="AO297" i="2"/>
  <c r="AM298" i="2"/>
  <c r="AM301" i="2"/>
  <c r="AO302" i="2"/>
  <c r="AN304" i="2"/>
  <c r="BE297" i="2"/>
  <c r="BC298" i="2"/>
  <c r="BB299" i="2"/>
  <c r="BB300" i="2"/>
  <c r="BC301" i="2"/>
  <c r="AZ303" i="2"/>
  <c r="BP155" i="2"/>
  <c r="BO156" i="2"/>
  <c r="BO157" i="2"/>
  <c r="BM160" i="2"/>
  <c r="BL297" i="2"/>
  <c r="BR298" i="2"/>
  <c r="BQ299" i="2"/>
  <c r="BL302" i="2"/>
  <c r="BK304" i="2"/>
  <c r="BS382" i="2"/>
  <c r="BS383" i="2" s="1"/>
  <c r="CP96" i="2"/>
  <c r="CP97" i="2" s="1"/>
  <c r="CK154" i="2"/>
  <c r="CI155" i="2"/>
  <c r="CI158" i="2"/>
  <c r="CK159" i="2"/>
  <c r="CK164" i="2" s="1"/>
  <c r="CK165" i="2" s="1"/>
  <c r="CJ161" i="2"/>
  <c r="CN298" i="2"/>
  <c r="CM299" i="2"/>
  <c r="CM300" i="2"/>
  <c r="CK303" i="2"/>
  <c r="CU154" i="2"/>
  <c r="DC154" i="2"/>
  <c r="DA155" i="2"/>
  <c r="DA164" i="2" s="1"/>
  <c r="DA165" i="2" s="1"/>
  <c r="CZ156" i="2"/>
  <c r="CZ157" i="2"/>
  <c r="CU159" i="2"/>
  <c r="CU301" i="2"/>
  <c r="CW302" i="2"/>
  <c r="CV304" i="2"/>
  <c r="DI452" i="2"/>
  <c r="DI453" i="2" s="1"/>
  <c r="U204" i="2"/>
  <c r="U205" i="2" s="1"/>
  <c r="V452" i="2"/>
  <c r="V453" i="2" s="1"/>
  <c r="AS452" i="2"/>
  <c r="AS453" i="2" s="1"/>
  <c r="BR239" i="2"/>
  <c r="BR240" i="2" s="1"/>
  <c r="BW298" i="2"/>
  <c r="BW301" i="2"/>
  <c r="BY302" i="2"/>
  <c r="BX304" i="2"/>
  <c r="CX302" i="2"/>
  <c r="P347" i="2"/>
  <c r="P348" i="2" s="1"/>
  <c r="BA61" i="2"/>
  <c r="BA62" i="2" s="1"/>
  <c r="BE154" i="2"/>
  <c r="BH310" i="2"/>
  <c r="BH312" i="2" s="1"/>
  <c r="BH313" i="2" s="1"/>
  <c r="BR154" i="2"/>
  <c r="BR164" i="2" s="1"/>
  <c r="BR165" i="2" s="1"/>
  <c r="BO204" i="2"/>
  <c r="BO205" i="2" s="1"/>
  <c r="BS204" i="2"/>
  <c r="BS205" i="2" s="1"/>
  <c r="BR297" i="2"/>
  <c r="BR307" i="2" s="1"/>
  <c r="BR308" i="2" s="1"/>
  <c r="R61" i="2"/>
  <c r="R62" i="2" s="1"/>
  <c r="W96" i="2"/>
  <c r="W97" i="2" s="1"/>
  <c r="V131" i="2"/>
  <c r="V132" i="2" s="1"/>
  <c r="Q154" i="2"/>
  <c r="U154" i="2"/>
  <c r="U164" i="2" s="1"/>
  <c r="U165" i="2" s="1"/>
  <c r="O155" i="2"/>
  <c r="S155" i="2"/>
  <c r="R156" i="2"/>
  <c r="R157" i="2"/>
  <c r="O158" i="2"/>
  <c r="S158" i="2"/>
  <c r="Q159" i="2"/>
  <c r="P160" i="2"/>
  <c r="P161" i="2"/>
  <c r="X167" i="2"/>
  <c r="X169" i="2" s="1"/>
  <c r="X170" i="2" s="1"/>
  <c r="P297" i="2"/>
  <c r="T297" i="2"/>
  <c r="R298" i="2"/>
  <c r="V298" i="2"/>
  <c r="Q299" i="2"/>
  <c r="U299" i="2"/>
  <c r="Q300" i="2"/>
  <c r="R301" i="2"/>
  <c r="P302" i="2"/>
  <c r="O303" i="2"/>
  <c r="O304" i="2"/>
  <c r="AB154" i="2"/>
  <c r="AF154" i="2"/>
  <c r="AD155" i="2"/>
  <c r="AH155" i="2"/>
  <c r="AC156" i="2"/>
  <c r="AG156" i="2"/>
  <c r="AG164" i="2" s="1"/>
  <c r="AG165" i="2" s="1"/>
  <c r="AC157" i="2"/>
  <c r="AD158" i="2"/>
  <c r="AB159" i="2"/>
  <c r="AA160" i="2"/>
  <c r="AA161" i="2"/>
  <c r="AA164" i="2" s="1"/>
  <c r="AA165" i="2" s="1"/>
  <c r="AB297" i="2"/>
  <c r="AF297" i="2"/>
  <c r="AD298" i="2"/>
  <c r="AH298" i="2"/>
  <c r="AC299" i="2"/>
  <c r="AG299" i="2"/>
  <c r="AC300" i="2"/>
  <c r="AD301" i="2"/>
  <c r="AB302" i="2"/>
  <c r="AA303" i="2"/>
  <c r="AA304" i="2"/>
  <c r="AA307" i="2" s="1"/>
  <c r="AA308" i="2" s="1"/>
  <c r="AB417" i="2"/>
  <c r="AB418" i="2" s="1"/>
  <c r="AF417" i="2"/>
  <c r="AF418" i="2" s="1"/>
  <c r="AO154" i="2"/>
  <c r="AS154" i="2"/>
  <c r="AM155" i="2"/>
  <c r="AQ155" i="2"/>
  <c r="AP156" i="2"/>
  <c r="AP157" i="2"/>
  <c r="AM158" i="2"/>
  <c r="AQ158" i="2"/>
  <c r="AO159" i="2"/>
  <c r="AN160" i="2"/>
  <c r="AN161" i="2"/>
  <c r="AN164" i="2" s="1"/>
  <c r="AN165" i="2" s="1"/>
  <c r="AV167" i="2"/>
  <c r="AV169" i="2" s="1"/>
  <c r="AV170" i="2" s="1"/>
  <c r="AT204" i="2"/>
  <c r="AT205" i="2" s="1"/>
  <c r="AP297" i="2"/>
  <c r="AT297" i="2"/>
  <c r="AN298" i="2"/>
  <c r="AR298" i="2"/>
  <c r="AM299" i="2"/>
  <c r="AQ299" i="2"/>
  <c r="AM300" i="2"/>
  <c r="AQ300" i="2"/>
  <c r="AN301" i="2"/>
  <c r="AP302" i="2"/>
  <c r="AO303" i="2"/>
  <c r="BF61" i="2"/>
  <c r="BF62" i="2" s="1"/>
  <c r="BF131" i="2"/>
  <c r="BF132" i="2" s="1"/>
  <c r="BB154" i="2"/>
  <c r="BF154" i="2"/>
  <c r="AZ155" i="2"/>
  <c r="BD155" i="2"/>
  <c r="AY156" i="2"/>
  <c r="BC156" i="2"/>
  <c r="AY157" i="2"/>
  <c r="BC157" i="2"/>
  <c r="BC164" i="2" s="1"/>
  <c r="BC165" i="2" s="1"/>
  <c r="AZ158" i="2"/>
  <c r="BB159" i="2"/>
  <c r="BA160" i="2"/>
  <c r="BE204" i="2"/>
  <c r="BE205" i="2" s="1"/>
  <c r="BB297" i="2"/>
  <c r="BF297" i="2"/>
  <c r="AZ298" i="2"/>
  <c r="BD298" i="2"/>
  <c r="BD307" i="2" s="1"/>
  <c r="BD308" i="2" s="1"/>
  <c r="AY299" i="2"/>
  <c r="BC299" i="2"/>
  <c r="BC307" i="2" s="1"/>
  <c r="BC308" i="2" s="1"/>
  <c r="AY300" i="2"/>
  <c r="BC300" i="2"/>
  <c r="AZ301" i="2"/>
  <c r="BB302" i="2"/>
  <c r="BA303" i="2"/>
  <c r="BA307" i="2" s="1"/>
  <c r="BA308" i="2" s="1"/>
  <c r="BG452" i="2"/>
  <c r="BG453" i="2" s="1"/>
  <c r="AC204" i="2"/>
  <c r="AC205" i="2" s="1"/>
  <c r="AO61" i="2"/>
  <c r="AO62" i="2" s="1"/>
  <c r="AU131" i="2"/>
  <c r="AU132" i="2" s="1"/>
  <c r="AQ204" i="2"/>
  <c r="AQ205" i="2" s="1"/>
  <c r="BG131" i="2"/>
  <c r="BG132" i="2" s="1"/>
  <c r="AZ347" i="2"/>
  <c r="AZ348" i="2" s="1"/>
  <c r="BD417" i="2"/>
  <c r="BD418" i="2" s="1"/>
  <c r="W164" i="2"/>
  <c r="W165" i="2" s="1"/>
  <c r="W166" i="2" s="1"/>
  <c r="W167" i="2" s="1"/>
  <c r="W169" i="2" s="1"/>
  <c r="W170" i="2" s="1"/>
  <c r="V154" i="2"/>
  <c r="T417" i="2"/>
  <c r="T418" i="2" s="1"/>
  <c r="O154" i="2"/>
  <c r="S154" i="2"/>
  <c r="W154" i="2"/>
  <c r="Q155" i="2"/>
  <c r="U155" i="2"/>
  <c r="P156" i="2"/>
  <c r="T156" i="2"/>
  <c r="P157" i="2"/>
  <c r="T157" i="2"/>
  <c r="Q158" i="2"/>
  <c r="O159" i="2"/>
  <c r="O162" i="2"/>
  <c r="R297" i="2"/>
  <c r="W307" i="2"/>
  <c r="W308" i="2" s="1"/>
  <c r="W309" i="2" s="1"/>
  <c r="W310" i="2" s="1"/>
  <c r="W312" i="2" s="1"/>
  <c r="W313" i="2" s="1"/>
  <c r="V297" i="2"/>
  <c r="P298" i="2"/>
  <c r="T298" i="2"/>
  <c r="O299" i="2"/>
  <c r="S299" i="2"/>
  <c r="O300" i="2"/>
  <c r="S300" i="2"/>
  <c r="P301" i="2"/>
  <c r="R302" i="2"/>
  <c r="Q303" i="2"/>
  <c r="AD154" i="2"/>
  <c r="AH154" i="2"/>
  <c r="AB155" i="2"/>
  <c r="AF155" i="2"/>
  <c r="AA156" i="2"/>
  <c r="AE156" i="2"/>
  <c r="AA157" i="2"/>
  <c r="AE157" i="2"/>
  <c r="AB158" i="2"/>
  <c r="AD159" i="2"/>
  <c r="AC160" i="2"/>
  <c r="AH204" i="2"/>
  <c r="AH205" i="2" s="1"/>
  <c r="AD297" i="2"/>
  <c r="AH297" i="2"/>
  <c r="AH307" i="2" s="1"/>
  <c r="AH308" i="2" s="1"/>
  <c r="AB298" i="2"/>
  <c r="AF298" i="2"/>
  <c r="AF307" i="2" s="1"/>
  <c r="AF308" i="2" s="1"/>
  <c r="AA299" i="2"/>
  <c r="AE299" i="2"/>
  <c r="AA300" i="2"/>
  <c r="AE300" i="2"/>
  <c r="AB301" i="2"/>
  <c r="AD302" i="2"/>
  <c r="AC303" i="2"/>
  <c r="AI347" i="2"/>
  <c r="AI348" i="2" s="1"/>
  <c r="AI382" i="2"/>
  <c r="AI383" i="2" s="1"/>
  <c r="AM154" i="2"/>
  <c r="AQ154" i="2"/>
  <c r="AU154" i="2"/>
  <c r="AO155" i="2"/>
  <c r="AS155" i="2"/>
  <c r="AS164" i="2" s="1"/>
  <c r="AS165" i="2" s="1"/>
  <c r="AN156" i="2"/>
  <c r="AR156" i="2"/>
  <c r="AN157" i="2"/>
  <c r="AR157" i="2"/>
  <c r="AO158" i="2"/>
  <c r="AM159" i="2"/>
  <c r="AM162" i="2"/>
  <c r="AT239" i="2"/>
  <c r="AT240" i="2" s="1"/>
  <c r="AN297" i="2"/>
  <c r="AR297" i="2"/>
  <c r="AP298" i="2"/>
  <c r="AT298" i="2"/>
  <c r="AO299" i="2"/>
  <c r="AS299" i="2"/>
  <c r="AO300" i="2"/>
  <c r="AP301" i="2"/>
  <c r="AP307" i="2" s="1"/>
  <c r="AP308" i="2" s="1"/>
  <c r="AN302" i="2"/>
  <c r="AN307" i="2" s="1"/>
  <c r="AN308" i="2" s="1"/>
  <c r="AM303" i="2"/>
  <c r="AM307" i="2" s="1"/>
  <c r="AM308" i="2" s="1"/>
  <c r="AM304" i="2"/>
  <c r="AZ154" i="2"/>
  <c r="BD154" i="2"/>
  <c r="BB155" i="2"/>
  <c r="BF155" i="2"/>
  <c r="BA156" i="2"/>
  <c r="BE156" i="2"/>
  <c r="BA157" i="2"/>
  <c r="BB158" i="2"/>
  <c r="AZ159" i="2"/>
  <c r="AY160" i="2"/>
  <c r="AY161" i="2"/>
  <c r="AZ297" i="2"/>
  <c r="BD297" i="2"/>
  <c r="BB298" i="2"/>
  <c r="BF298" i="2"/>
  <c r="BA299" i="2"/>
  <c r="BE299" i="2"/>
  <c r="BA300" i="2"/>
  <c r="BB301" i="2"/>
  <c r="AZ302" i="2"/>
  <c r="AZ307" i="2" s="1"/>
  <c r="AZ308" i="2" s="1"/>
  <c r="AY303" i="2"/>
  <c r="AY304" i="2"/>
  <c r="BN96" i="2"/>
  <c r="BN97" i="2" s="1"/>
  <c r="BM154" i="2"/>
  <c r="BQ154" i="2"/>
  <c r="BK155" i="2"/>
  <c r="BO155" i="2"/>
  <c r="BN156" i="2"/>
  <c r="BN157" i="2"/>
  <c r="BK158" i="2"/>
  <c r="BO158" i="2"/>
  <c r="BM159" i="2"/>
  <c r="BL160" i="2"/>
  <c r="BL161" i="2"/>
  <c r="BK297" i="2"/>
  <c r="BO297" i="2"/>
  <c r="BS297" i="2"/>
  <c r="BS307" i="2" s="1"/>
  <c r="BS308" i="2" s="1"/>
  <c r="BS309" i="2" s="1"/>
  <c r="BS310" i="2" s="1"/>
  <c r="BS312" i="2" s="1"/>
  <c r="BS313" i="2" s="1"/>
  <c r="BM298" i="2"/>
  <c r="BQ298" i="2"/>
  <c r="BL299" i="2"/>
  <c r="BP299" i="2"/>
  <c r="BL300" i="2"/>
  <c r="BP300" i="2"/>
  <c r="BM301" i="2"/>
  <c r="BK302" i="2"/>
  <c r="BK305" i="2"/>
  <c r="BR382" i="2"/>
  <c r="BR383" i="2" s="1"/>
  <c r="BX154" i="2"/>
  <c r="CB154" i="2"/>
  <c r="BZ155" i="2"/>
  <c r="CD155" i="2"/>
  <c r="BY156" i="2"/>
  <c r="CC156" i="2"/>
  <c r="BY157" i="2"/>
  <c r="BZ158" i="2"/>
  <c r="BZ164" i="2" s="1"/>
  <c r="BZ165" i="2" s="1"/>
  <c r="BX159" i="2"/>
  <c r="BW160" i="2"/>
  <c r="BW161" i="2"/>
  <c r="CC204" i="2"/>
  <c r="CC205" i="2" s="1"/>
  <c r="BX297" i="2"/>
  <c r="CB297" i="2"/>
  <c r="BZ298" i="2"/>
  <c r="CD298" i="2"/>
  <c r="BY299" i="2"/>
  <c r="CC299" i="2"/>
  <c r="BY300" i="2"/>
  <c r="BZ301" i="2"/>
  <c r="BX302" i="2"/>
  <c r="BW303" i="2"/>
  <c r="BW304" i="2"/>
  <c r="CE417" i="2"/>
  <c r="CE418" i="2" s="1"/>
  <c r="CL154" i="2"/>
  <c r="CP154" i="2"/>
  <c r="CJ155" i="2"/>
  <c r="CN155" i="2"/>
  <c r="CI156" i="2"/>
  <c r="CM156" i="2"/>
  <c r="CI157" i="2"/>
  <c r="CM157" i="2"/>
  <c r="CJ158" i="2"/>
  <c r="CL159" i="2"/>
  <c r="CK160" i="2"/>
  <c r="CY96" i="2"/>
  <c r="CY97" i="2" s="1"/>
  <c r="CV154" i="2"/>
  <c r="CZ154" i="2"/>
  <c r="CX155" i="2"/>
  <c r="DB155" i="2"/>
  <c r="CW156" i="2"/>
  <c r="DA156" i="2"/>
  <c r="CW157" i="2"/>
  <c r="CX158" i="2"/>
  <c r="CV159" i="2"/>
  <c r="CU160" i="2"/>
  <c r="CU164" i="2" s="1"/>
  <c r="CU165" i="2" s="1"/>
  <c r="CU161" i="2"/>
  <c r="CZ204" i="2"/>
  <c r="CZ205" i="2" s="1"/>
  <c r="CX239" i="2"/>
  <c r="CX240" i="2" s="1"/>
  <c r="CW297" i="2"/>
  <c r="DA297" i="2"/>
  <c r="CU298" i="2"/>
  <c r="CY298" i="2"/>
  <c r="DD310" i="2"/>
  <c r="DD312" i="2" s="1"/>
  <c r="DD313" i="2" s="1"/>
  <c r="DH61" i="2"/>
  <c r="DH62" i="2" s="1"/>
  <c r="DL61" i="2"/>
  <c r="DL62" i="2" s="1"/>
  <c r="DO96" i="2"/>
  <c r="DO97" i="2" s="1"/>
  <c r="DO307" i="2"/>
  <c r="DO308" i="2" s="1"/>
  <c r="DO309" i="2" s="1"/>
  <c r="DO310" i="2" s="1"/>
  <c r="DO312" i="2" s="1"/>
  <c r="DO313" i="2" s="1"/>
  <c r="DN297" i="2"/>
  <c r="DN347" i="2"/>
  <c r="DN348" i="2" s="1"/>
  <c r="CC154" i="2"/>
  <c r="CN274" i="2"/>
  <c r="CN275" i="2" s="1"/>
  <c r="CP297" i="2"/>
  <c r="DN154" i="2"/>
  <c r="DN164" i="2" s="1"/>
  <c r="DN165" i="2" s="1"/>
  <c r="BE452" i="2"/>
  <c r="BE453" i="2" s="1"/>
  <c r="BM131" i="2"/>
  <c r="BM132" i="2" s="1"/>
  <c r="BQ131" i="2"/>
  <c r="BQ132" i="2" s="1"/>
  <c r="BK154" i="2"/>
  <c r="BO154" i="2"/>
  <c r="BS154" i="2"/>
  <c r="BS164" i="2" s="1"/>
  <c r="BS165" i="2" s="1"/>
  <c r="BS166" i="2" s="1"/>
  <c r="BS167" i="2" s="1"/>
  <c r="BS169" i="2" s="1"/>
  <c r="BS170" i="2" s="1"/>
  <c r="BM155" i="2"/>
  <c r="BQ155" i="2"/>
  <c r="BL156" i="2"/>
  <c r="BP156" i="2"/>
  <c r="BL157" i="2"/>
  <c r="BP157" i="2"/>
  <c r="BM158" i="2"/>
  <c r="BM164" i="2" s="1"/>
  <c r="BM165" i="2" s="1"/>
  <c r="BK159" i="2"/>
  <c r="BK162" i="2"/>
  <c r="BM297" i="2"/>
  <c r="BQ297" i="2"/>
  <c r="BK298" i="2"/>
  <c r="BO298" i="2"/>
  <c r="BN299" i="2"/>
  <c r="BN300" i="2"/>
  <c r="BN307" i="2" s="1"/>
  <c r="BN308" i="2" s="1"/>
  <c r="BK301" i="2"/>
  <c r="BO301" i="2"/>
  <c r="BM302" i="2"/>
  <c r="BL303" i="2"/>
  <c r="BL304" i="2"/>
  <c r="BZ154" i="2"/>
  <c r="CD154" i="2"/>
  <c r="CD164" i="2" s="1"/>
  <c r="CD165" i="2" s="1"/>
  <c r="BX155" i="2"/>
  <c r="CB155" i="2"/>
  <c r="CB164" i="2" s="1"/>
  <c r="CB165" i="2" s="1"/>
  <c r="BW156" i="2"/>
  <c r="CA156" i="2"/>
  <c r="BW157" i="2"/>
  <c r="CA157" i="2"/>
  <c r="BX158" i="2"/>
  <c r="BZ159" i="2"/>
  <c r="BY160" i="2"/>
  <c r="CE204" i="2"/>
  <c r="CE205" i="2" s="1"/>
  <c r="BZ297" i="2"/>
  <c r="CD297" i="2"/>
  <c r="CD307" i="2" s="1"/>
  <c r="CD308" i="2" s="1"/>
  <c r="BX298" i="2"/>
  <c r="CB298" i="2"/>
  <c r="BW299" i="2"/>
  <c r="CA299" i="2"/>
  <c r="BW300" i="2"/>
  <c r="CA300" i="2"/>
  <c r="CA307" i="2" s="1"/>
  <c r="CA308" i="2" s="1"/>
  <c r="BX301" i="2"/>
  <c r="BZ302" i="2"/>
  <c r="BY303" i="2"/>
  <c r="CD347" i="2"/>
  <c r="CD348" i="2" s="1"/>
  <c r="CB417" i="2"/>
  <c r="CB418" i="2" s="1"/>
  <c r="CN96" i="2"/>
  <c r="CN97" i="2" s="1"/>
  <c r="CJ154" i="2"/>
  <c r="CN154" i="2"/>
  <c r="CL155" i="2"/>
  <c r="CP155" i="2"/>
  <c r="CP164" i="2" s="1"/>
  <c r="CP165" i="2" s="1"/>
  <c r="CP166" i="2" s="1"/>
  <c r="CP167" i="2" s="1"/>
  <c r="CP169" i="2" s="1"/>
  <c r="CP170" i="2" s="1"/>
  <c r="CK26" i="2" s="1"/>
  <c r="CK156" i="2"/>
  <c r="CO156" i="2"/>
  <c r="CK157" i="2"/>
  <c r="CL158" i="2"/>
  <c r="CJ159" i="2"/>
  <c r="CI160" i="2"/>
  <c r="CI164" i="2" s="1"/>
  <c r="CI165" i="2" s="1"/>
  <c r="CI161" i="2"/>
  <c r="CI297" i="2"/>
  <c r="CM297" i="2"/>
  <c r="CQ297" i="2"/>
  <c r="CQ307" i="2" s="1"/>
  <c r="CQ308" i="2" s="1"/>
  <c r="CQ309" i="2" s="1"/>
  <c r="CQ310" i="2" s="1"/>
  <c r="CQ312" i="2" s="1"/>
  <c r="CQ313" i="2" s="1"/>
  <c r="CK298" i="2"/>
  <c r="CO298" i="2"/>
  <c r="CJ299" i="2"/>
  <c r="CN299" i="2"/>
  <c r="CJ300" i="2"/>
  <c r="CN300" i="2"/>
  <c r="CK301" i="2"/>
  <c r="CI302" i="2"/>
  <c r="CI305" i="2"/>
  <c r="CJ347" i="2"/>
  <c r="CJ348" i="2" s="1"/>
  <c r="DC61" i="2"/>
  <c r="DC62" i="2" s="1"/>
  <c r="DB131" i="2"/>
  <c r="DB132" i="2" s="1"/>
  <c r="CX154" i="2"/>
  <c r="DB154" i="2"/>
  <c r="DB164" i="2" s="1"/>
  <c r="DB165" i="2" s="1"/>
  <c r="CV155" i="2"/>
  <c r="CZ155" i="2"/>
  <c r="CU156" i="2"/>
  <c r="CY156" i="2"/>
  <c r="CU157" i="2"/>
  <c r="CY157" i="2"/>
  <c r="CV158" i="2"/>
  <c r="CX159" i="2"/>
  <c r="CX164" i="2" s="1"/>
  <c r="CX165" i="2" s="1"/>
  <c r="CW160" i="2"/>
  <c r="DC204" i="2"/>
  <c r="DC205" i="2" s="1"/>
  <c r="CU297" i="2"/>
  <c r="CY297" i="2"/>
  <c r="DC297" i="2"/>
  <c r="DC307" i="2" s="1"/>
  <c r="DC308" i="2" s="1"/>
  <c r="DC309" i="2" s="1"/>
  <c r="DC310" i="2" s="1"/>
  <c r="DC312" i="2" s="1"/>
  <c r="DC313" i="2" s="1"/>
  <c r="CW298" i="2"/>
  <c r="DA298" i="2"/>
  <c r="CV299" i="2"/>
  <c r="CZ299" i="2"/>
  <c r="CV300" i="2"/>
  <c r="CZ300" i="2"/>
  <c r="CW301" i="2"/>
  <c r="CU302" i="2"/>
  <c r="CU305" i="2"/>
  <c r="DG154" i="2"/>
  <c r="DK154" i="2"/>
  <c r="DO154" i="2"/>
  <c r="DO164" i="2" s="1"/>
  <c r="DO165" i="2" s="1"/>
  <c r="DO166" i="2" s="1"/>
  <c r="DO167" i="2" s="1"/>
  <c r="DO169" i="2" s="1"/>
  <c r="DO170" i="2" s="1"/>
  <c r="DI155" i="2"/>
  <c r="DM155" i="2"/>
  <c r="DH156" i="2"/>
  <c r="DL156" i="2"/>
  <c r="DL164" i="2" s="1"/>
  <c r="DL165" i="2" s="1"/>
  <c r="DH157" i="2"/>
  <c r="DL157" i="2"/>
  <c r="DI158" i="2"/>
  <c r="DG159" i="2"/>
  <c r="DG162" i="2"/>
  <c r="DH297" i="2"/>
  <c r="DL297" i="2"/>
  <c r="DJ298" i="2"/>
  <c r="DN298" i="2"/>
  <c r="DN307" i="2" s="1"/>
  <c r="DN308" i="2" s="1"/>
  <c r="DN309" i="2" s="1"/>
  <c r="DN310" i="2" s="1"/>
  <c r="DN312" i="2" s="1"/>
  <c r="DN313" i="2" s="1"/>
  <c r="DI299" i="2"/>
  <c r="DM299" i="2"/>
  <c r="DI300" i="2"/>
  <c r="DJ301" i="2"/>
  <c r="DH302" i="2"/>
  <c r="DG303" i="2"/>
  <c r="DG304" i="2"/>
  <c r="DO417" i="2"/>
  <c r="DO418" i="2" s="1"/>
  <c r="BS452" i="2"/>
  <c r="BS453" i="2" s="1"/>
  <c r="CE131" i="2"/>
  <c r="CE132" i="2" s="1"/>
  <c r="BX347" i="2"/>
  <c r="BX348" i="2" s="1"/>
  <c r="CQ417" i="2"/>
  <c r="CQ418" i="2" s="1"/>
  <c r="CQ452" i="2"/>
  <c r="CQ453" i="2" s="1"/>
  <c r="DC417" i="2"/>
  <c r="DC418" i="2" s="1"/>
  <c r="DO61" i="2"/>
  <c r="DO62" i="2" s="1"/>
  <c r="DH154" i="2"/>
  <c r="DL154" i="2"/>
  <c r="DJ155" i="2"/>
  <c r="DN155" i="2"/>
  <c r="DI156" i="2"/>
  <c r="DM156" i="2"/>
  <c r="DI157" i="2"/>
  <c r="DJ158" i="2"/>
  <c r="DJ164" i="2" s="1"/>
  <c r="DJ165" i="2" s="1"/>
  <c r="DH159" i="2"/>
  <c r="DG160" i="2"/>
  <c r="DG161" i="2"/>
  <c r="DG164" i="2" s="1"/>
  <c r="DG165" i="2" s="1"/>
  <c r="DI297" i="2"/>
  <c r="DM297" i="2"/>
  <c r="DG298" i="2"/>
  <c r="DK298" i="2"/>
  <c r="DJ299" i="2"/>
  <c r="DJ300" i="2"/>
  <c r="DG301" i="2"/>
  <c r="DK301" i="2"/>
  <c r="DI302" i="2"/>
  <c r="DH303" i="2"/>
  <c r="DH304" i="2"/>
  <c r="DO382" i="2"/>
  <c r="DO383" i="2" s="1"/>
  <c r="Q61" i="2"/>
  <c r="Q62" i="2" s="1"/>
  <c r="U61" i="2"/>
  <c r="U62" i="2" s="1"/>
  <c r="W204" i="2"/>
  <c r="W205" i="2" s="1"/>
  <c r="O239" i="2"/>
  <c r="O240" i="2" s="1"/>
  <c r="W382" i="2"/>
  <c r="W383" i="2" s="1"/>
  <c r="T96" i="2"/>
  <c r="T97" i="2" s="1"/>
  <c r="U96" i="2"/>
  <c r="U97" i="2" s="1"/>
  <c r="AH274" i="2"/>
  <c r="AH275" i="2" s="1"/>
  <c r="AG274" i="2"/>
  <c r="AG275" i="2" s="1"/>
  <c r="W61" i="2"/>
  <c r="W62" i="2" s="1"/>
  <c r="P131" i="2"/>
  <c r="P132" i="2" s="1"/>
  <c r="P274" i="2"/>
  <c r="P275" i="2" s="1"/>
  <c r="T274" i="2"/>
  <c r="T275" i="2" s="1"/>
  <c r="P96" i="2"/>
  <c r="P97" i="2" s="1"/>
  <c r="AD204" i="2"/>
  <c r="AD205" i="2" s="1"/>
  <c r="AD239" i="2"/>
  <c r="AD240" i="2" s="1"/>
  <c r="AJ310" i="2"/>
  <c r="AJ312" i="2" s="1"/>
  <c r="AJ313" i="2" s="1"/>
  <c r="V96" i="2"/>
  <c r="V97" i="2" s="1"/>
  <c r="V204" i="2"/>
  <c r="V205" i="2" s="1"/>
  <c r="X310" i="2"/>
  <c r="X312" i="2" s="1"/>
  <c r="X313" i="2" s="1"/>
  <c r="W452" i="2"/>
  <c r="W453" i="2" s="1"/>
  <c r="AI204" i="2"/>
  <c r="AI205" i="2" s="1"/>
  <c r="AG417" i="2"/>
  <c r="AG418" i="2" s="1"/>
  <c r="P452" i="2"/>
  <c r="P453" i="2" s="1"/>
  <c r="T452" i="2"/>
  <c r="T453" i="2" s="1"/>
  <c r="AE274" i="2"/>
  <c r="AE275" i="2" s="1"/>
  <c r="AH452" i="2"/>
  <c r="AH453" i="2" s="1"/>
  <c r="AU274" i="2"/>
  <c r="AU275" i="2" s="1"/>
  <c r="AS274" i="2"/>
  <c r="AS275" i="2" s="1"/>
  <c r="Q164" i="2"/>
  <c r="Q165" i="2" s="1"/>
  <c r="P382" i="2"/>
  <c r="P383" i="2" s="1"/>
  <c r="T382" i="2"/>
  <c r="T383" i="2" s="1"/>
  <c r="O417" i="2"/>
  <c r="O418" i="2" s="1"/>
  <c r="S417" i="2"/>
  <c r="S418" i="2" s="1"/>
  <c r="W417" i="2"/>
  <c r="W418" i="2" s="1"/>
  <c r="AD61" i="2"/>
  <c r="AD62" i="2" s="1"/>
  <c r="AB96" i="2"/>
  <c r="AB97" i="2" s="1"/>
  <c r="AF96" i="2"/>
  <c r="AF97" i="2" s="1"/>
  <c r="AA131" i="2"/>
  <c r="AA132" i="2" s="1"/>
  <c r="AE131" i="2"/>
  <c r="AE132" i="2" s="1"/>
  <c r="AI131" i="2"/>
  <c r="AI132" i="2" s="1"/>
  <c r="AA347" i="2"/>
  <c r="AA348" i="2" s="1"/>
  <c r="AA452" i="2"/>
  <c r="AA453" i="2" s="1"/>
  <c r="AC347" i="2"/>
  <c r="AC348" i="2" s="1"/>
  <c r="AG347" i="2"/>
  <c r="AG348" i="2" s="1"/>
  <c r="AB382" i="2"/>
  <c r="AB383" i="2" s="1"/>
  <c r="AF382" i="2"/>
  <c r="AF383" i="2" s="1"/>
  <c r="AT96" i="2"/>
  <c r="AT97" i="2" s="1"/>
  <c r="AQ96" i="2"/>
  <c r="AQ97" i="2" s="1"/>
  <c r="AT164" i="2"/>
  <c r="AT165" i="2" s="1"/>
  <c r="AM204" i="2"/>
  <c r="AM205" i="2" s="1"/>
  <c r="AU204" i="2"/>
  <c r="AU205" i="2" s="1"/>
  <c r="AO274" i="2"/>
  <c r="AO275" i="2" s="1"/>
  <c r="AP382" i="2"/>
  <c r="AP383" i="2" s="1"/>
  <c r="AT382" i="2"/>
  <c r="AT383" i="2" s="1"/>
  <c r="AM417" i="2"/>
  <c r="AM418" i="2" s="1"/>
  <c r="AU417" i="2"/>
  <c r="AU418" i="2" s="1"/>
  <c r="AY96" i="2"/>
  <c r="AY97" i="2" s="1"/>
  <c r="BC96" i="2"/>
  <c r="BC97" i="2" s="1"/>
  <c r="BG96" i="2"/>
  <c r="BG97" i="2" s="1"/>
  <c r="AZ131" i="2"/>
  <c r="AZ132" i="2" s="1"/>
  <c r="BD131" i="2"/>
  <c r="BD132" i="2" s="1"/>
  <c r="BA131" i="2"/>
  <c r="BA132" i="2" s="1"/>
  <c r="BH167" i="2"/>
  <c r="BH169" i="2" s="1"/>
  <c r="BH170" i="2" s="1"/>
  <c r="AD347" i="2"/>
  <c r="AD348" i="2" s="1"/>
  <c r="AH347" i="2"/>
  <c r="AH348" i="2" s="1"/>
  <c r="AC382" i="2"/>
  <c r="AC383" i="2" s="1"/>
  <c r="AG382" i="2"/>
  <c r="AG383" i="2" s="1"/>
  <c r="AA417" i="2"/>
  <c r="AA418" i="2" s="1"/>
  <c r="AE417" i="2"/>
  <c r="AE418" i="2" s="1"/>
  <c r="AI417" i="2"/>
  <c r="AI418" i="2" s="1"/>
  <c r="AO131" i="2"/>
  <c r="AO132" i="2" s="1"/>
  <c r="AS131" i="2"/>
  <c r="AS132" i="2" s="1"/>
  <c r="AN204" i="2"/>
  <c r="AN205" i="2" s="1"/>
  <c r="AR204" i="2"/>
  <c r="AR205" i="2" s="1"/>
  <c r="AT274" i="2"/>
  <c r="AT275" i="2" s="1"/>
  <c r="AT307" i="2"/>
  <c r="AT308" i="2" s="1"/>
  <c r="AS307" i="2"/>
  <c r="AS308" i="2" s="1"/>
  <c r="AV310" i="2"/>
  <c r="AV312" i="2" s="1"/>
  <c r="AV313" i="2" s="1"/>
  <c r="AR417" i="2"/>
  <c r="AR418" i="2" s="1"/>
  <c r="BD96" i="2"/>
  <c r="BD97" i="2" s="1"/>
  <c r="BB164" i="2"/>
  <c r="BB165" i="2" s="1"/>
  <c r="AZ274" i="2"/>
  <c r="AZ275" i="2" s="1"/>
  <c r="BD274" i="2"/>
  <c r="BD275" i="2" s="1"/>
  <c r="BC452" i="2"/>
  <c r="BC453" i="2" s="1"/>
  <c r="AS61" i="2"/>
  <c r="AS62" i="2" s="1"/>
  <c r="AR307" i="2"/>
  <c r="AR308" i="2" s="1"/>
  <c r="AM347" i="2"/>
  <c r="AM348" i="2" s="1"/>
  <c r="AT452" i="2"/>
  <c r="AT453" i="2" s="1"/>
  <c r="BC204" i="2"/>
  <c r="BC205" i="2" s="1"/>
  <c r="AP239" i="2"/>
  <c r="AP240" i="2" s="1"/>
  <c r="AS382" i="2"/>
  <c r="AS383" i="2" s="1"/>
  <c r="AM452" i="2"/>
  <c r="AM453" i="2" s="1"/>
  <c r="AQ452" i="2"/>
  <c r="AQ453" i="2" s="1"/>
  <c r="AY131" i="2"/>
  <c r="AY132" i="2" s="1"/>
  <c r="AY164" i="2"/>
  <c r="AY165" i="2" s="1"/>
  <c r="BG167" i="2"/>
  <c r="BG169" i="2" s="1"/>
  <c r="BG170" i="2" s="1"/>
  <c r="BA417" i="2"/>
  <c r="BA418" i="2" s="1"/>
  <c r="BE417" i="2"/>
  <c r="BE418" i="2" s="1"/>
  <c r="AY452" i="2"/>
  <c r="AY453" i="2" s="1"/>
  <c r="BQ61" i="2"/>
  <c r="BQ62" i="2" s="1"/>
  <c r="BR131" i="2"/>
  <c r="BR132" i="2" s="1"/>
  <c r="BP204" i="2"/>
  <c r="BP205" i="2" s="1"/>
  <c r="BT310" i="2"/>
  <c r="BT312" i="2" s="1"/>
  <c r="BT313" i="2" s="1"/>
  <c r="BP417" i="2"/>
  <c r="BP418" i="2" s="1"/>
  <c r="AY239" i="2"/>
  <c r="AY240" i="2" s="1"/>
  <c r="BB347" i="2"/>
  <c r="BB348" i="2" s="1"/>
  <c r="BF347" i="2"/>
  <c r="BF348" i="2" s="1"/>
  <c r="AZ452" i="2"/>
  <c r="AZ453" i="2" s="1"/>
  <c r="BD452" i="2"/>
  <c r="BD453" i="2" s="1"/>
  <c r="BK347" i="2"/>
  <c r="BK348" i="2" s="1"/>
  <c r="BO347" i="2"/>
  <c r="BO348" i="2" s="1"/>
  <c r="BR452" i="2"/>
  <c r="BR453" i="2" s="1"/>
  <c r="BY239" i="2"/>
  <c r="BY240" i="2" s="1"/>
  <c r="CC382" i="2"/>
  <c r="CC383" i="2" s="1"/>
  <c r="AZ382" i="2"/>
  <c r="AZ383" i="2" s="1"/>
  <c r="BD382" i="2"/>
  <c r="BD383" i="2" s="1"/>
  <c r="BG382" i="2"/>
  <c r="BG383" i="2" s="1"/>
  <c r="AY417" i="2"/>
  <c r="AY418" i="2" s="1"/>
  <c r="BC417" i="2"/>
  <c r="BC418" i="2" s="1"/>
  <c r="BG417" i="2"/>
  <c r="BG418" i="2" s="1"/>
  <c r="BK61" i="2"/>
  <c r="BK62" i="2" s="1"/>
  <c r="BS61" i="2"/>
  <c r="BS62" i="2" s="1"/>
  <c r="BM96" i="2"/>
  <c r="BM97" i="2" s="1"/>
  <c r="BQ96" i="2"/>
  <c r="BQ97" i="2" s="1"/>
  <c r="BQ239" i="2"/>
  <c r="BQ240" i="2" s="1"/>
  <c r="BN274" i="2"/>
  <c r="BN275" i="2" s="1"/>
  <c r="BK307" i="2"/>
  <c r="BK308" i="2" s="1"/>
  <c r="BK204" i="2"/>
  <c r="BK205" i="2" s="1"/>
  <c r="BK417" i="2"/>
  <c r="BK418" i="2" s="1"/>
  <c r="BO417" i="2"/>
  <c r="BO418" i="2" s="1"/>
  <c r="BS417" i="2"/>
  <c r="BS418" i="2" s="1"/>
  <c r="CB61" i="2"/>
  <c r="CB62" i="2" s="1"/>
  <c r="BW417" i="2"/>
  <c r="BW418" i="2" s="1"/>
  <c r="CA417" i="2"/>
  <c r="CA418" i="2" s="1"/>
  <c r="CL61" i="2"/>
  <c r="CL62" i="2" s="1"/>
  <c r="CP61" i="2"/>
  <c r="CP62" i="2" s="1"/>
  <c r="BY61" i="2"/>
  <c r="BY62" i="2" s="1"/>
  <c r="CC61" i="2"/>
  <c r="CC62" i="2" s="1"/>
  <c r="BW96" i="2"/>
  <c r="BW97" i="2" s="1"/>
  <c r="CD131" i="2"/>
  <c r="CD132" i="2" s="1"/>
  <c r="CD452" i="2"/>
  <c r="CD453" i="2" s="1"/>
  <c r="CC239" i="2"/>
  <c r="CC240" i="2" s="1"/>
  <c r="BX274" i="2"/>
  <c r="BX275" i="2" s="1"/>
  <c r="CB274" i="2"/>
  <c r="CB275" i="2" s="1"/>
  <c r="BZ347" i="2"/>
  <c r="BZ348" i="2" s="1"/>
  <c r="CO131" i="2"/>
  <c r="CO132" i="2" s="1"/>
  <c r="BZ239" i="2"/>
  <c r="BZ240" i="2" s="1"/>
  <c r="CD239" i="2"/>
  <c r="CD240" i="2" s="1"/>
  <c r="BX382" i="2"/>
  <c r="BX383" i="2" s="1"/>
  <c r="CB382" i="2"/>
  <c r="CB383" i="2" s="1"/>
  <c r="BX452" i="2"/>
  <c r="BX453" i="2" s="1"/>
  <c r="CB452" i="2"/>
  <c r="CB453" i="2" s="1"/>
  <c r="CJ131" i="2"/>
  <c r="CJ132" i="2" s="1"/>
  <c r="CN131" i="2"/>
  <c r="CN132" i="2" s="1"/>
  <c r="CJ382" i="2"/>
  <c r="CJ383" i="2" s="1"/>
  <c r="CN382" i="2"/>
  <c r="CN383" i="2" s="1"/>
  <c r="CI417" i="2"/>
  <c r="CI418" i="2" s="1"/>
  <c r="CM417" i="2"/>
  <c r="CM418" i="2" s="1"/>
  <c r="CQ96" i="2"/>
  <c r="CQ97" i="2" s="1"/>
  <c r="CQ164" i="2"/>
  <c r="CQ165" i="2" s="1"/>
  <c r="CQ166" i="2" s="1"/>
  <c r="CQ167" i="2" s="1"/>
  <c r="CQ169" i="2" s="1"/>
  <c r="CQ170" i="2" s="1"/>
  <c r="CJ26" i="2" s="1"/>
  <c r="CI239" i="2"/>
  <c r="CI240" i="2" s="1"/>
  <c r="CP452" i="2"/>
  <c r="CP453" i="2" s="1"/>
  <c r="CX61" i="2"/>
  <c r="CX62" i="2" s="1"/>
  <c r="DB61" i="2"/>
  <c r="DB62" i="2" s="1"/>
  <c r="CW96" i="2"/>
  <c r="CW97" i="2" s="1"/>
  <c r="DA96" i="2"/>
  <c r="DA97" i="2" s="1"/>
  <c r="DA131" i="2"/>
  <c r="DA132" i="2" s="1"/>
  <c r="CJ164" i="2"/>
  <c r="CJ165" i="2" s="1"/>
  <c r="CR167" i="2"/>
  <c r="CR169" i="2" s="1"/>
  <c r="CR170" i="2" s="1"/>
  <c r="CI26" i="2" s="1"/>
  <c r="CP204" i="2"/>
  <c r="CP205" i="2" s="1"/>
  <c r="CX96" i="2"/>
  <c r="CX97" i="2" s="1"/>
  <c r="CO204" i="2"/>
  <c r="CO205" i="2" s="1"/>
  <c r="CJ274" i="2"/>
  <c r="CJ275" i="2" s="1"/>
  <c r="CJ452" i="2"/>
  <c r="CJ453" i="2" s="1"/>
  <c r="CN452" i="2"/>
  <c r="CN453" i="2" s="1"/>
  <c r="CK452" i="2"/>
  <c r="CK453" i="2" s="1"/>
  <c r="DD167" i="2"/>
  <c r="DD169" i="2" s="1"/>
  <c r="DD170" i="2" s="1"/>
  <c r="DB307" i="2"/>
  <c r="DB308" i="2" s="1"/>
  <c r="CU452" i="2"/>
  <c r="CU453" i="2" s="1"/>
  <c r="CY452" i="2"/>
  <c r="CY453" i="2" s="1"/>
  <c r="DC452" i="2"/>
  <c r="DC453" i="2" s="1"/>
  <c r="DN61" i="2"/>
  <c r="DN62" i="2" s="1"/>
  <c r="DM96" i="2"/>
  <c r="DM97" i="2" s="1"/>
  <c r="DG131" i="2"/>
  <c r="DG132" i="2" s="1"/>
  <c r="DK131" i="2"/>
  <c r="DK132" i="2" s="1"/>
  <c r="DO131" i="2"/>
  <c r="DO132" i="2" s="1"/>
  <c r="DK452" i="2"/>
  <c r="DK453" i="2" s="1"/>
  <c r="CV131" i="2"/>
  <c r="CV132" i="2" s="1"/>
  <c r="CZ131" i="2"/>
  <c r="CZ132" i="2" s="1"/>
  <c r="DA274" i="2"/>
  <c r="DA275" i="2" s="1"/>
  <c r="CX19" i="2" s="1"/>
  <c r="CX347" i="2"/>
  <c r="CX348" i="2" s="1"/>
  <c r="CV382" i="2"/>
  <c r="CV383" i="2" s="1"/>
  <c r="CZ382" i="2"/>
  <c r="CZ383" i="2" s="1"/>
  <c r="CZ417" i="2"/>
  <c r="CZ418" i="2" s="1"/>
  <c r="CV452" i="2"/>
  <c r="CV453" i="2" s="1"/>
  <c r="CZ452" i="2"/>
  <c r="CZ453" i="2" s="1"/>
  <c r="CX204" i="2"/>
  <c r="CX205" i="2" s="1"/>
  <c r="DB204" i="2"/>
  <c r="DB205" i="2" s="1"/>
  <c r="DA417" i="2"/>
  <c r="DA418" i="2" s="1"/>
  <c r="DJ61" i="2"/>
  <c r="DJ62" i="2" s="1"/>
  <c r="DG96" i="2"/>
  <c r="DG97" i="2" s="1"/>
  <c r="DK96" i="2"/>
  <c r="DK97" i="2" s="1"/>
  <c r="CY204" i="2"/>
  <c r="CY205" i="2" s="1"/>
  <c r="DA239" i="2"/>
  <c r="DA240" i="2" s="1"/>
  <c r="CZ274" i="2"/>
  <c r="CZ275" i="2" s="1"/>
  <c r="CY19" i="2" s="1"/>
  <c r="DM61" i="2"/>
  <c r="DM62" i="2" s="1"/>
  <c r="DP310" i="2"/>
  <c r="DP312" i="2" s="1"/>
  <c r="DP313" i="2" s="1"/>
  <c r="DJ382" i="2"/>
  <c r="DJ383" i="2" s="1"/>
  <c r="DN382" i="2"/>
  <c r="DN383" i="2" s="1"/>
  <c r="DG452" i="2"/>
  <c r="DG453" i="2" s="1"/>
  <c r="DP167" i="2"/>
  <c r="DP169" i="2" s="1"/>
  <c r="DP170" i="2" s="1"/>
  <c r="DN204" i="2"/>
  <c r="DN205" i="2" s="1"/>
  <c r="DG239" i="2"/>
  <c r="DG240" i="2" s="1"/>
  <c r="DH307" i="2"/>
  <c r="DH308" i="2" s="1"/>
  <c r="DI417" i="2"/>
  <c r="DI418" i="2" s="1"/>
  <c r="DM417" i="2"/>
  <c r="DM418" i="2" s="1"/>
  <c r="DH452" i="2"/>
  <c r="DH453" i="2" s="1"/>
  <c r="DL452" i="2"/>
  <c r="DL453" i="2" s="1"/>
  <c r="DM204" i="2"/>
  <c r="DM205" i="2" s="1"/>
  <c r="DH274" i="2"/>
  <c r="DH275" i="2" s="1"/>
  <c r="DL274" i="2"/>
  <c r="DL275" i="2" s="1"/>
  <c r="AB35" i="2"/>
  <c r="AC35" i="2" s="1"/>
  <c r="AD35" i="2" s="1"/>
  <c r="AE35" i="2" s="1"/>
  <c r="AF35" i="2" s="1"/>
  <c r="AG35" i="2" s="1"/>
  <c r="AH35" i="2" s="1"/>
  <c r="AI35" i="2" s="1"/>
  <c r="AJ35" i="2" s="1"/>
  <c r="Z35" i="2"/>
  <c r="P35" i="2"/>
  <c r="Q35" i="2" s="1"/>
  <c r="R35" i="2" s="1"/>
  <c r="S35" i="2" s="1"/>
  <c r="T35" i="2" s="1"/>
  <c r="U35" i="2" s="1"/>
  <c r="V35" i="2" s="1"/>
  <c r="W35" i="2" s="1"/>
  <c r="X35" i="2" s="1"/>
  <c r="AN35" i="2"/>
  <c r="AO35" i="2" s="1"/>
  <c r="AP35" i="2" s="1"/>
  <c r="AQ35" i="2" s="1"/>
  <c r="AR35" i="2" s="1"/>
  <c r="AS35" i="2" s="1"/>
  <c r="AT35" i="2" s="1"/>
  <c r="AU35" i="2" s="1"/>
  <c r="AV35" i="2" s="1"/>
  <c r="AZ35" i="2"/>
  <c r="BA35" i="2" s="1"/>
  <c r="BB35" i="2" s="1"/>
  <c r="BC35" i="2" s="1"/>
  <c r="BD35" i="2" s="1"/>
  <c r="BE35" i="2" s="1"/>
  <c r="BF35" i="2" s="1"/>
  <c r="BG35" i="2" s="1"/>
  <c r="BH35" i="2" s="1"/>
  <c r="AX35" i="2"/>
  <c r="DF35" i="2"/>
  <c r="DH35" i="2"/>
  <c r="DI35" i="2" s="1"/>
  <c r="DJ35" i="2" s="1"/>
  <c r="DK35" i="2" s="1"/>
  <c r="DL35" i="2" s="1"/>
  <c r="DM35" i="2" s="1"/>
  <c r="DN35" i="2" s="1"/>
  <c r="DO35" i="2" s="1"/>
  <c r="DP35" i="2" s="1"/>
  <c r="DI61" i="2"/>
  <c r="DI62" i="2" s="1"/>
  <c r="DJ96" i="2"/>
  <c r="DJ97" i="2" s="1"/>
  <c r="DN96" i="2"/>
  <c r="DN97" i="2" s="1"/>
  <c r="DH131" i="2"/>
  <c r="DH132" i="2" s="1"/>
  <c r="DN131" i="2"/>
  <c r="DN132" i="2" s="1"/>
  <c r="DI131" i="2"/>
  <c r="DI132" i="2" s="1"/>
  <c r="DM131" i="2"/>
  <c r="DM132" i="2" s="1"/>
  <c r="DL131" i="2"/>
  <c r="DL132" i="2" s="1"/>
  <c r="DK239" i="2"/>
  <c r="DK240" i="2" s="1"/>
  <c r="DJ239" i="2"/>
  <c r="DJ240" i="2" s="1"/>
  <c r="DO239" i="2"/>
  <c r="DO240" i="2" s="1"/>
  <c r="DN239" i="2"/>
  <c r="DN240" i="2" s="1"/>
  <c r="DG274" i="2"/>
  <c r="DG275" i="2" s="1"/>
  <c r="DJ131" i="2"/>
  <c r="DJ132" i="2" s="1"/>
  <c r="DG61" i="2"/>
  <c r="DG62" i="2" s="1"/>
  <c r="DK61" i="2"/>
  <c r="DK62" i="2" s="1"/>
  <c r="DH96" i="2"/>
  <c r="DH97" i="2" s="1"/>
  <c r="DL96" i="2"/>
  <c r="DL97" i="2" s="1"/>
  <c r="DI96" i="2"/>
  <c r="DI97" i="2" s="1"/>
  <c r="DH204" i="2"/>
  <c r="DH205" i="2" s="1"/>
  <c r="DL204" i="2"/>
  <c r="DL205" i="2" s="1"/>
  <c r="DH239" i="2"/>
  <c r="DH240" i="2" s="1"/>
  <c r="DI347" i="2"/>
  <c r="DI348" i="2" s="1"/>
  <c r="DM347" i="2"/>
  <c r="DM348" i="2" s="1"/>
  <c r="DJ347" i="2"/>
  <c r="DJ348" i="2" s="1"/>
  <c r="DK382" i="2"/>
  <c r="DK383" i="2" s="1"/>
  <c r="DI382" i="2"/>
  <c r="DI383" i="2" s="1"/>
  <c r="DJ417" i="2"/>
  <c r="DJ418" i="2" s="1"/>
  <c r="DH417" i="2"/>
  <c r="DH418" i="2" s="1"/>
  <c r="DE353" i="2"/>
  <c r="DE245" i="2"/>
  <c r="DE318" i="2"/>
  <c r="DE210" i="2"/>
  <c r="DE423" i="2"/>
  <c r="DE175" i="2"/>
  <c r="DE102" i="2"/>
  <c r="DI204" i="2"/>
  <c r="DI205" i="2" s="1"/>
  <c r="DI239" i="2"/>
  <c r="DI240" i="2" s="1"/>
  <c r="DM239" i="2"/>
  <c r="DM240" i="2" s="1"/>
  <c r="DJ274" i="2"/>
  <c r="DJ275" i="2" s="1"/>
  <c r="DN274" i="2"/>
  <c r="DN275" i="2" s="1"/>
  <c r="DK274" i="2"/>
  <c r="DK275" i="2" s="1"/>
  <c r="DI274" i="2"/>
  <c r="DI275" i="2" s="1"/>
  <c r="DL347" i="2"/>
  <c r="DL348" i="2" s="1"/>
  <c r="DM382" i="2"/>
  <c r="DM383" i="2" s="1"/>
  <c r="DL417" i="2"/>
  <c r="DL418" i="2" s="1"/>
  <c r="DJ452" i="2"/>
  <c r="DJ453" i="2" s="1"/>
  <c r="DE137" i="2"/>
  <c r="DJ204" i="2"/>
  <c r="DJ205" i="2" s="1"/>
  <c r="DG204" i="2"/>
  <c r="DG205" i="2" s="1"/>
  <c r="DL239" i="2"/>
  <c r="DL240" i="2" s="1"/>
  <c r="DM274" i="2"/>
  <c r="DM275" i="2" s="1"/>
  <c r="DI307" i="2"/>
  <c r="DI308" i="2" s="1"/>
  <c r="DG347" i="2"/>
  <c r="DG348" i="2" s="1"/>
  <c r="DK347" i="2"/>
  <c r="DK348" i="2" s="1"/>
  <c r="DO347" i="2"/>
  <c r="DO348" i="2" s="1"/>
  <c r="DH382" i="2"/>
  <c r="DH383" i="2" s="1"/>
  <c r="DL382" i="2"/>
  <c r="DL383" i="2" s="1"/>
  <c r="DG382" i="2"/>
  <c r="DG383" i="2" s="1"/>
  <c r="DE388" i="2"/>
  <c r="DG417" i="2"/>
  <c r="DG418" i="2" s="1"/>
  <c r="DK417" i="2"/>
  <c r="DK418" i="2" s="1"/>
  <c r="DN417" i="2"/>
  <c r="DN418" i="2" s="1"/>
  <c r="CY61" i="2"/>
  <c r="CY62" i="2" s="1"/>
  <c r="CW131" i="2"/>
  <c r="CW132" i="2" s="1"/>
  <c r="CX131" i="2"/>
  <c r="CX132" i="2" s="1"/>
  <c r="CU61" i="2"/>
  <c r="CU62" i="2" s="1"/>
  <c r="CV61" i="2"/>
  <c r="CV62" i="2" s="1"/>
  <c r="CZ61" i="2"/>
  <c r="CZ62" i="2" s="1"/>
  <c r="CZ96" i="2"/>
  <c r="CZ97" i="2" s="1"/>
  <c r="CU96" i="2"/>
  <c r="CU97" i="2" s="1"/>
  <c r="DA61" i="2"/>
  <c r="DA62" i="2" s="1"/>
  <c r="CY131" i="2"/>
  <c r="CY132" i="2" s="1"/>
  <c r="DD347" i="2"/>
  <c r="DD348" i="2" s="1"/>
  <c r="DC347" i="2"/>
  <c r="DC348" i="2" s="1"/>
  <c r="CU382" i="2"/>
  <c r="CU383" i="2" s="1"/>
  <c r="CY417" i="2"/>
  <c r="CY418" i="2" s="1"/>
  <c r="CW417" i="2"/>
  <c r="CW418" i="2" s="1"/>
  <c r="CS353" i="2"/>
  <c r="CS245" i="2"/>
  <c r="CS318" i="2"/>
  <c r="CS210" i="2"/>
  <c r="CS175" i="2"/>
  <c r="CS67" i="2"/>
  <c r="CS280" i="2"/>
  <c r="CS388" i="2"/>
  <c r="CT35" i="2"/>
  <c r="CS102" i="2"/>
  <c r="DC164" i="2"/>
  <c r="DC165" i="2" s="1"/>
  <c r="DC166" i="2" s="1"/>
  <c r="DC167" i="2" s="1"/>
  <c r="DC169" i="2" s="1"/>
  <c r="DC170" i="2" s="1"/>
  <c r="CV204" i="2"/>
  <c r="CV205" i="2" s="1"/>
  <c r="CU204" i="2"/>
  <c r="CU205" i="2" s="1"/>
  <c r="CW204" i="2"/>
  <c r="CW205" i="2" s="1"/>
  <c r="CU239" i="2"/>
  <c r="CU240" i="2" s="1"/>
  <c r="DC239" i="2"/>
  <c r="DC240" i="2" s="1"/>
  <c r="DB239" i="2"/>
  <c r="DB240" i="2" s="1"/>
  <c r="CY347" i="2"/>
  <c r="CY348" i="2" s="1"/>
  <c r="DB347" i="2"/>
  <c r="DB348" i="2" s="1"/>
  <c r="CW382" i="2"/>
  <c r="CW383" i="2" s="1"/>
  <c r="CW61" i="2"/>
  <c r="CW62" i="2" s="1"/>
  <c r="CV96" i="2"/>
  <c r="CV97" i="2" s="1"/>
  <c r="DB96" i="2"/>
  <c r="DB97" i="2" s="1"/>
  <c r="CU131" i="2"/>
  <c r="CU132" i="2" s="1"/>
  <c r="CY239" i="2"/>
  <c r="CY240" i="2" s="1"/>
  <c r="CW274" i="2"/>
  <c r="CW275" i="2" s="1"/>
  <c r="DB19" i="2" s="1"/>
  <c r="CV347" i="2"/>
  <c r="CV348" i="2" s="1"/>
  <c r="CU347" i="2"/>
  <c r="CU348" i="2" s="1"/>
  <c r="CX382" i="2"/>
  <c r="CX383" i="2" s="1"/>
  <c r="DC382" i="2"/>
  <c r="DC383" i="2" s="1"/>
  <c r="DB382" i="2"/>
  <c r="DB383" i="2" s="1"/>
  <c r="CU417" i="2"/>
  <c r="CU418" i="2" s="1"/>
  <c r="CS32" i="2"/>
  <c r="CS137" i="2"/>
  <c r="CZ164" i="2"/>
  <c r="CZ165" i="2" s="1"/>
  <c r="CW239" i="2"/>
  <c r="CW240" i="2" s="1"/>
  <c r="CX274" i="2"/>
  <c r="CX275" i="2" s="1"/>
  <c r="DA19" i="2" s="1"/>
  <c r="CW347" i="2"/>
  <c r="CW348" i="2" s="1"/>
  <c r="DA347" i="2"/>
  <c r="DA348" i="2" s="1"/>
  <c r="CV417" i="2"/>
  <c r="CV418" i="2" s="1"/>
  <c r="CS423" i="2"/>
  <c r="DB452" i="2"/>
  <c r="DB453" i="2" s="1"/>
  <c r="CV239" i="2"/>
  <c r="CV240" i="2" s="1"/>
  <c r="CU274" i="2"/>
  <c r="CU275" i="2" s="1"/>
  <c r="DD19" i="2" s="1"/>
  <c r="DC274" i="2"/>
  <c r="DC275" i="2" s="1"/>
  <c r="DB417" i="2"/>
  <c r="DB418" i="2" s="1"/>
  <c r="CW452" i="2"/>
  <c r="CW453" i="2" s="1"/>
  <c r="DA204" i="2"/>
  <c r="DA205" i="2" s="1"/>
  <c r="CV274" i="2"/>
  <c r="CV275" i="2" s="1"/>
  <c r="DC19" i="2" s="1"/>
  <c r="DB274" i="2"/>
  <c r="DB275" i="2" s="1"/>
  <c r="CZ347" i="2"/>
  <c r="CZ348" i="2" s="1"/>
  <c r="CY382" i="2"/>
  <c r="CY383" i="2" s="1"/>
  <c r="CX452" i="2"/>
  <c r="CX453" i="2" s="1"/>
  <c r="CZ239" i="2"/>
  <c r="CZ240" i="2" s="1"/>
  <c r="CY274" i="2"/>
  <c r="CY275" i="2" s="1"/>
  <c r="CZ19" i="2" s="1"/>
  <c r="CX417" i="2"/>
  <c r="CX418" i="2" s="1"/>
  <c r="DA452" i="2"/>
  <c r="DA453" i="2" s="1"/>
  <c r="CI61" i="2"/>
  <c r="CI62" i="2" s="1"/>
  <c r="CQ239" i="2"/>
  <c r="CQ240" i="2" s="1"/>
  <c r="CP239" i="2"/>
  <c r="CP240" i="2" s="1"/>
  <c r="CG353" i="2"/>
  <c r="CG245" i="2"/>
  <c r="CG318" i="2"/>
  <c r="CG210" i="2"/>
  <c r="CG423" i="2"/>
  <c r="CG175" i="2"/>
  <c r="CG388" i="2"/>
  <c r="CG102" i="2"/>
  <c r="CG67" i="2"/>
  <c r="CG32" i="2"/>
  <c r="CH35" i="2"/>
  <c r="CJ35" i="2"/>
  <c r="CK35" i="2" s="1"/>
  <c r="CL35" i="2" s="1"/>
  <c r="CM35" i="2" s="1"/>
  <c r="CN35" i="2" s="1"/>
  <c r="CO35" i="2" s="1"/>
  <c r="CP35" i="2" s="1"/>
  <c r="CQ35" i="2" s="1"/>
  <c r="CR35" i="2" s="1"/>
  <c r="CO61" i="2"/>
  <c r="CO62" i="2" s="1"/>
  <c r="CM61" i="2"/>
  <c r="CM62" i="2" s="1"/>
  <c r="CI96" i="2"/>
  <c r="CI97" i="2" s="1"/>
  <c r="CM96" i="2"/>
  <c r="CM97" i="2" s="1"/>
  <c r="CI131" i="2"/>
  <c r="CI132" i="2" s="1"/>
  <c r="CG137" i="2"/>
  <c r="CI274" i="2"/>
  <c r="CI275" i="2" s="1"/>
  <c r="CG280" i="2"/>
  <c r="CJ61" i="2"/>
  <c r="CJ62" i="2" s="1"/>
  <c r="CN61" i="2"/>
  <c r="CN62" i="2" s="1"/>
  <c r="CJ96" i="2"/>
  <c r="CJ97" i="2" s="1"/>
  <c r="CM204" i="2"/>
  <c r="CM205" i="2" s="1"/>
  <c r="CM239" i="2"/>
  <c r="CM240" i="2" s="1"/>
  <c r="CL239" i="2"/>
  <c r="CL240" i="2" s="1"/>
  <c r="CK61" i="2"/>
  <c r="CK62" i="2" s="1"/>
  <c r="CK96" i="2"/>
  <c r="CK97" i="2" s="1"/>
  <c r="CO96" i="2"/>
  <c r="CO97" i="2" s="1"/>
  <c r="CL96" i="2"/>
  <c r="CL97" i="2" s="1"/>
  <c r="CL131" i="2"/>
  <c r="CL132" i="2" s="1"/>
  <c r="CP131" i="2"/>
  <c r="CP132" i="2" s="1"/>
  <c r="CM131" i="2"/>
  <c r="CM132" i="2" s="1"/>
  <c r="CK131" i="2"/>
  <c r="CK132" i="2" s="1"/>
  <c r="CL164" i="2"/>
  <c r="CL165" i="2" s="1"/>
  <c r="CL347" i="2"/>
  <c r="CL348" i="2" s="1"/>
  <c r="CP347" i="2"/>
  <c r="CP348" i="2" s="1"/>
  <c r="CI452" i="2"/>
  <c r="CI453" i="2" s="1"/>
  <c r="CM452" i="2"/>
  <c r="CM453" i="2" s="1"/>
  <c r="CJ204" i="2"/>
  <c r="CJ205" i="2" s="1"/>
  <c r="CN204" i="2"/>
  <c r="CN205" i="2" s="1"/>
  <c r="CJ239" i="2"/>
  <c r="CJ240" i="2" s="1"/>
  <c r="CP307" i="2"/>
  <c r="CP308" i="2" s="1"/>
  <c r="CK347" i="2"/>
  <c r="CK348" i="2" s="1"/>
  <c r="CO347" i="2"/>
  <c r="CO348" i="2" s="1"/>
  <c r="CL382" i="2"/>
  <c r="CL383" i="2" s="1"/>
  <c r="CP382" i="2"/>
  <c r="CP383" i="2" s="1"/>
  <c r="CM382" i="2"/>
  <c r="CM383" i="2" s="1"/>
  <c r="CK382" i="2"/>
  <c r="CK383" i="2" s="1"/>
  <c r="CK417" i="2"/>
  <c r="CK418" i="2" s="1"/>
  <c r="CO417" i="2"/>
  <c r="CO418" i="2" s="1"/>
  <c r="CL417" i="2"/>
  <c r="CL418" i="2" s="1"/>
  <c r="CJ417" i="2"/>
  <c r="CJ418" i="2" s="1"/>
  <c r="CO452" i="2"/>
  <c r="CO453" i="2" s="1"/>
  <c r="CK204" i="2"/>
  <c r="CK205" i="2" s="1"/>
  <c r="CK239" i="2"/>
  <c r="CK240" i="2" s="1"/>
  <c r="CO239" i="2"/>
  <c r="CO240" i="2" s="1"/>
  <c r="CL274" i="2"/>
  <c r="CL275" i="2" s="1"/>
  <c r="CP274" i="2"/>
  <c r="CP275" i="2" s="1"/>
  <c r="CM274" i="2"/>
  <c r="CM275" i="2" s="1"/>
  <c r="CK274" i="2"/>
  <c r="CK275" i="2" s="1"/>
  <c r="CN347" i="2"/>
  <c r="CN348" i="2" s="1"/>
  <c r="CO382" i="2"/>
  <c r="CO383" i="2" s="1"/>
  <c r="CL452" i="2"/>
  <c r="CL453" i="2" s="1"/>
  <c r="CL204" i="2"/>
  <c r="CL205" i="2" s="1"/>
  <c r="CI204" i="2"/>
  <c r="CI205" i="2" s="1"/>
  <c r="CN239" i="2"/>
  <c r="CN240" i="2" s="1"/>
  <c r="CO274" i="2"/>
  <c r="CO275" i="2" s="1"/>
  <c r="CO307" i="2"/>
  <c r="CO308" i="2" s="1"/>
  <c r="CM307" i="2"/>
  <c r="CM308" i="2" s="1"/>
  <c r="CI347" i="2"/>
  <c r="CI348" i="2" s="1"/>
  <c r="CM347" i="2"/>
  <c r="CM348" i="2" s="1"/>
  <c r="CQ347" i="2"/>
  <c r="CQ348" i="2" s="1"/>
  <c r="CI382" i="2"/>
  <c r="CI383" i="2" s="1"/>
  <c r="CP417" i="2"/>
  <c r="CP418" i="2" s="1"/>
  <c r="BZ131" i="2"/>
  <c r="BZ132" i="2" s="1"/>
  <c r="BX131" i="2"/>
  <c r="BX132" i="2" s="1"/>
  <c r="CA96" i="2"/>
  <c r="CA97" i="2" s="1"/>
  <c r="BY96" i="2"/>
  <c r="BY97" i="2" s="1"/>
  <c r="CE96" i="2"/>
  <c r="CE97" i="2" s="1"/>
  <c r="CC96" i="2"/>
  <c r="CC97" i="2" s="1"/>
  <c r="BX96" i="2"/>
  <c r="BX97" i="2" s="1"/>
  <c r="CB96" i="2"/>
  <c r="CB97" i="2" s="1"/>
  <c r="CD61" i="2"/>
  <c r="CD62" i="2" s="1"/>
  <c r="BY204" i="2"/>
  <c r="BY205" i="2" s="1"/>
  <c r="BW204" i="2"/>
  <c r="BW205" i="2" s="1"/>
  <c r="CB204" i="2"/>
  <c r="CB205" i="2" s="1"/>
  <c r="BW274" i="2"/>
  <c r="BW275" i="2" s="1"/>
  <c r="BY452" i="2"/>
  <c r="BY453" i="2" s="1"/>
  <c r="BW61" i="2"/>
  <c r="BW62" i="2" s="1"/>
  <c r="BW131" i="2"/>
  <c r="BW132" i="2" s="1"/>
  <c r="CA131" i="2"/>
  <c r="CA132" i="2" s="1"/>
  <c r="CE164" i="2"/>
  <c r="CE165" i="2" s="1"/>
  <c r="CE166" i="2" s="1"/>
  <c r="CE167" i="2" s="1"/>
  <c r="CE169" i="2" s="1"/>
  <c r="CE170" i="2" s="1"/>
  <c r="BX164" i="2"/>
  <c r="BX165" i="2" s="1"/>
  <c r="BW164" i="2"/>
  <c r="BW165" i="2" s="1"/>
  <c r="CA239" i="2"/>
  <c r="CA240" i="2" s="1"/>
  <c r="BU353" i="2"/>
  <c r="BU318" i="2"/>
  <c r="BU210" i="2"/>
  <c r="BU423" i="2"/>
  <c r="BU175" i="2"/>
  <c r="BU388" i="2"/>
  <c r="BU245" i="2"/>
  <c r="BU137" i="2"/>
  <c r="CA61" i="2"/>
  <c r="CA62" i="2" s="1"/>
  <c r="BU32" i="2"/>
  <c r="BX61" i="2"/>
  <c r="BX62" i="2" s="1"/>
  <c r="BZ61" i="2"/>
  <c r="BZ62" i="2" s="1"/>
  <c r="CD96" i="2"/>
  <c r="CD97" i="2" s="1"/>
  <c r="CC131" i="2"/>
  <c r="CC132" i="2" s="1"/>
  <c r="CB131" i="2"/>
  <c r="CB132" i="2" s="1"/>
  <c r="CF167" i="2"/>
  <c r="CF169" i="2" s="1"/>
  <c r="CF170" i="2" s="1"/>
  <c r="CA204" i="2"/>
  <c r="CA205" i="2" s="1"/>
  <c r="BZ204" i="2"/>
  <c r="BZ205" i="2" s="1"/>
  <c r="BY274" i="2"/>
  <c r="BY275" i="2" s="1"/>
  <c r="BU280" i="2"/>
  <c r="BU67" i="2"/>
  <c r="CE61" i="2"/>
  <c r="CE62" i="2" s="1"/>
  <c r="BZ96" i="2"/>
  <c r="BZ97" i="2" s="1"/>
  <c r="BY131" i="2"/>
  <c r="BY132" i="2" s="1"/>
  <c r="CB239" i="2"/>
  <c r="CB240" i="2" s="1"/>
  <c r="CA274" i="2"/>
  <c r="CA275" i="2" s="1"/>
  <c r="CE274" i="2"/>
  <c r="CE275" i="2" s="1"/>
  <c r="CC274" i="2"/>
  <c r="CC275" i="2" s="1"/>
  <c r="BW452" i="2"/>
  <c r="BW453" i="2" s="1"/>
  <c r="CA452" i="2"/>
  <c r="CA453" i="2" s="1"/>
  <c r="CD274" i="2"/>
  <c r="CD275" i="2" s="1"/>
  <c r="BY347" i="2"/>
  <c r="BY348" i="2" s="1"/>
  <c r="CC347" i="2"/>
  <c r="CC348" i="2" s="1"/>
  <c r="BZ382" i="2"/>
  <c r="BZ383" i="2" s="1"/>
  <c r="CD382" i="2"/>
  <c r="CD383" i="2" s="1"/>
  <c r="CA382" i="2"/>
  <c r="CA383" i="2" s="1"/>
  <c r="BY382" i="2"/>
  <c r="BY383" i="2" s="1"/>
  <c r="BY417" i="2"/>
  <c r="BY418" i="2" s="1"/>
  <c r="CC417" i="2"/>
  <c r="CC418" i="2" s="1"/>
  <c r="BZ417" i="2"/>
  <c r="BZ418" i="2" s="1"/>
  <c r="BX417" i="2"/>
  <c r="BX418" i="2" s="1"/>
  <c r="CC452" i="2"/>
  <c r="CC453" i="2" s="1"/>
  <c r="BX204" i="2"/>
  <c r="BX205" i="2" s="1"/>
  <c r="BW239" i="2"/>
  <c r="BW240" i="2" s="1"/>
  <c r="CE239" i="2"/>
  <c r="CE240" i="2" s="1"/>
  <c r="BZ274" i="2"/>
  <c r="BZ275" i="2" s="1"/>
  <c r="CE307" i="2"/>
  <c r="CE308" i="2" s="1"/>
  <c r="CE309" i="2" s="1"/>
  <c r="CE310" i="2" s="1"/>
  <c r="CE312" i="2" s="1"/>
  <c r="CE313" i="2" s="1"/>
  <c r="CB307" i="2"/>
  <c r="CB308" i="2" s="1"/>
  <c r="CF310" i="2"/>
  <c r="CF312" i="2" s="1"/>
  <c r="CF313" i="2" s="1"/>
  <c r="CB347" i="2"/>
  <c r="CB348" i="2" s="1"/>
  <c r="BZ452" i="2"/>
  <c r="BZ453" i="2" s="1"/>
  <c r="BX239" i="2"/>
  <c r="BX240" i="2" s="1"/>
  <c r="BW347" i="2"/>
  <c r="BW348" i="2" s="1"/>
  <c r="CA347" i="2"/>
  <c r="CA348" i="2" s="1"/>
  <c r="CE347" i="2"/>
  <c r="CE348" i="2" s="1"/>
  <c r="BW382" i="2"/>
  <c r="BW383" i="2" s="1"/>
  <c r="CD417" i="2"/>
  <c r="CD418" i="2" s="1"/>
  <c r="BL61" i="2"/>
  <c r="BL62" i="2" s="1"/>
  <c r="BL96" i="2"/>
  <c r="BL97" i="2" s="1"/>
  <c r="BP164" i="2"/>
  <c r="BP165" i="2" s="1"/>
  <c r="BM239" i="2"/>
  <c r="BM240" i="2" s="1"/>
  <c r="BP239" i="2"/>
  <c r="BP240" i="2" s="1"/>
  <c r="BR274" i="2"/>
  <c r="BR275" i="2" s="1"/>
  <c r="BQ274" i="2"/>
  <c r="BQ275" i="2" s="1"/>
  <c r="BP96" i="2"/>
  <c r="BP97" i="2" s="1"/>
  <c r="BN131" i="2"/>
  <c r="BN132" i="2" s="1"/>
  <c r="BK131" i="2"/>
  <c r="BK132" i="2" s="1"/>
  <c r="BR204" i="2"/>
  <c r="BR205" i="2" s="1"/>
  <c r="BQ307" i="2"/>
  <c r="BQ308" i="2" s="1"/>
  <c r="BP61" i="2"/>
  <c r="BP62" i="2" s="1"/>
  <c r="BO61" i="2"/>
  <c r="BO62" i="2" s="1"/>
  <c r="BN61" i="2"/>
  <c r="BN62" i="2" s="1"/>
  <c r="BR61" i="2"/>
  <c r="BR62" i="2" s="1"/>
  <c r="BK96" i="2"/>
  <c r="BK97" i="2" s="1"/>
  <c r="BO96" i="2"/>
  <c r="BO97" i="2" s="1"/>
  <c r="BR96" i="2"/>
  <c r="BR97" i="2" s="1"/>
  <c r="BO131" i="2"/>
  <c r="BO132" i="2" s="1"/>
  <c r="BL164" i="2"/>
  <c r="BL165" i="2" s="1"/>
  <c r="BO239" i="2"/>
  <c r="BO240" i="2" s="1"/>
  <c r="BN239" i="2"/>
  <c r="BN240" i="2" s="1"/>
  <c r="BL274" i="2"/>
  <c r="BL275" i="2" s="1"/>
  <c r="BP274" i="2"/>
  <c r="BP275" i="2" s="1"/>
  <c r="BM274" i="2"/>
  <c r="BM275" i="2" s="1"/>
  <c r="BS347" i="2"/>
  <c r="BS348" i="2" s="1"/>
  <c r="BR347" i="2"/>
  <c r="BR348" i="2" s="1"/>
  <c r="BN347" i="2"/>
  <c r="BN348" i="2" s="1"/>
  <c r="BQ382" i="2"/>
  <c r="BQ383" i="2" s="1"/>
  <c r="BK452" i="2"/>
  <c r="BK453" i="2" s="1"/>
  <c r="BO452" i="2"/>
  <c r="BO453" i="2" s="1"/>
  <c r="BI353" i="2"/>
  <c r="BI245" i="2"/>
  <c r="BI318" i="2"/>
  <c r="BI210" i="2"/>
  <c r="BI423" i="2"/>
  <c r="BI280" i="2"/>
  <c r="BI137" i="2"/>
  <c r="BI102" i="2"/>
  <c r="BL35" i="2"/>
  <c r="BM35" i="2" s="1"/>
  <c r="BN35" i="2" s="1"/>
  <c r="BO35" i="2" s="1"/>
  <c r="BP35" i="2" s="1"/>
  <c r="BQ35" i="2" s="1"/>
  <c r="BR35" i="2" s="1"/>
  <c r="BS35" i="2" s="1"/>
  <c r="BT35" i="2" s="1"/>
  <c r="BL131" i="2"/>
  <c r="BL132" i="2" s="1"/>
  <c r="BP131" i="2"/>
  <c r="BP132" i="2" s="1"/>
  <c r="BQ164" i="2"/>
  <c r="BQ165" i="2" s="1"/>
  <c r="BK164" i="2"/>
  <c r="BK165" i="2" s="1"/>
  <c r="BO274" i="2"/>
  <c r="BO275" i="2" s="1"/>
  <c r="BN382" i="2"/>
  <c r="BN383" i="2" s="1"/>
  <c r="BM382" i="2"/>
  <c r="BM383" i="2" s="1"/>
  <c r="BI388" i="2"/>
  <c r="BL417" i="2"/>
  <c r="BL418" i="2" s="1"/>
  <c r="BM204" i="2"/>
  <c r="BM205" i="2" s="1"/>
  <c r="BL347" i="2"/>
  <c r="BL348" i="2" s="1"/>
  <c r="BN417" i="2"/>
  <c r="BN418" i="2" s="1"/>
  <c r="BN452" i="2"/>
  <c r="BN453" i="2" s="1"/>
  <c r="BN164" i="2"/>
  <c r="BN165" i="2" s="1"/>
  <c r="BN204" i="2"/>
  <c r="BN205" i="2" s="1"/>
  <c r="BL239" i="2"/>
  <c r="BL240" i="2" s="1"/>
  <c r="BK274" i="2"/>
  <c r="BK275" i="2" s="1"/>
  <c r="BM347" i="2"/>
  <c r="BM348" i="2" s="1"/>
  <c r="BQ347" i="2"/>
  <c r="BQ348" i="2" s="1"/>
  <c r="BP347" i="2"/>
  <c r="BP348" i="2" s="1"/>
  <c r="BL382" i="2"/>
  <c r="BL383" i="2" s="1"/>
  <c r="BP382" i="2"/>
  <c r="BP383" i="2" s="1"/>
  <c r="BK382" i="2"/>
  <c r="BK383" i="2" s="1"/>
  <c r="BM417" i="2"/>
  <c r="BM418" i="2" s="1"/>
  <c r="BQ417" i="2"/>
  <c r="BQ418" i="2" s="1"/>
  <c r="BR417" i="2"/>
  <c r="BR418" i="2" s="1"/>
  <c r="BQ204" i="2"/>
  <c r="BQ205" i="2" s="1"/>
  <c r="BL204" i="2"/>
  <c r="BL205" i="2" s="1"/>
  <c r="BK239" i="2"/>
  <c r="BK240" i="2" s="1"/>
  <c r="BS239" i="2"/>
  <c r="BS240" i="2" s="1"/>
  <c r="BP307" i="2"/>
  <c r="BP308" i="2" s="1"/>
  <c r="BL307" i="2"/>
  <c r="BL308" i="2" s="1"/>
  <c r="BO382" i="2"/>
  <c r="BO383" i="2" s="1"/>
  <c r="BL452" i="2"/>
  <c r="BL453" i="2" s="1"/>
  <c r="BP452" i="2"/>
  <c r="BP453" i="2" s="1"/>
  <c r="BM452" i="2"/>
  <c r="BM453" i="2" s="1"/>
  <c r="BC61" i="2"/>
  <c r="BC62" i="2" s="1"/>
  <c r="BC131" i="2"/>
  <c r="BC132" i="2" s="1"/>
  <c r="BA164" i="2"/>
  <c r="BA165" i="2" s="1"/>
  <c r="AY274" i="2"/>
  <c r="AY275" i="2" s="1"/>
  <c r="BB61" i="2"/>
  <c r="BB62" i="2" s="1"/>
  <c r="AZ96" i="2"/>
  <c r="AZ97" i="2" s="1"/>
  <c r="BE164" i="2"/>
  <c r="BE165" i="2" s="1"/>
  <c r="BB96" i="2"/>
  <c r="BB97" i="2" s="1"/>
  <c r="BB131" i="2"/>
  <c r="BB132" i="2" s="1"/>
  <c r="BA204" i="2"/>
  <c r="BA205" i="2" s="1"/>
  <c r="AY204" i="2"/>
  <c r="AY205" i="2" s="1"/>
  <c r="AW353" i="2"/>
  <c r="AW245" i="2"/>
  <c r="AW318" i="2"/>
  <c r="AW423" i="2"/>
  <c r="AW175" i="2"/>
  <c r="AW388" i="2"/>
  <c r="AW32" i="2"/>
  <c r="AW137" i="2"/>
  <c r="AW102" i="2"/>
  <c r="AZ61" i="2"/>
  <c r="AZ62" i="2" s="1"/>
  <c r="BD61" i="2"/>
  <c r="BD62" i="2" s="1"/>
  <c r="AY61" i="2"/>
  <c r="AY62" i="2" s="1"/>
  <c r="BA96" i="2"/>
  <c r="BA97" i="2" s="1"/>
  <c r="BE96" i="2"/>
  <c r="BE97" i="2" s="1"/>
  <c r="BF96" i="2"/>
  <c r="BF97" i="2" s="1"/>
  <c r="AW210" i="2"/>
  <c r="BC239" i="2"/>
  <c r="BC240" i="2" s="1"/>
  <c r="BB239" i="2"/>
  <c r="BB240" i="2" s="1"/>
  <c r="BG239" i="2"/>
  <c r="BG240" i="2" s="1"/>
  <c r="BF239" i="2"/>
  <c r="BF240" i="2" s="1"/>
  <c r="BA452" i="2"/>
  <c r="BA453" i="2" s="1"/>
  <c r="BB204" i="2"/>
  <c r="BB205" i="2" s="1"/>
  <c r="AZ239" i="2"/>
  <c r="AZ240" i="2" s="1"/>
  <c r="BF307" i="2"/>
  <c r="BF308" i="2" s="1"/>
  <c r="BA347" i="2"/>
  <c r="BA348" i="2" s="1"/>
  <c r="BE347" i="2"/>
  <c r="BE348" i="2" s="1"/>
  <c r="BB382" i="2"/>
  <c r="BB383" i="2" s="1"/>
  <c r="BF382" i="2"/>
  <c r="BF383" i="2" s="1"/>
  <c r="BC382" i="2"/>
  <c r="BC383" i="2" s="1"/>
  <c r="BA382" i="2"/>
  <c r="BA383" i="2" s="1"/>
  <c r="BB417" i="2"/>
  <c r="BB418" i="2" s="1"/>
  <c r="AZ417" i="2"/>
  <c r="AZ418" i="2" s="1"/>
  <c r="BA239" i="2"/>
  <c r="BA240" i="2" s="1"/>
  <c r="BE239" i="2"/>
  <c r="BE240" i="2" s="1"/>
  <c r="BB274" i="2"/>
  <c r="BB275" i="2" s="1"/>
  <c r="BF274" i="2"/>
  <c r="BF275" i="2" s="1"/>
  <c r="BC274" i="2"/>
  <c r="BC275" i="2" s="1"/>
  <c r="BA274" i="2"/>
  <c r="BA275" i="2" s="1"/>
  <c r="BD347" i="2"/>
  <c r="BD348" i="2" s="1"/>
  <c r="BE382" i="2"/>
  <c r="BE383" i="2" s="1"/>
  <c r="BB452" i="2"/>
  <c r="BB453" i="2" s="1"/>
  <c r="AZ204" i="2"/>
  <c r="AZ205" i="2" s="1"/>
  <c r="BD204" i="2"/>
  <c r="BD205" i="2" s="1"/>
  <c r="BD239" i="2"/>
  <c r="BD240" i="2" s="1"/>
  <c r="BE274" i="2"/>
  <c r="BE275" i="2" s="1"/>
  <c r="BE307" i="2"/>
  <c r="BE308" i="2" s="1"/>
  <c r="AY347" i="2"/>
  <c r="AY348" i="2" s="1"/>
  <c r="BC347" i="2"/>
  <c r="BC348" i="2" s="1"/>
  <c r="BG347" i="2"/>
  <c r="BG348" i="2" s="1"/>
  <c r="AY382" i="2"/>
  <c r="AY383" i="2" s="1"/>
  <c r="BF417" i="2"/>
  <c r="BF418" i="2" s="1"/>
  <c r="AP61" i="2"/>
  <c r="AP62" i="2" s="1"/>
  <c r="AP96" i="2"/>
  <c r="AP97" i="2" s="1"/>
  <c r="AO96" i="2"/>
  <c r="AO97" i="2" s="1"/>
  <c r="AR61" i="2"/>
  <c r="AR62" i="2" s="1"/>
  <c r="AT61" i="2"/>
  <c r="AT62" i="2" s="1"/>
  <c r="AS96" i="2"/>
  <c r="AS97" i="2" s="1"/>
  <c r="AP131" i="2"/>
  <c r="AP132" i="2" s="1"/>
  <c r="AN131" i="2"/>
  <c r="AN132" i="2" s="1"/>
  <c r="AU164" i="2"/>
  <c r="AU165" i="2" s="1"/>
  <c r="AU166" i="2" s="1"/>
  <c r="AU167" i="2" s="1"/>
  <c r="AU169" i="2" s="1"/>
  <c r="AU170" i="2" s="1"/>
  <c r="AO204" i="2"/>
  <c r="AO205" i="2" s="1"/>
  <c r="AQ417" i="2"/>
  <c r="AQ418" i="2" s="1"/>
  <c r="AN417" i="2"/>
  <c r="AN418" i="2" s="1"/>
  <c r="AM61" i="2"/>
  <c r="AM62" i="2" s="1"/>
  <c r="AQ61" i="2"/>
  <c r="AQ62" i="2" s="1"/>
  <c r="AN96" i="2"/>
  <c r="AN97" i="2" s="1"/>
  <c r="AR96" i="2"/>
  <c r="AR97" i="2" s="1"/>
  <c r="AM96" i="2"/>
  <c r="AM97" i="2" s="1"/>
  <c r="AP164" i="2"/>
  <c r="AP165" i="2" s="1"/>
  <c r="AQ274" i="2"/>
  <c r="AQ275" i="2" s="1"/>
  <c r="AK353" i="2"/>
  <c r="AK245" i="2"/>
  <c r="AK318" i="2"/>
  <c r="AK210" i="2"/>
  <c r="AK423" i="2"/>
  <c r="AK175" i="2"/>
  <c r="AK67" i="2"/>
  <c r="AK32" i="2"/>
  <c r="AK280" i="2"/>
  <c r="AK137" i="2"/>
  <c r="AK388" i="2"/>
  <c r="AN61" i="2"/>
  <c r="AN62" i="2" s="1"/>
  <c r="AK102" i="2"/>
  <c r="AM131" i="2"/>
  <c r="AM132" i="2" s="1"/>
  <c r="AQ131" i="2"/>
  <c r="AQ132" i="2" s="1"/>
  <c r="AT131" i="2"/>
  <c r="AT132" i="2" s="1"/>
  <c r="AQ347" i="2"/>
  <c r="AQ348" i="2" s="1"/>
  <c r="AP347" i="2"/>
  <c r="AP348" i="2" s="1"/>
  <c r="AU347" i="2"/>
  <c r="AU348" i="2" s="1"/>
  <c r="AT347" i="2"/>
  <c r="AT348" i="2" s="1"/>
  <c r="AS204" i="2"/>
  <c r="AS205" i="2" s="1"/>
  <c r="AM239" i="2"/>
  <c r="AM240" i="2" s="1"/>
  <c r="AQ239" i="2"/>
  <c r="AQ240" i="2" s="1"/>
  <c r="AU239" i="2"/>
  <c r="AU240" i="2" s="1"/>
  <c r="AP274" i="2"/>
  <c r="AP275" i="2" s="1"/>
  <c r="AN347" i="2"/>
  <c r="AN348" i="2" s="1"/>
  <c r="AP417" i="2"/>
  <c r="AP418" i="2" s="1"/>
  <c r="AP452" i="2"/>
  <c r="AP453" i="2" s="1"/>
  <c r="AP204" i="2"/>
  <c r="AP205" i="2" s="1"/>
  <c r="AN239" i="2"/>
  <c r="AN240" i="2" s="1"/>
  <c r="AO347" i="2"/>
  <c r="AO348" i="2" s="1"/>
  <c r="AS347" i="2"/>
  <c r="AS348" i="2" s="1"/>
  <c r="AR347" i="2"/>
  <c r="AR348" i="2" s="1"/>
  <c r="AN382" i="2"/>
  <c r="AN383" i="2" s="1"/>
  <c r="AR382" i="2"/>
  <c r="AR383" i="2" s="1"/>
  <c r="AM382" i="2"/>
  <c r="AM383" i="2" s="1"/>
  <c r="AO382" i="2"/>
  <c r="AO383" i="2" s="1"/>
  <c r="AO417" i="2"/>
  <c r="AO418" i="2" s="1"/>
  <c r="AS417" i="2"/>
  <c r="AS418" i="2" s="1"/>
  <c r="AT417" i="2"/>
  <c r="AT418" i="2" s="1"/>
  <c r="AO239" i="2"/>
  <c r="AO240" i="2" s="1"/>
  <c r="AS239" i="2"/>
  <c r="AS240" i="2" s="1"/>
  <c r="AR239" i="2"/>
  <c r="AR240" i="2" s="1"/>
  <c r="AN274" i="2"/>
  <c r="AN275" i="2" s="1"/>
  <c r="AR274" i="2"/>
  <c r="AR275" i="2" s="1"/>
  <c r="AM274" i="2"/>
  <c r="AM275" i="2" s="1"/>
  <c r="AO307" i="2"/>
  <c r="AO308" i="2" s="1"/>
  <c r="AQ382" i="2"/>
  <c r="AQ383" i="2" s="1"/>
  <c r="AN452" i="2"/>
  <c r="AN453" i="2" s="1"/>
  <c r="AR452" i="2"/>
  <c r="AR453" i="2" s="1"/>
  <c r="AO452" i="2"/>
  <c r="AO453" i="2" s="1"/>
  <c r="AI96" i="2"/>
  <c r="AI97" i="2" s="1"/>
  <c r="AH96" i="2"/>
  <c r="AH97" i="2" s="1"/>
  <c r="AH131" i="2"/>
  <c r="AH132" i="2" s="1"/>
  <c r="AG131" i="2"/>
  <c r="AG132" i="2" s="1"/>
  <c r="AC61" i="2"/>
  <c r="AC62" i="2" s="1"/>
  <c r="AG61" i="2"/>
  <c r="AG62" i="2" s="1"/>
  <c r="AB61" i="2"/>
  <c r="AB62" i="2" s="1"/>
  <c r="AA61" i="2"/>
  <c r="AA62" i="2" s="1"/>
  <c r="AJ61" i="2"/>
  <c r="AJ62" i="2" s="1"/>
  <c r="AI61" i="2"/>
  <c r="AI62" i="2" s="1"/>
  <c r="AA96" i="2"/>
  <c r="AA97" i="2" s="1"/>
  <c r="AE96" i="2"/>
  <c r="AE97" i="2" s="1"/>
  <c r="AD96" i="2"/>
  <c r="AD97" i="2" s="1"/>
  <c r="AC96" i="2"/>
  <c r="AC97" i="2" s="1"/>
  <c r="AD131" i="2"/>
  <c r="AD132" i="2" s="1"/>
  <c r="AC131" i="2"/>
  <c r="AC132" i="2" s="1"/>
  <c r="AB131" i="2"/>
  <c r="AB132" i="2" s="1"/>
  <c r="AI164" i="2"/>
  <c r="AI165" i="2" s="1"/>
  <c r="AI166" i="2" s="1"/>
  <c r="AI167" i="2" s="1"/>
  <c r="AI169" i="2" s="1"/>
  <c r="AI170" i="2" s="1"/>
  <c r="Y353" i="2"/>
  <c r="Y245" i="2"/>
  <c r="Y318" i="2"/>
  <c r="Y210" i="2"/>
  <c r="Y423" i="2"/>
  <c r="Y175" i="2"/>
  <c r="Y280" i="2"/>
  <c r="Y67" i="2"/>
  <c r="Y32" i="2"/>
  <c r="Y388" i="2"/>
  <c r="Y137" i="2"/>
  <c r="AF61" i="2"/>
  <c r="AF62" i="2" s="1"/>
  <c r="AE61" i="2"/>
  <c r="AE62" i="2" s="1"/>
  <c r="AG96" i="2"/>
  <c r="AG97" i="2" s="1"/>
  <c r="AF131" i="2"/>
  <c r="AF132" i="2" s="1"/>
  <c r="AD164" i="2"/>
  <c r="AD165" i="2" s="1"/>
  <c r="AA204" i="2"/>
  <c r="AA205" i="2" s="1"/>
  <c r="AE452" i="2"/>
  <c r="AE453" i="2" s="1"/>
  <c r="AF204" i="2"/>
  <c r="AF205" i="2" s="1"/>
  <c r="AE204" i="2"/>
  <c r="AE205" i="2" s="1"/>
  <c r="AF239" i="2"/>
  <c r="AF240" i="2" s="1"/>
  <c r="AB347" i="2"/>
  <c r="AB348" i="2" s="1"/>
  <c r="AD382" i="2"/>
  <c r="AD383" i="2" s="1"/>
  <c r="AH417" i="2"/>
  <c r="AH418" i="2" s="1"/>
  <c r="AG452" i="2"/>
  <c r="AG453" i="2" s="1"/>
  <c r="AA382" i="2"/>
  <c r="AA383" i="2" s="1"/>
  <c r="AD452" i="2"/>
  <c r="AD453" i="2" s="1"/>
  <c r="AF452" i="2"/>
  <c r="AF453" i="2" s="1"/>
  <c r="AG204" i="2"/>
  <c r="AG205" i="2" s="1"/>
  <c r="AA239" i="2"/>
  <c r="AA240" i="2" s="1"/>
  <c r="AI239" i="2"/>
  <c r="AI240" i="2" s="1"/>
  <c r="AB274" i="2"/>
  <c r="AB275" i="2" s="1"/>
  <c r="AF274" i="2"/>
  <c r="AF275" i="2" s="1"/>
  <c r="AA274" i="2"/>
  <c r="AA275" i="2" s="1"/>
  <c r="AE307" i="2"/>
  <c r="AE308" i="2" s="1"/>
  <c r="AC307" i="2"/>
  <c r="AC308" i="2" s="1"/>
  <c r="AE347" i="2"/>
  <c r="AE348" i="2" s="1"/>
  <c r="AE382" i="2"/>
  <c r="AE383" i="2" s="1"/>
  <c r="AC417" i="2"/>
  <c r="AC418" i="2" s="1"/>
  <c r="AB452" i="2"/>
  <c r="AB453" i="2" s="1"/>
  <c r="AE239" i="2"/>
  <c r="AE240" i="2" s="1"/>
  <c r="AC274" i="2"/>
  <c r="AC275" i="2" s="1"/>
  <c r="AB204" i="2"/>
  <c r="AB205" i="2" s="1"/>
  <c r="AC239" i="2"/>
  <c r="AC240" i="2" s="1"/>
  <c r="AG239" i="2"/>
  <c r="AG240" i="2" s="1"/>
  <c r="AB239" i="2"/>
  <c r="AB240" i="2" s="1"/>
  <c r="AD274" i="2"/>
  <c r="AD275" i="2" s="1"/>
  <c r="AF347" i="2"/>
  <c r="AF348" i="2" s="1"/>
  <c r="AH382" i="2"/>
  <c r="AH383" i="2" s="1"/>
  <c r="AD417" i="2"/>
  <c r="AD418" i="2" s="1"/>
  <c r="AC452" i="2"/>
  <c r="AC453" i="2" s="1"/>
  <c r="W239" i="2"/>
  <c r="W240" i="2" s="1"/>
  <c r="V239" i="2"/>
  <c r="V240" i="2" s="1"/>
  <c r="P61" i="2"/>
  <c r="P62" i="2" s="1"/>
  <c r="Q96" i="2"/>
  <c r="Q97" i="2" s="1"/>
  <c r="Q131" i="2"/>
  <c r="Q132" i="2" s="1"/>
  <c r="U131" i="2"/>
  <c r="U132" i="2" s="1"/>
  <c r="R131" i="2"/>
  <c r="R132" i="2" s="1"/>
  <c r="O274" i="2"/>
  <c r="O275" i="2" s="1"/>
  <c r="S239" i="2"/>
  <c r="S240" i="2" s="1"/>
  <c r="R239" i="2"/>
  <c r="R240" i="2" s="1"/>
  <c r="Q452" i="2"/>
  <c r="Q453" i="2" s="1"/>
  <c r="M353" i="2"/>
  <c r="M245" i="2"/>
  <c r="M318" i="2"/>
  <c r="M210" i="2"/>
  <c r="M423" i="2"/>
  <c r="M175" i="2"/>
  <c r="M388" i="2"/>
  <c r="M137" i="2"/>
  <c r="M102" i="2"/>
  <c r="M67" i="2"/>
  <c r="T61" i="2"/>
  <c r="T62" i="2" s="1"/>
  <c r="R96" i="2"/>
  <c r="R97" i="2" s="1"/>
  <c r="O96" i="2"/>
  <c r="O97" i="2" s="1"/>
  <c r="T131" i="2"/>
  <c r="T132" i="2" s="1"/>
  <c r="T164" i="2"/>
  <c r="T165" i="2" s="1"/>
  <c r="S164" i="2"/>
  <c r="S165" i="2" s="1"/>
  <c r="S204" i="2"/>
  <c r="S205" i="2" s="1"/>
  <c r="O61" i="2"/>
  <c r="O62" i="2" s="1"/>
  <c r="S61" i="2"/>
  <c r="S62" i="2" s="1"/>
  <c r="V61" i="2"/>
  <c r="V62" i="2" s="1"/>
  <c r="S96" i="2"/>
  <c r="S97" i="2" s="1"/>
  <c r="O131" i="2"/>
  <c r="O132" i="2" s="1"/>
  <c r="S131" i="2"/>
  <c r="S132" i="2" s="1"/>
  <c r="W131" i="2"/>
  <c r="W132" i="2" s="1"/>
  <c r="O164" i="2"/>
  <c r="O165" i="2" s="1"/>
  <c r="R347" i="2"/>
  <c r="R348" i="2" s="1"/>
  <c r="V347" i="2"/>
  <c r="V348" i="2" s="1"/>
  <c r="O452" i="2"/>
  <c r="O453" i="2" s="1"/>
  <c r="S452" i="2"/>
  <c r="S453" i="2" s="1"/>
  <c r="P204" i="2"/>
  <c r="P205" i="2" s="1"/>
  <c r="T204" i="2"/>
  <c r="T205" i="2" s="1"/>
  <c r="P239" i="2"/>
  <c r="P240" i="2" s="1"/>
  <c r="V307" i="2"/>
  <c r="V308" i="2" s="1"/>
  <c r="O307" i="2"/>
  <c r="O308" i="2" s="1"/>
  <c r="Q347" i="2"/>
  <c r="Q348" i="2" s="1"/>
  <c r="U347" i="2"/>
  <c r="U348" i="2" s="1"/>
  <c r="R382" i="2"/>
  <c r="R383" i="2" s="1"/>
  <c r="V382" i="2"/>
  <c r="V383" i="2" s="1"/>
  <c r="S382" i="2"/>
  <c r="S383" i="2" s="1"/>
  <c r="Q382" i="2"/>
  <c r="Q383" i="2" s="1"/>
  <c r="Q417" i="2"/>
  <c r="Q418" i="2" s="1"/>
  <c r="U417" i="2"/>
  <c r="U418" i="2" s="1"/>
  <c r="R417" i="2"/>
  <c r="R418" i="2" s="1"/>
  <c r="P417" i="2"/>
  <c r="P418" i="2" s="1"/>
  <c r="U452" i="2"/>
  <c r="U453" i="2" s="1"/>
  <c r="Q204" i="2"/>
  <c r="Q205" i="2" s="1"/>
  <c r="Q239" i="2"/>
  <c r="Q240" i="2" s="1"/>
  <c r="U239" i="2"/>
  <c r="U240" i="2" s="1"/>
  <c r="R274" i="2"/>
  <c r="R275" i="2" s="1"/>
  <c r="V274" i="2"/>
  <c r="V275" i="2" s="1"/>
  <c r="S274" i="2"/>
  <c r="S275" i="2" s="1"/>
  <c r="Q274" i="2"/>
  <c r="Q275" i="2" s="1"/>
  <c r="T347" i="2"/>
  <c r="T348" i="2" s="1"/>
  <c r="U382" i="2"/>
  <c r="U383" i="2" s="1"/>
  <c r="R452" i="2"/>
  <c r="R453" i="2" s="1"/>
  <c r="R204" i="2"/>
  <c r="R205" i="2" s="1"/>
  <c r="O204" i="2"/>
  <c r="O205" i="2" s="1"/>
  <c r="T239" i="2"/>
  <c r="T240" i="2" s="1"/>
  <c r="U274" i="2"/>
  <c r="U275" i="2" s="1"/>
  <c r="O347" i="2"/>
  <c r="O348" i="2" s="1"/>
  <c r="S347" i="2"/>
  <c r="S348" i="2" s="1"/>
  <c r="W347" i="2"/>
  <c r="W348" i="2" s="1"/>
  <c r="O382" i="2"/>
  <c r="O383" i="2" s="1"/>
  <c r="V417" i="2"/>
  <c r="V418" i="2" s="1"/>
  <c r="A8" i="2"/>
  <c r="A7" i="2"/>
  <c r="DH164" i="2" l="1"/>
  <c r="DH165" i="2" s="1"/>
  <c r="CN307" i="2"/>
  <c r="CN308" i="2" s="1"/>
  <c r="CM164" i="2"/>
  <c r="CM165" i="2" s="1"/>
  <c r="AE164" i="2"/>
  <c r="AE165" i="2" s="1"/>
  <c r="AQ307" i="2"/>
  <c r="AQ308" i="2" s="1"/>
  <c r="AB307" i="2"/>
  <c r="AB308" i="2" s="1"/>
  <c r="AH164" i="2"/>
  <c r="AH165" i="2" s="1"/>
  <c r="AH166" i="2" s="1"/>
  <c r="AH167" i="2" s="1"/>
  <c r="AH169" i="2" s="1"/>
  <c r="AH170" i="2" s="1"/>
  <c r="CV307" i="2"/>
  <c r="CV308" i="2" s="1"/>
  <c r="AB164" i="2"/>
  <c r="AB165" i="2" s="1"/>
  <c r="AQ164" i="2"/>
  <c r="AQ165" i="2" s="1"/>
  <c r="DI164" i="2"/>
  <c r="DI165" i="2" s="1"/>
  <c r="CX307" i="2"/>
  <c r="CX308" i="2" s="1"/>
  <c r="CO164" i="2"/>
  <c r="CO165" i="2" s="1"/>
  <c r="CU307" i="2"/>
  <c r="CU308" i="2" s="1"/>
  <c r="BF309" i="2"/>
  <c r="BF310" i="2" s="1"/>
  <c r="BF312" i="2" s="1"/>
  <c r="BF313" i="2" s="1"/>
  <c r="BX307" i="2"/>
  <c r="BX308" i="2" s="1"/>
  <c r="AT309" i="2"/>
  <c r="AT310" i="2" s="1"/>
  <c r="AT312" i="2" s="1"/>
  <c r="AT313" i="2" s="1"/>
  <c r="DM307" i="2"/>
  <c r="DM308" i="2" s="1"/>
  <c r="CA164" i="2"/>
  <c r="CA165" i="2" s="1"/>
  <c r="BY164" i="2"/>
  <c r="BY165" i="2" s="1"/>
  <c r="BX166" i="2" s="1"/>
  <c r="BX167" i="2" s="1"/>
  <c r="BX169" i="2" s="1"/>
  <c r="BX170" i="2" s="1"/>
  <c r="CC164" i="2"/>
  <c r="CC165" i="2" s="1"/>
  <c r="CV164" i="2"/>
  <c r="CV165" i="2" s="1"/>
  <c r="BM307" i="2"/>
  <c r="BM308" i="2" s="1"/>
  <c r="BK309" i="2" s="1"/>
  <c r="BK310" i="2" s="1"/>
  <c r="BK312" i="2" s="1"/>
  <c r="BK313" i="2" s="1"/>
  <c r="AD307" i="2"/>
  <c r="AD308" i="2" s="1"/>
  <c r="AC309" i="2" s="1"/>
  <c r="AC310" i="2" s="1"/>
  <c r="AC312" i="2" s="1"/>
  <c r="AC313" i="2" s="1"/>
  <c r="P164" i="2"/>
  <c r="P165" i="2" s="1"/>
  <c r="CK307" i="2"/>
  <c r="CK308" i="2" s="1"/>
  <c r="BD164" i="2"/>
  <c r="BD165" i="2" s="1"/>
  <c r="AY307" i="2"/>
  <c r="AY308" i="2" s="1"/>
  <c r="P307" i="2"/>
  <c r="P308" i="2" s="1"/>
  <c r="T307" i="2"/>
  <c r="T308" i="2" s="1"/>
  <c r="BO307" i="2"/>
  <c r="BO308" i="2" s="1"/>
  <c r="BO309" i="2" s="1"/>
  <c r="BO310" i="2" s="1"/>
  <c r="BO312" i="2" s="1"/>
  <c r="BO313" i="2" s="1"/>
  <c r="AZ164" i="2"/>
  <c r="AZ165" i="2" s="1"/>
  <c r="AY166" i="2" s="1"/>
  <c r="AY167" i="2" s="1"/>
  <c r="AY169" i="2" s="1"/>
  <c r="AY170" i="2" s="1"/>
  <c r="V309" i="2"/>
  <c r="V310" i="2" s="1"/>
  <c r="V312" i="2" s="1"/>
  <c r="V313" i="2" s="1"/>
  <c r="V166" i="2"/>
  <c r="V167" i="2" s="1"/>
  <c r="V169" i="2" s="1"/>
  <c r="V170" i="2" s="1"/>
  <c r="BF164" i="2"/>
  <c r="BF165" i="2" s="1"/>
  <c r="BF166" i="2" s="1"/>
  <c r="BF167" i="2" s="1"/>
  <c r="BF169" i="2" s="1"/>
  <c r="BF170" i="2" s="1"/>
  <c r="AS166" i="2"/>
  <c r="AS167" i="2" s="1"/>
  <c r="AS169" i="2" s="1"/>
  <c r="AS170" i="2" s="1"/>
  <c r="DG307" i="2"/>
  <c r="DG308" i="2" s="1"/>
  <c r="CZ307" i="2"/>
  <c r="CZ308" i="2" s="1"/>
  <c r="CX309" i="2" s="1"/>
  <c r="CX310" i="2" s="1"/>
  <c r="CX312" i="2" s="1"/>
  <c r="CX313" i="2" s="1"/>
  <c r="BR166" i="2"/>
  <c r="BR167" i="2" s="1"/>
  <c r="BR169" i="2" s="1"/>
  <c r="BR170" i="2" s="1"/>
  <c r="BR309" i="2"/>
  <c r="BR310" i="2" s="1"/>
  <c r="BR312" i="2" s="1"/>
  <c r="BR313" i="2" s="1"/>
  <c r="CP309" i="2"/>
  <c r="CP310" i="2" s="1"/>
  <c r="CP312" i="2" s="1"/>
  <c r="CP313" i="2" s="1"/>
  <c r="BE309" i="2"/>
  <c r="BE310" i="2" s="1"/>
  <c r="BE312" i="2" s="1"/>
  <c r="BE313" i="2" s="1"/>
  <c r="CC166" i="2"/>
  <c r="CC167" i="2" s="1"/>
  <c r="CC169" i="2" s="1"/>
  <c r="CC170" i="2" s="1"/>
  <c r="CO309" i="2"/>
  <c r="CO310" i="2" s="1"/>
  <c r="CO312" i="2" s="1"/>
  <c r="CO313" i="2" s="1"/>
  <c r="DN166" i="2"/>
  <c r="DN167" i="2" s="1"/>
  <c r="DN169" i="2" s="1"/>
  <c r="DN170" i="2" s="1"/>
  <c r="U309" i="2"/>
  <c r="U310" i="2" s="1"/>
  <c r="U312" i="2" s="1"/>
  <c r="U313" i="2" s="1"/>
  <c r="DB309" i="2"/>
  <c r="DB310" i="2" s="1"/>
  <c r="DB312" i="2" s="1"/>
  <c r="DB313" i="2" s="1"/>
  <c r="BZ166" i="2"/>
  <c r="BZ167" i="2" s="1"/>
  <c r="BZ169" i="2" s="1"/>
  <c r="BZ170" i="2" s="1"/>
  <c r="BQ166" i="2"/>
  <c r="BQ167" i="2" s="1"/>
  <c r="BQ169" i="2" s="1"/>
  <c r="BQ170" i="2" s="1"/>
  <c r="AQ166" i="2"/>
  <c r="AQ167" i="2" s="1"/>
  <c r="AQ169" i="2" s="1"/>
  <c r="AQ170" i="2" s="1"/>
  <c r="AQ309" i="2"/>
  <c r="AQ310" i="2" s="1"/>
  <c r="AQ312" i="2" s="1"/>
  <c r="AQ313" i="2" s="1"/>
  <c r="AR309" i="2"/>
  <c r="AR310" i="2" s="1"/>
  <c r="AR312" i="2" s="1"/>
  <c r="AR313" i="2" s="1"/>
  <c r="AS309" i="2"/>
  <c r="AS310" i="2" s="1"/>
  <c r="AS312" i="2" s="1"/>
  <c r="AS313" i="2" s="1"/>
  <c r="AF166" i="2"/>
  <c r="AF167" i="2" s="1"/>
  <c r="AF169" i="2" s="1"/>
  <c r="AF170" i="2" s="1"/>
  <c r="AP309" i="2"/>
  <c r="AP310" i="2" s="1"/>
  <c r="AP312" i="2" s="1"/>
  <c r="AP313" i="2" s="1"/>
  <c r="AM164" i="2"/>
  <c r="AM165" i="2" s="1"/>
  <c r="AM166" i="2" s="1"/>
  <c r="AM167" i="2" s="1"/>
  <c r="AM169" i="2" s="1"/>
  <c r="AM170" i="2" s="1"/>
  <c r="BB307" i="2"/>
  <c r="BB308" i="2" s="1"/>
  <c r="AZ309" i="2" s="1"/>
  <c r="AZ310" i="2" s="1"/>
  <c r="AZ312" i="2" s="1"/>
  <c r="AZ313" i="2" s="1"/>
  <c r="CO166" i="2"/>
  <c r="CO167" i="2" s="1"/>
  <c r="CO169" i="2" s="1"/>
  <c r="CO170" i="2" s="1"/>
  <c r="CL26" i="2" s="1"/>
  <c r="CZ166" i="2"/>
  <c r="CZ167" i="2" s="1"/>
  <c r="CZ169" i="2" s="1"/>
  <c r="CZ170" i="2" s="1"/>
  <c r="AH309" i="2"/>
  <c r="AH310" i="2" s="1"/>
  <c r="AH312" i="2" s="1"/>
  <c r="AH313" i="2" s="1"/>
  <c r="AM309" i="2"/>
  <c r="AM310" i="2" s="1"/>
  <c r="AM312" i="2" s="1"/>
  <c r="AM313" i="2" s="1"/>
  <c r="BO164" i="2"/>
  <c r="BO165" i="2" s="1"/>
  <c r="BM166" i="2" s="1"/>
  <c r="BM167" i="2" s="1"/>
  <c r="BM169" i="2" s="1"/>
  <c r="BM170" i="2" s="1"/>
  <c r="R164" i="2"/>
  <c r="R165" i="2" s="1"/>
  <c r="R166" i="2" s="1"/>
  <c r="R167" i="2" s="1"/>
  <c r="R169" i="2" s="1"/>
  <c r="R170" i="2" s="1"/>
  <c r="CD166" i="2"/>
  <c r="CD167" i="2" s="1"/>
  <c r="CD169" i="2" s="1"/>
  <c r="CD170" i="2" s="1"/>
  <c r="CJ166" i="2"/>
  <c r="CJ167" i="2" s="1"/>
  <c r="CJ169" i="2" s="1"/>
  <c r="CJ170" i="2" s="1"/>
  <c r="CQ26" i="2" s="1"/>
  <c r="DA166" i="2"/>
  <c r="DA167" i="2" s="1"/>
  <c r="DA169" i="2" s="1"/>
  <c r="DA170" i="2" s="1"/>
  <c r="CW307" i="2"/>
  <c r="CW308" i="2" s="1"/>
  <c r="CD309" i="2"/>
  <c r="CD310" i="2" s="1"/>
  <c r="CD312" i="2" s="1"/>
  <c r="CD313" i="2" s="1"/>
  <c r="CL307" i="2"/>
  <c r="CL308" i="2" s="1"/>
  <c r="CK309" i="2" s="1"/>
  <c r="CK310" i="2" s="1"/>
  <c r="CK312" i="2" s="1"/>
  <c r="CK313" i="2" s="1"/>
  <c r="DM309" i="2"/>
  <c r="DM310" i="2" s="1"/>
  <c r="DM312" i="2" s="1"/>
  <c r="DM313" i="2" s="1"/>
  <c r="DL309" i="2"/>
  <c r="DL310" i="2" s="1"/>
  <c r="DL312" i="2" s="1"/>
  <c r="DL313" i="2" s="1"/>
  <c r="DK309" i="2"/>
  <c r="DK310" i="2" s="1"/>
  <c r="DK312" i="2" s="1"/>
  <c r="DK313" i="2" s="1"/>
  <c r="DJ307" i="2"/>
  <c r="DJ308" i="2" s="1"/>
  <c r="DJ309" i="2" s="1"/>
  <c r="DJ310" i="2" s="1"/>
  <c r="DJ312" i="2" s="1"/>
  <c r="DJ313" i="2" s="1"/>
  <c r="DM164" i="2"/>
  <c r="DM165" i="2" s="1"/>
  <c r="DM166" i="2" s="1"/>
  <c r="DM167" i="2" s="1"/>
  <c r="DM169" i="2" s="1"/>
  <c r="DM170" i="2" s="1"/>
  <c r="DA309" i="2"/>
  <c r="DA310" i="2" s="1"/>
  <c r="DA312" i="2" s="1"/>
  <c r="DA313" i="2" s="1"/>
  <c r="CZ309" i="2"/>
  <c r="CZ310" i="2" s="1"/>
  <c r="CZ312" i="2" s="1"/>
  <c r="CZ313" i="2" s="1"/>
  <c r="CY164" i="2"/>
  <c r="CY165" i="2" s="1"/>
  <c r="CY166" i="2" s="1"/>
  <c r="CY167" i="2" s="1"/>
  <c r="CY169" i="2" s="1"/>
  <c r="CY170" i="2" s="1"/>
  <c r="DB166" i="2"/>
  <c r="DB167" i="2" s="1"/>
  <c r="DB169" i="2" s="1"/>
  <c r="DB170" i="2" s="1"/>
  <c r="CN309" i="2"/>
  <c r="CN310" i="2" s="1"/>
  <c r="CN312" i="2" s="1"/>
  <c r="CN313" i="2" s="1"/>
  <c r="CI166" i="2"/>
  <c r="CI167" i="2" s="1"/>
  <c r="CI169" i="2" s="1"/>
  <c r="CI170" i="2" s="1"/>
  <c r="CR26" i="2" s="1"/>
  <c r="CM166" i="2"/>
  <c r="CM167" i="2" s="1"/>
  <c r="CM169" i="2" s="1"/>
  <c r="CM170" i="2" s="1"/>
  <c r="CN26" i="2" s="1"/>
  <c r="CL166" i="2"/>
  <c r="CL167" i="2" s="1"/>
  <c r="CL169" i="2" s="1"/>
  <c r="CL170" i="2" s="1"/>
  <c r="CO26" i="2" s="1"/>
  <c r="CM309" i="2"/>
  <c r="CM310" i="2" s="1"/>
  <c r="CM312" i="2" s="1"/>
  <c r="CM313" i="2" s="1"/>
  <c r="CK166" i="2"/>
  <c r="CK167" i="2" s="1"/>
  <c r="CK169" i="2" s="1"/>
  <c r="CK170" i="2" s="1"/>
  <c r="CP26" i="2" s="1"/>
  <c r="CN166" i="2"/>
  <c r="CN167" i="2" s="1"/>
  <c r="CN169" i="2" s="1"/>
  <c r="CN170" i="2" s="1"/>
  <c r="CM26" i="2" s="1"/>
  <c r="BW166" i="2"/>
  <c r="BW167" i="2" s="1"/>
  <c r="BW169" i="2" s="1"/>
  <c r="BW170" i="2" s="1"/>
  <c r="BZ307" i="2"/>
  <c r="BZ308" i="2" s="1"/>
  <c r="BZ309" i="2" s="1"/>
  <c r="BZ310" i="2" s="1"/>
  <c r="BZ312" i="2" s="1"/>
  <c r="BZ313" i="2" s="1"/>
  <c r="CB166" i="2"/>
  <c r="CB167" i="2" s="1"/>
  <c r="CB169" i="2" s="1"/>
  <c r="CB170" i="2" s="1"/>
  <c r="CA309" i="2"/>
  <c r="CA310" i="2" s="1"/>
  <c r="CA312" i="2" s="1"/>
  <c r="CA313" i="2" s="1"/>
  <c r="BY307" i="2"/>
  <c r="BY308" i="2" s="1"/>
  <c r="CB309" i="2"/>
  <c r="CB310" i="2" s="1"/>
  <c r="CB312" i="2" s="1"/>
  <c r="CB313" i="2" s="1"/>
  <c r="BW307" i="2"/>
  <c r="BW308" i="2" s="1"/>
  <c r="BY166" i="2"/>
  <c r="BY167" i="2" s="1"/>
  <c r="BY169" i="2" s="1"/>
  <c r="BY170" i="2" s="1"/>
  <c r="CA166" i="2"/>
  <c r="CA167" i="2" s="1"/>
  <c r="CA169" i="2" s="1"/>
  <c r="CA170" i="2" s="1"/>
  <c r="BN309" i="2"/>
  <c r="BN310" i="2" s="1"/>
  <c r="BN312" i="2" s="1"/>
  <c r="BN313" i="2" s="1"/>
  <c r="BM309" i="2"/>
  <c r="BM310" i="2" s="1"/>
  <c r="BM312" i="2" s="1"/>
  <c r="BM313" i="2" s="1"/>
  <c r="BP309" i="2"/>
  <c r="BP310" i="2" s="1"/>
  <c r="BP312" i="2" s="1"/>
  <c r="BP313" i="2" s="1"/>
  <c r="BL309" i="2"/>
  <c r="BL310" i="2" s="1"/>
  <c r="BL312" i="2" s="1"/>
  <c r="BL313" i="2" s="1"/>
  <c r="BQ309" i="2"/>
  <c r="BQ310" i="2" s="1"/>
  <c r="BQ312" i="2" s="1"/>
  <c r="BQ313" i="2" s="1"/>
  <c r="BP166" i="2"/>
  <c r="BP167" i="2" s="1"/>
  <c r="BP169" i="2" s="1"/>
  <c r="BP170" i="2" s="1"/>
  <c r="BC309" i="2"/>
  <c r="BC310" i="2" s="1"/>
  <c r="BC312" i="2" s="1"/>
  <c r="BC313" i="2" s="1"/>
  <c r="BD309" i="2"/>
  <c r="BD310" i="2" s="1"/>
  <c r="BD312" i="2" s="1"/>
  <c r="BD313" i="2" s="1"/>
  <c r="BC166" i="2"/>
  <c r="BC167" i="2" s="1"/>
  <c r="BC169" i="2" s="1"/>
  <c r="BC170" i="2" s="1"/>
  <c r="AO166" i="2"/>
  <c r="AO167" i="2" s="1"/>
  <c r="AO169" i="2" s="1"/>
  <c r="AO170" i="2" s="1"/>
  <c r="AR166" i="2"/>
  <c r="AR167" i="2" s="1"/>
  <c r="AR169" i="2" s="1"/>
  <c r="AR170" i="2" s="1"/>
  <c r="AN166" i="2"/>
  <c r="AN167" i="2" s="1"/>
  <c r="AN169" i="2" s="1"/>
  <c r="AN170" i="2" s="1"/>
  <c r="AP166" i="2"/>
  <c r="AP167" i="2" s="1"/>
  <c r="AP169" i="2" s="1"/>
  <c r="AP170" i="2" s="1"/>
  <c r="AO309" i="2"/>
  <c r="AO310" i="2" s="1"/>
  <c r="AO312" i="2" s="1"/>
  <c r="AO313" i="2" s="1"/>
  <c r="AN309" i="2"/>
  <c r="AN310" i="2" s="1"/>
  <c r="AN312" i="2" s="1"/>
  <c r="AN313" i="2" s="1"/>
  <c r="AT166" i="2"/>
  <c r="AT167" i="2" s="1"/>
  <c r="AT169" i="2" s="1"/>
  <c r="AT170" i="2" s="1"/>
  <c r="AG309" i="2"/>
  <c r="AG310" i="2" s="1"/>
  <c r="AG312" i="2" s="1"/>
  <c r="AG313" i="2" s="1"/>
  <c r="AF309" i="2"/>
  <c r="AF310" i="2" s="1"/>
  <c r="AF312" i="2" s="1"/>
  <c r="AF313" i="2" s="1"/>
  <c r="AD166" i="2"/>
  <c r="AD167" i="2" s="1"/>
  <c r="AD169" i="2" s="1"/>
  <c r="AD170" i="2" s="1"/>
  <c r="AC164" i="2"/>
  <c r="AC165" i="2" s="1"/>
  <c r="AC166" i="2" s="1"/>
  <c r="AC167" i="2" s="1"/>
  <c r="AC169" i="2" s="1"/>
  <c r="AC170" i="2" s="1"/>
  <c r="AG166" i="2"/>
  <c r="AG167" i="2" s="1"/>
  <c r="AG169" i="2" s="1"/>
  <c r="AG170" i="2" s="1"/>
  <c r="AE309" i="2"/>
  <c r="AE310" i="2" s="1"/>
  <c r="AE312" i="2" s="1"/>
  <c r="AE313" i="2" s="1"/>
  <c r="T166" i="2"/>
  <c r="T167" i="2" s="1"/>
  <c r="T169" i="2" s="1"/>
  <c r="T170" i="2" s="1"/>
  <c r="S166" i="2"/>
  <c r="S167" i="2" s="1"/>
  <c r="S169" i="2" s="1"/>
  <c r="S170" i="2" s="1"/>
  <c r="S307" i="2"/>
  <c r="S308" i="2" s="1"/>
  <c r="S309" i="2" s="1"/>
  <c r="S310" i="2" s="1"/>
  <c r="S312" i="2" s="1"/>
  <c r="S313" i="2" s="1"/>
  <c r="U166" i="2"/>
  <c r="U167" i="2" s="1"/>
  <c r="U169" i="2" s="1"/>
  <c r="U170" i="2" s="1"/>
  <c r="T309" i="2"/>
  <c r="T310" i="2" s="1"/>
  <c r="T312" i="2" s="1"/>
  <c r="T313" i="2" s="1"/>
  <c r="R307" i="2"/>
  <c r="R308" i="2" s="1"/>
  <c r="CY309" i="2" l="1"/>
  <c r="CY310" i="2" s="1"/>
  <c r="CY312" i="2" s="1"/>
  <c r="CY313" i="2" s="1"/>
  <c r="AD309" i="2"/>
  <c r="AD310" i="2" s="1"/>
  <c r="AD312" i="2" s="1"/>
  <c r="AD313" i="2" s="1"/>
  <c r="AE166" i="2"/>
  <c r="AE167" i="2" s="1"/>
  <c r="AE169" i="2" s="1"/>
  <c r="AE170" i="2" s="1"/>
  <c r="AA309" i="2"/>
  <c r="AA310" i="2" s="1"/>
  <c r="AA312" i="2" s="1"/>
  <c r="AA313" i="2" s="1"/>
  <c r="AB309" i="2"/>
  <c r="AB310" i="2" s="1"/>
  <c r="AB312" i="2" s="1"/>
  <c r="AB313" i="2" s="1"/>
  <c r="BD166" i="2"/>
  <c r="BD167" i="2" s="1"/>
  <c r="BD169" i="2" s="1"/>
  <c r="BD170" i="2" s="1"/>
  <c r="BA166" i="2"/>
  <c r="BA167" i="2" s="1"/>
  <c r="BA169" i="2" s="1"/>
  <c r="BA170" i="2" s="1"/>
  <c r="BE166" i="2"/>
  <c r="BE167" i="2" s="1"/>
  <c r="BE169" i="2" s="1"/>
  <c r="BE170" i="2" s="1"/>
  <c r="BB166" i="2"/>
  <c r="BB167" i="2" s="1"/>
  <c r="BB169" i="2" s="1"/>
  <c r="BB170" i="2" s="1"/>
  <c r="AZ166" i="2"/>
  <c r="AZ167" i="2" s="1"/>
  <c r="AZ169" i="2" s="1"/>
  <c r="AZ170" i="2" s="1"/>
  <c r="CW309" i="2"/>
  <c r="CW310" i="2" s="1"/>
  <c r="CW312" i="2" s="1"/>
  <c r="CW313" i="2" s="1"/>
  <c r="DI166" i="2"/>
  <c r="DI167" i="2" s="1"/>
  <c r="DI169" i="2" s="1"/>
  <c r="DI170" i="2" s="1"/>
  <c r="DK166" i="2"/>
  <c r="DK167" i="2" s="1"/>
  <c r="DK169" i="2" s="1"/>
  <c r="DK170" i="2" s="1"/>
  <c r="CU309" i="2"/>
  <c r="CU310" i="2" s="1"/>
  <c r="CU312" i="2" s="1"/>
  <c r="CU313" i="2" s="1"/>
  <c r="CV309" i="2"/>
  <c r="CV310" i="2" s="1"/>
  <c r="CV312" i="2" s="1"/>
  <c r="CV313" i="2" s="1"/>
  <c r="CV166" i="2"/>
  <c r="CV167" i="2" s="1"/>
  <c r="CV169" i="2" s="1"/>
  <c r="CV170" i="2" s="1"/>
  <c r="CW166" i="2"/>
  <c r="CW167" i="2" s="1"/>
  <c r="CW169" i="2" s="1"/>
  <c r="CW170" i="2" s="1"/>
  <c r="CL309" i="2"/>
  <c r="CL310" i="2" s="1"/>
  <c r="CL312" i="2" s="1"/>
  <c r="CL313" i="2" s="1"/>
  <c r="CJ309" i="2"/>
  <c r="CJ310" i="2" s="1"/>
  <c r="CJ312" i="2" s="1"/>
  <c r="CJ313" i="2" s="1"/>
  <c r="CI309" i="2"/>
  <c r="CI310" i="2" s="1"/>
  <c r="CI312" i="2" s="1"/>
  <c r="CI313" i="2" s="1"/>
  <c r="BY309" i="2"/>
  <c r="BY310" i="2" s="1"/>
  <c r="BY312" i="2" s="1"/>
  <c r="BY313" i="2" s="1"/>
  <c r="BL166" i="2"/>
  <c r="BL167" i="2" s="1"/>
  <c r="BL169" i="2" s="1"/>
  <c r="BL170" i="2" s="1"/>
  <c r="BN166" i="2"/>
  <c r="BN167" i="2" s="1"/>
  <c r="BN169" i="2" s="1"/>
  <c r="BN170" i="2" s="1"/>
  <c r="BK166" i="2"/>
  <c r="BK167" i="2" s="1"/>
  <c r="BK169" i="2" s="1"/>
  <c r="BK170" i="2" s="1"/>
  <c r="BA309" i="2"/>
  <c r="BA310" i="2" s="1"/>
  <c r="BA312" i="2" s="1"/>
  <c r="BA313" i="2" s="1"/>
  <c r="AY309" i="2"/>
  <c r="AY310" i="2" s="1"/>
  <c r="AY312" i="2" s="1"/>
  <c r="AY313" i="2" s="1"/>
  <c r="BB309" i="2"/>
  <c r="BB310" i="2" s="1"/>
  <c r="BB312" i="2" s="1"/>
  <c r="BB313" i="2" s="1"/>
  <c r="Q166" i="2"/>
  <c r="Q167" i="2" s="1"/>
  <c r="Q169" i="2" s="1"/>
  <c r="Q170" i="2" s="1"/>
  <c r="O166" i="2"/>
  <c r="O167" i="2" s="1"/>
  <c r="O169" i="2" s="1"/>
  <c r="O170" i="2" s="1"/>
  <c r="P166" i="2"/>
  <c r="P167" i="2" s="1"/>
  <c r="P169" i="2" s="1"/>
  <c r="P170" i="2" s="1"/>
  <c r="BW309" i="2"/>
  <c r="BW310" i="2" s="1"/>
  <c r="BW312" i="2" s="1"/>
  <c r="BW313" i="2" s="1"/>
  <c r="BO166" i="2"/>
  <c r="BO167" i="2" s="1"/>
  <c r="BO169" i="2" s="1"/>
  <c r="BO170" i="2" s="1"/>
  <c r="R309" i="2"/>
  <c r="R310" i="2" s="1"/>
  <c r="R312" i="2" s="1"/>
  <c r="R313" i="2" s="1"/>
  <c r="DG166" i="2"/>
  <c r="DG167" i="2" s="1"/>
  <c r="DG169" i="2" s="1"/>
  <c r="DG170" i="2" s="1"/>
  <c r="DI309" i="2"/>
  <c r="DI310" i="2" s="1"/>
  <c r="DI312" i="2" s="1"/>
  <c r="DI313" i="2" s="1"/>
  <c r="DG309" i="2"/>
  <c r="DG310" i="2" s="1"/>
  <c r="DG312" i="2" s="1"/>
  <c r="DG313" i="2" s="1"/>
  <c r="DH309" i="2"/>
  <c r="DH310" i="2" s="1"/>
  <c r="DH312" i="2" s="1"/>
  <c r="DH313" i="2" s="1"/>
  <c r="DH166" i="2"/>
  <c r="DH167" i="2" s="1"/>
  <c r="DH169" i="2" s="1"/>
  <c r="DH170" i="2" s="1"/>
  <c r="DJ166" i="2"/>
  <c r="DJ167" i="2" s="1"/>
  <c r="DJ169" i="2" s="1"/>
  <c r="DJ170" i="2" s="1"/>
  <c r="DL166" i="2"/>
  <c r="DL167" i="2" s="1"/>
  <c r="DL169" i="2" s="1"/>
  <c r="DL170" i="2" s="1"/>
  <c r="CX166" i="2"/>
  <c r="CX167" i="2" s="1"/>
  <c r="CX169" i="2" s="1"/>
  <c r="CX170" i="2" s="1"/>
  <c r="CU166" i="2"/>
  <c r="CU167" i="2" s="1"/>
  <c r="CU169" i="2" s="1"/>
  <c r="CU170" i="2" s="1"/>
  <c r="BX309" i="2"/>
  <c r="BX310" i="2" s="1"/>
  <c r="BX312" i="2" s="1"/>
  <c r="BX313" i="2" s="1"/>
  <c r="AB166" i="2"/>
  <c r="AB167" i="2" s="1"/>
  <c r="AB169" i="2" s="1"/>
  <c r="AB170" i="2" s="1"/>
  <c r="AA166" i="2"/>
  <c r="AA167" i="2" s="1"/>
  <c r="AA169" i="2" s="1"/>
  <c r="AA170" i="2" s="1"/>
  <c r="O309" i="2"/>
  <c r="O310" i="2" s="1"/>
  <c r="O312" i="2" s="1"/>
  <c r="O313" i="2" s="1"/>
  <c r="P309" i="2"/>
  <c r="P310" i="2" s="1"/>
  <c r="P312" i="2" s="1"/>
  <c r="P313" i="2" s="1"/>
  <c r="Q309" i="2"/>
  <c r="Q310" i="2" s="1"/>
  <c r="Q312" i="2" s="1"/>
  <c r="Q313" i="2" s="1"/>
  <c r="I37" i="10" l="1"/>
  <c r="I38" i="10"/>
  <c r="I16" i="10"/>
  <c r="I49" i="10" l="1"/>
  <c r="L308" i="2" l="1"/>
  <c r="L309" i="2" s="1"/>
  <c r="C293" i="2"/>
  <c r="D292" i="2"/>
  <c r="C292" i="2"/>
  <c r="E291" i="2"/>
  <c r="D291" i="2"/>
  <c r="C291" i="2"/>
  <c r="F290" i="2"/>
  <c r="E290" i="2"/>
  <c r="D290" i="2"/>
  <c r="C290" i="2"/>
  <c r="G289" i="2"/>
  <c r="F289" i="2"/>
  <c r="E289" i="2"/>
  <c r="D289" i="2"/>
  <c r="C289" i="2"/>
  <c r="H288" i="2"/>
  <c r="G288" i="2"/>
  <c r="F288" i="2"/>
  <c r="E288" i="2"/>
  <c r="D288" i="2"/>
  <c r="C288" i="2"/>
  <c r="I287" i="2"/>
  <c r="H287" i="2"/>
  <c r="G287" i="2"/>
  <c r="F287" i="2"/>
  <c r="E287" i="2"/>
  <c r="D287" i="2"/>
  <c r="C287" i="2"/>
  <c r="J286" i="2"/>
  <c r="I286" i="2"/>
  <c r="H286" i="2"/>
  <c r="G286" i="2"/>
  <c r="F286" i="2"/>
  <c r="E286" i="2"/>
  <c r="D286" i="2"/>
  <c r="C286" i="2"/>
  <c r="K285" i="2"/>
  <c r="J285" i="2"/>
  <c r="I285" i="2"/>
  <c r="H285" i="2"/>
  <c r="G285" i="2"/>
  <c r="F285" i="2"/>
  <c r="E285" i="2"/>
  <c r="D285" i="2"/>
  <c r="C285" i="2"/>
  <c r="L284" i="2"/>
  <c r="K284" i="2"/>
  <c r="J284" i="2"/>
  <c r="I284" i="2"/>
  <c r="H284" i="2"/>
  <c r="G284" i="2"/>
  <c r="F284" i="2"/>
  <c r="E284" i="2"/>
  <c r="D284" i="2"/>
  <c r="C284" i="2"/>
  <c r="L451" i="2"/>
  <c r="L452" i="2" s="1"/>
  <c r="L453" i="2" s="1"/>
  <c r="K450" i="2"/>
  <c r="K451" i="2" s="1"/>
  <c r="J450" i="2"/>
  <c r="J451" i="2" s="1"/>
  <c r="I450" i="2"/>
  <c r="I451" i="2" s="1"/>
  <c r="H450" i="2"/>
  <c r="H451" i="2" s="1"/>
  <c r="G450" i="2"/>
  <c r="G451" i="2" s="1"/>
  <c r="F450" i="2"/>
  <c r="F451" i="2" s="1"/>
  <c r="E450" i="2"/>
  <c r="E451" i="2" s="1"/>
  <c r="D450" i="2"/>
  <c r="D451" i="2" s="1"/>
  <c r="C450" i="2"/>
  <c r="C451" i="2" s="1"/>
  <c r="L416" i="2"/>
  <c r="L417" i="2" s="1"/>
  <c r="L418" i="2" s="1"/>
  <c r="K415" i="2"/>
  <c r="K416" i="2" s="1"/>
  <c r="J415" i="2"/>
  <c r="J416" i="2" s="1"/>
  <c r="I415" i="2"/>
  <c r="I416" i="2" s="1"/>
  <c r="H415" i="2"/>
  <c r="H416" i="2" s="1"/>
  <c r="G415" i="2"/>
  <c r="G416" i="2" s="1"/>
  <c r="F415" i="2"/>
  <c r="F416" i="2" s="1"/>
  <c r="E415" i="2"/>
  <c r="E416" i="2" s="1"/>
  <c r="D415" i="2"/>
  <c r="D416" i="2" s="1"/>
  <c r="C415" i="2"/>
  <c r="C416" i="2" s="1"/>
  <c r="L381" i="2"/>
  <c r="L382" i="2" s="1"/>
  <c r="L383" i="2" s="1"/>
  <c r="K380" i="2"/>
  <c r="K381" i="2" s="1"/>
  <c r="J380" i="2"/>
  <c r="J381" i="2" s="1"/>
  <c r="I380" i="2"/>
  <c r="I381" i="2" s="1"/>
  <c r="H380" i="2"/>
  <c r="H381" i="2" s="1"/>
  <c r="G380" i="2"/>
  <c r="G381" i="2" s="1"/>
  <c r="F380" i="2"/>
  <c r="F381" i="2" s="1"/>
  <c r="E380" i="2"/>
  <c r="E381" i="2" s="1"/>
  <c r="D380" i="2"/>
  <c r="D381" i="2" s="1"/>
  <c r="C380" i="2"/>
  <c r="C381" i="2" s="1"/>
  <c r="L346" i="2"/>
  <c r="L347" i="2" s="1"/>
  <c r="L348" i="2" s="1"/>
  <c r="K345" i="2"/>
  <c r="K346" i="2" s="1"/>
  <c r="J345" i="2"/>
  <c r="J346" i="2" s="1"/>
  <c r="I345" i="2"/>
  <c r="I346" i="2" s="1"/>
  <c r="H345" i="2"/>
  <c r="H346" i="2" s="1"/>
  <c r="G345" i="2"/>
  <c r="G346" i="2" s="1"/>
  <c r="F345" i="2"/>
  <c r="F346" i="2" s="1"/>
  <c r="E345" i="2"/>
  <c r="E346" i="2" s="1"/>
  <c r="D345" i="2"/>
  <c r="D346" i="2" s="1"/>
  <c r="C345" i="2"/>
  <c r="C346" i="2" s="1"/>
  <c r="L273" i="2"/>
  <c r="L274" i="2" s="1"/>
  <c r="L275" i="2" s="1"/>
  <c r="K272" i="2"/>
  <c r="K273" i="2" s="1"/>
  <c r="J272" i="2"/>
  <c r="J273" i="2" s="1"/>
  <c r="I272" i="2"/>
  <c r="I273" i="2" s="1"/>
  <c r="H272" i="2"/>
  <c r="H273" i="2" s="1"/>
  <c r="G272" i="2"/>
  <c r="G273" i="2" s="1"/>
  <c r="F272" i="2"/>
  <c r="F273" i="2" s="1"/>
  <c r="E272" i="2"/>
  <c r="E273" i="2" s="1"/>
  <c r="D272" i="2"/>
  <c r="D273" i="2" s="1"/>
  <c r="C272" i="2"/>
  <c r="C273" i="2" s="1"/>
  <c r="L238" i="2"/>
  <c r="L239" i="2" s="1"/>
  <c r="L240" i="2" s="1"/>
  <c r="K237" i="2"/>
  <c r="K238" i="2" s="1"/>
  <c r="K239" i="2" s="1"/>
  <c r="K240" i="2" s="1"/>
  <c r="J237" i="2"/>
  <c r="J238" i="2" s="1"/>
  <c r="I237" i="2"/>
  <c r="I238" i="2" s="1"/>
  <c r="H237" i="2"/>
  <c r="H238" i="2" s="1"/>
  <c r="G237" i="2"/>
  <c r="G238" i="2" s="1"/>
  <c r="F237" i="2"/>
  <c r="F238" i="2" s="1"/>
  <c r="E237" i="2"/>
  <c r="E238" i="2" s="1"/>
  <c r="D237" i="2"/>
  <c r="D238" i="2" s="1"/>
  <c r="C237" i="2"/>
  <c r="C238" i="2" s="1"/>
  <c r="L130" i="2"/>
  <c r="L131" i="2" s="1"/>
  <c r="L132" i="2" s="1"/>
  <c r="C17" i="2" s="1"/>
  <c r="C21" i="2" s="1"/>
  <c r="K129" i="2"/>
  <c r="K130" i="2" s="1"/>
  <c r="J129" i="2"/>
  <c r="J130" i="2" s="1"/>
  <c r="I129" i="2"/>
  <c r="I130" i="2" s="1"/>
  <c r="H129" i="2"/>
  <c r="H130" i="2" s="1"/>
  <c r="G129" i="2"/>
  <c r="G130" i="2" s="1"/>
  <c r="F129" i="2"/>
  <c r="F130" i="2" s="1"/>
  <c r="E129" i="2"/>
  <c r="E130" i="2" s="1"/>
  <c r="D129" i="2"/>
  <c r="D130" i="2" s="1"/>
  <c r="C129" i="2"/>
  <c r="C130" i="2" s="1"/>
  <c r="L95" i="2"/>
  <c r="L96" i="2" s="1"/>
  <c r="L97" i="2" s="1"/>
  <c r="C13" i="2" s="1"/>
  <c r="K94" i="2"/>
  <c r="K95" i="2" s="1"/>
  <c r="J94" i="2"/>
  <c r="J95" i="2" s="1"/>
  <c r="I94" i="2"/>
  <c r="I95" i="2" s="1"/>
  <c r="H94" i="2"/>
  <c r="H95" i="2" s="1"/>
  <c r="G94" i="2"/>
  <c r="G95" i="2" s="1"/>
  <c r="F94" i="2"/>
  <c r="F95" i="2" s="1"/>
  <c r="E94" i="2"/>
  <c r="E95" i="2" s="1"/>
  <c r="D94" i="2"/>
  <c r="D95" i="2" s="1"/>
  <c r="C94" i="2"/>
  <c r="C95" i="2" s="1"/>
  <c r="L60" i="2"/>
  <c r="L61" i="2" s="1"/>
  <c r="L62" i="2" s="1"/>
  <c r="C12" i="2" s="1"/>
  <c r="K59" i="2"/>
  <c r="K60" i="2" s="1"/>
  <c r="J59" i="2"/>
  <c r="J60" i="2" s="1"/>
  <c r="I59" i="2"/>
  <c r="I60" i="2" s="1"/>
  <c r="H59" i="2"/>
  <c r="H60" i="2" s="1"/>
  <c r="G59" i="2"/>
  <c r="G60" i="2" s="1"/>
  <c r="F59" i="2"/>
  <c r="F60" i="2" s="1"/>
  <c r="E59" i="2"/>
  <c r="E60" i="2" s="1"/>
  <c r="D59" i="2"/>
  <c r="D60" i="2" s="1"/>
  <c r="C59" i="2"/>
  <c r="C60" i="2" s="1"/>
  <c r="I299" i="2" l="1"/>
  <c r="J298" i="2"/>
  <c r="D297" i="2"/>
  <c r="K96" i="2"/>
  <c r="K97" i="2" s="1"/>
  <c r="D13" i="2" s="1"/>
  <c r="K347" i="2"/>
  <c r="K348" i="2" s="1"/>
  <c r="K61" i="2"/>
  <c r="K62" i="2" s="1"/>
  <c r="D12" i="2" s="1"/>
  <c r="H297" i="2"/>
  <c r="F298" i="2"/>
  <c r="E299" i="2"/>
  <c r="E300" i="2"/>
  <c r="F301" i="2"/>
  <c r="D302" i="2"/>
  <c r="E297" i="2"/>
  <c r="C298" i="2"/>
  <c r="C301" i="2"/>
  <c r="E302" i="2"/>
  <c r="D304" i="2"/>
  <c r="C303" i="2"/>
  <c r="I297" i="2"/>
  <c r="G298" i="2"/>
  <c r="F299" i="2"/>
  <c r="F300" i="2"/>
  <c r="G301" i="2"/>
  <c r="D303" i="2"/>
  <c r="E382" i="2"/>
  <c r="E383" i="2" s="1"/>
  <c r="F297" i="2"/>
  <c r="J297" i="2"/>
  <c r="J307" i="2" s="1"/>
  <c r="J308" i="2" s="1"/>
  <c r="D298" i="2"/>
  <c r="H298" i="2"/>
  <c r="C299" i="2"/>
  <c r="G299" i="2"/>
  <c r="C300" i="2"/>
  <c r="G300" i="2"/>
  <c r="D301" i="2"/>
  <c r="F302" i="2"/>
  <c r="E303" i="2"/>
  <c r="C297" i="2"/>
  <c r="G297" i="2"/>
  <c r="K297" i="2"/>
  <c r="K307" i="2" s="1"/>
  <c r="K308" i="2" s="1"/>
  <c r="K309" i="2" s="1"/>
  <c r="K310" i="2" s="1"/>
  <c r="K312" i="2" s="1"/>
  <c r="K313" i="2" s="1"/>
  <c r="E298" i="2"/>
  <c r="I298" i="2"/>
  <c r="D299" i="2"/>
  <c r="H299" i="2"/>
  <c r="D300" i="2"/>
  <c r="H300" i="2"/>
  <c r="E301" i="2"/>
  <c r="C302" i="2"/>
  <c r="C305" i="2"/>
  <c r="K131" i="2"/>
  <c r="K132" i="2" s="1"/>
  <c r="D17" i="2" s="1"/>
  <c r="D21" i="2" s="1"/>
  <c r="K274" i="2"/>
  <c r="K275" i="2" s="1"/>
  <c r="K382" i="2"/>
  <c r="K383" i="2" s="1"/>
  <c r="C304" i="2"/>
  <c r="K452" i="2"/>
  <c r="K453" i="2" s="1"/>
  <c r="J417" i="2"/>
  <c r="J418" i="2" s="1"/>
  <c r="K417" i="2"/>
  <c r="K418" i="2" s="1"/>
  <c r="J131" i="2"/>
  <c r="J132" i="2" s="1"/>
  <c r="E17" i="2" s="1"/>
  <c r="E21" i="2" s="1"/>
  <c r="E417" i="2"/>
  <c r="E418" i="2" s="1"/>
  <c r="C452" i="2"/>
  <c r="C453" i="2" s="1"/>
  <c r="G452" i="2"/>
  <c r="G453" i="2" s="1"/>
  <c r="F417" i="2"/>
  <c r="F418" i="2" s="1"/>
  <c r="C417" i="2"/>
  <c r="C418" i="2" s="1"/>
  <c r="G417" i="2"/>
  <c r="G418" i="2" s="1"/>
  <c r="F382" i="2"/>
  <c r="F383" i="2" s="1"/>
  <c r="J382" i="2"/>
  <c r="J383" i="2" s="1"/>
  <c r="C382" i="2"/>
  <c r="C383" i="2" s="1"/>
  <c r="G382" i="2"/>
  <c r="G383" i="2" s="1"/>
  <c r="E274" i="2"/>
  <c r="E275" i="2" s="1"/>
  <c r="D274" i="2"/>
  <c r="D275" i="2" s="1"/>
  <c r="F274" i="2"/>
  <c r="F275" i="2" s="1"/>
  <c r="J274" i="2"/>
  <c r="J275" i="2" s="1"/>
  <c r="G274" i="2"/>
  <c r="G275" i="2" s="1"/>
  <c r="L310" i="2"/>
  <c r="L312" i="2" s="1"/>
  <c r="L313" i="2" s="1"/>
  <c r="E131" i="2"/>
  <c r="E132" i="2" s="1"/>
  <c r="J17" i="2" s="1"/>
  <c r="J21" i="2" s="1"/>
  <c r="F131" i="2"/>
  <c r="F132" i="2" s="1"/>
  <c r="I17" i="2" s="1"/>
  <c r="I21" i="2" s="1"/>
  <c r="C131" i="2"/>
  <c r="C132" i="2" s="1"/>
  <c r="L17" i="2" s="1"/>
  <c r="L21" i="2" s="1"/>
  <c r="G131" i="2"/>
  <c r="G132" i="2" s="1"/>
  <c r="H17" i="2" s="1"/>
  <c r="H21" i="2" s="1"/>
  <c r="J61" i="2"/>
  <c r="J62" i="2" s="1"/>
  <c r="E12" i="2" s="1"/>
  <c r="G96" i="2"/>
  <c r="G97" i="2" s="1"/>
  <c r="H13" i="2" s="1"/>
  <c r="C96" i="2"/>
  <c r="C97" i="2" s="1"/>
  <c r="L13" i="2" s="1"/>
  <c r="E61" i="2"/>
  <c r="E62" i="2" s="1"/>
  <c r="J12" i="2" s="1"/>
  <c r="F61" i="2"/>
  <c r="F62" i="2" s="1"/>
  <c r="I12" i="2" s="1"/>
  <c r="C61" i="2"/>
  <c r="C62" i="2" s="1"/>
  <c r="L12" i="2" s="1"/>
  <c r="G61" i="2"/>
  <c r="G62" i="2" s="1"/>
  <c r="H12" i="2" s="1"/>
  <c r="D452" i="2"/>
  <c r="D453" i="2" s="1"/>
  <c r="H452" i="2"/>
  <c r="H453" i="2" s="1"/>
  <c r="E452" i="2"/>
  <c r="E453" i="2" s="1"/>
  <c r="I452" i="2"/>
  <c r="I453" i="2" s="1"/>
  <c r="F452" i="2"/>
  <c r="F453" i="2" s="1"/>
  <c r="J452" i="2"/>
  <c r="J453" i="2" s="1"/>
  <c r="H417" i="2"/>
  <c r="H418" i="2" s="1"/>
  <c r="I417" i="2"/>
  <c r="I418" i="2" s="1"/>
  <c r="D417" i="2"/>
  <c r="D418" i="2" s="1"/>
  <c r="H382" i="2"/>
  <c r="H383" i="2" s="1"/>
  <c r="I382" i="2"/>
  <c r="I383" i="2" s="1"/>
  <c r="D382" i="2"/>
  <c r="D383" i="2" s="1"/>
  <c r="C347" i="2"/>
  <c r="C348" i="2" s="1"/>
  <c r="D347" i="2"/>
  <c r="D348" i="2" s="1"/>
  <c r="H347" i="2"/>
  <c r="H348" i="2" s="1"/>
  <c r="E347" i="2"/>
  <c r="E348" i="2" s="1"/>
  <c r="I347" i="2"/>
  <c r="I348" i="2" s="1"/>
  <c r="G347" i="2"/>
  <c r="G348" i="2" s="1"/>
  <c r="F347" i="2"/>
  <c r="F348" i="2" s="1"/>
  <c r="J347" i="2"/>
  <c r="J348" i="2" s="1"/>
  <c r="H274" i="2"/>
  <c r="H275" i="2" s="1"/>
  <c r="I274" i="2"/>
  <c r="I275" i="2" s="1"/>
  <c r="C274" i="2"/>
  <c r="C275" i="2" s="1"/>
  <c r="G239" i="2"/>
  <c r="G240" i="2" s="1"/>
  <c r="D239" i="2"/>
  <c r="D240" i="2" s="1"/>
  <c r="H239" i="2"/>
  <c r="H240" i="2" s="1"/>
  <c r="E239" i="2"/>
  <c r="E240" i="2" s="1"/>
  <c r="I239" i="2"/>
  <c r="I240" i="2" s="1"/>
  <c r="C239" i="2"/>
  <c r="C240" i="2" s="1"/>
  <c r="F239" i="2"/>
  <c r="F240" i="2" s="1"/>
  <c r="J239" i="2"/>
  <c r="J240" i="2" s="1"/>
  <c r="H131" i="2"/>
  <c r="H132" i="2" s="1"/>
  <c r="G17" i="2" s="1"/>
  <c r="G21" i="2" s="1"/>
  <c r="I131" i="2"/>
  <c r="I132" i="2" s="1"/>
  <c r="F17" i="2" s="1"/>
  <c r="F21" i="2" s="1"/>
  <c r="D131" i="2"/>
  <c r="D132" i="2" s="1"/>
  <c r="K17" i="2" s="1"/>
  <c r="K21" i="2" s="1"/>
  <c r="H96" i="2"/>
  <c r="H97" i="2" s="1"/>
  <c r="G13" i="2" s="1"/>
  <c r="E96" i="2"/>
  <c r="E97" i="2" s="1"/>
  <c r="J13" i="2" s="1"/>
  <c r="D96" i="2"/>
  <c r="D97" i="2" s="1"/>
  <c r="K13" i="2" s="1"/>
  <c r="I96" i="2"/>
  <c r="I97" i="2" s="1"/>
  <c r="F13" i="2" s="1"/>
  <c r="F96" i="2"/>
  <c r="F97" i="2" s="1"/>
  <c r="I13" i="2" s="1"/>
  <c r="J96" i="2"/>
  <c r="J97" i="2" s="1"/>
  <c r="E13" i="2" s="1"/>
  <c r="H61" i="2"/>
  <c r="H62" i="2" s="1"/>
  <c r="G12" i="2" s="1"/>
  <c r="I61" i="2"/>
  <c r="I62" i="2" s="1"/>
  <c r="F12" i="2" s="1"/>
  <c r="D61" i="2"/>
  <c r="D62" i="2" s="1"/>
  <c r="K12" i="2" s="1"/>
  <c r="K202" i="2"/>
  <c r="J202" i="2"/>
  <c r="I202" i="2"/>
  <c r="H202" i="2"/>
  <c r="G202" i="2"/>
  <c r="F202" i="2"/>
  <c r="E202" i="2"/>
  <c r="D202" i="2"/>
  <c r="C202" i="2"/>
  <c r="C203" i="2" s="1"/>
  <c r="C307" i="2" l="1"/>
  <c r="C308" i="2" s="1"/>
  <c r="G307" i="2"/>
  <c r="G308" i="2" s="1"/>
  <c r="F307" i="2"/>
  <c r="F308" i="2" s="1"/>
  <c r="D307" i="2"/>
  <c r="D308" i="2" s="1"/>
  <c r="J309" i="2"/>
  <c r="J310" i="2" s="1"/>
  <c r="J312" i="2" s="1"/>
  <c r="J313" i="2" s="1"/>
  <c r="E307" i="2"/>
  <c r="E308" i="2" s="1"/>
  <c r="H307" i="2"/>
  <c r="H308" i="2" s="1"/>
  <c r="I307" i="2"/>
  <c r="I308" i="2" s="1"/>
  <c r="I309" i="2" s="1"/>
  <c r="I310" i="2" s="1"/>
  <c r="I312" i="2" s="1"/>
  <c r="I313" i="2" s="1"/>
  <c r="L11" i="2"/>
  <c r="DP24" i="2" l="1"/>
  <c r="DD24" i="2"/>
  <c r="CR24" i="2"/>
  <c r="CF24" i="2"/>
  <c r="BT24" i="2"/>
  <c r="BH24" i="2"/>
  <c r="AV24" i="2"/>
  <c r="AJ24" i="2"/>
  <c r="X24" i="2"/>
  <c r="K11" i="2"/>
  <c r="L24" i="2"/>
  <c r="F309" i="2"/>
  <c r="F310" i="2" s="1"/>
  <c r="F312" i="2" s="1"/>
  <c r="F313" i="2" s="1"/>
  <c r="C309" i="2"/>
  <c r="C310" i="2" s="1"/>
  <c r="C312" i="2" s="1"/>
  <c r="H309" i="2"/>
  <c r="H310" i="2" s="1"/>
  <c r="H312" i="2" s="1"/>
  <c r="H313" i="2" s="1"/>
  <c r="E309" i="2"/>
  <c r="E310" i="2" s="1"/>
  <c r="E312" i="2" s="1"/>
  <c r="E313" i="2" s="1"/>
  <c r="D309" i="2"/>
  <c r="D310" i="2" s="1"/>
  <c r="D312" i="2" s="1"/>
  <c r="D313" i="2" s="1"/>
  <c r="G309" i="2"/>
  <c r="G310" i="2" s="1"/>
  <c r="G312" i="2" s="1"/>
  <c r="G313" i="2" s="1"/>
  <c r="C313" i="2" l="1"/>
  <c r="DO24" i="2"/>
  <c r="DC24" i="2"/>
  <c r="CQ24" i="2"/>
  <c r="CE24" i="2"/>
  <c r="BS24" i="2"/>
  <c r="BG24" i="2"/>
  <c r="AI24" i="2"/>
  <c r="AU24" i="2"/>
  <c r="W24" i="2"/>
  <c r="J11" i="2"/>
  <c r="K24" i="2"/>
  <c r="L165" i="2"/>
  <c r="L166" i="2" s="1"/>
  <c r="C150" i="2"/>
  <c r="D149" i="2"/>
  <c r="C149" i="2"/>
  <c r="E148" i="2"/>
  <c r="D148" i="2"/>
  <c r="C148" i="2"/>
  <c r="F147" i="2"/>
  <c r="E147" i="2"/>
  <c r="D147" i="2"/>
  <c r="C147" i="2"/>
  <c r="G146" i="2"/>
  <c r="F146" i="2"/>
  <c r="E146" i="2"/>
  <c r="D146" i="2"/>
  <c r="C146" i="2"/>
  <c r="H145" i="2"/>
  <c r="G145" i="2"/>
  <c r="F145" i="2"/>
  <c r="E145" i="2"/>
  <c r="D145" i="2"/>
  <c r="C145" i="2"/>
  <c r="I144" i="2"/>
  <c r="H144" i="2"/>
  <c r="G144" i="2"/>
  <c r="F144" i="2"/>
  <c r="E144" i="2"/>
  <c r="D144" i="2"/>
  <c r="C144" i="2"/>
  <c r="J143" i="2"/>
  <c r="I143" i="2"/>
  <c r="H143" i="2"/>
  <c r="G143" i="2"/>
  <c r="F143" i="2"/>
  <c r="E143" i="2"/>
  <c r="D143" i="2"/>
  <c r="C143" i="2"/>
  <c r="K142" i="2"/>
  <c r="J142" i="2"/>
  <c r="I142" i="2"/>
  <c r="H142" i="2"/>
  <c r="G142" i="2"/>
  <c r="F142" i="2"/>
  <c r="E142" i="2"/>
  <c r="D142" i="2"/>
  <c r="C142" i="2"/>
  <c r="L141" i="2"/>
  <c r="K141" i="2"/>
  <c r="J141" i="2"/>
  <c r="I141" i="2"/>
  <c r="H141" i="2"/>
  <c r="G141" i="2"/>
  <c r="F141" i="2"/>
  <c r="E141" i="2"/>
  <c r="D154" i="2" s="1"/>
  <c r="A45" i="2"/>
  <c r="C35" i="2"/>
  <c r="I155" i="2" l="1"/>
  <c r="H156" i="2"/>
  <c r="H157" i="2"/>
  <c r="C159" i="2"/>
  <c r="E155" i="2"/>
  <c r="D157" i="2"/>
  <c r="E158" i="2"/>
  <c r="C162" i="2"/>
  <c r="G154" i="2"/>
  <c r="D156" i="2"/>
  <c r="I154" i="2"/>
  <c r="E154" i="2"/>
  <c r="C155" i="2"/>
  <c r="C158" i="2"/>
  <c r="E159" i="2"/>
  <c r="D161" i="2"/>
  <c r="K154" i="2"/>
  <c r="G155" i="2"/>
  <c r="F156" i="2"/>
  <c r="F157" i="2"/>
  <c r="G158" i="2"/>
  <c r="D160" i="2"/>
  <c r="F154" i="2"/>
  <c r="J154" i="2"/>
  <c r="D155" i="2"/>
  <c r="H155" i="2"/>
  <c r="C156" i="2"/>
  <c r="G156" i="2"/>
  <c r="C157" i="2"/>
  <c r="G157" i="2"/>
  <c r="D158" i="2"/>
  <c r="F159" i="2"/>
  <c r="E160" i="2"/>
  <c r="H154" i="2"/>
  <c r="F155" i="2"/>
  <c r="J155" i="2"/>
  <c r="E156" i="2"/>
  <c r="I156" i="2"/>
  <c r="E157" i="2"/>
  <c r="F158" i="2"/>
  <c r="F164" i="2" s="1"/>
  <c r="F165" i="2" s="1"/>
  <c r="D159" i="2"/>
  <c r="C160" i="2"/>
  <c r="C161" i="2"/>
  <c r="DN24" i="2"/>
  <c r="DB24" i="2"/>
  <c r="CP24" i="2"/>
  <c r="CD24" i="2"/>
  <c r="BR24" i="2"/>
  <c r="BF24" i="2"/>
  <c r="AT24" i="2"/>
  <c r="AH24" i="2"/>
  <c r="V24" i="2"/>
  <c r="DE188" i="2"/>
  <c r="DE366" i="2"/>
  <c r="DE331" i="2"/>
  <c r="DE293" i="2"/>
  <c r="DE258" i="2"/>
  <c r="DE223" i="2"/>
  <c r="DE436" i="2"/>
  <c r="DE401" i="2"/>
  <c r="DE150" i="2"/>
  <c r="CS293" i="2"/>
  <c r="CS258" i="2"/>
  <c r="DE115" i="2"/>
  <c r="CS331" i="2"/>
  <c r="DE80" i="2"/>
  <c r="CS436" i="2"/>
  <c r="CS401" i="2"/>
  <c r="CS366" i="2"/>
  <c r="CS223" i="2"/>
  <c r="CS188" i="2"/>
  <c r="CS150" i="2"/>
  <c r="CG366" i="2"/>
  <c r="CG331" i="2"/>
  <c r="CG188" i="2"/>
  <c r="CG150" i="2"/>
  <c r="CS80" i="2"/>
  <c r="CG436" i="2"/>
  <c r="CG258" i="2"/>
  <c r="CG293" i="2"/>
  <c r="CG223" i="2"/>
  <c r="CG80" i="2"/>
  <c r="CS115" i="2"/>
  <c r="CG401" i="2"/>
  <c r="BU436" i="2"/>
  <c r="BU366" i="2"/>
  <c r="BU331" i="2"/>
  <c r="BU293" i="2"/>
  <c r="BU258" i="2"/>
  <c r="BU150" i="2"/>
  <c r="BU80" i="2"/>
  <c r="CG115" i="2"/>
  <c r="BU401" i="2"/>
  <c r="BU223" i="2"/>
  <c r="BU188" i="2"/>
  <c r="BU115" i="2"/>
  <c r="BI401" i="2"/>
  <c r="BI258" i="2"/>
  <c r="BI188" i="2"/>
  <c r="BI436" i="2"/>
  <c r="AW401" i="2"/>
  <c r="AW293" i="2"/>
  <c r="AW258" i="2"/>
  <c r="BI331" i="2"/>
  <c r="BI293" i="2"/>
  <c r="BI150" i="2"/>
  <c r="BI115" i="2"/>
  <c r="AW366" i="2"/>
  <c r="AW331" i="2"/>
  <c r="AW223" i="2"/>
  <c r="BI366" i="2"/>
  <c r="BI223" i="2"/>
  <c r="BI80" i="2"/>
  <c r="AW436" i="2"/>
  <c r="AW188" i="2"/>
  <c r="AW115" i="2"/>
  <c r="AK436" i="2"/>
  <c r="AK150" i="2"/>
  <c r="AK115" i="2"/>
  <c r="AW150" i="2"/>
  <c r="AK331" i="2"/>
  <c r="AK258" i="2"/>
  <c r="AK366" i="2"/>
  <c r="AK80" i="2"/>
  <c r="Y401" i="2"/>
  <c r="AW80" i="2"/>
  <c r="AK401" i="2"/>
  <c r="AK293" i="2"/>
  <c r="AK223" i="2"/>
  <c r="AK188" i="2"/>
  <c r="Y331" i="2"/>
  <c r="Y258" i="2"/>
  <c r="Y115" i="2"/>
  <c r="M401" i="2"/>
  <c r="Y150" i="2"/>
  <c r="Y80" i="2"/>
  <c r="M366" i="2"/>
  <c r="M331" i="2"/>
  <c r="Y436" i="2"/>
  <c r="Y223" i="2"/>
  <c r="Y188" i="2"/>
  <c r="M436" i="2"/>
  <c r="M258" i="2"/>
  <c r="Y366" i="2"/>
  <c r="Y293" i="2"/>
  <c r="M115" i="2"/>
  <c r="M293" i="2"/>
  <c r="M223" i="2"/>
  <c r="M188" i="2"/>
  <c r="M150" i="2"/>
  <c r="M80" i="2"/>
  <c r="DG426" i="2"/>
  <c r="DG178" i="2"/>
  <c r="DG140" i="2"/>
  <c r="DG321" i="2"/>
  <c r="DG283" i="2"/>
  <c r="DG248" i="2"/>
  <c r="DG105" i="2"/>
  <c r="CU426" i="2"/>
  <c r="CU356" i="2"/>
  <c r="DG391" i="2"/>
  <c r="DG70" i="2"/>
  <c r="CU391" i="2"/>
  <c r="CU283" i="2"/>
  <c r="CU248" i="2"/>
  <c r="CU178" i="2"/>
  <c r="CU140" i="2"/>
  <c r="CI248" i="2"/>
  <c r="BW426" i="2"/>
  <c r="BW391" i="2"/>
  <c r="BW356" i="2"/>
  <c r="CU321" i="2"/>
  <c r="CI321" i="2"/>
  <c r="CI213" i="2"/>
  <c r="CI70" i="2"/>
  <c r="BW321" i="2"/>
  <c r="BW213" i="2"/>
  <c r="BW105" i="2"/>
  <c r="BW70" i="2"/>
  <c r="BK391" i="2"/>
  <c r="BK248" i="2"/>
  <c r="BK178" i="2"/>
  <c r="AY321" i="2"/>
  <c r="AY140" i="2"/>
  <c r="AY70" i="2"/>
  <c r="AM426" i="2"/>
  <c r="CU70" i="2"/>
  <c r="CI391" i="2"/>
  <c r="DG213" i="2"/>
  <c r="CU213" i="2"/>
  <c r="CI426" i="2"/>
  <c r="CI105" i="2"/>
  <c r="CI356" i="2"/>
  <c r="CI140" i="2"/>
  <c r="BW178" i="2"/>
  <c r="BK356" i="2"/>
  <c r="BK321" i="2"/>
  <c r="BK283" i="2"/>
  <c r="BK213" i="2"/>
  <c r="BK140" i="2"/>
  <c r="BK70" i="2"/>
  <c r="DG356" i="2"/>
  <c r="CU105" i="2"/>
  <c r="BW248" i="2"/>
  <c r="BW140" i="2"/>
  <c r="AY426" i="2"/>
  <c r="AY356" i="2"/>
  <c r="AY178" i="2"/>
  <c r="AY105" i="2"/>
  <c r="CI283" i="2"/>
  <c r="CI178" i="2"/>
  <c r="BK426" i="2"/>
  <c r="BK105" i="2"/>
  <c r="AM321" i="2"/>
  <c r="AM248" i="2"/>
  <c r="AM213" i="2"/>
  <c r="AM105" i="2"/>
  <c r="AM70" i="2"/>
  <c r="AA426" i="2"/>
  <c r="AA391" i="2"/>
  <c r="AA356" i="2"/>
  <c r="AA248" i="2"/>
  <c r="AA213" i="2"/>
  <c r="AA70" i="2"/>
  <c r="O356" i="2"/>
  <c r="O283" i="2"/>
  <c r="AA140" i="2"/>
  <c r="AA105" i="2"/>
  <c r="O426" i="2"/>
  <c r="O391" i="2"/>
  <c r="AY391" i="2"/>
  <c r="AM356" i="2"/>
  <c r="AM178" i="2"/>
  <c r="O213" i="2"/>
  <c r="O140" i="2"/>
  <c r="AY283" i="2"/>
  <c r="AY213" i="2"/>
  <c r="AA321" i="2"/>
  <c r="AA283" i="2"/>
  <c r="O248" i="2"/>
  <c r="O105" i="2"/>
  <c r="AY248" i="2"/>
  <c r="AM391" i="2"/>
  <c r="AM283" i="2"/>
  <c r="AM140" i="2"/>
  <c r="O178" i="2"/>
  <c r="O321" i="2"/>
  <c r="AA178" i="2"/>
  <c r="O70" i="2"/>
  <c r="BW283" i="2"/>
  <c r="I11" i="2"/>
  <c r="J24" i="2"/>
  <c r="A44" i="2"/>
  <c r="A293" i="2"/>
  <c r="A115" i="2"/>
  <c r="A80" i="2"/>
  <c r="A436" i="2"/>
  <c r="A401" i="2"/>
  <c r="A366" i="2"/>
  <c r="A331" i="2"/>
  <c r="A258" i="2"/>
  <c r="A223" i="2"/>
  <c r="A150" i="2"/>
  <c r="A188" i="2"/>
  <c r="B35" i="2"/>
  <c r="C356" i="2"/>
  <c r="C105" i="2"/>
  <c r="C321" i="2"/>
  <c r="C70" i="2"/>
  <c r="C426" i="2"/>
  <c r="C248" i="2"/>
  <c r="C283" i="2"/>
  <c r="C391" i="2"/>
  <c r="C213" i="2"/>
  <c r="C140" i="2"/>
  <c r="C178" i="2"/>
  <c r="K164" i="2"/>
  <c r="K165" i="2" s="1"/>
  <c r="K166" i="2" s="1"/>
  <c r="K167" i="2" s="1"/>
  <c r="K169" i="2" s="1"/>
  <c r="L167" i="2"/>
  <c r="L169" i="2" s="1"/>
  <c r="A43" i="2"/>
  <c r="D35" i="2"/>
  <c r="CI83" i="2" s="1"/>
  <c r="L170" i="2" l="1"/>
  <c r="C18" i="2"/>
  <c r="K170" i="2"/>
  <c r="D18" i="2"/>
  <c r="C164" i="2"/>
  <c r="DM24" i="2"/>
  <c r="DA24" i="2"/>
  <c r="CO24" i="2"/>
  <c r="CC24" i="2"/>
  <c r="BQ24" i="2"/>
  <c r="BE24" i="2"/>
  <c r="AS24" i="2"/>
  <c r="AG24" i="2"/>
  <c r="U24" i="2"/>
  <c r="AA404" i="2"/>
  <c r="AA226" i="2"/>
  <c r="AM369" i="2"/>
  <c r="O369" i="2"/>
  <c r="AA153" i="2"/>
  <c r="O439" i="2"/>
  <c r="CI261" i="2"/>
  <c r="BW118" i="2"/>
  <c r="DE434" i="2"/>
  <c r="DE412" i="2"/>
  <c r="DE291" i="2"/>
  <c r="DE399" i="2"/>
  <c r="DE199" i="2"/>
  <c r="DE377" i="2"/>
  <c r="DE342" i="2"/>
  <c r="DE304" i="2"/>
  <c r="DE269" i="2"/>
  <c r="DE234" i="2"/>
  <c r="DE186" i="2"/>
  <c r="DE148" i="2"/>
  <c r="DE113" i="2"/>
  <c r="DE78" i="2"/>
  <c r="DE56" i="2"/>
  <c r="DE447" i="2"/>
  <c r="DE364" i="2"/>
  <c r="DE329" i="2"/>
  <c r="DE256" i="2"/>
  <c r="DE221" i="2"/>
  <c r="DE161" i="2"/>
  <c r="CS447" i="2"/>
  <c r="CS412" i="2"/>
  <c r="CS377" i="2"/>
  <c r="CS234" i="2"/>
  <c r="DE91" i="2"/>
  <c r="CS434" i="2"/>
  <c r="CS399" i="2"/>
  <c r="CS364" i="2"/>
  <c r="CS269" i="2"/>
  <c r="CS221" i="2"/>
  <c r="CS199" i="2"/>
  <c r="CS342" i="2"/>
  <c r="CS304" i="2"/>
  <c r="CS256" i="2"/>
  <c r="CS186" i="2"/>
  <c r="DE126" i="2"/>
  <c r="CS329" i="2"/>
  <c r="CS291" i="2"/>
  <c r="CS161" i="2"/>
  <c r="CS148" i="2"/>
  <c r="CG412" i="2"/>
  <c r="CG221" i="2"/>
  <c r="CG161" i="2"/>
  <c r="CS126" i="2"/>
  <c r="CS113" i="2"/>
  <c r="CS91" i="2"/>
  <c r="CG399" i="2"/>
  <c r="CG377" i="2"/>
  <c r="CG342" i="2"/>
  <c r="CG291" i="2"/>
  <c r="CG199" i="2"/>
  <c r="CS56" i="2"/>
  <c r="CG447" i="2"/>
  <c r="CG364" i="2"/>
  <c r="CG329" i="2"/>
  <c r="CG269" i="2"/>
  <c r="CG186" i="2"/>
  <c r="CG113" i="2"/>
  <c r="CS78" i="2"/>
  <c r="CG434" i="2"/>
  <c r="CG304" i="2"/>
  <c r="CG256" i="2"/>
  <c r="CG234" i="2"/>
  <c r="CG148" i="2"/>
  <c r="CG91" i="2"/>
  <c r="BU412" i="2"/>
  <c r="BU304" i="2"/>
  <c r="BU256" i="2"/>
  <c r="BU234" i="2"/>
  <c r="BU199" i="2"/>
  <c r="BU78" i="2"/>
  <c r="CG126" i="2"/>
  <c r="CG78" i="2"/>
  <c r="BU399" i="2"/>
  <c r="BU291" i="2"/>
  <c r="BU221" i="2"/>
  <c r="BU186" i="2"/>
  <c r="BU148" i="2"/>
  <c r="CG56" i="2"/>
  <c r="BU447" i="2"/>
  <c r="BU377" i="2"/>
  <c r="BU342" i="2"/>
  <c r="BU126" i="2"/>
  <c r="BU434" i="2"/>
  <c r="BU364" i="2"/>
  <c r="BU329" i="2"/>
  <c r="BU269" i="2"/>
  <c r="BU161" i="2"/>
  <c r="BU113" i="2"/>
  <c r="BU91" i="2"/>
  <c r="BU56" i="2"/>
  <c r="BI377" i="2"/>
  <c r="BI329" i="2"/>
  <c r="BI234" i="2"/>
  <c r="BI113" i="2"/>
  <c r="BI91" i="2"/>
  <c r="AW447" i="2"/>
  <c r="AW364" i="2"/>
  <c r="AW329" i="2"/>
  <c r="BI412" i="2"/>
  <c r="BI364" i="2"/>
  <c r="BI291" i="2"/>
  <c r="BI269" i="2"/>
  <c r="BI221" i="2"/>
  <c r="BI199" i="2"/>
  <c r="BI148" i="2"/>
  <c r="BI78" i="2"/>
  <c r="AW434" i="2"/>
  <c r="BI447" i="2"/>
  <c r="BI399" i="2"/>
  <c r="BI304" i="2"/>
  <c r="BI256" i="2"/>
  <c r="BI186" i="2"/>
  <c r="AW412" i="2"/>
  <c r="AW304" i="2"/>
  <c r="AW269" i="2"/>
  <c r="AW161" i="2"/>
  <c r="BI434" i="2"/>
  <c r="BI342" i="2"/>
  <c r="BI161" i="2"/>
  <c r="BI126" i="2"/>
  <c r="BI56" i="2"/>
  <c r="AW399" i="2"/>
  <c r="AW377" i="2"/>
  <c r="AW342" i="2"/>
  <c r="AW256" i="2"/>
  <c r="AW291" i="2"/>
  <c r="AW199" i="2"/>
  <c r="AW148" i="2"/>
  <c r="AW91" i="2"/>
  <c r="AW56" i="2"/>
  <c r="AK412" i="2"/>
  <c r="AK364" i="2"/>
  <c r="AK234" i="2"/>
  <c r="AK199" i="2"/>
  <c r="AK78" i="2"/>
  <c r="AK56" i="2"/>
  <c r="AW221" i="2"/>
  <c r="AW126" i="2"/>
  <c r="AW78" i="2"/>
  <c r="AK447" i="2"/>
  <c r="AK399" i="2"/>
  <c r="AK221" i="2"/>
  <c r="AK186" i="2"/>
  <c r="AK126" i="2"/>
  <c r="AW186" i="2"/>
  <c r="AW113" i="2"/>
  <c r="AK434" i="2"/>
  <c r="AK342" i="2"/>
  <c r="AK304" i="2"/>
  <c r="AK291" i="2"/>
  <c r="AK269" i="2"/>
  <c r="AK113" i="2"/>
  <c r="Y434" i="2"/>
  <c r="Y364" i="2"/>
  <c r="Y342" i="2"/>
  <c r="Y304" i="2"/>
  <c r="AW234" i="2"/>
  <c r="AK377" i="2"/>
  <c r="AK329" i="2"/>
  <c r="AK256" i="2"/>
  <c r="AK161" i="2"/>
  <c r="AK148" i="2"/>
  <c r="AK91" i="2"/>
  <c r="Y412" i="2"/>
  <c r="Y329" i="2"/>
  <c r="Y447" i="2"/>
  <c r="Y399" i="2"/>
  <c r="Y221" i="2"/>
  <c r="Y186" i="2"/>
  <c r="Y148" i="2"/>
  <c r="Y56" i="2"/>
  <c r="M434" i="2"/>
  <c r="M304" i="2"/>
  <c r="M256" i="2"/>
  <c r="M234" i="2"/>
  <c r="M148" i="2"/>
  <c r="M126" i="2"/>
  <c r="Y377" i="2"/>
  <c r="Y291" i="2"/>
  <c r="Y269" i="2"/>
  <c r="Y126" i="2"/>
  <c r="M412" i="2"/>
  <c r="Y256" i="2"/>
  <c r="Y161" i="2"/>
  <c r="Y113" i="2"/>
  <c r="Y91" i="2"/>
  <c r="M399" i="2"/>
  <c r="M377" i="2"/>
  <c r="M342" i="2"/>
  <c r="M291" i="2"/>
  <c r="M199" i="2"/>
  <c r="M91" i="2"/>
  <c r="Y234" i="2"/>
  <c r="Y199" i="2"/>
  <c r="Y78" i="2"/>
  <c r="M447" i="2"/>
  <c r="M364" i="2"/>
  <c r="M78" i="2"/>
  <c r="M269" i="2"/>
  <c r="M113" i="2"/>
  <c r="M56" i="2"/>
  <c r="M329" i="2"/>
  <c r="M221" i="2"/>
  <c r="M186" i="2"/>
  <c r="M161" i="2"/>
  <c r="AA369" i="2"/>
  <c r="AA48" i="2"/>
  <c r="AM191" i="2"/>
  <c r="BK48" i="2"/>
  <c r="BK334" i="2"/>
  <c r="AY334" i="2"/>
  <c r="DE448" i="2"/>
  <c r="DE400" i="2"/>
  <c r="DE292" i="2"/>
  <c r="DE413" i="2"/>
  <c r="DE305" i="2"/>
  <c r="DE187" i="2"/>
  <c r="DE365" i="2"/>
  <c r="DE330" i="2"/>
  <c r="DE257" i="2"/>
  <c r="DE222" i="2"/>
  <c r="DE200" i="2"/>
  <c r="DE162" i="2"/>
  <c r="DE149" i="2"/>
  <c r="DE127" i="2"/>
  <c r="DE92" i="2"/>
  <c r="DE435" i="2"/>
  <c r="DE378" i="2"/>
  <c r="DE343" i="2"/>
  <c r="DE270" i="2"/>
  <c r="DE235" i="2"/>
  <c r="DE57" i="2"/>
  <c r="DE79" i="2"/>
  <c r="CS435" i="2"/>
  <c r="CS400" i="2"/>
  <c r="CS365" i="2"/>
  <c r="CS305" i="2"/>
  <c r="CS222" i="2"/>
  <c r="CS448" i="2"/>
  <c r="CS413" i="2"/>
  <c r="CS378" i="2"/>
  <c r="CS257" i="2"/>
  <c r="CS235" i="2"/>
  <c r="DE114" i="2"/>
  <c r="CS330" i="2"/>
  <c r="CS270" i="2"/>
  <c r="CS200" i="2"/>
  <c r="CS162" i="2"/>
  <c r="CS343" i="2"/>
  <c r="CS292" i="2"/>
  <c r="CS149" i="2"/>
  <c r="CS114" i="2"/>
  <c r="CG400" i="2"/>
  <c r="CG235" i="2"/>
  <c r="CS187" i="2"/>
  <c r="CG413" i="2"/>
  <c r="CG365" i="2"/>
  <c r="CG330" i="2"/>
  <c r="CG292" i="2"/>
  <c r="CG187" i="2"/>
  <c r="CS127" i="2"/>
  <c r="CS92" i="2"/>
  <c r="CS79" i="2"/>
  <c r="CG435" i="2"/>
  <c r="CG378" i="2"/>
  <c r="CG343" i="2"/>
  <c r="CG305" i="2"/>
  <c r="CG257" i="2"/>
  <c r="CG200" i="2"/>
  <c r="CG162" i="2"/>
  <c r="CG127" i="2"/>
  <c r="CG57" i="2"/>
  <c r="CS57" i="2"/>
  <c r="CG448" i="2"/>
  <c r="CG270" i="2"/>
  <c r="CG222" i="2"/>
  <c r="CG149" i="2"/>
  <c r="CG79" i="2"/>
  <c r="CG114" i="2"/>
  <c r="BU400" i="2"/>
  <c r="BU270" i="2"/>
  <c r="BU222" i="2"/>
  <c r="BU187" i="2"/>
  <c r="BU92" i="2"/>
  <c r="BU413" i="2"/>
  <c r="BU292" i="2"/>
  <c r="BU235" i="2"/>
  <c r="BU200" i="2"/>
  <c r="BU162" i="2"/>
  <c r="BU149" i="2"/>
  <c r="BU435" i="2"/>
  <c r="BU365" i="2"/>
  <c r="BU330" i="2"/>
  <c r="BU114" i="2"/>
  <c r="BU57" i="2"/>
  <c r="CG92" i="2"/>
  <c r="BU448" i="2"/>
  <c r="BU378" i="2"/>
  <c r="BU343" i="2"/>
  <c r="BU305" i="2"/>
  <c r="BU257" i="2"/>
  <c r="BU127" i="2"/>
  <c r="BU79" i="2"/>
  <c r="BI365" i="2"/>
  <c r="BI343" i="2"/>
  <c r="BI222" i="2"/>
  <c r="BI127" i="2"/>
  <c r="BI79" i="2"/>
  <c r="BI57" i="2"/>
  <c r="AW435" i="2"/>
  <c r="AW378" i="2"/>
  <c r="AW343" i="2"/>
  <c r="BI400" i="2"/>
  <c r="BI378" i="2"/>
  <c r="BI305" i="2"/>
  <c r="BI292" i="2"/>
  <c r="BI257" i="2"/>
  <c r="BI235" i="2"/>
  <c r="BI187" i="2"/>
  <c r="BI149" i="2"/>
  <c r="BI92" i="2"/>
  <c r="AW448" i="2"/>
  <c r="AW305" i="2"/>
  <c r="BI435" i="2"/>
  <c r="BI413" i="2"/>
  <c r="BI270" i="2"/>
  <c r="BI200" i="2"/>
  <c r="BI162" i="2"/>
  <c r="AW400" i="2"/>
  <c r="AW257" i="2"/>
  <c r="BI448" i="2"/>
  <c r="BI330" i="2"/>
  <c r="BI114" i="2"/>
  <c r="AW413" i="2"/>
  <c r="AW365" i="2"/>
  <c r="AW330" i="2"/>
  <c r="AW270" i="2"/>
  <c r="AW292" i="2"/>
  <c r="AW235" i="2"/>
  <c r="AW222" i="2"/>
  <c r="AW149" i="2"/>
  <c r="AW79" i="2"/>
  <c r="AK400" i="2"/>
  <c r="AK378" i="2"/>
  <c r="AK305" i="2"/>
  <c r="AK222" i="2"/>
  <c r="AK187" i="2"/>
  <c r="AK92" i="2"/>
  <c r="AW200" i="2"/>
  <c r="AW187" i="2"/>
  <c r="AW114" i="2"/>
  <c r="AW92" i="2"/>
  <c r="AW57" i="2"/>
  <c r="AK435" i="2"/>
  <c r="AK413" i="2"/>
  <c r="AK235" i="2"/>
  <c r="AK200" i="2"/>
  <c r="AK114" i="2"/>
  <c r="AW127" i="2"/>
  <c r="AK448" i="2"/>
  <c r="AK330" i="2"/>
  <c r="AK292" i="2"/>
  <c r="AK257" i="2"/>
  <c r="AK162" i="2"/>
  <c r="AK127" i="2"/>
  <c r="Y448" i="2"/>
  <c r="Y378" i="2"/>
  <c r="Y330" i="2"/>
  <c r="AW162" i="2"/>
  <c r="AK365" i="2"/>
  <c r="AK343" i="2"/>
  <c r="AK270" i="2"/>
  <c r="AK149" i="2"/>
  <c r="AK79" i="2"/>
  <c r="Y400" i="2"/>
  <c r="Y343" i="2"/>
  <c r="Y292" i="2"/>
  <c r="Y365" i="2"/>
  <c r="Y235" i="2"/>
  <c r="Y200" i="2"/>
  <c r="Y149" i="2"/>
  <c r="M448" i="2"/>
  <c r="M270" i="2"/>
  <c r="M222" i="2"/>
  <c r="M162" i="2"/>
  <c r="M149" i="2"/>
  <c r="M114" i="2"/>
  <c r="Y305" i="2"/>
  <c r="Y257" i="2"/>
  <c r="Y162" i="2"/>
  <c r="Y114" i="2"/>
  <c r="Y57" i="2"/>
  <c r="M400" i="2"/>
  <c r="Y413" i="2"/>
  <c r="Y270" i="2"/>
  <c r="Y127" i="2"/>
  <c r="Y79" i="2"/>
  <c r="M413" i="2"/>
  <c r="M365" i="2"/>
  <c r="M330" i="2"/>
  <c r="M292" i="2"/>
  <c r="M187" i="2"/>
  <c r="AK57" i="2"/>
  <c r="Y435" i="2"/>
  <c r="Y222" i="2"/>
  <c r="Y187" i="2"/>
  <c r="Y92" i="2"/>
  <c r="M435" i="2"/>
  <c r="M343" i="2"/>
  <c r="M378" i="2"/>
  <c r="M305" i="2"/>
  <c r="M257" i="2"/>
  <c r="M235" i="2"/>
  <c r="M200" i="2"/>
  <c r="M127" i="2"/>
  <c r="M92" i="2"/>
  <c r="M57" i="2"/>
  <c r="M79" i="2"/>
  <c r="AM83" i="2"/>
  <c r="AY48" i="2"/>
  <c r="O48" i="2"/>
  <c r="AY118" i="2"/>
  <c r="AA118" i="2"/>
  <c r="AM439" i="2"/>
  <c r="O191" i="2"/>
  <c r="BK296" i="2"/>
  <c r="C261" i="2"/>
  <c r="DH321" i="2"/>
  <c r="DH283" i="2"/>
  <c r="DH248" i="2"/>
  <c r="DH105" i="2"/>
  <c r="CV426" i="2"/>
  <c r="CV356" i="2"/>
  <c r="CV321" i="2"/>
  <c r="CV213" i="2"/>
  <c r="CV70" i="2"/>
  <c r="CJ356" i="2"/>
  <c r="CJ283" i="2"/>
  <c r="CV248" i="2"/>
  <c r="CJ391" i="2"/>
  <c r="CJ105" i="2"/>
  <c r="BX391" i="2"/>
  <c r="BX283" i="2"/>
  <c r="BX248" i="2"/>
  <c r="BX140" i="2"/>
  <c r="BL356" i="2"/>
  <c r="BL213" i="2"/>
  <c r="BL70" i="2"/>
  <c r="AZ178" i="2"/>
  <c r="AN391" i="2"/>
  <c r="AN283" i="2"/>
  <c r="DH426" i="2"/>
  <c r="DH70" i="2"/>
  <c r="CV391" i="2"/>
  <c r="CV283" i="2"/>
  <c r="CV178" i="2"/>
  <c r="CV105" i="2"/>
  <c r="CJ426" i="2"/>
  <c r="CJ248" i="2"/>
  <c r="DH178" i="2"/>
  <c r="CV140" i="2"/>
  <c r="CJ140" i="2"/>
  <c r="BX213" i="2"/>
  <c r="BX178" i="2"/>
  <c r="BX105" i="2"/>
  <c r="BL321" i="2"/>
  <c r="BL283" i="2"/>
  <c r="CJ178" i="2"/>
  <c r="BX356" i="2"/>
  <c r="BX321" i="2"/>
  <c r="AZ321" i="2"/>
  <c r="DH356" i="2"/>
  <c r="DH391" i="2"/>
  <c r="DH140" i="2"/>
  <c r="DH213" i="2"/>
  <c r="CJ70" i="2"/>
  <c r="BL426" i="2"/>
  <c r="BL391" i="2"/>
  <c r="BL140" i="2"/>
  <c r="AN356" i="2"/>
  <c r="CJ321" i="2"/>
  <c r="CJ213" i="2"/>
  <c r="BL248" i="2"/>
  <c r="AZ248" i="2"/>
  <c r="BX426" i="2"/>
  <c r="BX70" i="2"/>
  <c r="BL178" i="2"/>
  <c r="AZ140" i="2"/>
  <c r="AB140" i="2"/>
  <c r="AB105" i="2"/>
  <c r="P426" i="2"/>
  <c r="P391" i="2"/>
  <c r="AZ426" i="2"/>
  <c r="AN178" i="2"/>
  <c r="AB283" i="2"/>
  <c r="AB178" i="2"/>
  <c r="P321" i="2"/>
  <c r="BL105" i="2"/>
  <c r="AZ70" i="2"/>
  <c r="AN248" i="2"/>
  <c r="AN140" i="2"/>
  <c r="AN105" i="2"/>
  <c r="P356" i="2"/>
  <c r="P213" i="2"/>
  <c r="P178" i="2"/>
  <c r="P140" i="2"/>
  <c r="AN426" i="2"/>
  <c r="AN70" i="2"/>
  <c r="P283" i="2"/>
  <c r="P105" i="2"/>
  <c r="AZ391" i="2"/>
  <c r="AN321" i="2"/>
  <c r="AZ356" i="2"/>
  <c r="AZ283" i="2"/>
  <c r="AZ213" i="2"/>
  <c r="AZ105" i="2"/>
  <c r="AB426" i="2"/>
  <c r="AB356" i="2"/>
  <c r="AB321" i="2"/>
  <c r="AB213" i="2"/>
  <c r="AB70" i="2"/>
  <c r="P248" i="2"/>
  <c r="AN213" i="2"/>
  <c r="P70" i="2"/>
  <c r="AB391" i="2"/>
  <c r="AB248" i="2"/>
  <c r="AA296" i="2"/>
  <c r="AM48" i="2"/>
  <c r="AA83" i="2"/>
  <c r="AA439" i="2"/>
  <c r="AM334" i="2"/>
  <c r="AY83" i="2"/>
  <c r="AA261" i="2"/>
  <c r="O261" i="2"/>
  <c r="AM118" i="2"/>
  <c r="AY261" i="2"/>
  <c r="AA191" i="2"/>
  <c r="O296" i="2"/>
  <c r="AY404" i="2"/>
  <c r="BW296" i="2"/>
  <c r="AM296" i="2"/>
  <c r="AY226" i="2"/>
  <c r="BK153" i="2"/>
  <c r="BW226" i="2"/>
  <c r="CU191" i="2"/>
  <c r="DG83" i="2"/>
  <c r="BW83" i="2"/>
  <c r="CU404" i="2"/>
  <c r="BK439" i="2"/>
  <c r="BW369" i="2"/>
  <c r="CI334" i="2"/>
  <c r="AM404" i="2"/>
  <c r="AY153" i="2"/>
  <c r="CI191" i="2"/>
  <c r="DG191" i="2"/>
  <c r="CU83" i="2"/>
  <c r="CU226" i="2"/>
  <c r="DG296" i="2"/>
  <c r="CU439" i="2"/>
  <c r="DG226" i="2"/>
  <c r="BK118" i="2"/>
  <c r="BW153" i="2"/>
  <c r="CI296" i="2"/>
  <c r="DG369" i="2"/>
  <c r="BW48" i="2"/>
  <c r="AY191" i="2"/>
  <c r="BK226" i="2"/>
  <c r="CI48" i="2"/>
  <c r="DG404" i="2"/>
  <c r="DG118" i="2"/>
  <c r="DG261" i="2"/>
  <c r="DF391" i="2"/>
  <c r="DF356" i="2"/>
  <c r="DF213" i="2"/>
  <c r="DF70" i="2"/>
  <c r="CT391" i="2"/>
  <c r="DF426" i="2"/>
  <c r="DF178" i="2"/>
  <c r="DF140" i="2"/>
  <c r="DF105" i="2"/>
  <c r="CT426" i="2"/>
  <c r="CT105" i="2"/>
  <c r="CH321" i="2"/>
  <c r="CH213" i="2"/>
  <c r="CH178" i="2"/>
  <c r="CH140" i="2"/>
  <c r="CH105" i="2"/>
  <c r="CH70" i="2"/>
  <c r="BV283" i="2"/>
  <c r="DF321" i="2"/>
  <c r="CT213" i="2"/>
  <c r="CT140" i="2"/>
  <c r="CH283" i="2"/>
  <c r="BV356" i="2"/>
  <c r="BJ426" i="2"/>
  <c r="AX426" i="2"/>
  <c r="AX391" i="2"/>
  <c r="AX283" i="2"/>
  <c r="AX248" i="2"/>
  <c r="AX105" i="2"/>
  <c r="AL321" i="2"/>
  <c r="DF248" i="2"/>
  <c r="CT321" i="2"/>
  <c r="CT248" i="2"/>
  <c r="CH391" i="2"/>
  <c r="BV70" i="2"/>
  <c r="CH426" i="2"/>
  <c r="CH248" i="2"/>
  <c r="BV213" i="2"/>
  <c r="BV105" i="2"/>
  <c r="BJ105" i="2"/>
  <c r="AX356" i="2"/>
  <c r="CT283" i="2"/>
  <c r="CT178" i="2"/>
  <c r="DF283" i="2"/>
  <c r="CT70" i="2"/>
  <c r="CH356" i="2"/>
  <c r="BV178" i="2"/>
  <c r="BJ70" i="2"/>
  <c r="AX213" i="2"/>
  <c r="AX70" i="2"/>
  <c r="CT356" i="2"/>
  <c r="BV321" i="2"/>
  <c r="BV248" i="2"/>
  <c r="BV140" i="2"/>
  <c r="BJ391" i="2"/>
  <c r="BJ356" i="2"/>
  <c r="BJ321" i="2"/>
  <c r="BJ283" i="2"/>
  <c r="BJ213" i="2"/>
  <c r="BJ140" i="2"/>
  <c r="AX321" i="2"/>
  <c r="BJ248" i="2"/>
  <c r="AX178" i="2"/>
  <c r="AL426" i="2"/>
  <c r="AL391" i="2"/>
  <c r="AL356" i="2"/>
  <c r="AL283" i="2"/>
  <c r="AL140" i="2"/>
  <c r="Z321" i="2"/>
  <c r="AX140" i="2"/>
  <c r="AL248" i="2"/>
  <c r="AL213" i="2"/>
  <c r="AL105" i="2"/>
  <c r="AL70" i="2"/>
  <c r="Z426" i="2"/>
  <c r="Z391" i="2"/>
  <c r="Z356" i="2"/>
  <c r="Z248" i="2"/>
  <c r="Z213" i="2"/>
  <c r="Z70" i="2"/>
  <c r="N356" i="2"/>
  <c r="N283" i="2"/>
  <c r="Z178" i="2"/>
  <c r="Z105" i="2"/>
  <c r="N105" i="2"/>
  <c r="N70" i="2"/>
  <c r="N140" i="2"/>
  <c r="N391" i="2"/>
  <c r="AL178" i="2"/>
  <c r="BJ178" i="2"/>
  <c r="N426" i="2"/>
  <c r="N213" i="2"/>
  <c r="N178" i="2"/>
  <c r="Z283" i="2"/>
  <c r="Z140" i="2"/>
  <c r="N321" i="2"/>
  <c r="N248" i="2"/>
  <c r="BV426" i="2"/>
  <c r="BV391" i="2"/>
  <c r="O118" i="2"/>
  <c r="O153" i="2"/>
  <c r="AA334" i="2"/>
  <c r="AM153" i="2"/>
  <c r="O83" i="2"/>
  <c r="AM226" i="2"/>
  <c r="O226" i="2"/>
  <c r="AM261" i="2"/>
  <c r="O334" i="2"/>
  <c r="AY296" i="2"/>
  <c r="O404" i="2"/>
  <c r="CU118" i="2"/>
  <c r="BW439" i="2"/>
  <c r="AY369" i="2"/>
  <c r="BK261" i="2"/>
  <c r="BW261" i="2"/>
  <c r="CI404" i="2"/>
  <c r="DG439" i="2"/>
  <c r="CI369" i="2"/>
  <c r="CU153" i="2"/>
  <c r="CU334" i="2"/>
  <c r="DG334" i="2"/>
  <c r="BW191" i="2"/>
  <c r="CI118" i="2"/>
  <c r="CU261" i="2"/>
  <c r="AY439" i="2"/>
  <c r="BK191" i="2"/>
  <c r="BW404" i="2"/>
  <c r="CI439" i="2"/>
  <c r="BK404" i="2"/>
  <c r="BW334" i="2"/>
  <c r="CI226" i="2"/>
  <c r="DG48" i="2"/>
  <c r="BK83" i="2"/>
  <c r="BK369" i="2"/>
  <c r="CI153" i="2"/>
  <c r="CU48" i="2"/>
  <c r="CU296" i="2"/>
  <c r="CU369" i="2"/>
  <c r="DG153" i="2"/>
  <c r="H11" i="2"/>
  <c r="I24" i="2"/>
  <c r="C118" i="2"/>
  <c r="C153" i="2"/>
  <c r="A291" i="2"/>
  <c r="A447" i="2"/>
  <c r="A412" i="2"/>
  <c r="A377" i="2"/>
  <c r="A342" i="2"/>
  <c r="A269" i="2"/>
  <c r="A234" i="2"/>
  <c r="A304" i="2"/>
  <c r="A434" i="2"/>
  <c r="A364" i="2"/>
  <c r="A256" i="2"/>
  <c r="A126" i="2"/>
  <c r="A113" i="2"/>
  <c r="A399" i="2"/>
  <c r="A329" i="2"/>
  <c r="A221" i="2"/>
  <c r="A56" i="2"/>
  <c r="A91" i="2"/>
  <c r="A78" i="2"/>
  <c r="A148" i="2"/>
  <c r="A186" i="2"/>
  <c r="A161" i="2"/>
  <c r="A199" i="2"/>
  <c r="A448" i="2"/>
  <c r="A305" i="2"/>
  <c r="A292" i="2"/>
  <c r="A435" i="2"/>
  <c r="A400" i="2"/>
  <c r="A365" i="2"/>
  <c r="A330" i="2"/>
  <c r="A257" i="2"/>
  <c r="A222" i="2"/>
  <c r="A378" i="2"/>
  <c r="A270" i="2"/>
  <c r="A92" i="2"/>
  <c r="A127" i="2"/>
  <c r="A79" i="2"/>
  <c r="A413" i="2"/>
  <c r="A343" i="2"/>
  <c r="A235" i="2"/>
  <c r="A114" i="2"/>
  <c r="A57" i="2"/>
  <c r="A187" i="2"/>
  <c r="A162" i="2"/>
  <c r="A200" i="2"/>
  <c r="A149" i="2"/>
  <c r="C83" i="2"/>
  <c r="B283" i="2"/>
  <c r="B391" i="2"/>
  <c r="B213" i="2"/>
  <c r="B356" i="2"/>
  <c r="B105" i="2"/>
  <c r="B321" i="2"/>
  <c r="B70" i="2"/>
  <c r="B426" i="2"/>
  <c r="B248" i="2"/>
  <c r="B140" i="2"/>
  <c r="B178" i="2"/>
  <c r="C404" i="2"/>
  <c r="D321" i="2"/>
  <c r="D70" i="2"/>
  <c r="D426" i="2"/>
  <c r="D248" i="2"/>
  <c r="D283" i="2"/>
  <c r="D391" i="2"/>
  <c r="D213" i="2"/>
  <c r="D356" i="2"/>
  <c r="D105" i="2"/>
  <c r="D140" i="2"/>
  <c r="D178" i="2"/>
  <c r="C369" i="2"/>
  <c r="C296" i="2"/>
  <c r="C334" i="2"/>
  <c r="C191" i="2"/>
  <c r="C226" i="2"/>
  <c r="C48" i="2"/>
  <c r="C439" i="2"/>
  <c r="D164" i="2"/>
  <c r="D165" i="2" s="1"/>
  <c r="H164" i="2"/>
  <c r="H165" i="2" s="1"/>
  <c r="J164" i="2"/>
  <c r="J165" i="2" s="1"/>
  <c r="J166" i="2" s="1"/>
  <c r="J167" i="2" s="1"/>
  <c r="J169" i="2" s="1"/>
  <c r="G164" i="2"/>
  <c r="G165" i="2" s="1"/>
  <c r="E164" i="2"/>
  <c r="E165" i="2" s="1"/>
  <c r="I164" i="2"/>
  <c r="I165" i="2" s="1"/>
  <c r="C165" i="2"/>
  <c r="E35" i="2"/>
  <c r="A42" i="2"/>
  <c r="J170" i="2" l="1"/>
  <c r="E18" i="2"/>
  <c r="DE411" i="2"/>
  <c r="DE363" i="2"/>
  <c r="DE328" i="2"/>
  <c r="DE303" i="2"/>
  <c r="DE255" i="2"/>
  <c r="DE220" i="2"/>
  <c r="DE433" i="2"/>
  <c r="DE290" i="2"/>
  <c r="DE198" i="2"/>
  <c r="DE160" i="2"/>
  <c r="DE398" i="2"/>
  <c r="DE376" i="2"/>
  <c r="DE341" i="2"/>
  <c r="DE268" i="2"/>
  <c r="DE233" i="2"/>
  <c r="DE55" i="2"/>
  <c r="DE446" i="2"/>
  <c r="DE185" i="2"/>
  <c r="DE147" i="2"/>
  <c r="DE112" i="2"/>
  <c r="DE77" i="2"/>
  <c r="CS446" i="2"/>
  <c r="CS411" i="2"/>
  <c r="CS376" i="2"/>
  <c r="CS328" i="2"/>
  <c r="CS303" i="2"/>
  <c r="CS290" i="2"/>
  <c r="CS233" i="2"/>
  <c r="DE90" i="2"/>
  <c r="CS268" i="2"/>
  <c r="CS198" i="2"/>
  <c r="CS433" i="2"/>
  <c r="CS398" i="2"/>
  <c r="CS363" i="2"/>
  <c r="CS341" i="2"/>
  <c r="CS220" i="2"/>
  <c r="CS112" i="2"/>
  <c r="CS77" i="2"/>
  <c r="DE125" i="2"/>
  <c r="CS255" i="2"/>
  <c r="CS185" i="2"/>
  <c r="CG433" i="2"/>
  <c r="CG411" i="2"/>
  <c r="CG255" i="2"/>
  <c r="CG147" i="2"/>
  <c r="CS125" i="2"/>
  <c r="CS90" i="2"/>
  <c r="CG376" i="2"/>
  <c r="CG341" i="2"/>
  <c r="CG303" i="2"/>
  <c r="CG220" i="2"/>
  <c r="CG198" i="2"/>
  <c r="CS160" i="2"/>
  <c r="CS147" i="2"/>
  <c r="CS55" i="2"/>
  <c r="CG446" i="2"/>
  <c r="CG398" i="2"/>
  <c r="CG290" i="2"/>
  <c r="CG268" i="2"/>
  <c r="CG160" i="2"/>
  <c r="CG363" i="2"/>
  <c r="CG328" i="2"/>
  <c r="CG233" i="2"/>
  <c r="CG185" i="2"/>
  <c r="CG112" i="2"/>
  <c r="CG90" i="2"/>
  <c r="BU433" i="2"/>
  <c r="BU411" i="2"/>
  <c r="BU363" i="2"/>
  <c r="BU328" i="2"/>
  <c r="BU233" i="2"/>
  <c r="BU198" i="2"/>
  <c r="BU112" i="2"/>
  <c r="CG125" i="2"/>
  <c r="BU255" i="2"/>
  <c r="BU160" i="2"/>
  <c r="CG77" i="2"/>
  <c r="CG55" i="2"/>
  <c r="BU446" i="2"/>
  <c r="BU398" i="2"/>
  <c r="BU376" i="2"/>
  <c r="BU341" i="2"/>
  <c r="BU303" i="2"/>
  <c r="BU290" i="2"/>
  <c r="BU220" i="2"/>
  <c r="BU185" i="2"/>
  <c r="BU147" i="2"/>
  <c r="BU125" i="2"/>
  <c r="BU268" i="2"/>
  <c r="BU90" i="2"/>
  <c r="BU55" i="2"/>
  <c r="BI433" i="2"/>
  <c r="BI376" i="2"/>
  <c r="BI303" i="2"/>
  <c r="BI233" i="2"/>
  <c r="BI160" i="2"/>
  <c r="BI90" i="2"/>
  <c r="AW446" i="2"/>
  <c r="AW398" i="2"/>
  <c r="BI411" i="2"/>
  <c r="BI328" i="2"/>
  <c r="BI268" i="2"/>
  <c r="BI198" i="2"/>
  <c r="BI112" i="2"/>
  <c r="AW363" i="2"/>
  <c r="AW328" i="2"/>
  <c r="AW290" i="2"/>
  <c r="BI446" i="2"/>
  <c r="BI363" i="2"/>
  <c r="BI290" i="2"/>
  <c r="BI220" i="2"/>
  <c r="BI147" i="2"/>
  <c r="BI77" i="2"/>
  <c r="AW433" i="2"/>
  <c r="AW411" i="2"/>
  <c r="AW268" i="2"/>
  <c r="AW185" i="2"/>
  <c r="BU77" i="2"/>
  <c r="BI398" i="2"/>
  <c r="BI341" i="2"/>
  <c r="BI255" i="2"/>
  <c r="BI185" i="2"/>
  <c r="BI125" i="2"/>
  <c r="BI55" i="2"/>
  <c r="AW376" i="2"/>
  <c r="AW341" i="2"/>
  <c r="AW255" i="2"/>
  <c r="AW198" i="2"/>
  <c r="AW160" i="2"/>
  <c r="AW90" i="2"/>
  <c r="AW55" i="2"/>
  <c r="AK411" i="2"/>
  <c r="AK328" i="2"/>
  <c r="AK303" i="2"/>
  <c r="AK255" i="2"/>
  <c r="AK233" i="2"/>
  <c r="AK198" i="2"/>
  <c r="AK147" i="2"/>
  <c r="AK55" i="2"/>
  <c r="AW147" i="2"/>
  <c r="AW125" i="2"/>
  <c r="AK446" i="2"/>
  <c r="AK363" i="2"/>
  <c r="AK160" i="2"/>
  <c r="AK125" i="2"/>
  <c r="AK77" i="2"/>
  <c r="AW303" i="2"/>
  <c r="AW220" i="2"/>
  <c r="AW77" i="2"/>
  <c r="AK398" i="2"/>
  <c r="AK341" i="2"/>
  <c r="AK268" i="2"/>
  <c r="AK220" i="2"/>
  <c r="AK185" i="2"/>
  <c r="Y341" i="2"/>
  <c r="AW233" i="2"/>
  <c r="AW112" i="2"/>
  <c r="AK433" i="2"/>
  <c r="AK376" i="2"/>
  <c r="AK290" i="2"/>
  <c r="AK112" i="2"/>
  <c r="AK90" i="2"/>
  <c r="Y433" i="2"/>
  <c r="Y411" i="2"/>
  <c r="Y363" i="2"/>
  <c r="Y446" i="2"/>
  <c r="Y160" i="2"/>
  <c r="Y77" i="2"/>
  <c r="Y55" i="2"/>
  <c r="M363" i="2"/>
  <c r="M328" i="2"/>
  <c r="M233" i="2"/>
  <c r="M185" i="2"/>
  <c r="M125" i="2"/>
  <c r="Y398" i="2"/>
  <c r="Y376" i="2"/>
  <c r="Y328" i="2"/>
  <c r="Y268" i="2"/>
  <c r="Y220" i="2"/>
  <c r="Y185" i="2"/>
  <c r="Y147" i="2"/>
  <c r="Y125" i="2"/>
  <c r="M433" i="2"/>
  <c r="M411" i="2"/>
  <c r="Y303" i="2"/>
  <c r="Y290" i="2"/>
  <c r="Y90" i="2"/>
  <c r="M376" i="2"/>
  <c r="M341" i="2"/>
  <c r="M303" i="2"/>
  <c r="M220" i="2"/>
  <c r="M198" i="2"/>
  <c r="M112" i="2"/>
  <c r="M90" i="2"/>
  <c r="Y255" i="2"/>
  <c r="Y233" i="2"/>
  <c r="Y198" i="2"/>
  <c r="Y112" i="2"/>
  <c r="M446" i="2"/>
  <c r="M290" i="2"/>
  <c r="M160" i="2"/>
  <c r="M147" i="2"/>
  <c r="M268" i="2"/>
  <c r="M255" i="2"/>
  <c r="M77" i="2"/>
  <c r="M55" i="2"/>
  <c r="M398" i="2"/>
  <c r="DL24" i="2"/>
  <c r="CZ24" i="2"/>
  <c r="CN24" i="2"/>
  <c r="CB24" i="2"/>
  <c r="BP24" i="2"/>
  <c r="BD24" i="2"/>
  <c r="AR24" i="2"/>
  <c r="AF24" i="2"/>
  <c r="T24" i="2"/>
  <c r="D83" i="2"/>
  <c r="DI391" i="2"/>
  <c r="DI356" i="2"/>
  <c r="DI213" i="2"/>
  <c r="DI70" i="2"/>
  <c r="CW391" i="2"/>
  <c r="DI321" i="2"/>
  <c r="DI283" i="2"/>
  <c r="DI178" i="2"/>
  <c r="CK426" i="2"/>
  <c r="CK391" i="2"/>
  <c r="BY321" i="2"/>
  <c r="DI426" i="2"/>
  <c r="DI248" i="2"/>
  <c r="DI105" i="2"/>
  <c r="CW426" i="2"/>
  <c r="CW283" i="2"/>
  <c r="CW178" i="2"/>
  <c r="CW105" i="2"/>
  <c r="CW70" i="2"/>
  <c r="CK248" i="2"/>
  <c r="CK140" i="2"/>
  <c r="BY426" i="2"/>
  <c r="BY178" i="2"/>
  <c r="BM321" i="2"/>
  <c r="BM283" i="2"/>
  <c r="BM140" i="2"/>
  <c r="BM105" i="2"/>
  <c r="BA356" i="2"/>
  <c r="BA213" i="2"/>
  <c r="AO356" i="2"/>
  <c r="DI140" i="2"/>
  <c r="CW356" i="2"/>
  <c r="CK356" i="2"/>
  <c r="CW321" i="2"/>
  <c r="CK178" i="2"/>
  <c r="BY356" i="2"/>
  <c r="BM356" i="2"/>
  <c r="CW248" i="2"/>
  <c r="BY391" i="2"/>
  <c r="BY283" i="2"/>
  <c r="BY248" i="2"/>
  <c r="BY140" i="2"/>
  <c r="BM426" i="2"/>
  <c r="BM391" i="2"/>
  <c r="BM248" i="2"/>
  <c r="BA391" i="2"/>
  <c r="CW213" i="2"/>
  <c r="CK321" i="2"/>
  <c r="CK283" i="2"/>
  <c r="CK213" i="2"/>
  <c r="BM213" i="2"/>
  <c r="BA321" i="2"/>
  <c r="BA248" i="2"/>
  <c r="BA140" i="2"/>
  <c r="AO391" i="2"/>
  <c r="AO321" i="2"/>
  <c r="AO283" i="2"/>
  <c r="CW140" i="2"/>
  <c r="BY70" i="2"/>
  <c r="BM178" i="2"/>
  <c r="BA283" i="2"/>
  <c r="CK105" i="2"/>
  <c r="BM70" i="2"/>
  <c r="BA426" i="2"/>
  <c r="AO178" i="2"/>
  <c r="AC283" i="2"/>
  <c r="AC178" i="2"/>
  <c r="Q321" i="2"/>
  <c r="AO140" i="2"/>
  <c r="AC321" i="2"/>
  <c r="BA105" i="2"/>
  <c r="AC426" i="2"/>
  <c r="AC356" i="2"/>
  <c r="AC213" i="2"/>
  <c r="AC70" i="2"/>
  <c r="Q248" i="2"/>
  <c r="Q426" i="2"/>
  <c r="Q70" i="2"/>
  <c r="BA178" i="2"/>
  <c r="AC391" i="2"/>
  <c r="AC248" i="2"/>
  <c r="AO105" i="2"/>
  <c r="Q356" i="2"/>
  <c r="BY105" i="2"/>
  <c r="AO426" i="2"/>
  <c r="AO213" i="2"/>
  <c r="AO70" i="2"/>
  <c r="Q283" i="2"/>
  <c r="Q105" i="2"/>
  <c r="AC140" i="2"/>
  <c r="Q391" i="2"/>
  <c r="BA70" i="2"/>
  <c r="AO248" i="2"/>
  <c r="AC105" i="2"/>
  <c r="Q213" i="2"/>
  <c r="Q178" i="2"/>
  <c r="Q140" i="2"/>
  <c r="CK70" i="2"/>
  <c r="BY213" i="2"/>
  <c r="CJ118" i="2"/>
  <c r="P369" i="2"/>
  <c r="AN404" i="2"/>
  <c r="P118" i="2"/>
  <c r="AN226" i="2"/>
  <c r="BL261" i="2"/>
  <c r="AB48" i="2"/>
  <c r="AB83" i="2"/>
  <c r="AB439" i="2"/>
  <c r="AZ191" i="2"/>
  <c r="AN48" i="2"/>
  <c r="AB153" i="2"/>
  <c r="AZ334" i="2"/>
  <c r="BL404" i="2"/>
  <c r="BL296" i="2"/>
  <c r="CV153" i="2"/>
  <c r="BX226" i="2"/>
  <c r="BX439" i="2"/>
  <c r="CJ191" i="2"/>
  <c r="CV48" i="2"/>
  <c r="CV261" i="2"/>
  <c r="DH334" i="2"/>
  <c r="AN296" i="2"/>
  <c r="CJ334" i="2"/>
  <c r="CV296" i="2"/>
  <c r="CJ296" i="2"/>
  <c r="DH118" i="2"/>
  <c r="DH83" i="2"/>
  <c r="P191" i="2"/>
  <c r="AZ439" i="2"/>
  <c r="AZ261" i="2"/>
  <c r="AB261" i="2"/>
  <c r="P83" i="2"/>
  <c r="AB118" i="2"/>
  <c r="AN334" i="2"/>
  <c r="BL83" i="2"/>
  <c r="AB191" i="2"/>
  <c r="BL439" i="2"/>
  <c r="AZ83" i="2"/>
  <c r="BL226" i="2"/>
  <c r="CV191" i="2"/>
  <c r="AZ296" i="2"/>
  <c r="BX296" i="2"/>
  <c r="CJ48" i="2"/>
  <c r="CJ261" i="2"/>
  <c r="BX83" i="2"/>
  <c r="BX404" i="2"/>
  <c r="AN369" i="2"/>
  <c r="AZ226" i="2"/>
  <c r="BL118" i="2"/>
  <c r="BX261" i="2"/>
  <c r="CJ83" i="2"/>
  <c r="CJ369" i="2"/>
  <c r="DH153" i="2"/>
  <c r="DH191" i="2"/>
  <c r="DH226" i="2"/>
  <c r="DH296" i="2"/>
  <c r="P226" i="2"/>
  <c r="P404" i="2"/>
  <c r="AB404" i="2"/>
  <c r="P261" i="2"/>
  <c r="AB226" i="2"/>
  <c r="AN439" i="2"/>
  <c r="AB296" i="2"/>
  <c r="AN191" i="2"/>
  <c r="BL191" i="2"/>
  <c r="BX48" i="2"/>
  <c r="AZ404" i="2"/>
  <c r="AZ118" i="2"/>
  <c r="CV334" i="2"/>
  <c r="CJ153" i="2"/>
  <c r="DH261" i="2"/>
  <c r="DH439" i="2"/>
  <c r="AZ369" i="2"/>
  <c r="BX153" i="2"/>
  <c r="BX334" i="2"/>
  <c r="CJ404" i="2"/>
  <c r="CV404" i="2"/>
  <c r="DH369" i="2"/>
  <c r="P296" i="2"/>
  <c r="AN118" i="2"/>
  <c r="P48" i="2"/>
  <c r="AN83" i="2"/>
  <c r="AN261" i="2"/>
  <c r="BL153" i="2"/>
  <c r="P439" i="2"/>
  <c r="P153" i="2"/>
  <c r="AB369" i="2"/>
  <c r="AN153" i="2"/>
  <c r="AB334" i="2"/>
  <c r="P334" i="2"/>
  <c r="BL369" i="2"/>
  <c r="CV118" i="2"/>
  <c r="AZ153" i="2"/>
  <c r="CV369" i="2"/>
  <c r="BX118" i="2"/>
  <c r="CV83" i="2"/>
  <c r="CV226" i="2"/>
  <c r="AZ48" i="2"/>
  <c r="BL48" i="2"/>
  <c r="BL334" i="2"/>
  <c r="BX191" i="2"/>
  <c r="BX369" i="2"/>
  <c r="CJ226" i="2"/>
  <c r="CJ439" i="2"/>
  <c r="CV439" i="2"/>
  <c r="DH48" i="2"/>
  <c r="DH404" i="2"/>
  <c r="G11" i="2"/>
  <c r="H24" i="2"/>
  <c r="A290" i="2"/>
  <c r="A433" i="2"/>
  <c r="A398" i="2"/>
  <c r="A363" i="2"/>
  <c r="A328" i="2"/>
  <c r="A255" i="2"/>
  <c r="A220" i="2"/>
  <c r="A112" i="2"/>
  <c r="A77" i="2"/>
  <c r="A303" i="2"/>
  <c r="A446" i="2"/>
  <c r="A411" i="2"/>
  <c r="A376" i="2"/>
  <c r="A341" i="2"/>
  <c r="A268" i="2"/>
  <c r="A233" i="2"/>
  <c r="A125" i="2"/>
  <c r="A55" i="2"/>
  <c r="A90" i="2"/>
  <c r="A198" i="2"/>
  <c r="A147" i="2"/>
  <c r="A185" i="2"/>
  <c r="A160" i="2"/>
  <c r="E426" i="2"/>
  <c r="E248" i="2"/>
  <c r="E283" i="2"/>
  <c r="E391" i="2"/>
  <c r="E213" i="2"/>
  <c r="E356" i="2"/>
  <c r="E105" i="2"/>
  <c r="E321" i="2"/>
  <c r="E70" i="2"/>
  <c r="E178" i="2"/>
  <c r="E140" i="2"/>
  <c r="D191" i="2"/>
  <c r="D404" i="2"/>
  <c r="D261" i="2"/>
  <c r="D334" i="2"/>
  <c r="D369" i="2"/>
  <c r="D296" i="2"/>
  <c r="D226" i="2"/>
  <c r="D48" i="2"/>
  <c r="D439" i="2"/>
  <c r="D118" i="2"/>
  <c r="D153" i="2"/>
  <c r="H166" i="2"/>
  <c r="H167" i="2" s="1"/>
  <c r="H169" i="2" s="1"/>
  <c r="G166" i="2"/>
  <c r="G167" i="2" s="1"/>
  <c r="G169" i="2" s="1"/>
  <c r="F166" i="2"/>
  <c r="F167" i="2" s="1"/>
  <c r="F169" i="2" s="1"/>
  <c r="D166" i="2"/>
  <c r="D167" i="2" s="1"/>
  <c r="D169" i="2" s="1"/>
  <c r="E166" i="2"/>
  <c r="E167" i="2" s="1"/>
  <c r="E169" i="2" s="1"/>
  <c r="C166" i="2"/>
  <c r="C167" i="2" s="1"/>
  <c r="C169" i="2" s="1"/>
  <c r="I166" i="2"/>
  <c r="I167" i="2" s="1"/>
  <c r="I169" i="2" s="1"/>
  <c r="A41" i="2"/>
  <c r="F35" i="2"/>
  <c r="I170" i="2" l="1"/>
  <c r="F18" i="2"/>
  <c r="C170" i="2"/>
  <c r="L18" i="2"/>
  <c r="E170" i="2"/>
  <c r="J18" i="2"/>
  <c r="F170" i="2"/>
  <c r="I18" i="2"/>
  <c r="G170" i="2"/>
  <c r="H18" i="2"/>
  <c r="D170" i="2"/>
  <c r="K18" i="2"/>
  <c r="H170" i="2"/>
  <c r="G18" i="2"/>
  <c r="DK24" i="2"/>
  <c r="CY24" i="2"/>
  <c r="CM24" i="2"/>
  <c r="BO24" i="2"/>
  <c r="CA24" i="2"/>
  <c r="BC24" i="2"/>
  <c r="AQ24" i="2"/>
  <c r="AE24" i="2"/>
  <c r="S24" i="2"/>
  <c r="DE445" i="2"/>
  <c r="DE184" i="2"/>
  <c r="DE159" i="2"/>
  <c r="DE410" i="2"/>
  <c r="DE362" i="2"/>
  <c r="DE327" i="2"/>
  <c r="DE254" i="2"/>
  <c r="DE219" i="2"/>
  <c r="DE146" i="2"/>
  <c r="DE432" i="2"/>
  <c r="DE302" i="2"/>
  <c r="DE197" i="2"/>
  <c r="DE124" i="2"/>
  <c r="DE89" i="2"/>
  <c r="DE397" i="2"/>
  <c r="DE375" i="2"/>
  <c r="DE340" i="2"/>
  <c r="DE289" i="2"/>
  <c r="DE267" i="2"/>
  <c r="DE232" i="2"/>
  <c r="CS254" i="2"/>
  <c r="DE76" i="2"/>
  <c r="DE54" i="2"/>
  <c r="CS445" i="2"/>
  <c r="CS410" i="2"/>
  <c r="CS375" i="2"/>
  <c r="CS327" i="2"/>
  <c r="CS232" i="2"/>
  <c r="CS289" i="2"/>
  <c r="CS267" i="2"/>
  <c r="CS197" i="2"/>
  <c r="CS146" i="2"/>
  <c r="DE111" i="2"/>
  <c r="CS432" i="2"/>
  <c r="CS397" i="2"/>
  <c r="CS362" i="2"/>
  <c r="CS340" i="2"/>
  <c r="CS302" i="2"/>
  <c r="CS219" i="2"/>
  <c r="CS159" i="2"/>
  <c r="CS76" i="2"/>
  <c r="CG362" i="2"/>
  <c r="CG327" i="2"/>
  <c r="CG289" i="2"/>
  <c r="CG232" i="2"/>
  <c r="CG184" i="2"/>
  <c r="CG159" i="2"/>
  <c r="CG432" i="2"/>
  <c r="CG410" i="2"/>
  <c r="CG254" i="2"/>
  <c r="CS184" i="2"/>
  <c r="CS124" i="2"/>
  <c r="CS111" i="2"/>
  <c r="CS89" i="2"/>
  <c r="CG375" i="2"/>
  <c r="CG340" i="2"/>
  <c r="CG219" i="2"/>
  <c r="CG197" i="2"/>
  <c r="CG146" i="2"/>
  <c r="CG124" i="2"/>
  <c r="CG76" i="2"/>
  <c r="CG54" i="2"/>
  <c r="CS54" i="2"/>
  <c r="CG445" i="2"/>
  <c r="CG397" i="2"/>
  <c r="CG302" i="2"/>
  <c r="CG267" i="2"/>
  <c r="BU302" i="2"/>
  <c r="BU289" i="2"/>
  <c r="BU267" i="2"/>
  <c r="BU146" i="2"/>
  <c r="BU89" i="2"/>
  <c r="CG111" i="2"/>
  <c r="CG89" i="2"/>
  <c r="BU432" i="2"/>
  <c r="BU410" i="2"/>
  <c r="BU362" i="2"/>
  <c r="BU327" i="2"/>
  <c r="BU232" i="2"/>
  <c r="BU197" i="2"/>
  <c r="BU254" i="2"/>
  <c r="BU76" i="2"/>
  <c r="BU54" i="2"/>
  <c r="BU445" i="2"/>
  <c r="BU397" i="2"/>
  <c r="BU375" i="2"/>
  <c r="BU340" i="2"/>
  <c r="BU219" i="2"/>
  <c r="BU184" i="2"/>
  <c r="BU159" i="2"/>
  <c r="BU124" i="2"/>
  <c r="BI397" i="2"/>
  <c r="BI340" i="2"/>
  <c r="BI289" i="2"/>
  <c r="BI254" i="2"/>
  <c r="BI184" i="2"/>
  <c r="BI146" i="2"/>
  <c r="BI124" i="2"/>
  <c r="BI54" i="2"/>
  <c r="AW375" i="2"/>
  <c r="AW340" i="2"/>
  <c r="BU111" i="2"/>
  <c r="BI432" i="2"/>
  <c r="BI375" i="2"/>
  <c r="BI232" i="2"/>
  <c r="BI89" i="2"/>
  <c r="AW445" i="2"/>
  <c r="AW397" i="2"/>
  <c r="AW254" i="2"/>
  <c r="BI410" i="2"/>
  <c r="BI327" i="2"/>
  <c r="BI302" i="2"/>
  <c r="BI267" i="2"/>
  <c r="BI197" i="2"/>
  <c r="BI159" i="2"/>
  <c r="BI111" i="2"/>
  <c r="AW362" i="2"/>
  <c r="AW327" i="2"/>
  <c r="AW302" i="2"/>
  <c r="AW219" i="2"/>
  <c r="BI445" i="2"/>
  <c r="BI362" i="2"/>
  <c r="BI219" i="2"/>
  <c r="BI76" i="2"/>
  <c r="AW432" i="2"/>
  <c r="AW410" i="2"/>
  <c r="AW289" i="2"/>
  <c r="AW267" i="2"/>
  <c r="AW232" i="2"/>
  <c r="AW111" i="2"/>
  <c r="AK432" i="2"/>
  <c r="AK375" i="2"/>
  <c r="AK111" i="2"/>
  <c r="AK89" i="2"/>
  <c r="AW197" i="2"/>
  <c r="AW89" i="2"/>
  <c r="AW54" i="2"/>
  <c r="AK410" i="2"/>
  <c r="AK327" i="2"/>
  <c r="AK289" i="2"/>
  <c r="AK254" i="2"/>
  <c r="AK232" i="2"/>
  <c r="AK197" i="2"/>
  <c r="AW159" i="2"/>
  <c r="AW124" i="2"/>
  <c r="AK445" i="2"/>
  <c r="AK362" i="2"/>
  <c r="AK302" i="2"/>
  <c r="AK146" i="2"/>
  <c r="AK124" i="2"/>
  <c r="AK76" i="2"/>
  <c r="Y445" i="2"/>
  <c r="Y397" i="2"/>
  <c r="Y375" i="2"/>
  <c r="Y302" i="2"/>
  <c r="AW184" i="2"/>
  <c r="AW146" i="2"/>
  <c r="AW76" i="2"/>
  <c r="AK397" i="2"/>
  <c r="AK340" i="2"/>
  <c r="AK267" i="2"/>
  <c r="AK219" i="2"/>
  <c r="AK184" i="2"/>
  <c r="AK159" i="2"/>
  <c r="Y340" i="2"/>
  <c r="Y432" i="2"/>
  <c r="Y410" i="2"/>
  <c r="Y289" i="2"/>
  <c r="Y254" i="2"/>
  <c r="Y232" i="2"/>
  <c r="Y197" i="2"/>
  <c r="Y111" i="2"/>
  <c r="M445" i="2"/>
  <c r="M397" i="2"/>
  <c r="M302" i="2"/>
  <c r="M267" i="2"/>
  <c r="AK54" i="2"/>
  <c r="Y362" i="2"/>
  <c r="Y76" i="2"/>
  <c r="Y54" i="2"/>
  <c r="M362" i="2"/>
  <c r="M327" i="2"/>
  <c r="Y327" i="2"/>
  <c r="Y267" i="2"/>
  <c r="Y219" i="2"/>
  <c r="Y184" i="2"/>
  <c r="Y124" i="2"/>
  <c r="M432" i="2"/>
  <c r="M410" i="2"/>
  <c r="M254" i="2"/>
  <c r="Y159" i="2"/>
  <c r="Y146" i="2"/>
  <c r="Y89" i="2"/>
  <c r="M219" i="2"/>
  <c r="M184" i="2"/>
  <c r="M159" i="2"/>
  <c r="M89" i="2"/>
  <c r="M340" i="2"/>
  <c r="M289" i="2"/>
  <c r="M146" i="2"/>
  <c r="M124" i="2"/>
  <c r="M375" i="2"/>
  <c r="M232" i="2"/>
  <c r="M197" i="2"/>
  <c r="M111" i="2"/>
  <c r="M76" i="2"/>
  <c r="M54" i="2"/>
  <c r="E153" i="2"/>
  <c r="DJ391" i="2"/>
  <c r="DJ356" i="2"/>
  <c r="DJ213" i="2"/>
  <c r="DJ70" i="2"/>
  <c r="CX391" i="2"/>
  <c r="DJ426" i="2"/>
  <c r="DJ178" i="2"/>
  <c r="DJ140" i="2"/>
  <c r="DJ248" i="2"/>
  <c r="CX105" i="2"/>
  <c r="CL321" i="2"/>
  <c r="CL213" i="2"/>
  <c r="CL178" i="2"/>
  <c r="CL140" i="2"/>
  <c r="CL105" i="2"/>
  <c r="CL70" i="2"/>
  <c r="BZ283" i="2"/>
  <c r="CX356" i="2"/>
  <c r="CL426" i="2"/>
  <c r="CL356" i="2"/>
  <c r="BN426" i="2"/>
  <c r="BB426" i="2"/>
  <c r="BB391" i="2"/>
  <c r="BB283" i="2"/>
  <c r="BB248" i="2"/>
  <c r="BB105" i="2"/>
  <c r="AP321" i="2"/>
  <c r="DJ283" i="2"/>
  <c r="CX213" i="2"/>
  <c r="CX140" i="2"/>
  <c r="CL283" i="2"/>
  <c r="DJ321" i="2"/>
  <c r="CX248" i="2"/>
  <c r="CL248" i="2"/>
  <c r="BZ391" i="2"/>
  <c r="BZ321" i="2"/>
  <c r="BZ248" i="2"/>
  <c r="BZ140" i="2"/>
  <c r="BN391" i="2"/>
  <c r="BN248" i="2"/>
  <c r="CX426" i="2"/>
  <c r="CX283" i="2"/>
  <c r="CX178" i="2"/>
  <c r="BZ426" i="2"/>
  <c r="BZ70" i="2"/>
  <c r="BN178" i="2"/>
  <c r="DJ105" i="2"/>
  <c r="CX70" i="2"/>
  <c r="BN356" i="2"/>
  <c r="BN321" i="2"/>
  <c r="BN283" i="2"/>
  <c r="AP426" i="2"/>
  <c r="CX321" i="2"/>
  <c r="BN105" i="2"/>
  <c r="CL391" i="2"/>
  <c r="BZ213" i="2"/>
  <c r="BZ105" i="2"/>
  <c r="AP140" i="2"/>
  <c r="AD321" i="2"/>
  <c r="BN213" i="2"/>
  <c r="BB321" i="2"/>
  <c r="BB213" i="2"/>
  <c r="BB70" i="2"/>
  <c r="AP248" i="2"/>
  <c r="AP213" i="2"/>
  <c r="AP105" i="2"/>
  <c r="AP70" i="2"/>
  <c r="AD426" i="2"/>
  <c r="AD391" i="2"/>
  <c r="AD356" i="2"/>
  <c r="AD248" i="2"/>
  <c r="AD213" i="2"/>
  <c r="AD70" i="2"/>
  <c r="R356" i="2"/>
  <c r="R283" i="2"/>
  <c r="BB356" i="2"/>
  <c r="BB140" i="2"/>
  <c r="AP391" i="2"/>
  <c r="AP283" i="2"/>
  <c r="R426" i="2"/>
  <c r="R105" i="2"/>
  <c r="R70" i="2"/>
  <c r="R391" i="2"/>
  <c r="R321" i="2"/>
  <c r="AD178" i="2"/>
  <c r="R213" i="2"/>
  <c r="R178" i="2"/>
  <c r="R140" i="2"/>
  <c r="BN140" i="2"/>
  <c r="AP356" i="2"/>
  <c r="AP178" i="2"/>
  <c r="R248" i="2"/>
  <c r="BZ178" i="2"/>
  <c r="BN70" i="2"/>
  <c r="BB178" i="2"/>
  <c r="AD283" i="2"/>
  <c r="AD140" i="2"/>
  <c r="AD105" i="2"/>
  <c r="BZ356" i="2"/>
  <c r="BY83" i="2"/>
  <c r="AC191" i="2"/>
  <c r="BA191" i="2"/>
  <c r="Q439" i="2"/>
  <c r="Q118" i="2"/>
  <c r="AC226" i="2"/>
  <c r="AC404" i="2"/>
  <c r="AO369" i="2"/>
  <c r="BM83" i="2"/>
  <c r="AO48" i="2"/>
  <c r="BM369" i="2"/>
  <c r="BA48" i="2"/>
  <c r="BA334" i="2"/>
  <c r="BM334" i="2"/>
  <c r="BY191" i="2"/>
  <c r="BY296" i="2"/>
  <c r="CW439" i="2"/>
  <c r="CK404" i="2"/>
  <c r="BA118" i="2"/>
  <c r="BA404" i="2"/>
  <c r="BM153" i="2"/>
  <c r="BM439" i="2"/>
  <c r="CW261" i="2"/>
  <c r="CK191" i="2"/>
  <c r="DI191" i="2"/>
  <c r="DI439" i="2"/>
  <c r="DI226" i="2"/>
  <c r="BA226" i="2"/>
  <c r="Q153" i="2"/>
  <c r="Q191" i="2"/>
  <c r="Q369" i="2"/>
  <c r="AC261" i="2"/>
  <c r="AC439" i="2"/>
  <c r="AO153" i="2"/>
  <c r="BA83" i="2"/>
  <c r="BM118" i="2"/>
  <c r="BM404" i="2"/>
  <c r="DI153" i="2"/>
  <c r="CW334" i="2"/>
  <c r="BY118" i="2"/>
  <c r="CK439" i="2"/>
  <c r="CK261" i="2"/>
  <c r="CW153" i="2"/>
  <c r="DI261" i="2"/>
  <c r="BA439" i="2"/>
  <c r="DI296" i="2"/>
  <c r="CK48" i="2"/>
  <c r="CK226" i="2"/>
  <c r="CW118" i="2"/>
  <c r="DI334" i="2"/>
  <c r="CW404" i="2"/>
  <c r="DI369" i="2"/>
  <c r="Q261" i="2"/>
  <c r="AO439" i="2"/>
  <c r="Q226" i="2"/>
  <c r="Q296" i="2"/>
  <c r="AO404" i="2"/>
  <c r="Q48" i="2"/>
  <c r="AC48" i="2"/>
  <c r="AO83" i="2"/>
  <c r="AO226" i="2"/>
  <c r="BA153" i="2"/>
  <c r="BM226" i="2"/>
  <c r="AC296" i="2"/>
  <c r="AO296" i="2"/>
  <c r="BM261" i="2"/>
  <c r="BY48" i="2"/>
  <c r="CK369" i="2"/>
  <c r="BM48" i="2"/>
  <c r="CW369" i="2"/>
  <c r="BY153" i="2"/>
  <c r="BY439" i="2"/>
  <c r="CW296" i="2"/>
  <c r="CK296" i="2"/>
  <c r="CW191" i="2"/>
  <c r="AO334" i="2"/>
  <c r="BA261" i="2"/>
  <c r="BM296" i="2"/>
  <c r="BY334" i="2"/>
  <c r="CK83" i="2"/>
  <c r="CK334" i="2"/>
  <c r="DI48" i="2"/>
  <c r="DI404" i="2"/>
  <c r="Q334" i="2"/>
  <c r="AC118" i="2"/>
  <c r="Q404" i="2"/>
  <c r="Q83" i="2"/>
  <c r="AC153" i="2"/>
  <c r="AO191" i="2"/>
  <c r="AC83" i="2"/>
  <c r="AC369" i="2"/>
  <c r="AO118" i="2"/>
  <c r="AO261" i="2"/>
  <c r="BA369" i="2"/>
  <c r="AC334" i="2"/>
  <c r="BA296" i="2"/>
  <c r="BY369" i="2"/>
  <c r="BM191" i="2"/>
  <c r="CW83" i="2"/>
  <c r="DI118" i="2"/>
  <c r="BY226" i="2"/>
  <c r="CK153" i="2"/>
  <c r="BY404" i="2"/>
  <c r="CW48" i="2"/>
  <c r="CW226" i="2"/>
  <c r="BY261" i="2"/>
  <c r="CK118" i="2"/>
  <c r="DI83" i="2"/>
  <c r="F11" i="2"/>
  <c r="G24" i="2"/>
  <c r="A302" i="2"/>
  <c r="A111" i="2"/>
  <c r="A76" i="2"/>
  <c r="A289" i="2"/>
  <c r="A432" i="2"/>
  <c r="A397" i="2"/>
  <c r="A362" i="2"/>
  <c r="A327" i="2"/>
  <c r="A254" i="2"/>
  <c r="A219" i="2"/>
  <c r="A410" i="2"/>
  <c r="A340" i="2"/>
  <c r="A232" i="2"/>
  <c r="A89" i="2"/>
  <c r="A124" i="2"/>
  <c r="A445" i="2"/>
  <c r="A375" i="2"/>
  <c r="A267" i="2"/>
  <c r="A54" i="2"/>
  <c r="A159" i="2"/>
  <c r="A197" i="2"/>
  <c r="A146" i="2"/>
  <c r="A184" i="2"/>
  <c r="E48" i="2"/>
  <c r="E439" i="2"/>
  <c r="E226" i="2"/>
  <c r="E83" i="2"/>
  <c r="E118" i="2"/>
  <c r="F283" i="2"/>
  <c r="F391" i="2"/>
  <c r="F213" i="2"/>
  <c r="F356" i="2"/>
  <c r="F105" i="2"/>
  <c r="F321" i="2"/>
  <c r="F70" i="2"/>
  <c r="F426" i="2"/>
  <c r="F248" i="2"/>
  <c r="F140" i="2"/>
  <c r="F178" i="2"/>
  <c r="E191" i="2"/>
  <c r="E261" i="2"/>
  <c r="E404" i="2"/>
  <c r="E334" i="2"/>
  <c r="E369" i="2"/>
  <c r="E296" i="2"/>
  <c r="G35" i="2"/>
  <c r="A40" i="2"/>
  <c r="DE396" i="2" l="1"/>
  <c r="DE196" i="2"/>
  <c r="DE145" i="2"/>
  <c r="DE374" i="2"/>
  <c r="DE339" i="2"/>
  <c r="DE266" i="2"/>
  <c r="DE231" i="2"/>
  <c r="DE183" i="2"/>
  <c r="DE158" i="2"/>
  <c r="DE444" i="2"/>
  <c r="DE361" i="2"/>
  <c r="DE326" i="2"/>
  <c r="DE288" i="2"/>
  <c r="DE253" i="2"/>
  <c r="DE218" i="2"/>
  <c r="DE431" i="2"/>
  <c r="DE409" i="2"/>
  <c r="DE301" i="2"/>
  <c r="DE110" i="2"/>
  <c r="CS431" i="2"/>
  <c r="CS396" i="2"/>
  <c r="CS361" i="2"/>
  <c r="CS266" i="2"/>
  <c r="CS218" i="2"/>
  <c r="DE123" i="2"/>
  <c r="CS339" i="2"/>
  <c r="CS301" i="2"/>
  <c r="CS288" i="2"/>
  <c r="CS253" i="2"/>
  <c r="DE75" i="2"/>
  <c r="CS326" i="2"/>
  <c r="DE88" i="2"/>
  <c r="DE53" i="2"/>
  <c r="CS444" i="2"/>
  <c r="CS409" i="2"/>
  <c r="CS374" i="2"/>
  <c r="CS231" i="2"/>
  <c r="CS123" i="2"/>
  <c r="CS196" i="2"/>
  <c r="CS88" i="2"/>
  <c r="CG396" i="2"/>
  <c r="CG374" i="2"/>
  <c r="CG339" i="2"/>
  <c r="CG301" i="2"/>
  <c r="CG196" i="2"/>
  <c r="CS75" i="2"/>
  <c r="CS53" i="2"/>
  <c r="CG444" i="2"/>
  <c r="CG361" i="2"/>
  <c r="CG326" i="2"/>
  <c r="CG266" i="2"/>
  <c r="CG183" i="2"/>
  <c r="CG158" i="2"/>
  <c r="CS145" i="2"/>
  <c r="CG431" i="2"/>
  <c r="CG253" i="2"/>
  <c r="CG231" i="2"/>
  <c r="CG88" i="2"/>
  <c r="CS183" i="2"/>
  <c r="CS158" i="2"/>
  <c r="CS110" i="2"/>
  <c r="CG409" i="2"/>
  <c r="CG288" i="2"/>
  <c r="CG218" i="2"/>
  <c r="CG75" i="2"/>
  <c r="CG53" i="2"/>
  <c r="BU396" i="2"/>
  <c r="BU218" i="2"/>
  <c r="BU183" i="2"/>
  <c r="BU158" i="2"/>
  <c r="BU444" i="2"/>
  <c r="BU374" i="2"/>
  <c r="BU339" i="2"/>
  <c r="BU301" i="2"/>
  <c r="CG110" i="2"/>
  <c r="BU431" i="2"/>
  <c r="BU361" i="2"/>
  <c r="BU326" i="2"/>
  <c r="BU266" i="2"/>
  <c r="BU110" i="2"/>
  <c r="BU88" i="2"/>
  <c r="CG145" i="2"/>
  <c r="CG123" i="2"/>
  <c r="BU409" i="2"/>
  <c r="BU288" i="2"/>
  <c r="BU253" i="2"/>
  <c r="BU231" i="2"/>
  <c r="BU196" i="2"/>
  <c r="BU145" i="2"/>
  <c r="BU75" i="2"/>
  <c r="BU123" i="2"/>
  <c r="BI409" i="2"/>
  <c r="BI361" i="2"/>
  <c r="BI266" i="2"/>
  <c r="BI218" i="2"/>
  <c r="BI196" i="2"/>
  <c r="BI75" i="2"/>
  <c r="AW431" i="2"/>
  <c r="BI444" i="2"/>
  <c r="BI396" i="2"/>
  <c r="BI253" i="2"/>
  <c r="BI183" i="2"/>
  <c r="AW409" i="2"/>
  <c r="AW266" i="2"/>
  <c r="BU53" i="2"/>
  <c r="BI431" i="2"/>
  <c r="BI339" i="2"/>
  <c r="BI123" i="2"/>
  <c r="BI53" i="2"/>
  <c r="AW396" i="2"/>
  <c r="AW374" i="2"/>
  <c r="AW339" i="2"/>
  <c r="AW288" i="2"/>
  <c r="AW253" i="2"/>
  <c r="AW231" i="2"/>
  <c r="BI374" i="2"/>
  <c r="BI326" i="2"/>
  <c r="BI301" i="2"/>
  <c r="BI288" i="2"/>
  <c r="BI231" i="2"/>
  <c r="BI158" i="2"/>
  <c r="BI145" i="2"/>
  <c r="BI110" i="2"/>
  <c r="BI88" i="2"/>
  <c r="AW444" i="2"/>
  <c r="AW361" i="2"/>
  <c r="AW326" i="2"/>
  <c r="AW301" i="2"/>
  <c r="AW183" i="2"/>
  <c r="AW123" i="2"/>
  <c r="AW75" i="2"/>
  <c r="AK444" i="2"/>
  <c r="AK396" i="2"/>
  <c r="AK301" i="2"/>
  <c r="AK288" i="2"/>
  <c r="AK218" i="2"/>
  <c r="AK183" i="2"/>
  <c r="AK123" i="2"/>
  <c r="AW110" i="2"/>
  <c r="AK431" i="2"/>
  <c r="AK339" i="2"/>
  <c r="AK266" i="2"/>
  <c r="AK158" i="2"/>
  <c r="AK145" i="2"/>
  <c r="AK110" i="2"/>
  <c r="AW145" i="2"/>
  <c r="AK374" i="2"/>
  <c r="AK326" i="2"/>
  <c r="AK253" i="2"/>
  <c r="AK88" i="2"/>
  <c r="Y409" i="2"/>
  <c r="Y326" i="2"/>
  <c r="AW218" i="2"/>
  <c r="AW196" i="2"/>
  <c r="AW158" i="2"/>
  <c r="AW88" i="2"/>
  <c r="AW53" i="2"/>
  <c r="AK409" i="2"/>
  <c r="AK361" i="2"/>
  <c r="AK231" i="2"/>
  <c r="AK196" i="2"/>
  <c r="AK75" i="2"/>
  <c r="AK53" i="2"/>
  <c r="Y396" i="2"/>
  <c r="Y301" i="2"/>
  <c r="Y266" i="2"/>
  <c r="Y158" i="2"/>
  <c r="Y123" i="2"/>
  <c r="M409" i="2"/>
  <c r="M288" i="2"/>
  <c r="M218" i="2"/>
  <c r="M110" i="2"/>
  <c r="Y431" i="2"/>
  <c r="Y339" i="2"/>
  <c r="Y253" i="2"/>
  <c r="Y110" i="2"/>
  <c r="Y88" i="2"/>
  <c r="M396" i="2"/>
  <c r="M374" i="2"/>
  <c r="M339" i="2"/>
  <c r="M301" i="2"/>
  <c r="Y444" i="2"/>
  <c r="Y361" i="2"/>
  <c r="Y231" i="2"/>
  <c r="Y196" i="2"/>
  <c r="Y145" i="2"/>
  <c r="Y75" i="2"/>
  <c r="M444" i="2"/>
  <c r="M361" i="2"/>
  <c r="M326" i="2"/>
  <c r="M266" i="2"/>
  <c r="M183" i="2"/>
  <c r="M145" i="2"/>
  <c r="Y374" i="2"/>
  <c r="Y288" i="2"/>
  <c r="Y218" i="2"/>
  <c r="Y183" i="2"/>
  <c r="Y53" i="2"/>
  <c r="M431" i="2"/>
  <c r="M231" i="2"/>
  <c r="M196" i="2"/>
  <c r="M53" i="2"/>
  <c r="M158" i="2"/>
  <c r="M123" i="2"/>
  <c r="M75" i="2"/>
  <c r="M253" i="2"/>
  <c r="M88" i="2"/>
  <c r="DJ24" i="2"/>
  <c r="CX24" i="2"/>
  <c r="CL24" i="2"/>
  <c r="BN24" i="2"/>
  <c r="BZ24" i="2"/>
  <c r="BB24" i="2"/>
  <c r="AP24" i="2"/>
  <c r="AD24" i="2"/>
  <c r="R24" i="2"/>
  <c r="F153" i="2"/>
  <c r="DK426" i="2"/>
  <c r="DK178" i="2"/>
  <c r="DK140" i="2"/>
  <c r="DK321" i="2"/>
  <c r="DK283" i="2"/>
  <c r="DK248" i="2"/>
  <c r="DK105" i="2"/>
  <c r="CY426" i="2"/>
  <c r="CY356" i="2"/>
  <c r="DK356" i="2"/>
  <c r="DK213" i="2"/>
  <c r="CY283" i="2"/>
  <c r="CY248" i="2"/>
  <c r="CY178" i="2"/>
  <c r="CY140" i="2"/>
  <c r="CM248" i="2"/>
  <c r="CA426" i="2"/>
  <c r="CA391" i="2"/>
  <c r="CA356" i="2"/>
  <c r="DK70" i="2"/>
  <c r="CY391" i="2"/>
  <c r="CY213" i="2"/>
  <c r="CM283" i="2"/>
  <c r="CM178" i="2"/>
  <c r="CA213" i="2"/>
  <c r="CA105" i="2"/>
  <c r="CA70" i="2"/>
  <c r="BO391" i="2"/>
  <c r="BO248" i="2"/>
  <c r="BO178" i="2"/>
  <c r="BC321" i="2"/>
  <c r="BC140" i="2"/>
  <c r="BC70" i="2"/>
  <c r="AQ426" i="2"/>
  <c r="CY321" i="2"/>
  <c r="CM321" i="2"/>
  <c r="CM213" i="2"/>
  <c r="CM356" i="2"/>
  <c r="CA283" i="2"/>
  <c r="BO426" i="2"/>
  <c r="CY105" i="2"/>
  <c r="CY70" i="2"/>
  <c r="CM70" i="2"/>
  <c r="BO105" i="2"/>
  <c r="BC426" i="2"/>
  <c r="BC356" i="2"/>
  <c r="BC283" i="2"/>
  <c r="DK391" i="2"/>
  <c r="CM426" i="2"/>
  <c r="CM140" i="2"/>
  <c r="CA321" i="2"/>
  <c r="BC213" i="2"/>
  <c r="CM391" i="2"/>
  <c r="CM105" i="2"/>
  <c r="BO70" i="2"/>
  <c r="BC391" i="2"/>
  <c r="CA178" i="2"/>
  <c r="BO213" i="2"/>
  <c r="BO140" i="2"/>
  <c r="BO283" i="2"/>
  <c r="AQ248" i="2"/>
  <c r="AQ213" i="2"/>
  <c r="AQ105" i="2"/>
  <c r="AQ70" i="2"/>
  <c r="AE426" i="2"/>
  <c r="AE391" i="2"/>
  <c r="AE356" i="2"/>
  <c r="AE248" i="2"/>
  <c r="AE213" i="2"/>
  <c r="AE70" i="2"/>
  <c r="S356" i="2"/>
  <c r="S283" i="2"/>
  <c r="BO356" i="2"/>
  <c r="BC248" i="2"/>
  <c r="BC178" i="2"/>
  <c r="BC105" i="2"/>
  <c r="AQ391" i="2"/>
  <c r="AQ356" i="2"/>
  <c r="AQ283" i="2"/>
  <c r="AE140" i="2"/>
  <c r="AE105" i="2"/>
  <c r="S426" i="2"/>
  <c r="S391" i="2"/>
  <c r="AE321" i="2"/>
  <c r="AE283" i="2"/>
  <c r="S321" i="2"/>
  <c r="S178" i="2"/>
  <c r="AQ321" i="2"/>
  <c r="S105" i="2"/>
  <c r="CA140" i="2"/>
  <c r="BO321" i="2"/>
  <c r="AE178" i="2"/>
  <c r="S213" i="2"/>
  <c r="S140" i="2"/>
  <c r="AQ178" i="2"/>
  <c r="S248" i="2"/>
  <c r="AQ140" i="2"/>
  <c r="S70" i="2"/>
  <c r="CA248" i="2"/>
  <c r="BZ153" i="2"/>
  <c r="AP191" i="2"/>
  <c r="R226" i="2"/>
  <c r="AP48" i="2"/>
  <c r="BZ334" i="2"/>
  <c r="AD191" i="2"/>
  <c r="AD118" i="2"/>
  <c r="BB48" i="2"/>
  <c r="BB226" i="2"/>
  <c r="AD48" i="2"/>
  <c r="AP83" i="2"/>
  <c r="AP226" i="2"/>
  <c r="BB404" i="2"/>
  <c r="DJ296" i="2"/>
  <c r="BN83" i="2"/>
  <c r="BN296" i="2"/>
  <c r="CL83" i="2"/>
  <c r="BB334" i="2"/>
  <c r="BN261" i="2"/>
  <c r="BZ83" i="2"/>
  <c r="CL296" i="2"/>
  <c r="CX153" i="2"/>
  <c r="BZ369" i="2"/>
  <c r="CX191" i="2"/>
  <c r="DJ226" i="2"/>
  <c r="CX439" i="2"/>
  <c r="R153" i="2"/>
  <c r="R334" i="2"/>
  <c r="R48" i="2"/>
  <c r="AD296" i="2"/>
  <c r="AP296" i="2"/>
  <c r="BB439" i="2"/>
  <c r="R404" i="2"/>
  <c r="AD83" i="2"/>
  <c r="AD369" i="2"/>
  <c r="AP118" i="2"/>
  <c r="AP261" i="2"/>
  <c r="CX296" i="2"/>
  <c r="BN118" i="2"/>
  <c r="AP369" i="2"/>
  <c r="BN153" i="2"/>
  <c r="BN369" i="2"/>
  <c r="BZ191" i="2"/>
  <c r="CL48" i="2"/>
  <c r="CL334" i="2"/>
  <c r="CL439" i="2"/>
  <c r="BN404" i="2"/>
  <c r="BZ118" i="2"/>
  <c r="BZ404" i="2"/>
  <c r="CL261" i="2"/>
  <c r="CX261" i="2"/>
  <c r="DJ118" i="2"/>
  <c r="DJ261" i="2"/>
  <c r="R118" i="2"/>
  <c r="R83" i="2"/>
  <c r="R261" i="2"/>
  <c r="R439" i="2"/>
  <c r="AP334" i="2"/>
  <c r="BB118" i="2"/>
  <c r="AD226" i="2"/>
  <c r="AD404" i="2"/>
  <c r="BB153" i="2"/>
  <c r="BZ261" i="2"/>
  <c r="BB261" i="2"/>
  <c r="BN439" i="2"/>
  <c r="CX226" i="2"/>
  <c r="BN334" i="2"/>
  <c r="CL191" i="2"/>
  <c r="CX83" i="2"/>
  <c r="CX404" i="2"/>
  <c r="AP439" i="2"/>
  <c r="BZ226" i="2"/>
  <c r="CL404" i="2"/>
  <c r="BZ439" i="2"/>
  <c r="CL153" i="2"/>
  <c r="CX334" i="2"/>
  <c r="DJ369" i="2"/>
  <c r="DJ334" i="2"/>
  <c r="DJ191" i="2"/>
  <c r="DJ439" i="2"/>
  <c r="AD153" i="2"/>
  <c r="R191" i="2"/>
  <c r="AD334" i="2"/>
  <c r="R296" i="2"/>
  <c r="AP404" i="2"/>
  <c r="R369" i="2"/>
  <c r="AD261" i="2"/>
  <c r="AD439" i="2"/>
  <c r="AP153" i="2"/>
  <c r="BB369" i="2"/>
  <c r="CL369" i="2"/>
  <c r="BN48" i="2"/>
  <c r="CX48" i="2"/>
  <c r="BB191" i="2"/>
  <c r="DJ404" i="2"/>
  <c r="BN226" i="2"/>
  <c r="CL226" i="2"/>
  <c r="CX118" i="2"/>
  <c r="DJ83" i="2"/>
  <c r="BB83" i="2"/>
  <c r="BB296" i="2"/>
  <c r="BN191" i="2"/>
  <c r="BZ48" i="2"/>
  <c r="CL118" i="2"/>
  <c r="BZ296" i="2"/>
  <c r="DJ48" i="2"/>
  <c r="CX369" i="2"/>
  <c r="DJ153" i="2"/>
  <c r="E11" i="2"/>
  <c r="F24" i="2"/>
  <c r="A301" i="2"/>
  <c r="A288" i="2"/>
  <c r="A123" i="2"/>
  <c r="A88" i="2"/>
  <c r="A53" i="2"/>
  <c r="A431" i="2"/>
  <c r="A396" i="2"/>
  <c r="A361" i="2"/>
  <c r="A326" i="2"/>
  <c r="A253" i="2"/>
  <c r="A218" i="2"/>
  <c r="A444" i="2"/>
  <c r="A409" i="2"/>
  <c r="A374" i="2"/>
  <c r="A339" i="2"/>
  <c r="A266" i="2"/>
  <c r="A231" i="2"/>
  <c r="A75" i="2"/>
  <c r="A110" i="2"/>
  <c r="A183" i="2"/>
  <c r="A158" i="2"/>
  <c r="A196" i="2"/>
  <c r="A145" i="2"/>
  <c r="F83" i="2"/>
  <c r="F118" i="2"/>
  <c r="G356" i="2"/>
  <c r="G105" i="2"/>
  <c r="G321" i="2"/>
  <c r="G70" i="2"/>
  <c r="G426" i="2"/>
  <c r="G248" i="2"/>
  <c r="G283" i="2"/>
  <c r="G391" i="2"/>
  <c r="G213" i="2"/>
  <c r="G140" i="2"/>
  <c r="G178" i="2"/>
  <c r="F404" i="2"/>
  <c r="F261" i="2"/>
  <c r="F191" i="2"/>
  <c r="F334" i="2"/>
  <c r="F369" i="2"/>
  <c r="F296" i="2"/>
  <c r="F226" i="2"/>
  <c r="F48" i="2"/>
  <c r="F439" i="2"/>
  <c r="A39" i="2"/>
  <c r="H35" i="2"/>
  <c r="DK153" i="2" s="1"/>
  <c r="DE430" i="2" l="1"/>
  <c r="DE373" i="2"/>
  <c r="DE338" i="2"/>
  <c r="DE300" i="2"/>
  <c r="DE265" i="2"/>
  <c r="DE230" i="2"/>
  <c r="DE144" i="2"/>
  <c r="DE443" i="2"/>
  <c r="DE395" i="2"/>
  <c r="DE408" i="2"/>
  <c r="DE287" i="2"/>
  <c r="DE182" i="2"/>
  <c r="DE157" i="2"/>
  <c r="DE109" i="2"/>
  <c r="DE74" i="2"/>
  <c r="DE360" i="2"/>
  <c r="DE325" i="2"/>
  <c r="DE252" i="2"/>
  <c r="DE217" i="2"/>
  <c r="DE195" i="2"/>
  <c r="DE122" i="2"/>
  <c r="DE87" i="2"/>
  <c r="CS338" i="2"/>
  <c r="CS430" i="2"/>
  <c r="CS395" i="2"/>
  <c r="CS360" i="2"/>
  <c r="CS287" i="2"/>
  <c r="CS217" i="2"/>
  <c r="DE52" i="2"/>
  <c r="CS443" i="2"/>
  <c r="CS408" i="2"/>
  <c r="CS373" i="2"/>
  <c r="CS252" i="2"/>
  <c r="CS230" i="2"/>
  <c r="CS182" i="2"/>
  <c r="CS122" i="2"/>
  <c r="CS87" i="2"/>
  <c r="CS325" i="2"/>
  <c r="CS300" i="2"/>
  <c r="CS265" i="2"/>
  <c r="CS195" i="2"/>
  <c r="CS157" i="2"/>
  <c r="CS109" i="2"/>
  <c r="CS52" i="2"/>
  <c r="CG443" i="2"/>
  <c r="CG265" i="2"/>
  <c r="CG217" i="2"/>
  <c r="CG395" i="2"/>
  <c r="CG300" i="2"/>
  <c r="CG230" i="2"/>
  <c r="CS144" i="2"/>
  <c r="CS74" i="2"/>
  <c r="CG408" i="2"/>
  <c r="CG360" i="2"/>
  <c r="CG325" i="2"/>
  <c r="CG182" i="2"/>
  <c r="CG157" i="2"/>
  <c r="CG109" i="2"/>
  <c r="CG430" i="2"/>
  <c r="CG373" i="2"/>
  <c r="CG338" i="2"/>
  <c r="CG287" i="2"/>
  <c r="CG252" i="2"/>
  <c r="CG195" i="2"/>
  <c r="CG122" i="2"/>
  <c r="CG52" i="2"/>
  <c r="BU443" i="2"/>
  <c r="BU373" i="2"/>
  <c r="BU338" i="2"/>
  <c r="BU252" i="2"/>
  <c r="BU122" i="2"/>
  <c r="BU74" i="2"/>
  <c r="CG87" i="2"/>
  <c r="BU395" i="2"/>
  <c r="BU265" i="2"/>
  <c r="BU217" i="2"/>
  <c r="BU182" i="2"/>
  <c r="BU408" i="2"/>
  <c r="BU230" i="2"/>
  <c r="BU195" i="2"/>
  <c r="BU157" i="2"/>
  <c r="CG144" i="2"/>
  <c r="CG74" i="2"/>
  <c r="BU430" i="2"/>
  <c r="BU360" i="2"/>
  <c r="BU325" i="2"/>
  <c r="BU300" i="2"/>
  <c r="BU287" i="2"/>
  <c r="BU144" i="2"/>
  <c r="BU109" i="2"/>
  <c r="BU52" i="2"/>
  <c r="BU87" i="2"/>
  <c r="BI443" i="2"/>
  <c r="BI325" i="2"/>
  <c r="BI157" i="2"/>
  <c r="BI109" i="2"/>
  <c r="AW408" i="2"/>
  <c r="AW360" i="2"/>
  <c r="AW325" i="2"/>
  <c r="BI360" i="2"/>
  <c r="BI338" i="2"/>
  <c r="BI300" i="2"/>
  <c r="BI217" i="2"/>
  <c r="BI122" i="2"/>
  <c r="BI74" i="2"/>
  <c r="BI52" i="2"/>
  <c r="AW430" i="2"/>
  <c r="AW373" i="2"/>
  <c r="AW338" i="2"/>
  <c r="BI395" i="2"/>
  <c r="BI373" i="2"/>
  <c r="BI252" i="2"/>
  <c r="BI230" i="2"/>
  <c r="BI182" i="2"/>
  <c r="BI87" i="2"/>
  <c r="AW443" i="2"/>
  <c r="AW287" i="2"/>
  <c r="AW195" i="2"/>
  <c r="AW157" i="2"/>
  <c r="BI430" i="2"/>
  <c r="BI408" i="2"/>
  <c r="BI287" i="2"/>
  <c r="BI265" i="2"/>
  <c r="BI195" i="2"/>
  <c r="BI144" i="2"/>
  <c r="AW395" i="2"/>
  <c r="AW252" i="2"/>
  <c r="AW230" i="2"/>
  <c r="AW217" i="2"/>
  <c r="AK360" i="2"/>
  <c r="AK338" i="2"/>
  <c r="AK287" i="2"/>
  <c r="AK265" i="2"/>
  <c r="AK74" i="2"/>
  <c r="AW265" i="2"/>
  <c r="AW182" i="2"/>
  <c r="AW74" i="2"/>
  <c r="AK395" i="2"/>
  <c r="AK373" i="2"/>
  <c r="AK300" i="2"/>
  <c r="AK217" i="2"/>
  <c r="AK182" i="2"/>
  <c r="AK144" i="2"/>
  <c r="AK87" i="2"/>
  <c r="AW144" i="2"/>
  <c r="AW109" i="2"/>
  <c r="AW87" i="2"/>
  <c r="AW52" i="2"/>
  <c r="AK430" i="2"/>
  <c r="AK408" i="2"/>
  <c r="AK230" i="2"/>
  <c r="AK195" i="2"/>
  <c r="AK157" i="2"/>
  <c r="AK109" i="2"/>
  <c r="AK52" i="2"/>
  <c r="Y430" i="2"/>
  <c r="Y360" i="2"/>
  <c r="Y300" i="2"/>
  <c r="AW300" i="2"/>
  <c r="AW122" i="2"/>
  <c r="AK443" i="2"/>
  <c r="AK325" i="2"/>
  <c r="AK252" i="2"/>
  <c r="AK122" i="2"/>
  <c r="Y443" i="2"/>
  <c r="Y373" i="2"/>
  <c r="Y325" i="2"/>
  <c r="Y408" i="2"/>
  <c r="Y338" i="2"/>
  <c r="Y217" i="2"/>
  <c r="Y182" i="2"/>
  <c r="Y87" i="2"/>
  <c r="M430" i="2"/>
  <c r="M373" i="2"/>
  <c r="M338" i="2"/>
  <c r="M287" i="2"/>
  <c r="M252" i="2"/>
  <c r="M195" i="2"/>
  <c r="Y230" i="2"/>
  <c r="Y195" i="2"/>
  <c r="Y157" i="2"/>
  <c r="M443" i="2"/>
  <c r="Y395" i="2"/>
  <c r="Y252" i="2"/>
  <c r="Y144" i="2"/>
  <c r="Y109" i="2"/>
  <c r="Y52" i="2"/>
  <c r="M395" i="2"/>
  <c r="M300" i="2"/>
  <c r="M230" i="2"/>
  <c r="M144" i="2"/>
  <c r="M122" i="2"/>
  <c r="Y287" i="2"/>
  <c r="Y265" i="2"/>
  <c r="Y122" i="2"/>
  <c r="Y74" i="2"/>
  <c r="M408" i="2"/>
  <c r="M325" i="2"/>
  <c r="M360" i="2"/>
  <c r="M217" i="2"/>
  <c r="M182" i="2"/>
  <c r="M74" i="2"/>
  <c r="M265" i="2"/>
  <c r="M87" i="2"/>
  <c r="M109" i="2"/>
  <c r="M52" i="2"/>
  <c r="M157" i="2"/>
  <c r="DI24" i="2"/>
  <c r="CW24" i="2"/>
  <c r="BY24" i="2"/>
  <c r="CK24" i="2"/>
  <c r="BM24" i="2"/>
  <c r="BA24" i="2"/>
  <c r="AO24" i="2"/>
  <c r="AC24" i="2"/>
  <c r="Q24" i="2"/>
  <c r="CA226" i="2"/>
  <c r="AE226" i="2"/>
  <c r="S48" i="2"/>
  <c r="BC334" i="2"/>
  <c r="CA191" i="2"/>
  <c r="AQ296" i="2"/>
  <c r="AQ261" i="2"/>
  <c r="S191" i="2"/>
  <c r="S334" i="2"/>
  <c r="CM191" i="2"/>
  <c r="S404" i="2"/>
  <c r="BC118" i="2"/>
  <c r="BO153" i="2"/>
  <c r="BC296" i="2"/>
  <c r="BO191" i="2"/>
  <c r="CM153" i="2"/>
  <c r="BO439" i="2"/>
  <c r="DK404" i="2"/>
  <c r="CM83" i="2"/>
  <c r="BC191" i="2"/>
  <c r="BO226" i="2"/>
  <c r="CA439" i="2"/>
  <c r="CM439" i="2"/>
  <c r="DK83" i="2"/>
  <c r="CY83" i="2"/>
  <c r="CY226" i="2"/>
  <c r="DK118" i="2"/>
  <c r="DK261" i="2"/>
  <c r="AE334" i="2"/>
  <c r="S83" i="2"/>
  <c r="AE261" i="2"/>
  <c r="S118" i="2"/>
  <c r="S226" i="2"/>
  <c r="AQ48" i="2"/>
  <c r="AE153" i="2"/>
  <c r="S439" i="2"/>
  <c r="AQ369" i="2"/>
  <c r="BC226" i="2"/>
  <c r="CA334" i="2"/>
  <c r="BC369" i="2"/>
  <c r="CA261" i="2"/>
  <c r="BC261" i="2"/>
  <c r="BO334" i="2"/>
  <c r="CM226" i="2"/>
  <c r="CA48" i="2"/>
  <c r="BO296" i="2"/>
  <c r="CM296" i="2"/>
  <c r="CY118" i="2"/>
  <c r="CY404" i="2"/>
  <c r="DK439" i="2"/>
  <c r="CY334" i="2"/>
  <c r="DK334" i="2"/>
  <c r="AE439" i="2"/>
  <c r="S261" i="2"/>
  <c r="AE296" i="2"/>
  <c r="CA118" i="2"/>
  <c r="AE369" i="2"/>
  <c r="S369" i="2"/>
  <c r="S153" i="2"/>
  <c r="AQ83" i="2"/>
  <c r="AE191" i="2"/>
  <c r="S296" i="2"/>
  <c r="BC48" i="2"/>
  <c r="CA83" i="2"/>
  <c r="CM48" i="2"/>
  <c r="CA369" i="2"/>
  <c r="CM404" i="2"/>
  <c r="BO48" i="2"/>
  <c r="CM334" i="2"/>
  <c r="BO261" i="2"/>
  <c r="CY261" i="2"/>
  <c r="BO83" i="2"/>
  <c r="BO369" i="2"/>
  <c r="CM261" i="2"/>
  <c r="CY191" i="2"/>
  <c r="DK48" i="2"/>
  <c r="CM369" i="2"/>
  <c r="CY153" i="2"/>
  <c r="CY369" i="2"/>
  <c r="G334" i="2"/>
  <c r="DL321" i="2"/>
  <c r="DL283" i="2"/>
  <c r="DL248" i="2"/>
  <c r="DL105" i="2"/>
  <c r="CZ426" i="2"/>
  <c r="CZ356" i="2"/>
  <c r="CZ321" i="2"/>
  <c r="DL140" i="2"/>
  <c r="CZ213" i="2"/>
  <c r="CZ70" i="2"/>
  <c r="CN356" i="2"/>
  <c r="CN283" i="2"/>
  <c r="CZ140" i="2"/>
  <c r="CN321" i="2"/>
  <c r="CN213" i="2"/>
  <c r="CN70" i="2"/>
  <c r="CB356" i="2"/>
  <c r="CB321" i="2"/>
  <c r="CB248" i="2"/>
  <c r="CB140" i="2"/>
  <c r="BP356" i="2"/>
  <c r="BP213" i="2"/>
  <c r="BP70" i="2"/>
  <c r="BD178" i="2"/>
  <c r="AR391" i="2"/>
  <c r="AR283" i="2"/>
  <c r="DL391" i="2"/>
  <c r="DL356" i="2"/>
  <c r="DL213" i="2"/>
  <c r="CZ248" i="2"/>
  <c r="CN391" i="2"/>
  <c r="CZ283" i="2"/>
  <c r="CZ178" i="2"/>
  <c r="CZ105" i="2"/>
  <c r="CB426" i="2"/>
  <c r="CB70" i="2"/>
  <c r="DL426" i="2"/>
  <c r="CN105" i="2"/>
  <c r="CB213" i="2"/>
  <c r="CB178" i="2"/>
  <c r="CB105" i="2"/>
  <c r="BP321" i="2"/>
  <c r="BP283" i="2"/>
  <c r="BP140" i="2"/>
  <c r="CZ391" i="2"/>
  <c r="CN248" i="2"/>
  <c r="CN178" i="2"/>
  <c r="BP248" i="2"/>
  <c r="BP178" i="2"/>
  <c r="BP105" i="2"/>
  <c r="BD391" i="2"/>
  <c r="BD283" i="2"/>
  <c r="BD105" i="2"/>
  <c r="BD70" i="2"/>
  <c r="DL70" i="2"/>
  <c r="BD426" i="2"/>
  <c r="BD356" i="2"/>
  <c r="DL178" i="2"/>
  <c r="CN426" i="2"/>
  <c r="CB391" i="2"/>
  <c r="CB283" i="2"/>
  <c r="BD321" i="2"/>
  <c r="BD248" i="2"/>
  <c r="BD213" i="2"/>
  <c r="AR356" i="2"/>
  <c r="AF140" i="2"/>
  <c r="AF105" i="2"/>
  <c r="T426" i="2"/>
  <c r="T391" i="2"/>
  <c r="BP426" i="2"/>
  <c r="AR426" i="2"/>
  <c r="AR321" i="2"/>
  <c r="AR178" i="2"/>
  <c r="AF283" i="2"/>
  <c r="AF178" i="2"/>
  <c r="T321" i="2"/>
  <c r="AR213" i="2"/>
  <c r="AR70" i="2"/>
  <c r="T283" i="2"/>
  <c r="T213" i="2"/>
  <c r="T178" i="2"/>
  <c r="T140" i="2"/>
  <c r="T248" i="2"/>
  <c r="AR140" i="2"/>
  <c r="T70" i="2"/>
  <c r="BP391" i="2"/>
  <c r="AF426" i="2"/>
  <c r="AF321" i="2"/>
  <c r="AF213" i="2"/>
  <c r="AF70" i="2"/>
  <c r="CN140" i="2"/>
  <c r="AF391" i="2"/>
  <c r="AF248" i="2"/>
  <c r="AR248" i="2"/>
  <c r="AR105" i="2"/>
  <c r="T356" i="2"/>
  <c r="T105" i="2"/>
  <c r="BD140" i="2"/>
  <c r="AF356" i="2"/>
  <c r="AE83" i="2"/>
  <c r="AE48" i="2"/>
  <c r="AE404" i="2"/>
  <c r="AQ153" i="2"/>
  <c r="AQ118" i="2"/>
  <c r="AQ226" i="2"/>
  <c r="AQ191" i="2"/>
  <c r="AQ439" i="2"/>
  <c r="AE118" i="2"/>
  <c r="BC83" i="2"/>
  <c r="CA153" i="2"/>
  <c r="DK191" i="2"/>
  <c r="BC439" i="2"/>
  <c r="CA404" i="2"/>
  <c r="AQ334" i="2"/>
  <c r="BO118" i="2"/>
  <c r="BC404" i="2"/>
  <c r="BO404" i="2"/>
  <c r="CM118" i="2"/>
  <c r="DK226" i="2"/>
  <c r="DK369" i="2"/>
  <c r="AQ404" i="2"/>
  <c r="BC153" i="2"/>
  <c r="CA296" i="2"/>
  <c r="CY48" i="2"/>
  <c r="CY296" i="2"/>
  <c r="DK296" i="2"/>
  <c r="CY439" i="2"/>
  <c r="D11" i="2"/>
  <c r="E24" i="2"/>
  <c r="A287" i="2"/>
  <c r="A443" i="2"/>
  <c r="A408" i="2"/>
  <c r="A373" i="2"/>
  <c r="A338" i="2"/>
  <c r="A265" i="2"/>
  <c r="A230" i="2"/>
  <c r="A122" i="2"/>
  <c r="A87" i="2"/>
  <c r="A52" i="2"/>
  <c r="A300" i="2"/>
  <c r="A252" i="2"/>
  <c r="A74" i="2"/>
  <c r="A325" i="2"/>
  <c r="A430" i="2"/>
  <c r="A360" i="2"/>
  <c r="A109" i="2"/>
  <c r="A395" i="2"/>
  <c r="A217" i="2"/>
  <c r="A144" i="2"/>
  <c r="A182" i="2"/>
  <c r="A157" i="2"/>
  <c r="A195" i="2"/>
  <c r="G369" i="2"/>
  <c r="G296" i="2"/>
  <c r="H321" i="2"/>
  <c r="H70" i="2"/>
  <c r="H426" i="2"/>
  <c r="H248" i="2"/>
  <c r="H283" i="2"/>
  <c r="H391" i="2"/>
  <c r="H213" i="2"/>
  <c r="H356" i="2"/>
  <c r="H105" i="2"/>
  <c r="H140" i="2"/>
  <c r="H178" i="2"/>
  <c r="G191" i="2"/>
  <c r="G226" i="2"/>
  <c r="G48" i="2"/>
  <c r="G439" i="2"/>
  <c r="G118" i="2"/>
  <c r="G153" i="2"/>
  <c r="G83" i="2"/>
  <c r="G404" i="2"/>
  <c r="G261" i="2"/>
  <c r="I35" i="2"/>
  <c r="DL226" i="2" s="1"/>
  <c r="A38" i="2"/>
  <c r="DE372" i="2" l="1"/>
  <c r="DE359" i="2"/>
  <c r="DE337" i="2"/>
  <c r="DE324" i="2"/>
  <c r="DE264" i="2"/>
  <c r="DE251" i="2"/>
  <c r="DE229" i="2"/>
  <c r="DE216" i="2"/>
  <c r="DE442" i="2"/>
  <c r="DE429" i="2"/>
  <c r="DE156" i="2"/>
  <c r="DE143" i="2"/>
  <c r="DE407" i="2"/>
  <c r="DE394" i="2"/>
  <c r="DE299" i="2"/>
  <c r="DE286" i="2"/>
  <c r="DE194" i="2"/>
  <c r="DE181" i="2"/>
  <c r="DE121" i="2"/>
  <c r="DE108" i="2"/>
  <c r="DE86" i="2"/>
  <c r="DE73" i="2"/>
  <c r="CS337" i="2"/>
  <c r="CS324" i="2"/>
  <c r="DE51" i="2"/>
  <c r="CS442" i="2"/>
  <c r="CS429" i="2"/>
  <c r="CS407" i="2"/>
  <c r="CS394" i="2"/>
  <c r="CS372" i="2"/>
  <c r="CS359" i="2"/>
  <c r="CS299" i="2"/>
  <c r="CS286" i="2"/>
  <c r="CS229" i="2"/>
  <c r="CS216" i="2"/>
  <c r="CS156" i="2"/>
  <c r="CS143" i="2"/>
  <c r="CS121" i="2"/>
  <c r="CS108" i="2"/>
  <c r="CS86" i="2"/>
  <c r="CS73" i="2"/>
  <c r="CS264" i="2"/>
  <c r="CS251" i="2"/>
  <c r="CS194" i="2"/>
  <c r="CS181" i="2"/>
  <c r="CS51" i="2"/>
  <c r="CG442" i="2"/>
  <c r="CG429" i="2"/>
  <c r="CG286" i="2"/>
  <c r="CG264" i="2"/>
  <c r="CG251" i="2"/>
  <c r="CG156" i="2"/>
  <c r="CG229" i="2"/>
  <c r="CG216" i="2"/>
  <c r="CG407" i="2"/>
  <c r="CG394" i="2"/>
  <c r="CG143" i="2"/>
  <c r="CG372" i="2"/>
  <c r="CG359" i="2"/>
  <c r="CG337" i="2"/>
  <c r="CG324" i="2"/>
  <c r="CG299" i="2"/>
  <c r="CG194" i="2"/>
  <c r="CG181" i="2"/>
  <c r="CG121" i="2"/>
  <c r="CG108" i="2"/>
  <c r="CG51" i="2"/>
  <c r="CG73" i="2"/>
  <c r="BU442" i="2"/>
  <c r="BU429" i="2"/>
  <c r="BU372" i="2"/>
  <c r="BU359" i="2"/>
  <c r="BU337" i="2"/>
  <c r="BU324" i="2"/>
  <c r="BU286" i="2"/>
  <c r="BU143" i="2"/>
  <c r="BU121" i="2"/>
  <c r="BU108" i="2"/>
  <c r="CG86" i="2"/>
  <c r="BU264" i="2"/>
  <c r="BU251" i="2"/>
  <c r="BU407" i="2"/>
  <c r="BU394" i="2"/>
  <c r="BU299" i="2"/>
  <c r="BU229" i="2"/>
  <c r="BU216" i="2"/>
  <c r="BU194" i="2"/>
  <c r="BU181" i="2"/>
  <c r="BU156" i="2"/>
  <c r="BU51" i="2"/>
  <c r="BU86" i="2"/>
  <c r="BU73" i="2"/>
  <c r="BI442" i="2"/>
  <c r="BI429" i="2"/>
  <c r="BI286" i="2"/>
  <c r="BI143" i="2"/>
  <c r="AW407" i="2"/>
  <c r="AW394" i="2"/>
  <c r="BI337" i="2"/>
  <c r="BI324" i="2"/>
  <c r="BI121" i="2"/>
  <c r="BI108" i="2"/>
  <c r="BI51" i="2"/>
  <c r="AW372" i="2"/>
  <c r="AW359" i="2"/>
  <c r="AW337" i="2"/>
  <c r="AW324" i="2"/>
  <c r="BI372" i="2"/>
  <c r="BI359" i="2"/>
  <c r="BI229" i="2"/>
  <c r="BI216" i="2"/>
  <c r="BI86" i="2"/>
  <c r="BI73" i="2"/>
  <c r="AW442" i="2"/>
  <c r="AW429" i="2"/>
  <c r="AW299" i="2"/>
  <c r="AW194" i="2"/>
  <c r="AW181" i="2"/>
  <c r="BI407" i="2"/>
  <c r="BI394" i="2"/>
  <c r="BI299" i="2"/>
  <c r="BI264" i="2"/>
  <c r="BI251" i="2"/>
  <c r="BI194" i="2"/>
  <c r="BI181" i="2"/>
  <c r="BI156" i="2"/>
  <c r="AW286" i="2"/>
  <c r="AW229" i="2"/>
  <c r="AW156" i="2"/>
  <c r="AK337" i="2"/>
  <c r="AK324" i="2"/>
  <c r="AK264" i="2"/>
  <c r="AK251" i="2"/>
  <c r="AW264" i="2"/>
  <c r="AW251" i="2"/>
  <c r="AW216" i="2"/>
  <c r="AK372" i="2"/>
  <c r="AK359" i="2"/>
  <c r="AK286" i="2"/>
  <c r="AK156" i="2"/>
  <c r="AK86" i="2"/>
  <c r="AK73" i="2"/>
  <c r="AW86" i="2"/>
  <c r="AW73" i="2"/>
  <c r="AW51" i="2"/>
  <c r="AK407" i="2"/>
  <c r="AK394" i="2"/>
  <c r="AK229" i="2"/>
  <c r="AK216" i="2"/>
  <c r="AK194" i="2"/>
  <c r="AK181" i="2"/>
  <c r="AK143" i="2"/>
  <c r="AK51" i="2"/>
  <c r="AW143" i="2"/>
  <c r="AW121" i="2"/>
  <c r="AW108" i="2"/>
  <c r="AK442" i="2"/>
  <c r="AK429" i="2"/>
  <c r="AK299" i="2"/>
  <c r="AK121" i="2"/>
  <c r="AK108" i="2"/>
  <c r="Y442" i="2"/>
  <c r="Y429" i="2"/>
  <c r="Y372" i="2"/>
  <c r="Y359" i="2"/>
  <c r="Y407" i="2"/>
  <c r="Y337" i="2"/>
  <c r="Y286" i="2"/>
  <c r="Y156" i="2"/>
  <c r="Y86" i="2"/>
  <c r="Y73" i="2"/>
  <c r="M372" i="2"/>
  <c r="M359" i="2"/>
  <c r="M337" i="2"/>
  <c r="M324" i="2"/>
  <c r="M299" i="2"/>
  <c r="M194" i="2"/>
  <c r="M181" i="2"/>
  <c r="M156" i="2"/>
  <c r="Y229" i="2"/>
  <c r="Y216" i="2"/>
  <c r="Y194" i="2"/>
  <c r="Y181" i="2"/>
  <c r="M442" i="2"/>
  <c r="M429" i="2"/>
  <c r="Y299" i="2"/>
  <c r="Y51" i="2"/>
  <c r="M229" i="2"/>
  <c r="M216" i="2"/>
  <c r="M121" i="2"/>
  <c r="M108" i="2"/>
  <c r="Y394" i="2"/>
  <c r="Y324" i="2"/>
  <c r="Y264" i="2"/>
  <c r="Y251" i="2"/>
  <c r="Y143" i="2"/>
  <c r="Y121" i="2"/>
  <c r="Y108" i="2"/>
  <c r="M407" i="2"/>
  <c r="M394" i="2"/>
  <c r="M286" i="2"/>
  <c r="M251" i="2"/>
  <c r="M143" i="2"/>
  <c r="M264" i="2"/>
  <c r="M86" i="2"/>
  <c r="M73" i="2"/>
  <c r="M51" i="2"/>
  <c r="DH24" i="2"/>
  <c r="CV24" i="2"/>
  <c r="CJ24" i="2"/>
  <c r="BX24" i="2"/>
  <c r="BL24" i="2"/>
  <c r="AZ24" i="2"/>
  <c r="AN24" i="2"/>
  <c r="AB24" i="2"/>
  <c r="P24" i="2"/>
  <c r="BD118" i="2"/>
  <c r="AF369" i="2"/>
  <c r="BD83" i="2"/>
  <c r="AR83" i="2"/>
  <c r="T296" i="2"/>
  <c r="AF83" i="2"/>
  <c r="AF439" i="2"/>
  <c r="T83" i="2"/>
  <c r="T153" i="2"/>
  <c r="AF404" i="2"/>
  <c r="BD153" i="2"/>
  <c r="AF296" i="2"/>
  <c r="AR191" i="2"/>
  <c r="CB226" i="2"/>
  <c r="BP83" i="2"/>
  <c r="AR404" i="2"/>
  <c r="CN83" i="2"/>
  <c r="DL153" i="2"/>
  <c r="BP191" i="2"/>
  <c r="CB369" i="2"/>
  <c r="CZ153" i="2"/>
  <c r="BP369" i="2"/>
  <c r="CZ369" i="2"/>
  <c r="AR369" i="2"/>
  <c r="BD226" i="2"/>
  <c r="BP118" i="2"/>
  <c r="CN153" i="2"/>
  <c r="CZ83" i="2"/>
  <c r="CN439" i="2"/>
  <c r="DL261" i="2"/>
  <c r="DL83" i="2"/>
  <c r="CB439" i="2"/>
  <c r="AR118" i="2"/>
  <c r="AF118" i="2"/>
  <c r="T118" i="2"/>
  <c r="T439" i="2"/>
  <c r="AF334" i="2"/>
  <c r="T334" i="2"/>
  <c r="AR334" i="2"/>
  <c r="BD334" i="2"/>
  <c r="BP153" i="2"/>
  <c r="AR439" i="2"/>
  <c r="BD296" i="2"/>
  <c r="DL191" i="2"/>
  <c r="CZ191" i="2"/>
  <c r="BP404" i="2"/>
  <c r="CN226" i="2"/>
  <c r="CZ439" i="2"/>
  <c r="BD369" i="2"/>
  <c r="CB153" i="2"/>
  <c r="CN191" i="2"/>
  <c r="CN296" i="2"/>
  <c r="DL439" i="2"/>
  <c r="H439" i="2"/>
  <c r="DM391" i="2"/>
  <c r="DM356" i="2"/>
  <c r="DM213" i="2"/>
  <c r="DM70" i="2"/>
  <c r="DA391" i="2"/>
  <c r="DM426" i="2"/>
  <c r="DA356" i="2"/>
  <c r="DA321" i="2"/>
  <c r="CO426" i="2"/>
  <c r="CO391" i="2"/>
  <c r="CC321" i="2"/>
  <c r="DM283" i="2"/>
  <c r="DM140" i="2"/>
  <c r="DA248" i="2"/>
  <c r="CO105" i="2"/>
  <c r="CC391" i="2"/>
  <c r="CC283" i="2"/>
  <c r="CC178" i="2"/>
  <c r="BQ321" i="2"/>
  <c r="BQ283" i="2"/>
  <c r="BQ140" i="2"/>
  <c r="BQ105" i="2"/>
  <c r="BE356" i="2"/>
  <c r="BE213" i="2"/>
  <c r="AS356" i="2"/>
  <c r="DM178" i="2"/>
  <c r="DA283" i="2"/>
  <c r="DA178" i="2"/>
  <c r="DA105" i="2"/>
  <c r="DA70" i="2"/>
  <c r="CO248" i="2"/>
  <c r="DA426" i="2"/>
  <c r="CO70" i="2"/>
  <c r="CC213" i="2"/>
  <c r="CC105" i="2"/>
  <c r="DM105" i="2"/>
  <c r="CO321" i="2"/>
  <c r="CO283" i="2"/>
  <c r="CO213" i="2"/>
  <c r="CO140" i="2"/>
  <c r="BQ356" i="2"/>
  <c r="BQ213" i="2"/>
  <c r="BQ70" i="2"/>
  <c r="BE321" i="2"/>
  <c r="DM248" i="2"/>
  <c r="DA213" i="2"/>
  <c r="CO356" i="2"/>
  <c r="DA140" i="2"/>
  <c r="CC70" i="2"/>
  <c r="BE426" i="2"/>
  <c r="BE178" i="2"/>
  <c r="CC426" i="2"/>
  <c r="BE248" i="2"/>
  <c r="DM321" i="2"/>
  <c r="CC356" i="2"/>
  <c r="CC248" i="2"/>
  <c r="CC140" i="2"/>
  <c r="BQ426" i="2"/>
  <c r="BQ391" i="2"/>
  <c r="BE105" i="2"/>
  <c r="BE70" i="2"/>
  <c r="AS426" i="2"/>
  <c r="AS391" i="2"/>
  <c r="AS321" i="2"/>
  <c r="AS283" i="2"/>
  <c r="AS178" i="2"/>
  <c r="AG283" i="2"/>
  <c r="AG178" i="2"/>
  <c r="U321" i="2"/>
  <c r="CO178" i="2"/>
  <c r="BQ178" i="2"/>
  <c r="BE391" i="2"/>
  <c r="BE283" i="2"/>
  <c r="BE140" i="2"/>
  <c r="AS140" i="2"/>
  <c r="AG321" i="2"/>
  <c r="AG391" i="2"/>
  <c r="AG248" i="2"/>
  <c r="AG140" i="2"/>
  <c r="U391" i="2"/>
  <c r="U248" i="2"/>
  <c r="U356" i="2"/>
  <c r="U105" i="2"/>
  <c r="AG426" i="2"/>
  <c r="AG356" i="2"/>
  <c r="AG213" i="2"/>
  <c r="AS213" i="2"/>
  <c r="AS70" i="2"/>
  <c r="U426" i="2"/>
  <c r="U213" i="2"/>
  <c r="U178" i="2"/>
  <c r="U140" i="2"/>
  <c r="AS248" i="2"/>
  <c r="AS105" i="2"/>
  <c r="AG105" i="2"/>
  <c r="U70" i="2"/>
  <c r="AG70" i="2"/>
  <c r="BQ248" i="2"/>
  <c r="U283" i="2"/>
  <c r="AR226" i="2"/>
  <c r="T369" i="2"/>
  <c r="T191" i="2"/>
  <c r="T226" i="2"/>
  <c r="T404" i="2"/>
  <c r="AR261" i="2"/>
  <c r="AF226" i="2"/>
  <c r="AR153" i="2"/>
  <c r="AF48" i="2"/>
  <c r="AR48" i="2"/>
  <c r="BD191" i="2"/>
  <c r="AF153" i="2"/>
  <c r="BP226" i="2"/>
  <c r="CB296" i="2"/>
  <c r="BP296" i="2"/>
  <c r="BD439" i="2"/>
  <c r="CZ48" i="2"/>
  <c r="BP439" i="2"/>
  <c r="CN118" i="2"/>
  <c r="CZ226" i="2"/>
  <c r="CN334" i="2"/>
  <c r="CZ296" i="2"/>
  <c r="DL118" i="2"/>
  <c r="BD48" i="2"/>
  <c r="BP48" i="2"/>
  <c r="BP334" i="2"/>
  <c r="CB191" i="2"/>
  <c r="CN48" i="2"/>
  <c r="DL334" i="2"/>
  <c r="CZ404" i="2"/>
  <c r="DL369" i="2"/>
  <c r="DL296" i="2"/>
  <c r="BD404" i="2"/>
  <c r="T48" i="2"/>
  <c r="T261" i="2"/>
  <c r="AF261" i="2"/>
  <c r="BD261" i="2"/>
  <c r="AF191" i="2"/>
  <c r="CB118" i="2"/>
  <c r="CB404" i="2"/>
  <c r="CB83" i="2"/>
  <c r="CB261" i="2"/>
  <c r="CZ118" i="2"/>
  <c r="BP261" i="2"/>
  <c r="CB48" i="2"/>
  <c r="CN261" i="2"/>
  <c r="CZ261" i="2"/>
  <c r="CN369" i="2"/>
  <c r="CZ334" i="2"/>
  <c r="AR296" i="2"/>
  <c r="CB334" i="2"/>
  <c r="CN404" i="2"/>
  <c r="DL48" i="2"/>
  <c r="DL404" i="2"/>
  <c r="C11" i="2"/>
  <c r="D24" i="2"/>
  <c r="A442" i="2"/>
  <c r="A429" i="2"/>
  <c r="A407" i="2"/>
  <c r="A394" i="2"/>
  <c r="A372" i="2"/>
  <c r="A359" i="2"/>
  <c r="A337" i="2"/>
  <c r="A324" i="2"/>
  <c r="A264" i="2"/>
  <c r="A251" i="2"/>
  <c r="A229" i="2"/>
  <c r="A216" i="2"/>
  <c r="A121" i="2"/>
  <c r="A108" i="2"/>
  <c r="A86" i="2"/>
  <c r="A73" i="2"/>
  <c r="A51" i="2"/>
  <c r="A299" i="2"/>
  <c r="A286" i="2"/>
  <c r="A194" i="2"/>
  <c r="A143" i="2"/>
  <c r="A181" i="2"/>
  <c r="A156" i="2"/>
  <c r="H334" i="2"/>
  <c r="H369" i="2"/>
  <c r="H296" i="2"/>
  <c r="H226" i="2"/>
  <c r="H48" i="2"/>
  <c r="I426" i="2"/>
  <c r="I248" i="2"/>
  <c r="I283" i="2"/>
  <c r="I391" i="2"/>
  <c r="I213" i="2"/>
  <c r="I356" i="2"/>
  <c r="I105" i="2"/>
  <c r="I321" i="2"/>
  <c r="I70" i="2"/>
  <c r="I178" i="2"/>
  <c r="I140" i="2"/>
  <c r="H83" i="2"/>
  <c r="H118" i="2"/>
  <c r="H153" i="2"/>
  <c r="H191" i="2"/>
  <c r="H404" i="2"/>
  <c r="H261" i="2"/>
  <c r="A37" i="2"/>
  <c r="J35" i="2"/>
  <c r="U191" i="2" s="1"/>
  <c r="C19" i="2" l="1"/>
  <c r="C20" i="2"/>
  <c r="C15" i="2"/>
  <c r="L19" i="2"/>
  <c r="L15" i="2"/>
  <c r="K19" i="2"/>
  <c r="K20" i="2"/>
  <c r="K15" i="2"/>
  <c r="L20" i="2"/>
  <c r="J20" i="2"/>
  <c r="J19" i="2"/>
  <c r="J15" i="2"/>
  <c r="I19" i="2"/>
  <c r="I20" i="2"/>
  <c r="I15" i="2"/>
  <c r="H20" i="2"/>
  <c r="H19" i="2"/>
  <c r="H15" i="2"/>
  <c r="G20" i="2"/>
  <c r="G19" i="2"/>
  <c r="G15" i="2"/>
  <c r="F19" i="2"/>
  <c r="F20" i="2"/>
  <c r="F15" i="2"/>
  <c r="E19" i="2"/>
  <c r="E20" i="2"/>
  <c r="E15" i="2"/>
  <c r="D15" i="2"/>
  <c r="D20" i="2"/>
  <c r="D19" i="2"/>
  <c r="CO153" i="2"/>
  <c r="C24" i="2"/>
  <c r="DG24" i="2"/>
  <c r="CU24" i="2"/>
  <c r="CI24" i="2"/>
  <c r="BW24" i="2"/>
  <c r="BK24" i="2"/>
  <c r="AY24" i="2"/>
  <c r="AA24" i="2"/>
  <c r="AM24" i="2"/>
  <c r="O24" i="2"/>
  <c r="DE193" i="2"/>
  <c r="DE180" i="2"/>
  <c r="DE371" i="2"/>
  <c r="DE358" i="2"/>
  <c r="DE336" i="2"/>
  <c r="DE323" i="2"/>
  <c r="DE298" i="2"/>
  <c r="DE285" i="2"/>
  <c r="DE263" i="2"/>
  <c r="DE250" i="2"/>
  <c r="DE228" i="2"/>
  <c r="DE215" i="2"/>
  <c r="DE441" i="2"/>
  <c r="DE428" i="2"/>
  <c r="DE155" i="2"/>
  <c r="DE406" i="2"/>
  <c r="DE393" i="2"/>
  <c r="DE142" i="2"/>
  <c r="CS285" i="2"/>
  <c r="CS263" i="2"/>
  <c r="CS250" i="2"/>
  <c r="DE107" i="2"/>
  <c r="DE85" i="2"/>
  <c r="CS336" i="2"/>
  <c r="CS323" i="2"/>
  <c r="CS298" i="2"/>
  <c r="DE120" i="2"/>
  <c r="DE72" i="2"/>
  <c r="DE50" i="2"/>
  <c r="CS441" i="2"/>
  <c r="CS428" i="2"/>
  <c r="CS406" i="2"/>
  <c r="CS393" i="2"/>
  <c r="CS371" i="2"/>
  <c r="CS358" i="2"/>
  <c r="CS228" i="2"/>
  <c r="CS215" i="2"/>
  <c r="CS120" i="2"/>
  <c r="CS180" i="2"/>
  <c r="CS142" i="2"/>
  <c r="CG371" i="2"/>
  <c r="CG358" i="2"/>
  <c r="CG336" i="2"/>
  <c r="CG323" i="2"/>
  <c r="CG193" i="2"/>
  <c r="CG180" i="2"/>
  <c r="CS155" i="2"/>
  <c r="CS107" i="2"/>
  <c r="CS50" i="2"/>
  <c r="CG441" i="2"/>
  <c r="CG428" i="2"/>
  <c r="CG263" i="2"/>
  <c r="CG250" i="2"/>
  <c r="CS193" i="2"/>
  <c r="CS85" i="2"/>
  <c r="CG298" i="2"/>
  <c r="CG285" i="2"/>
  <c r="CG228" i="2"/>
  <c r="CG215" i="2"/>
  <c r="CG85" i="2"/>
  <c r="CG72" i="2"/>
  <c r="CS72" i="2"/>
  <c r="CG406" i="2"/>
  <c r="CG393" i="2"/>
  <c r="CG155" i="2"/>
  <c r="CG142" i="2"/>
  <c r="CG120" i="2"/>
  <c r="BU441" i="2"/>
  <c r="BU428" i="2"/>
  <c r="BU371" i="2"/>
  <c r="BU358" i="2"/>
  <c r="BU336" i="2"/>
  <c r="BU323" i="2"/>
  <c r="BU298" i="2"/>
  <c r="CG50" i="2"/>
  <c r="BU285" i="2"/>
  <c r="BU263" i="2"/>
  <c r="BU250" i="2"/>
  <c r="BU155" i="2"/>
  <c r="BU142" i="2"/>
  <c r="BU85" i="2"/>
  <c r="BU72" i="2"/>
  <c r="CG107" i="2"/>
  <c r="BU406" i="2"/>
  <c r="BU393" i="2"/>
  <c r="BU228" i="2"/>
  <c r="BU215" i="2"/>
  <c r="BU193" i="2"/>
  <c r="BU180" i="2"/>
  <c r="BU50" i="2"/>
  <c r="BI406" i="2"/>
  <c r="BI393" i="2"/>
  <c r="BI263" i="2"/>
  <c r="BI250" i="2"/>
  <c r="BI193" i="2"/>
  <c r="BI180" i="2"/>
  <c r="BI441" i="2"/>
  <c r="BI428" i="2"/>
  <c r="AW406" i="2"/>
  <c r="AW393" i="2"/>
  <c r="AW298" i="2"/>
  <c r="AW285" i="2"/>
  <c r="AW263" i="2"/>
  <c r="AW250" i="2"/>
  <c r="BU120" i="2"/>
  <c r="BU107" i="2"/>
  <c r="BI336" i="2"/>
  <c r="BI323" i="2"/>
  <c r="BI298" i="2"/>
  <c r="BI285" i="2"/>
  <c r="BI155" i="2"/>
  <c r="BI142" i="2"/>
  <c r="BI120" i="2"/>
  <c r="BI107" i="2"/>
  <c r="BI50" i="2"/>
  <c r="AW371" i="2"/>
  <c r="AW358" i="2"/>
  <c r="AW336" i="2"/>
  <c r="AW323" i="2"/>
  <c r="AW228" i="2"/>
  <c r="AW215" i="2"/>
  <c r="BI371" i="2"/>
  <c r="BI358" i="2"/>
  <c r="BI228" i="2"/>
  <c r="BI215" i="2"/>
  <c r="BI85" i="2"/>
  <c r="BI72" i="2"/>
  <c r="AW441" i="2"/>
  <c r="AW428" i="2"/>
  <c r="AW120" i="2"/>
  <c r="AW107" i="2"/>
  <c r="AK441" i="2"/>
  <c r="AK428" i="2"/>
  <c r="AK155" i="2"/>
  <c r="AK142" i="2"/>
  <c r="AK120" i="2"/>
  <c r="AK107" i="2"/>
  <c r="AW193" i="2"/>
  <c r="AW142" i="2"/>
  <c r="AK336" i="2"/>
  <c r="AK323" i="2"/>
  <c r="AK263" i="2"/>
  <c r="AK250" i="2"/>
  <c r="AW180" i="2"/>
  <c r="AK371" i="2"/>
  <c r="AK358" i="2"/>
  <c r="AK298" i="2"/>
  <c r="AK85" i="2"/>
  <c r="AK72" i="2"/>
  <c r="Y406" i="2"/>
  <c r="Y393" i="2"/>
  <c r="AW155" i="2"/>
  <c r="AW85" i="2"/>
  <c r="AW72" i="2"/>
  <c r="AW50" i="2"/>
  <c r="AK406" i="2"/>
  <c r="AK393" i="2"/>
  <c r="AK285" i="2"/>
  <c r="AK228" i="2"/>
  <c r="AK215" i="2"/>
  <c r="AK193" i="2"/>
  <c r="AK180" i="2"/>
  <c r="AK50" i="2"/>
  <c r="Y298" i="2"/>
  <c r="Y441" i="2"/>
  <c r="Y323" i="2"/>
  <c r="Y263" i="2"/>
  <c r="Y250" i="2"/>
  <c r="Y120" i="2"/>
  <c r="Y107" i="2"/>
  <c r="M406" i="2"/>
  <c r="M393" i="2"/>
  <c r="Y371" i="2"/>
  <c r="Y336" i="2"/>
  <c r="Y155" i="2"/>
  <c r="Y142" i="2"/>
  <c r="Y85" i="2"/>
  <c r="Y72" i="2"/>
  <c r="M371" i="2"/>
  <c r="M358" i="2"/>
  <c r="M336" i="2"/>
  <c r="M323" i="2"/>
  <c r="Y428" i="2"/>
  <c r="Y285" i="2"/>
  <c r="Y228" i="2"/>
  <c r="Y215" i="2"/>
  <c r="Y193" i="2"/>
  <c r="Y180" i="2"/>
  <c r="M441" i="2"/>
  <c r="M428" i="2"/>
  <c r="M263" i="2"/>
  <c r="M250" i="2"/>
  <c r="Y358" i="2"/>
  <c r="Y50" i="2"/>
  <c r="M298" i="2"/>
  <c r="M107" i="2"/>
  <c r="M50" i="2"/>
  <c r="M285" i="2"/>
  <c r="M215" i="2"/>
  <c r="M180" i="2"/>
  <c r="M155" i="2"/>
  <c r="M142" i="2"/>
  <c r="M120" i="2"/>
  <c r="M228" i="2"/>
  <c r="M193" i="2"/>
  <c r="M85" i="2"/>
  <c r="M72" i="2"/>
  <c r="I404" i="2"/>
  <c r="DN391" i="2"/>
  <c r="DN356" i="2"/>
  <c r="DN213" i="2"/>
  <c r="DN70" i="2"/>
  <c r="DB391" i="2"/>
  <c r="DN426" i="2"/>
  <c r="DN178" i="2"/>
  <c r="DN140" i="2"/>
  <c r="DN105" i="2"/>
  <c r="DB426" i="2"/>
  <c r="DB105" i="2"/>
  <c r="CP321" i="2"/>
  <c r="CP213" i="2"/>
  <c r="CP178" i="2"/>
  <c r="CP140" i="2"/>
  <c r="CP105" i="2"/>
  <c r="CP70" i="2"/>
  <c r="CD283" i="2"/>
  <c r="CD248" i="2"/>
  <c r="DB321" i="2"/>
  <c r="DB283" i="2"/>
  <c r="DB178" i="2"/>
  <c r="DB70" i="2"/>
  <c r="CP391" i="2"/>
  <c r="CP248" i="2"/>
  <c r="CD426" i="2"/>
  <c r="BR426" i="2"/>
  <c r="BF426" i="2"/>
  <c r="BF391" i="2"/>
  <c r="BF283" i="2"/>
  <c r="BF248" i="2"/>
  <c r="BF105" i="2"/>
  <c r="AT321" i="2"/>
  <c r="DN321" i="2"/>
  <c r="CP426" i="2"/>
  <c r="CP356" i="2"/>
  <c r="CP283" i="2"/>
  <c r="CD178" i="2"/>
  <c r="BR356" i="2"/>
  <c r="BR321" i="2"/>
  <c r="BR283" i="2"/>
  <c r="DN248" i="2"/>
  <c r="DB213" i="2"/>
  <c r="DB140" i="2"/>
  <c r="CD356" i="2"/>
  <c r="CD140" i="2"/>
  <c r="BR391" i="2"/>
  <c r="BR248" i="2"/>
  <c r="DN283" i="2"/>
  <c r="DB356" i="2"/>
  <c r="BR70" i="2"/>
  <c r="BF356" i="2"/>
  <c r="BF140" i="2"/>
  <c r="AT391" i="2"/>
  <c r="AT356" i="2"/>
  <c r="AT283" i="2"/>
  <c r="CD391" i="2"/>
  <c r="CD213" i="2"/>
  <c r="CD105" i="2"/>
  <c r="BR213" i="2"/>
  <c r="BR140" i="2"/>
  <c r="BF321" i="2"/>
  <c r="DB248" i="2"/>
  <c r="BR178" i="2"/>
  <c r="BF178" i="2"/>
  <c r="AT140" i="2"/>
  <c r="AH321" i="2"/>
  <c r="AT248" i="2"/>
  <c r="AT213" i="2"/>
  <c r="AT105" i="2"/>
  <c r="AT70" i="2"/>
  <c r="AH426" i="2"/>
  <c r="AH391" i="2"/>
  <c r="AH356" i="2"/>
  <c r="AH248" i="2"/>
  <c r="AH213" i="2"/>
  <c r="AH70" i="2"/>
  <c r="V356" i="2"/>
  <c r="V283" i="2"/>
  <c r="BF213" i="2"/>
  <c r="AT426" i="2"/>
  <c r="AH178" i="2"/>
  <c r="AH105" i="2"/>
  <c r="V105" i="2"/>
  <c r="V70" i="2"/>
  <c r="BF70" i="2"/>
  <c r="V426" i="2"/>
  <c r="BR105" i="2"/>
  <c r="AH283" i="2"/>
  <c r="AH140" i="2"/>
  <c r="V391" i="2"/>
  <c r="V321" i="2"/>
  <c r="CD321" i="2"/>
  <c r="AT178" i="2"/>
  <c r="V213" i="2"/>
  <c r="V178" i="2"/>
  <c r="V140" i="2"/>
  <c r="V248" i="2"/>
  <c r="CD70" i="2"/>
  <c r="U153" i="2"/>
  <c r="AG191" i="2"/>
  <c r="U439" i="2"/>
  <c r="AG153" i="2"/>
  <c r="AS191" i="2"/>
  <c r="U83" i="2"/>
  <c r="U334" i="2"/>
  <c r="BQ48" i="2"/>
  <c r="AG226" i="2"/>
  <c r="AG404" i="2"/>
  <c r="AS404" i="2"/>
  <c r="CC439" i="2"/>
  <c r="DM334" i="2"/>
  <c r="BE83" i="2"/>
  <c r="BE334" i="2"/>
  <c r="BQ404" i="2"/>
  <c r="CO404" i="2"/>
  <c r="CC118" i="2"/>
  <c r="CC404" i="2"/>
  <c r="CC369" i="2"/>
  <c r="DM118" i="2"/>
  <c r="CC261" i="2"/>
  <c r="CO118" i="2"/>
  <c r="DA404" i="2"/>
  <c r="DM369" i="2"/>
  <c r="U118" i="2"/>
  <c r="U369" i="2"/>
  <c r="AG261" i="2"/>
  <c r="AG439" i="2"/>
  <c r="AS153" i="2"/>
  <c r="U261" i="2"/>
  <c r="AG296" i="2"/>
  <c r="BE191" i="2"/>
  <c r="CC191" i="2"/>
  <c r="CO439" i="2"/>
  <c r="CO261" i="2"/>
  <c r="BE153" i="2"/>
  <c r="CC48" i="2"/>
  <c r="BE296" i="2"/>
  <c r="BQ118" i="2"/>
  <c r="CC153" i="2"/>
  <c r="BE118" i="2"/>
  <c r="BE404" i="2"/>
  <c r="BQ153" i="2"/>
  <c r="BQ439" i="2"/>
  <c r="DA296" i="2"/>
  <c r="CO191" i="2"/>
  <c r="DA369" i="2"/>
  <c r="DM48" i="2"/>
  <c r="DM404" i="2"/>
  <c r="U404" i="2"/>
  <c r="AS369" i="2"/>
  <c r="AG48" i="2"/>
  <c r="AS83" i="2"/>
  <c r="AS226" i="2"/>
  <c r="AG334" i="2"/>
  <c r="AS439" i="2"/>
  <c r="DA83" i="2"/>
  <c r="BQ226" i="2"/>
  <c r="CO296" i="2"/>
  <c r="BQ83" i="2"/>
  <c r="CC226" i="2"/>
  <c r="CC83" i="2"/>
  <c r="DA153" i="2"/>
  <c r="DA48" i="2"/>
  <c r="DA226" i="2"/>
  <c r="AS261" i="2"/>
  <c r="BE439" i="2"/>
  <c r="DA334" i="2"/>
  <c r="DM261" i="2"/>
  <c r="CO48" i="2"/>
  <c r="CO226" i="2"/>
  <c r="DA118" i="2"/>
  <c r="DM153" i="2"/>
  <c r="DM83" i="2"/>
  <c r="AG118" i="2"/>
  <c r="BQ334" i="2"/>
  <c r="U226" i="2"/>
  <c r="U48" i="2"/>
  <c r="U296" i="2"/>
  <c r="BE48" i="2"/>
  <c r="AG83" i="2"/>
  <c r="AG369" i="2"/>
  <c r="AS118" i="2"/>
  <c r="BQ191" i="2"/>
  <c r="AS48" i="2"/>
  <c r="BQ261" i="2"/>
  <c r="AS296" i="2"/>
  <c r="BE226" i="2"/>
  <c r="BQ369" i="2"/>
  <c r="CC296" i="2"/>
  <c r="BE369" i="2"/>
  <c r="CC334" i="2"/>
  <c r="DA191" i="2"/>
  <c r="DA261" i="2"/>
  <c r="AS334" i="2"/>
  <c r="BE261" i="2"/>
  <c r="BQ296" i="2"/>
  <c r="CO369" i="2"/>
  <c r="DA439" i="2"/>
  <c r="CO83" i="2"/>
  <c r="CO334" i="2"/>
  <c r="DM296" i="2"/>
  <c r="DM191" i="2"/>
  <c r="DM439" i="2"/>
  <c r="DM226" i="2"/>
  <c r="A298" i="2"/>
  <c r="A285" i="2"/>
  <c r="A120" i="2"/>
  <c r="A107" i="2"/>
  <c r="A85" i="2"/>
  <c r="A72" i="2"/>
  <c r="A50" i="2"/>
  <c r="A441" i="2"/>
  <c r="A428" i="2"/>
  <c r="A406" i="2"/>
  <c r="A393" i="2"/>
  <c r="A371" i="2"/>
  <c r="A358" i="2"/>
  <c r="A336" i="2"/>
  <c r="A323" i="2"/>
  <c r="A263" i="2"/>
  <c r="A250" i="2"/>
  <c r="A228" i="2"/>
  <c r="A215" i="2"/>
  <c r="A155" i="2"/>
  <c r="A193" i="2"/>
  <c r="A142" i="2"/>
  <c r="A180" i="2"/>
  <c r="I83" i="2"/>
  <c r="I118" i="2"/>
  <c r="I153" i="2"/>
  <c r="I191" i="2"/>
  <c r="I261" i="2"/>
  <c r="J283" i="2"/>
  <c r="J391" i="2"/>
  <c r="J213" i="2"/>
  <c r="J356" i="2"/>
  <c r="J105" i="2"/>
  <c r="J321" i="2"/>
  <c r="J70" i="2"/>
  <c r="J426" i="2"/>
  <c r="J248" i="2"/>
  <c r="J140" i="2"/>
  <c r="J178" i="2"/>
  <c r="I334" i="2"/>
  <c r="I369" i="2"/>
  <c r="I296" i="2"/>
  <c r="I48" i="2"/>
  <c r="I439" i="2"/>
  <c r="I226" i="2"/>
  <c r="K35" i="2"/>
  <c r="A36" i="2"/>
  <c r="DE440" i="2" l="1"/>
  <c r="DE392" i="2"/>
  <c r="DE284" i="2"/>
  <c r="DE154" i="2"/>
  <c r="DE405" i="2"/>
  <c r="DE179" i="2"/>
  <c r="DE357" i="2"/>
  <c r="DE322" i="2"/>
  <c r="DE297" i="2"/>
  <c r="DE249" i="2"/>
  <c r="DE214" i="2"/>
  <c r="DE192" i="2"/>
  <c r="DE141" i="2"/>
  <c r="DE119" i="2"/>
  <c r="DE84" i="2"/>
  <c r="DE427" i="2"/>
  <c r="DE370" i="2"/>
  <c r="DE335" i="2"/>
  <c r="DE262" i="2"/>
  <c r="DE227" i="2"/>
  <c r="DE71" i="2"/>
  <c r="CS427" i="2"/>
  <c r="CS392" i="2"/>
  <c r="CS357" i="2"/>
  <c r="CS214" i="2"/>
  <c r="DE49" i="2"/>
  <c r="CS440" i="2"/>
  <c r="CS405" i="2"/>
  <c r="CS370" i="2"/>
  <c r="CS297" i="2"/>
  <c r="CS249" i="2"/>
  <c r="CS227" i="2"/>
  <c r="DE106" i="2"/>
  <c r="CS322" i="2"/>
  <c r="CS262" i="2"/>
  <c r="CS192" i="2"/>
  <c r="CS335" i="2"/>
  <c r="CS284" i="2"/>
  <c r="CS141" i="2"/>
  <c r="CS84" i="2"/>
  <c r="CS71" i="2"/>
  <c r="CG392" i="2"/>
  <c r="CG227" i="2"/>
  <c r="CS179" i="2"/>
  <c r="CG405" i="2"/>
  <c r="CG357" i="2"/>
  <c r="CG322" i="2"/>
  <c r="CG284" i="2"/>
  <c r="CG179" i="2"/>
  <c r="CG154" i="2"/>
  <c r="CS154" i="2"/>
  <c r="CS119" i="2"/>
  <c r="CS106" i="2"/>
  <c r="CG427" i="2"/>
  <c r="CG370" i="2"/>
  <c r="CG335" i="2"/>
  <c r="CG249" i="2"/>
  <c r="CG192" i="2"/>
  <c r="CG119" i="2"/>
  <c r="CG49" i="2"/>
  <c r="CS49" i="2"/>
  <c r="CG440" i="2"/>
  <c r="CG297" i="2"/>
  <c r="CG262" i="2"/>
  <c r="CG214" i="2"/>
  <c r="CG141" i="2"/>
  <c r="CG71" i="2"/>
  <c r="CG106" i="2"/>
  <c r="BU392" i="2"/>
  <c r="BU262" i="2"/>
  <c r="BU214" i="2"/>
  <c r="BU179" i="2"/>
  <c r="BU84" i="2"/>
  <c r="BU405" i="2"/>
  <c r="BU284" i="2"/>
  <c r="BU227" i="2"/>
  <c r="BU192" i="2"/>
  <c r="BU427" i="2"/>
  <c r="BU357" i="2"/>
  <c r="BU322" i="2"/>
  <c r="BU106" i="2"/>
  <c r="BU49" i="2"/>
  <c r="CG84" i="2"/>
  <c r="BU440" i="2"/>
  <c r="BU370" i="2"/>
  <c r="BU335" i="2"/>
  <c r="BU297" i="2"/>
  <c r="BU249" i="2"/>
  <c r="BU154" i="2"/>
  <c r="BU119" i="2"/>
  <c r="BU71" i="2"/>
  <c r="BI357" i="2"/>
  <c r="BI335" i="2"/>
  <c r="BI214" i="2"/>
  <c r="BI119" i="2"/>
  <c r="BI71" i="2"/>
  <c r="BI49" i="2"/>
  <c r="AW427" i="2"/>
  <c r="AW370" i="2"/>
  <c r="AW335" i="2"/>
  <c r="BU141" i="2"/>
  <c r="BI392" i="2"/>
  <c r="BI370" i="2"/>
  <c r="BI284" i="2"/>
  <c r="BI249" i="2"/>
  <c r="BI227" i="2"/>
  <c r="BI179" i="2"/>
  <c r="BI141" i="2"/>
  <c r="BI84" i="2"/>
  <c r="AW440" i="2"/>
  <c r="BI427" i="2"/>
  <c r="BI405" i="2"/>
  <c r="BI262" i="2"/>
  <c r="BI192" i="2"/>
  <c r="AW392" i="2"/>
  <c r="AW297" i="2"/>
  <c r="AW249" i="2"/>
  <c r="BI440" i="2"/>
  <c r="BI322" i="2"/>
  <c r="BI297" i="2"/>
  <c r="BI154" i="2"/>
  <c r="BI106" i="2"/>
  <c r="AW405" i="2"/>
  <c r="AW357" i="2"/>
  <c r="AW322" i="2"/>
  <c r="AW262" i="2"/>
  <c r="AW141" i="2"/>
  <c r="AW71" i="2"/>
  <c r="AK392" i="2"/>
  <c r="AK370" i="2"/>
  <c r="AK297" i="2"/>
  <c r="AK214" i="2"/>
  <c r="AK179" i="2"/>
  <c r="AK84" i="2"/>
  <c r="AW106" i="2"/>
  <c r="AW84" i="2"/>
  <c r="AW49" i="2"/>
  <c r="AK427" i="2"/>
  <c r="AK405" i="2"/>
  <c r="AK227" i="2"/>
  <c r="AK192" i="2"/>
  <c r="AK154" i="2"/>
  <c r="AK106" i="2"/>
  <c r="AW284" i="2"/>
  <c r="AW227" i="2"/>
  <c r="AW214" i="2"/>
  <c r="AW154" i="2"/>
  <c r="AW119" i="2"/>
  <c r="AK440" i="2"/>
  <c r="AK322" i="2"/>
  <c r="AK284" i="2"/>
  <c r="AK249" i="2"/>
  <c r="AK119" i="2"/>
  <c r="Y440" i="2"/>
  <c r="Y370" i="2"/>
  <c r="Y322" i="2"/>
  <c r="AW192" i="2"/>
  <c r="AW179" i="2"/>
  <c r="AK357" i="2"/>
  <c r="AK335" i="2"/>
  <c r="AK262" i="2"/>
  <c r="AK141" i="2"/>
  <c r="AK71" i="2"/>
  <c r="Y392" i="2"/>
  <c r="Y335" i="2"/>
  <c r="Y357" i="2"/>
  <c r="Y227" i="2"/>
  <c r="Y192" i="2"/>
  <c r="Y141" i="2"/>
  <c r="M440" i="2"/>
  <c r="M297" i="2"/>
  <c r="M262" i="2"/>
  <c r="M214" i="2"/>
  <c r="M141" i="2"/>
  <c r="AK49" i="2"/>
  <c r="Y297" i="2"/>
  <c r="Y284" i="2"/>
  <c r="Y249" i="2"/>
  <c r="Y106" i="2"/>
  <c r="Y49" i="2"/>
  <c r="M392" i="2"/>
  <c r="Y405" i="2"/>
  <c r="Y262" i="2"/>
  <c r="Y154" i="2"/>
  <c r="Y119" i="2"/>
  <c r="Y71" i="2"/>
  <c r="M405" i="2"/>
  <c r="M357" i="2"/>
  <c r="M322" i="2"/>
  <c r="M284" i="2"/>
  <c r="M179" i="2"/>
  <c r="M154" i="2"/>
  <c r="Y427" i="2"/>
  <c r="Y214" i="2"/>
  <c r="Y179" i="2"/>
  <c r="Y84" i="2"/>
  <c r="M427" i="2"/>
  <c r="M119" i="2"/>
  <c r="M71" i="2"/>
  <c r="M249" i="2"/>
  <c r="M227" i="2"/>
  <c r="M192" i="2"/>
  <c r="M84" i="2"/>
  <c r="M335" i="2"/>
  <c r="M106" i="2"/>
  <c r="M370" i="2"/>
  <c r="M49" i="2"/>
  <c r="J153" i="2"/>
  <c r="DO426" i="2"/>
  <c r="DO178" i="2"/>
  <c r="DO140" i="2"/>
  <c r="DO321" i="2"/>
  <c r="DO283" i="2"/>
  <c r="DO248" i="2"/>
  <c r="DO105" i="2"/>
  <c r="DC426" i="2"/>
  <c r="DC356" i="2"/>
  <c r="DO391" i="2"/>
  <c r="DO70" i="2"/>
  <c r="DC391" i="2"/>
  <c r="DC283" i="2"/>
  <c r="DC248" i="2"/>
  <c r="DC178" i="2"/>
  <c r="DC140" i="2"/>
  <c r="CQ248" i="2"/>
  <c r="CE426" i="2"/>
  <c r="CE391" i="2"/>
  <c r="CE356" i="2"/>
  <c r="DO356" i="2"/>
  <c r="DO213" i="2"/>
  <c r="DC105" i="2"/>
  <c r="CQ426" i="2"/>
  <c r="CQ356" i="2"/>
  <c r="CQ140" i="2"/>
  <c r="CE213" i="2"/>
  <c r="CE105" i="2"/>
  <c r="CE70" i="2"/>
  <c r="BS391" i="2"/>
  <c r="BS248" i="2"/>
  <c r="BS178" i="2"/>
  <c r="BG321" i="2"/>
  <c r="BG140" i="2"/>
  <c r="BG70" i="2"/>
  <c r="AU426" i="2"/>
  <c r="DC213" i="2"/>
  <c r="CQ283" i="2"/>
  <c r="DC70" i="2"/>
  <c r="CQ321" i="2"/>
  <c r="CQ213" i="2"/>
  <c r="CQ105" i="2"/>
  <c r="CE140" i="2"/>
  <c r="CQ391" i="2"/>
  <c r="CQ178" i="2"/>
  <c r="CE321" i="2"/>
  <c r="CE248" i="2"/>
  <c r="BS426" i="2"/>
  <c r="BG391" i="2"/>
  <c r="DC321" i="2"/>
  <c r="BS213" i="2"/>
  <c r="BS140" i="2"/>
  <c r="BG248" i="2"/>
  <c r="AU321" i="2"/>
  <c r="CE283" i="2"/>
  <c r="CE178" i="2"/>
  <c r="CQ70" i="2"/>
  <c r="BS356" i="2"/>
  <c r="BS321" i="2"/>
  <c r="BS283" i="2"/>
  <c r="BG283" i="2"/>
  <c r="AU248" i="2"/>
  <c r="AU213" i="2"/>
  <c r="AU105" i="2"/>
  <c r="AU70" i="2"/>
  <c r="AI426" i="2"/>
  <c r="AI391" i="2"/>
  <c r="AI356" i="2"/>
  <c r="AI248" i="2"/>
  <c r="AI213" i="2"/>
  <c r="AI70" i="2"/>
  <c r="W356" i="2"/>
  <c r="W283" i="2"/>
  <c r="BS105" i="2"/>
  <c r="BG356" i="2"/>
  <c r="AI140" i="2"/>
  <c r="AI105" i="2"/>
  <c r="W426" i="2"/>
  <c r="W391" i="2"/>
  <c r="BS70" i="2"/>
  <c r="BG178" i="2"/>
  <c r="AU178" i="2"/>
  <c r="W213" i="2"/>
  <c r="W140" i="2"/>
  <c r="AI321" i="2"/>
  <c r="AI283" i="2"/>
  <c r="W321" i="2"/>
  <c r="W248" i="2"/>
  <c r="BG213" i="2"/>
  <c r="AU391" i="2"/>
  <c r="AI178" i="2"/>
  <c r="W70" i="2"/>
  <c r="BG426" i="2"/>
  <c r="AU140" i="2"/>
  <c r="W178" i="2"/>
  <c r="AU356" i="2"/>
  <c r="BG105" i="2"/>
  <c r="AU283" i="2"/>
  <c r="W105" i="2"/>
  <c r="V334" i="2"/>
  <c r="AH153" i="2"/>
  <c r="BF153" i="2"/>
  <c r="AH334" i="2"/>
  <c r="V226" i="2"/>
  <c r="V404" i="2"/>
  <c r="BR369" i="2"/>
  <c r="AH226" i="2"/>
  <c r="AH404" i="2"/>
  <c r="BF261" i="2"/>
  <c r="CP118" i="2"/>
  <c r="DB296" i="2"/>
  <c r="BR48" i="2"/>
  <c r="DB83" i="2"/>
  <c r="CD153" i="2"/>
  <c r="DB334" i="2"/>
  <c r="DN369" i="2"/>
  <c r="BF334" i="2"/>
  <c r="BR261" i="2"/>
  <c r="CD83" i="2"/>
  <c r="CD334" i="2"/>
  <c r="CD369" i="2"/>
  <c r="DB191" i="2"/>
  <c r="DN83" i="2"/>
  <c r="DB439" i="2"/>
  <c r="V48" i="2"/>
  <c r="AT334" i="2"/>
  <c r="V118" i="2"/>
  <c r="AH191" i="2"/>
  <c r="V439" i="2"/>
  <c r="AT261" i="2"/>
  <c r="V369" i="2"/>
  <c r="AH261" i="2"/>
  <c r="AH439" i="2"/>
  <c r="AT153" i="2"/>
  <c r="BR83" i="2"/>
  <c r="CP191" i="2"/>
  <c r="CP48" i="2"/>
  <c r="BR153" i="2"/>
  <c r="CD191" i="2"/>
  <c r="CP296" i="2"/>
  <c r="DB153" i="2"/>
  <c r="BR404" i="2"/>
  <c r="CD118" i="2"/>
  <c r="CP334" i="2"/>
  <c r="CD404" i="2"/>
  <c r="CP261" i="2"/>
  <c r="DB261" i="2"/>
  <c r="DN118" i="2"/>
  <c r="DN261" i="2"/>
  <c r="V83" i="2"/>
  <c r="AT369" i="2"/>
  <c r="BF191" i="2"/>
  <c r="AT191" i="2"/>
  <c r="V261" i="2"/>
  <c r="V153" i="2"/>
  <c r="BF404" i="2"/>
  <c r="AH296" i="2"/>
  <c r="V296" i="2"/>
  <c r="AT296" i="2"/>
  <c r="AH48" i="2"/>
  <c r="AT83" i="2"/>
  <c r="AT226" i="2"/>
  <c r="BR118" i="2"/>
  <c r="CP439" i="2"/>
  <c r="BF48" i="2"/>
  <c r="BF369" i="2"/>
  <c r="BR226" i="2"/>
  <c r="BR334" i="2"/>
  <c r="DN226" i="2"/>
  <c r="AT439" i="2"/>
  <c r="CD226" i="2"/>
  <c r="CP83" i="2"/>
  <c r="DB226" i="2"/>
  <c r="CD439" i="2"/>
  <c r="CP153" i="2"/>
  <c r="DB404" i="2"/>
  <c r="DN404" i="2"/>
  <c r="DN334" i="2"/>
  <c r="DN191" i="2"/>
  <c r="DN439" i="2"/>
  <c r="BF226" i="2"/>
  <c r="AT404" i="2"/>
  <c r="AT48" i="2"/>
  <c r="V191" i="2"/>
  <c r="AH118" i="2"/>
  <c r="BR296" i="2"/>
  <c r="AH83" i="2"/>
  <c r="AH369" i="2"/>
  <c r="AT118" i="2"/>
  <c r="BF118" i="2"/>
  <c r="BF439" i="2"/>
  <c r="BR439" i="2"/>
  <c r="DN296" i="2"/>
  <c r="CP369" i="2"/>
  <c r="DN48" i="2"/>
  <c r="DB118" i="2"/>
  <c r="CP404" i="2"/>
  <c r="BF83" i="2"/>
  <c r="BF296" i="2"/>
  <c r="BR191" i="2"/>
  <c r="CD48" i="2"/>
  <c r="CD261" i="2"/>
  <c r="CP226" i="2"/>
  <c r="DB48" i="2"/>
  <c r="CD296" i="2"/>
  <c r="DB369" i="2"/>
  <c r="DN153" i="2"/>
  <c r="A297" i="2"/>
  <c r="A284" i="2"/>
  <c r="A427" i="2"/>
  <c r="A392" i="2"/>
  <c r="A357" i="2"/>
  <c r="A322" i="2"/>
  <c r="A249" i="2"/>
  <c r="A405" i="2"/>
  <c r="A335" i="2"/>
  <c r="A227" i="2"/>
  <c r="A214" i="2"/>
  <c r="A84" i="2"/>
  <c r="A119" i="2"/>
  <c r="A440" i="2"/>
  <c r="A370" i="2"/>
  <c r="A262" i="2"/>
  <c r="A71" i="2"/>
  <c r="A106" i="2"/>
  <c r="A49" i="2"/>
  <c r="A179" i="2"/>
  <c r="A154" i="2"/>
  <c r="A192" i="2"/>
  <c r="A141" i="2"/>
  <c r="J83" i="2"/>
  <c r="J118" i="2"/>
  <c r="K356" i="2"/>
  <c r="K105" i="2"/>
  <c r="K321" i="2"/>
  <c r="K70" i="2"/>
  <c r="K426" i="2"/>
  <c r="K248" i="2"/>
  <c r="K283" i="2"/>
  <c r="K391" i="2"/>
  <c r="K213" i="2"/>
  <c r="K140" i="2"/>
  <c r="K178" i="2"/>
  <c r="J404" i="2"/>
  <c r="J261" i="2"/>
  <c r="J191" i="2"/>
  <c r="J334" i="2"/>
  <c r="J369" i="2"/>
  <c r="J296" i="2"/>
  <c r="J226" i="2"/>
  <c r="J48" i="2"/>
  <c r="J439" i="2"/>
  <c r="L35" i="2"/>
  <c r="DO334" i="2" s="1"/>
  <c r="CQ83" i="2" l="1"/>
  <c r="W118" i="2"/>
  <c r="AI83" i="2"/>
  <c r="AI439" i="2"/>
  <c r="AI404" i="2"/>
  <c r="AU83" i="2"/>
  <c r="W191" i="2"/>
  <c r="AU191" i="2"/>
  <c r="BS439" i="2"/>
  <c r="W404" i="2"/>
  <c r="CE48" i="2"/>
  <c r="BG404" i="2"/>
  <c r="CQ226" i="2"/>
  <c r="CQ48" i="2"/>
  <c r="CE334" i="2"/>
  <c r="CQ261" i="2"/>
  <c r="DC191" i="2"/>
  <c r="AU404" i="2"/>
  <c r="BG153" i="2"/>
  <c r="CE404" i="2"/>
  <c r="DC261" i="2"/>
  <c r="DO369" i="2"/>
  <c r="DO118" i="2"/>
  <c r="DO261" i="2"/>
  <c r="W261" i="2"/>
  <c r="AU439" i="2"/>
  <c r="AI226" i="2"/>
  <c r="W48" i="2"/>
  <c r="BG296" i="2"/>
  <c r="W226" i="2"/>
  <c r="BG118" i="2"/>
  <c r="W334" i="2"/>
  <c r="W439" i="2"/>
  <c r="AU261" i="2"/>
  <c r="BS118" i="2"/>
  <c r="CE83" i="2"/>
  <c r="DO439" i="2"/>
  <c r="CQ334" i="2"/>
  <c r="BS153" i="2"/>
  <c r="CE296" i="2"/>
  <c r="CQ153" i="2"/>
  <c r="DO83" i="2"/>
  <c r="CE191" i="2"/>
  <c r="CE369" i="2"/>
  <c r="BG191" i="2"/>
  <c r="BS226" i="2"/>
  <c r="CQ118" i="2"/>
  <c r="CQ404" i="2"/>
  <c r="CQ369" i="2"/>
  <c r="DC153" i="2"/>
  <c r="DC334" i="2"/>
  <c r="DP321" i="2"/>
  <c r="DP296" i="2"/>
  <c r="DP283" i="2"/>
  <c r="DP248" i="2"/>
  <c r="DP105" i="2"/>
  <c r="DD426" i="2"/>
  <c r="DD356" i="2"/>
  <c r="DD321" i="2"/>
  <c r="DP404" i="2"/>
  <c r="DP369" i="2"/>
  <c r="DP226" i="2"/>
  <c r="DP83" i="2"/>
  <c r="DP48" i="2"/>
  <c r="DD404" i="2"/>
  <c r="DP191" i="2"/>
  <c r="DP118" i="2"/>
  <c r="DD439" i="2"/>
  <c r="DD334" i="2"/>
  <c r="DD213" i="2"/>
  <c r="DD70" i="2"/>
  <c r="CR439" i="2"/>
  <c r="CR404" i="2"/>
  <c r="CR356" i="2"/>
  <c r="CR296" i="2"/>
  <c r="CR283" i="2"/>
  <c r="CF334" i="2"/>
  <c r="DP391" i="2"/>
  <c r="DP178" i="2"/>
  <c r="DD369" i="2"/>
  <c r="DD191" i="2"/>
  <c r="DD153" i="2"/>
  <c r="DD118" i="2"/>
  <c r="CR261" i="2"/>
  <c r="CR178" i="2"/>
  <c r="CF439" i="2"/>
  <c r="CF296" i="2"/>
  <c r="CF191" i="2"/>
  <c r="CF153" i="2"/>
  <c r="CF140" i="2"/>
  <c r="BT356" i="2"/>
  <c r="BT334" i="2"/>
  <c r="BT213" i="2"/>
  <c r="BT118" i="2"/>
  <c r="BT70" i="2"/>
  <c r="BT48" i="2"/>
  <c r="BH369" i="2"/>
  <c r="BH226" i="2"/>
  <c r="BH178" i="2"/>
  <c r="BH48" i="2"/>
  <c r="AV391" i="2"/>
  <c r="AV369" i="2"/>
  <c r="AV296" i="2"/>
  <c r="AV283" i="2"/>
  <c r="DP153" i="2"/>
  <c r="DD140" i="2"/>
  <c r="DD83" i="2"/>
  <c r="CR321" i="2"/>
  <c r="CR213" i="2"/>
  <c r="DP426" i="2"/>
  <c r="DP261" i="2"/>
  <c r="DD48" i="2"/>
  <c r="CR391" i="2"/>
  <c r="CR369" i="2"/>
  <c r="CR191" i="2"/>
  <c r="CR153" i="2"/>
  <c r="CR140" i="2"/>
  <c r="CR48" i="2"/>
  <c r="CF404" i="2"/>
  <c r="CF356" i="2"/>
  <c r="CF321" i="2"/>
  <c r="CF248" i="2"/>
  <c r="BT426" i="2"/>
  <c r="BT391" i="2"/>
  <c r="BT296" i="2"/>
  <c r="BT248" i="2"/>
  <c r="DP356" i="2"/>
  <c r="DD391" i="2"/>
  <c r="DD296" i="2"/>
  <c r="CR426" i="2"/>
  <c r="CR334" i="2"/>
  <c r="CR226" i="2"/>
  <c r="CR83" i="2"/>
  <c r="CF391" i="2"/>
  <c r="CF283" i="2"/>
  <c r="CF70" i="2"/>
  <c r="CF48" i="2"/>
  <c r="BT439" i="2"/>
  <c r="BT404" i="2"/>
  <c r="BT369" i="2"/>
  <c r="BT261" i="2"/>
  <c r="BT226" i="2"/>
  <c r="BT178" i="2"/>
  <c r="BT105" i="2"/>
  <c r="BT83" i="2"/>
  <c r="BH426" i="2"/>
  <c r="BH404" i="2"/>
  <c r="BH356" i="2"/>
  <c r="BH283" i="2"/>
  <c r="DP439" i="2"/>
  <c r="DP334" i="2"/>
  <c r="DP213" i="2"/>
  <c r="DP140" i="2"/>
  <c r="DP70" i="2"/>
  <c r="DD248" i="2"/>
  <c r="DD226" i="2"/>
  <c r="DD178" i="2"/>
  <c r="CR105" i="2"/>
  <c r="CF426" i="2"/>
  <c r="CF369" i="2"/>
  <c r="CF261" i="2"/>
  <c r="CF213" i="2"/>
  <c r="CF178" i="2"/>
  <c r="CF105" i="2"/>
  <c r="CF83" i="2"/>
  <c r="BH321" i="2"/>
  <c r="BH261" i="2"/>
  <c r="BH213" i="2"/>
  <c r="BH191" i="2"/>
  <c r="AV426" i="2"/>
  <c r="AV334" i="2"/>
  <c r="DD283" i="2"/>
  <c r="CR118" i="2"/>
  <c r="CR70" i="2"/>
  <c r="CF226" i="2"/>
  <c r="CF118" i="2"/>
  <c r="BT321" i="2"/>
  <c r="BT283" i="2"/>
  <c r="BT191" i="2"/>
  <c r="DD261" i="2"/>
  <c r="DD105" i="2"/>
  <c r="CR248" i="2"/>
  <c r="BH439" i="2"/>
  <c r="BH391" i="2"/>
  <c r="BH140" i="2"/>
  <c r="AV191" i="2"/>
  <c r="AJ191" i="2"/>
  <c r="AJ153" i="2"/>
  <c r="AJ140" i="2"/>
  <c r="AJ105" i="2"/>
  <c r="X426" i="2"/>
  <c r="X391" i="2"/>
  <c r="X334" i="2"/>
  <c r="BH153" i="2"/>
  <c r="BH118" i="2"/>
  <c r="BH83" i="2"/>
  <c r="AV178" i="2"/>
  <c r="AV48" i="2"/>
  <c r="AJ334" i="2"/>
  <c r="AJ296" i="2"/>
  <c r="AJ283" i="2"/>
  <c r="AJ178" i="2"/>
  <c r="X321" i="2"/>
  <c r="X261" i="2"/>
  <c r="BH334" i="2"/>
  <c r="BH248" i="2"/>
  <c r="AV404" i="2"/>
  <c r="AV261" i="2"/>
  <c r="AV248" i="2"/>
  <c r="AV153" i="2"/>
  <c r="AV140" i="2"/>
  <c r="AV105" i="2"/>
  <c r="AJ439" i="2"/>
  <c r="AJ369" i="2"/>
  <c r="AJ226" i="2"/>
  <c r="AJ118" i="2"/>
  <c r="AJ83" i="2"/>
  <c r="X356" i="2"/>
  <c r="X213" i="2"/>
  <c r="X178" i="2"/>
  <c r="X153" i="2"/>
  <c r="X140" i="2"/>
  <c r="AJ70" i="2"/>
  <c r="BT153" i="2"/>
  <c r="AV213" i="2"/>
  <c r="AJ404" i="2"/>
  <c r="AJ261" i="2"/>
  <c r="X105" i="2"/>
  <c r="AV118" i="2"/>
  <c r="AJ391" i="2"/>
  <c r="AJ248" i="2"/>
  <c r="X404" i="2"/>
  <c r="X369" i="2"/>
  <c r="X296" i="2"/>
  <c r="X226" i="2"/>
  <c r="BH296" i="2"/>
  <c r="BH70" i="2"/>
  <c r="AV439" i="2"/>
  <c r="AV356" i="2"/>
  <c r="AV321" i="2"/>
  <c r="AV226" i="2"/>
  <c r="AV83" i="2"/>
  <c r="AJ426" i="2"/>
  <c r="AJ356" i="2"/>
  <c r="AJ321" i="2"/>
  <c r="AJ213" i="2"/>
  <c r="X248" i="2"/>
  <c r="X118" i="2"/>
  <c r="X83" i="2"/>
  <c r="X48" i="2"/>
  <c r="BT140" i="2"/>
  <c r="BH105" i="2"/>
  <c r="AV70" i="2"/>
  <c r="AJ48" i="2"/>
  <c r="X439" i="2"/>
  <c r="X283" i="2"/>
  <c r="X70" i="2"/>
  <c r="X191" i="2"/>
  <c r="AI48" i="2"/>
  <c r="BS48" i="2"/>
  <c r="AU226" i="2"/>
  <c r="W153" i="2"/>
  <c r="AI334" i="2"/>
  <c r="AU153" i="2"/>
  <c r="BG48" i="2"/>
  <c r="W83" i="2"/>
  <c r="W369" i="2"/>
  <c r="AI153" i="2"/>
  <c r="BG439" i="2"/>
  <c r="W296" i="2"/>
  <c r="AU296" i="2"/>
  <c r="BS191" i="2"/>
  <c r="CE153" i="2"/>
  <c r="BS296" i="2"/>
  <c r="BS334" i="2"/>
  <c r="CE226" i="2"/>
  <c r="DC404" i="2"/>
  <c r="CQ439" i="2"/>
  <c r="DO191" i="2"/>
  <c r="DO226" i="2"/>
  <c r="DC48" i="2"/>
  <c r="DC296" i="2"/>
  <c r="DC369" i="2"/>
  <c r="DO153" i="2"/>
  <c r="AI261" i="2"/>
  <c r="BS404" i="2"/>
  <c r="AU334" i="2"/>
  <c r="AI369" i="2"/>
  <c r="BG226" i="2"/>
  <c r="AI296" i="2"/>
  <c r="BG83" i="2"/>
  <c r="AU48" i="2"/>
  <c r="AU118" i="2"/>
  <c r="BG369" i="2"/>
  <c r="AI191" i="2"/>
  <c r="AI118" i="2"/>
  <c r="BG261" i="2"/>
  <c r="AU369" i="2"/>
  <c r="BS261" i="2"/>
  <c r="BG334" i="2"/>
  <c r="CE439" i="2"/>
  <c r="CQ191" i="2"/>
  <c r="CE118" i="2"/>
  <c r="CE261" i="2"/>
  <c r="DO48" i="2"/>
  <c r="DC118" i="2"/>
  <c r="DO404" i="2"/>
  <c r="BS83" i="2"/>
  <c r="BS369" i="2"/>
  <c r="CQ296" i="2"/>
  <c r="DC83" i="2"/>
  <c r="DC226" i="2"/>
  <c r="DO296" i="2"/>
  <c r="DC439" i="2"/>
  <c r="L439" i="2"/>
  <c r="L321" i="2"/>
  <c r="L261" i="2"/>
  <c r="L70" i="2"/>
  <c r="L48" i="2"/>
  <c r="L426" i="2"/>
  <c r="L404" i="2"/>
  <c r="L248" i="2"/>
  <c r="L226" i="2"/>
  <c r="L296" i="2"/>
  <c r="L283" i="2"/>
  <c r="L153" i="2"/>
  <c r="L391" i="2"/>
  <c r="L369" i="2"/>
  <c r="L213" i="2"/>
  <c r="L118" i="2"/>
  <c r="L356" i="2"/>
  <c r="L334" i="2"/>
  <c r="L105" i="2"/>
  <c r="L83" i="2"/>
  <c r="L140" i="2"/>
  <c r="L178" i="2"/>
  <c r="L191" i="2"/>
  <c r="K369" i="2"/>
  <c r="K296" i="2"/>
  <c r="K334" i="2"/>
  <c r="K191" i="2"/>
  <c r="K226" i="2"/>
  <c r="K48" i="2"/>
  <c r="K439" i="2"/>
  <c r="K118" i="2"/>
  <c r="K153" i="2"/>
  <c r="K83" i="2"/>
  <c r="K404" i="2"/>
  <c r="K261" i="2"/>
  <c r="FH61" i="4" l="1"/>
  <c r="EP61" i="4"/>
  <c r="DX61" i="4"/>
  <c r="DF61" i="4"/>
  <c r="CN61" i="4"/>
  <c r="BV61" i="4"/>
  <c r="BD61" i="4"/>
  <c r="AL61" i="4"/>
  <c r="T61" i="4"/>
  <c r="B61" i="4"/>
  <c r="FH60" i="4" l="1"/>
  <c r="EP60" i="4"/>
  <c r="DX60" i="4"/>
  <c r="DF60" i="4"/>
  <c r="CN60" i="4"/>
  <c r="BV60" i="4"/>
  <c r="BD60" i="4"/>
  <c r="AL60" i="4"/>
  <c r="T60" i="4"/>
  <c r="B60" i="4"/>
  <c r="I55" i="10" l="1"/>
  <c r="I47" i="10"/>
  <c r="DF37" i="1" l="1"/>
  <c r="DE37" i="1"/>
  <c r="DD37" i="1"/>
  <c r="DF36" i="1"/>
  <c r="DE36" i="1"/>
  <c r="DD36" i="1"/>
  <c r="DF35" i="1"/>
  <c r="DE35" i="1"/>
  <c r="DD35" i="1"/>
  <c r="DF34" i="1"/>
  <c r="DE34" i="1"/>
  <c r="DD34" i="1"/>
  <c r="DF33" i="1"/>
  <c r="DE33" i="1"/>
  <c r="DD33" i="1"/>
  <c r="DF32" i="1"/>
  <c r="DE32" i="1"/>
  <c r="DD32" i="1"/>
  <c r="DF31" i="1"/>
  <c r="DE31" i="1"/>
  <c r="DD31" i="1"/>
  <c r="DF30" i="1"/>
  <c r="DE30" i="1"/>
  <c r="DD30" i="1"/>
  <c r="DF29" i="1"/>
  <c r="DE29" i="1"/>
  <c r="DD29" i="1"/>
  <c r="DF28" i="1"/>
  <c r="DE28" i="1"/>
  <c r="DD28" i="1"/>
  <c r="DF27" i="1"/>
  <c r="DE27" i="1"/>
  <c r="DD27" i="1"/>
  <c r="DF26" i="1"/>
  <c r="DE26" i="1"/>
  <c r="DD26" i="1"/>
  <c r="DF25" i="1"/>
  <c r="DE25" i="1"/>
  <c r="DD25" i="1"/>
  <c r="DF24" i="1"/>
  <c r="DE24" i="1"/>
  <c r="DD24" i="1"/>
  <c r="DF23" i="1"/>
  <c r="DE23" i="1"/>
  <c r="DD23" i="1"/>
  <c r="DF22" i="1"/>
  <c r="DE22" i="1"/>
  <c r="DD22" i="1"/>
  <c r="DF21" i="1"/>
  <c r="DE21" i="1"/>
  <c r="DD21" i="1"/>
  <c r="DF20" i="1"/>
  <c r="DE20" i="1"/>
  <c r="DD20" i="1"/>
  <c r="DF19" i="1"/>
  <c r="DE19" i="1"/>
  <c r="DD19" i="1"/>
  <c r="DF18" i="1"/>
  <c r="DE18" i="1"/>
  <c r="DD18" i="1"/>
  <c r="DF17" i="1"/>
  <c r="DE17" i="1"/>
  <c r="DD17" i="1"/>
  <c r="DF16" i="1"/>
  <c r="DE16" i="1"/>
  <c r="DD16" i="1"/>
  <c r="DF15" i="1"/>
  <c r="DE15" i="1"/>
  <c r="DD15" i="1"/>
  <c r="DF14" i="1"/>
  <c r="DE14" i="1"/>
  <c r="DD14" i="1"/>
  <c r="CU37" i="1"/>
  <c r="CT37" i="1"/>
  <c r="CS37" i="1"/>
  <c r="CU36" i="1"/>
  <c r="CT36" i="1"/>
  <c r="CS36" i="1"/>
  <c r="CU35" i="1"/>
  <c r="CT35" i="1"/>
  <c r="CS35" i="1"/>
  <c r="CU34" i="1"/>
  <c r="CT34" i="1"/>
  <c r="CS34" i="1"/>
  <c r="CU33" i="1"/>
  <c r="CT33" i="1"/>
  <c r="CS33" i="1"/>
  <c r="CU32" i="1"/>
  <c r="CT32" i="1"/>
  <c r="CS32" i="1"/>
  <c r="CU31" i="1"/>
  <c r="CT31" i="1"/>
  <c r="CS31" i="1"/>
  <c r="CU30" i="1"/>
  <c r="CT30" i="1"/>
  <c r="CS30" i="1"/>
  <c r="CU29" i="1"/>
  <c r="CT29" i="1"/>
  <c r="CS29" i="1"/>
  <c r="CU28" i="1"/>
  <c r="CT28" i="1"/>
  <c r="CS28" i="1"/>
  <c r="CU27" i="1"/>
  <c r="CT27" i="1"/>
  <c r="CS27" i="1"/>
  <c r="CU26" i="1"/>
  <c r="CT26" i="1"/>
  <c r="CS26" i="1"/>
  <c r="CU25" i="1"/>
  <c r="CT25" i="1"/>
  <c r="CS25" i="1"/>
  <c r="CU24" i="1"/>
  <c r="CT24" i="1"/>
  <c r="CS24" i="1"/>
  <c r="CU23" i="1"/>
  <c r="CT23" i="1"/>
  <c r="CS23" i="1"/>
  <c r="CU22" i="1"/>
  <c r="CT22" i="1"/>
  <c r="CS22" i="1"/>
  <c r="CU21" i="1"/>
  <c r="CT21" i="1"/>
  <c r="CS21" i="1"/>
  <c r="CU20" i="1"/>
  <c r="CT20" i="1"/>
  <c r="CS20" i="1"/>
  <c r="CU19" i="1"/>
  <c r="CT19" i="1"/>
  <c r="CS19" i="1"/>
  <c r="CU18" i="1"/>
  <c r="CT18" i="1"/>
  <c r="CS18" i="1"/>
  <c r="CU17" i="1"/>
  <c r="CT17" i="1"/>
  <c r="CS17" i="1"/>
  <c r="CU16" i="1"/>
  <c r="CT16" i="1"/>
  <c r="CS16" i="1"/>
  <c r="CU15" i="1"/>
  <c r="CT15" i="1"/>
  <c r="CS15" i="1"/>
  <c r="CU14" i="1"/>
  <c r="CT14" i="1"/>
  <c r="CS14" i="1"/>
  <c r="CJ37" i="1"/>
  <c r="CI37" i="1"/>
  <c r="CH37" i="1"/>
  <c r="CJ36" i="1"/>
  <c r="CI36" i="1"/>
  <c r="CH36" i="1"/>
  <c r="CJ35" i="1"/>
  <c r="CI35" i="1"/>
  <c r="CH35" i="1"/>
  <c r="CJ34" i="1"/>
  <c r="CI34" i="1"/>
  <c r="CH34" i="1"/>
  <c r="CJ33" i="1"/>
  <c r="CI33" i="1"/>
  <c r="CH33" i="1"/>
  <c r="CJ32" i="1"/>
  <c r="CI32" i="1"/>
  <c r="CH32" i="1"/>
  <c r="CJ31" i="1"/>
  <c r="CI31" i="1"/>
  <c r="CH31" i="1"/>
  <c r="CJ30" i="1"/>
  <c r="CI30" i="1"/>
  <c r="CH30" i="1"/>
  <c r="CJ29" i="1"/>
  <c r="CI29" i="1"/>
  <c r="CH29" i="1"/>
  <c r="CJ28" i="1"/>
  <c r="CI28" i="1"/>
  <c r="CH28" i="1"/>
  <c r="CJ27" i="1"/>
  <c r="CI27" i="1"/>
  <c r="CH27" i="1"/>
  <c r="CJ26" i="1"/>
  <c r="CI26" i="1"/>
  <c r="CH26" i="1"/>
  <c r="CJ25" i="1"/>
  <c r="CI25" i="1"/>
  <c r="CH25" i="1"/>
  <c r="CJ24" i="1"/>
  <c r="CI24" i="1"/>
  <c r="CH24" i="1"/>
  <c r="CJ23" i="1"/>
  <c r="CI23" i="1"/>
  <c r="CH23" i="1"/>
  <c r="CJ22" i="1"/>
  <c r="CI22" i="1"/>
  <c r="CH22" i="1"/>
  <c r="CJ21" i="1"/>
  <c r="CI21" i="1"/>
  <c r="CH21" i="1"/>
  <c r="CJ20" i="1"/>
  <c r="CI20" i="1"/>
  <c r="CH20" i="1"/>
  <c r="CJ19" i="1"/>
  <c r="CI19" i="1"/>
  <c r="CH19" i="1"/>
  <c r="CJ18" i="1"/>
  <c r="CI18" i="1"/>
  <c r="CH18" i="1"/>
  <c r="CJ17" i="1"/>
  <c r="CI17" i="1"/>
  <c r="CH17" i="1"/>
  <c r="CJ16" i="1"/>
  <c r="CI16" i="1"/>
  <c r="CH16" i="1"/>
  <c r="CJ15" i="1"/>
  <c r="CI15" i="1"/>
  <c r="CH15" i="1"/>
  <c r="CJ14" i="1"/>
  <c r="CI14" i="1"/>
  <c r="CH14" i="1"/>
  <c r="BY37" i="1"/>
  <c r="BX37" i="1"/>
  <c r="BW37" i="1"/>
  <c r="BY36" i="1"/>
  <c r="BX36" i="1"/>
  <c r="BW36" i="1"/>
  <c r="BY35" i="1"/>
  <c r="BX35" i="1"/>
  <c r="BW35" i="1"/>
  <c r="BY34" i="1"/>
  <c r="BX34" i="1"/>
  <c r="BW34" i="1"/>
  <c r="BY33" i="1"/>
  <c r="BX33" i="1"/>
  <c r="BW33" i="1"/>
  <c r="BY32" i="1"/>
  <c r="BX32" i="1"/>
  <c r="BW32" i="1"/>
  <c r="BY31" i="1"/>
  <c r="BX31" i="1"/>
  <c r="BW31" i="1"/>
  <c r="BY30" i="1"/>
  <c r="BX30" i="1"/>
  <c r="BW30" i="1"/>
  <c r="BY29" i="1"/>
  <c r="BX29" i="1"/>
  <c r="BW29" i="1"/>
  <c r="BY28" i="1"/>
  <c r="BX28" i="1"/>
  <c r="BW28" i="1"/>
  <c r="BY27" i="1"/>
  <c r="BX27" i="1"/>
  <c r="BW27" i="1"/>
  <c r="BY26" i="1"/>
  <c r="BX26" i="1"/>
  <c r="BW26" i="1"/>
  <c r="BY25" i="1"/>
  <c r="BX25" i="1"/>
  <c r="BW25" i="1"/>
  <c r="BY24" i="1"/>
  <c r="BX24" i="1"/>
  <c r="BW24" i="1"/>
  <c r="BY23" i="1"/>
  <c r="BX23" i="1"/>
  <c r="BW23" i="1"/>
  <c r="BY22" i="1"/>
  <c r="BX22" i="1"/>
  <c r="BW22" i="1"/>
  <c r="BY21" i="1"/>
  <c r="BX21" i="1"/>
  <c r="BW21" i="1"/>
  <c r="BY20" i="1"/>
  <c r="BX20" i="1"/>
  <c r="BW20" i="1"/>
  <c r="BY19" i="1"/>
  <c r="BX19" i="1"/>
  <c r="BW19" i="1"/>
  <c r="BY18" i="1"/>
  <c r="BX18" i="1"/>
  <c r="BW18" i="1"/>
  <c r="BY17" i="1"/>
  <c r="BX17" i="1"/>
  <c r="BW17" i="1"/>
  <c r="BY16" i="1"/>
  <c r="BX16" i="1"/>
  <c r="BW16" i="1"/>
  <c r="BY15" i="1"/>
  <c r="BX15" i="1"/>
  <c r="BW15" i="1"/>
  <c r="BY14" i="1"/>
  <c r="BX14" i="1"/>
  <c r="BW14" i="1"/>
  <c r="BN37" i="1"/>
  <c r="BM37" i="1"/>
  <c r="BL37" i="1"/>
  <c r="BN36" i="1"/>
  <c r="BM36" i="1"/>
  <c r="BL36" i="1"/>
  <c r="BN35" i="1"/>
  <c r="BM35" i="1"/>
  <c r="BL35" i="1"/>
  <c r="BN34" i="1"/>
  <c r="BM34" i="1"/>
  <c r="BL34" i="1"/>
  <c r="BN33" i="1"/>
  <c r="BM33" i="1"/>
  <c r="BL33" i="1"/>
  <c r="BN32" i="1"/>
  <c r="BM32" i="1"/>
  <c r="BL32" i="1"/>
  <c r="BN31" i="1"/>
  <c r="BM31" i="1"/>
  <c r="BL31" i="1"/>
  <c r="BN30" i="1"/>
  <c r="BM30" i="1"/>
  <c r="BL30" i="1"/>
  <c r="BN29" i="1"/>
  <c r="BM29" i="1"/>
  <c r="BL29" i="1"/>
  <c r="BN28" i="1"/>
  <c r="BM28" i="1"/>
  <c r="BL28" i="1"/>
  <c r="BN27" i="1"/>
  <c r="BM27" i="1"/>
  <c r="BL27" i="1"/>
  <c r="BN26" i="1"/>
  <c r="BM26" i="1"/>
  <c r="BL26" i="1"/>
  <c r="BN25" i="1"/>
  <c r="BM25" i="1"/>
  <c r="BL25" i="1"/>
  <c r="BN24" i="1"/>
  <c r="BM24" i="1"/>
  <c r="BL24" i="1"/>
  <c r="BN23" i="1"/>
  <c r="BM23" i="1"/>
  <c r="BL23" i="1"/>
  <c r="BN22" i="1"/>
  <c r="BM22" i="1"/>
  <c r="BL22" i="1"/>
  <c r="BN21" i="1"/>
  <c r="BM21" i="1"/>
  <c r="BL21" i="1"/>
  <c r="BN20" i="1"/>
  <c r="BM20" i="1"/>
  <c r="BL20" i="1"/>
  <c r="BN19" i="1"/>
  <c r="BM19" i="1"/>
  <c r="BL19" i="1"/>
  <c r="BN18" i="1"/>
  <c r="BM18" i="1"/>
  <c r="BL18" i="1"/>
  <c r="BN17" i="1"/>
  <c r="BM17" i="1"/>
  <c r="BL17" i="1"/>
  <c r="BN16" i="1"/>
  <c r="BM16" i="1"/>
  <c r="BL16" i="1"/>
  <c r="BN15" i="1"/>
  <c r="BM15" i="1"/>
  <c r="BL15" i="1"/>
  <c r="BN14" i="1"/>
  <c r="BM14" i="1"/>
  <c r="BL14" i="1"/>
  <c r="BC37" i="1"/>
  <c r="BB37" i="1"/>
  <c r="BA37" i="1"/>
  <c r="BC36" i="1"/>
  <c r="BB36" i="1"/>
  <c r="BA36" i="1"/>
  <c r="BC35" i="1"/>
  <c r="BB35" i="1"/>
  <c r="BA35" i="1"/>
  <c r="BC34" i="1"/>
  <c r="BB34" i="1"/>
  <c r="BA34" i="1"/>
  <c r="BC33" i="1"/>
  <c r="BB33" i="1"/>
  <c r="BA33" i="1"/>
  <c r="BC32" i="1"/>
  <c r="BB32" i="1"/>
  <c r="BA32" i="1"/>
  <c r="BC31" i="1"/>
  <c r="BB31" i="1"/>
  <c r="BA31" i="1"/>
  <c r="BC30" i="1"/>
  <c r="BB30" i="1"/>
  <c r="BA30" i="1"/>
  <c r="BC29" i="1"/>
  <c r="BB29" i="1"/>
  <c r="BA29" i="1"/>
  <c r="BC28" i="1"/>
  <c r="BB28" i="1"/>
  <c r="BA28" i="1"/>
  <c r="BC27" i="1"/>
  <c r="BB27" i="1"/>
  <c r="BA27" i="1"/>
  <c r="BC26" i="1"/>
  <c r="BB26" i="1"/>
  <c r="BA26" i="1"/>
  <c r="BC25" i="1"/>
  <c r="BB25" i="1"/>
  <c r="BA25" i="1"/>
  <c r="BC24" i="1"/>
  <c r="BB24" i="1"/>
  <c r="BA24" i="1"/>
  <c r="BC23" i="1"/>
  <c r="BB23" i="1"/>
  <c r="BA23" i="1"/>
  <c r="BC22" i="1"/>
  <c r="BB22" i="1"/>
  <c r="BA22" i="1"/>
  <c r="BC21" i="1"/>
  <c r="BB21" i="1"/>
  <c r="BA21" i="1"/>
  <c r="BC20" i="1"/>
  <c r="BB20" i="1"/>
  <c r="BA20" i="1"/>
  <c r="BC19" i="1"/>
  <c r="BB19" i="1"/>
  <c r="BA19" i="1"/>
  <c r="BC18" i="1"/>
  <c r="BB18" i="1"/>
  <c r="BA18" i="1"/>
  <c r="BC17" i="1"/>
  <c r="BB17" i="1"/>
  <c r="BA17" i="1"/>
  <c r="BC16" i="1"/>
  <c r="BB16" i="1"/>
  <c r="BA16" i="1"/>
  <c r="BC15" i="1"/>
  <c r="BB15" i="1"/>
  <c r="BA15" i="1"/>
  <c r="BC14" i="1"/>
  <c r="BB14" i="1"/>
  <c r="BA14" i="1"/>
  <c r="AR37" i="1"/>
  <c r="AQ37" i="1"/>
  <c r="AP37" i="1"/>
  <c r="AR36" i="1"/>
  <c r="AQ36" i="1"/>
  <c r="AP36" i="1"/>
  <c r="AR35" i="1"/>
  <c r="AQ35" i="1"/>
  <c r="AP35" i="1"/>
  <c r="AR34" i="1"/>
  <c r="AQ34" i="1"/>
  <c r="AP34" i="1"/>
  <c r="AR33" i="1"/>
  <c r="AQ33" i="1"/>
  <c r="AP33" i="1"/>
  <c r="AR32" i="1"/>
  <c r="AQ32" i="1"/>
  <c r="AP32" i="1"/>
  <c r="AR31" i="1"/>
  <c r="AQ31" i="1"/>
  <c r="AP31" i="1"/>
  <c r="AR30" i="1"/>
  <c r="AQ30" i="1"/>
  <c r="AP30" i="1"/>
  <c r="AR29" i="1"/>
  <c r="AQ29" i="1"/>
  <c r="AP29" i="1"/>
  <c r="AR28" i="1"/>
  <c r="AQ28" i="1"/>
  <c r="AP28" i="1"/>
  <c r="AR27" i="1"/>
  <c r="AQ27" i="1"/>
  <c r="AP27" i="1"/>
  <c r="AR26" i="1"/>
  <c r="AQ26" i="1"/>
  <c r="AP26" i="1"/>
  <c r="AR25" i="1"/>
  <c r="AQ25" i="1"/>
  <c r="AP25" i="1"/>
  <c r="AR24" i="1"/>
  <c r="AQ24" i="1"/>
  <c r="AP24" i="1"/>
  <c r="AR23" i="1"/>
  <c r="AQ23" i="1"/>
  <c r="AP23" i="1"/>
  <c r="AR22" i="1"/>
  <c r="AQ22" i="1"/>
  <c r="AP22" i="1"/>
  <c r="AR21" i="1"/>
  <c r="AQ21" i="1"/>
  <c r="AP21" i="1"/>
  <c r="AR20" i="1"/>
  <c r="AQ20" i="1"/>
  <c r="AP20" i="1"/>
  <c r="AR19" i="1"/>
  <c r="AQ19" i="1"/>
  <c r="AP19" i="1"/>
  <c r="AR18" i="1"/>
  <c r="AQ18" i="1"/>
  <c r="AP18" i="1"/>
  <c r="AR17" i="1"/>
  <c r="AQ17" i="1"/>
  <c r="AP17" i="1"/>
  <c r="AR16" i="1"/>
  <c r="AQ16" i="1"/>
  <c r="AP16" i="1"/>
  <c r="AR15" i="1"/>
  <c r="AQ15" i="1"/>
  <c r="AP15" i="1"/>
  <c r="AR14" i="1"/>
  <c r="AQ14" i="1"/>
  <c r="AP14" i="1"/>
  <c r="AG37" i="1"/>
  <c r="AF37" i="1"/>
  <c r="AE37" i="1"/>
  <c r="AG36" i="1"/>
  <c r="AF36" i="1"/>
  <c r="AE36" i="1"/>
  <c r="AG35" i="1"/>
  <c r="AF35" i="1"/>
  <c r="AE35" i="1"/>
  <c r="AG34" i="1"/>
  <c r="AF34" i="1"/>
  <c r="AE34" i="1"/>
  <c r="AG33" i="1"/>
  <c r="AF33" i="1"/>
  <c r="AE33" i="1"/>
  <c r="AG32" i="1"/>
  <c r="AF32" i="1"/>
  <c r="AE32" i="1"/>
  <c r="AG31" i="1"/>
  <c r="AF31" i="1"/>
  <c r="AE31" i="1"/>
  <c r="AG30" i="1"/>
  <c r="AF30" i="1"/>
  <c r="AE30" i="1"/>
  <c r="AG29" i="1"/>
  <c r="AF29" i="1"/>
  <c r="AE29" i="1"/>
  <c r="AG28" i="1"/>
  <c r="AF28" i="1"/>
  <c r="AE28" i="1"/>
  <c r="AG27" i="1"/>
  <c r="AF27" i="1"/>
  <c r="AE27" i="1"/>
  <c r="AG26" i="1"/>
  <c r="AF26" i="1"/>
  <c r="AE26" i="1"/>
  <c r="AG25" i="1"/>
  <c r="AF25" i="1"/>
  <c r="AE25" i="1"/>
  <c r="AG24" i="1"/>
  <c r="AF24" i="1"/>
  <c r="AE24" i="1"/>
  <c r="AG23" i="1"/>
  <c r="AF23" i="1"/>
  <c r="AE23" i="1"/>
  <c r="AG22" i="1"/>
  <c r="AF22" i="1"/>
  <c r="AE22" i="1"/>
  <c r="AG21" i="1"/>
  <c r="AF21" i="1"/>
  <c r="AE21" i="1"/>
  <c r="AG20" i="1"/>
  <c r="AF20" i="1"/>
  <c r="AE20" i="1"/>
  <c r="AG19" i="1"/>
  <c r="AF19" i="1"/>
  <c r="AE19" i="1"/>
  <c r="AG18" i="1"/>
  <c r="AF18" i="1"/>
  <c r="AE18" i="1"/>
  <c r="AG17" i="1"/>
  <c r="AF17" i="1"/>
  <c r="AE17" i="1"/>
  <c r="AG16" i="1"/>
  <c r="AF16" i="1"/>
  <c r="AE16" i="1"/>
  <c r="AG15" i="1"/>
  <c r="AF15" i="1"/>
  <c r="AE15" i="1"/>
  <c r="AG14" i="1"/>
  <c r="AF14" i="1"/>
  <c r="AE14" i="1"/>
  <c r="V37" i="1"/>
  <c r="U37" i="1"/>
  <c r="T37" i="1"/>
  <c r="V36" i="1"/>
  <c r="U36" i="1"/>
  <c r="T36" i="1"/>
  <c r="V35" i="1"/>
  <c r="U35" i="1"/>
  <c r="T35" i="1"/>
  <c r="V34" i="1"/>
  <c r="U34" i="1"/>
  <c r="T34" i="1"/>
  <c r="V33" i="1"/>
  <c r="U33" i="1"/>
  <c r="T33" i="1"/>
  <c r="V32" i="1"/>
  <c r="U32" i="1"/>
  <c r="T32" i="1"/>
  <c r="V31" i="1"/>
  <c r="U31" i="1"/>
  <c r="T31" i="1"/>
  <c r="V30" i="1"/>
  <c r="U30" i="1"/>
  <c r="T30" i="1"/>
  <c r="V29" i="1"/>
  <c r="U29" i="1"/>
  <c r="T29" i="1"/>
  <c r="V28" i="1"/>
  <c r="U28" i="1"/>
  <c r="T28" i="1"/>
  <c r="V27" i="1"/>
  <c r="U27" i="1"/>
  <c r="T27" i="1"/>
  <c r="V26" i="1"/>
  <c r="U26" i="1"/>
  <c r="T26" i="1"/>
  <c r="V25" i="1"/>
  <c r="U25" i="1"/>
  <c r="T25" i="1"/>
  <c r="V24" i="1"/>
  <c r="U24" i="1"/>
  <c r="T24" i="1"/>
  <c r="V23" i="1"/>
  <c r="U23" i="1"/>
  <c r="T23" i="1"/>
  <c r="V22" i="1"/>
  <c r="U22" i="1"/>
  <c r="T22" i="1"/>
  <c r="V21" i="1"/>
  <c r="U21" i="1"/>
  <c r="T21" i="1"/>
  <c r="V20" i="1"/>
  <c r="U20" i="1"/>
  <c r="T20" i="1"/>
  <c r="V19" i="1"/>
  <c r="U19" i="1"/>
  <c r="T19" i="1"/>
  <c r="V18" i="1"/>
  <c r="U18" i="1"/>
  <c r="T18" i="1"/>
  <c r="V17" i="1"/>
  <c r="U17" i="1"/>
  <c r="T17" i="1"/>
  <c r="V16" i="1"/>
  <c r="U16" i="1"/>
  <c r="T16" i="1"/>
  <c r="V15" i="1"/>
  <c r="U15" i="1"/>
  <c r="T15" i="1"/>
  <c r="V14" i="1"/>
  <c r="U14" i="1"/>
  <c r="T14" i="1"/>
  <c r="K37" i="1"/>
  <c r="J37" i="1"/>
  <c r="I37" i="1"/>
  <c r="K36" i="1"/>
  <c r="J36" i="1"/>
  <c r="I36" i="1"/>
  <c r="K35" i="1"/>
  <c r="J35" i="1"/>
  <c r="I35" i="1"/>
  <c r="K34" i="1"/>
  <c r="J34" i="1"/>
  <c r="I34" i="1"/>
  <c r="K33" i="1"/>
  <c r="J33" i="1"/>
  <c r="I33" i="1"/>
  <c r="K32" i="1"/>
  <c r="J32" i="1"/>
  <c r="I32" i="1"/>
  <c r="K31" i="1"/>
  <c r="J31" i="1"/>
  <c r="I31" i="1"/>
  <c r="K30" i="1"/>
  <c r="J30" i="1"/>
  <c r="I30" i="1"/>
  <c r="K29" i="1"/>
  <c r="J29" i="1"/>
  <c r="I29" i="1"/>
  <c r="K28" i="1"/>
  <c r="J28" i="1"/>
  <c r="I28" i="1"/>
  <c r="K27" i="1"/>
  <c r="J27" i="1"/>
  <c r="I27" i="1"/>
  <c r="K26" i="1"/>
  <c r="J26" i="1"/>
  <c r="I26" i="1"/>
  <c r="K25" i="1"/>
  <c r="J25" i="1"/>
  <c r="I25" i="1"/>
  <c r="K24" i="1"/>
  <c r="J24" i="1"/>
  <c r="I24" i="1"/>
  <c r="K23" i="1"/>
  <c r="J23" i="1"/>
  <c r="I23" i="1"/>
  <c r="K22" i="1"/>
  <c r="J22" i="1"/>
  <c r="I22" i="1"/>
  <c r="K21" i="1"/>
  <c r="J21" i="1"/>
  <c r="I21" i="1"/>
  <c r="K20" i="1"/>
  <c r="J20" i="1"/>
  <c r="I20" i="1"/>
  <c r="K19" i="1"/>
  <c r="J19" i="1"/>
  <c r="I19" i="1"/>
  <c r="K18" i="1"/>
  <c r="J18" i="1"/>
  <c r="I18" i="1"/>
  <c r="K17" i="1"/>
  <c r="J17" i="1"/>
  <c r="I17" i="1"/>
  <c r="K16" i="1"/>
  <c r="J16" i="1"/>
  <c r="I16" i="1"/>
  <c r="K15" i="1"/>
  <c r="J15" i="1"/>
  <c r="I15" i="1"/>
  <c r="K14" i="1"/>
  <c r="J14" i="1"/>
  <c r="I14" i="1"/>
  <c r="CY7" i="1" l="1"/>
  <c r="CN7" i="1"/>
  <c r="CC7" i="1"/>
  <c r="BR7" i="1"/>
  <c r="BG7" i="1"/>
  <c r="AV7" i="1"/>
  <c r="AK7" i="1"/>
  <c r="Z7" i="1"/>
  <c r="O7" i="1"/>
  <c r="D7" i="1"/>
  <c r="FJ6" i="4"/>
  <c r="ER6" i="4"/>
  <c r="DZ6" i="4"/>
  <c r="DH6" i="4"/>
  <c r="CP6" i="4"/>
  <c r="BX6" i="4"/>
  <c r="BF6" i="4"/>
  <c r="AN6" i="4"/>
  <c r="V6" i="4"/>
  <c r="FT37" i="4" l="1"/>
  <c r="FS37" i="4"/>
  <c r="FR37" i="4"/>
  <c r="FQ37" i="4"/>
  <c r="FP37" i="4"/>
  <c r="FT36" i="4"/>
  <c r="FS36" i="4"/>
  <c r="FR36" i="4"/>
  <c r="FQ36" i="4"/>
  <c r="FP36" i="4"/>
  <c r="FT35" i="4"/>
  <c r="FS35" i="4"/>
  <c r="FR35" i="4"/>
  <c r="FQ35" i="4"/>
  <c r="FP35" i="4"/>
  <c r="FT34" i="4"/>
  <c r="FS34" i="4"/>
  <c r="FR34" i="4"/>
  <c r="FQ34" i="4"/>
  <c r="FP34" i="4"/>
  <c r="FT33" i="4"/>
  <c r="FS33" i="4"/>
  <c r="FR33" i="4"/>
  <c r="FQ33" i="4"/>
  <c r="FP33" i="4"/>
  <c r="FT32" i="4"/>
  <c r="FS32" i="4"/>
  <c r="FR32" i="4"/>
  <c r="FQ32" i="4"/>
  <c r="FP32" i="4"/>
  <c r="FT31" i="4"/>
  <c r="FS31" i="4"/>
  <c r="FR31" i="4"/>
  <c r="FQ31" i="4"/>
  <c r="FP31" i="4"/>
  <c r="FT30" i="4"/>
  <c r="FS30" i="4"/>
  <c r="FR30" i="4"/>
  <c r="FQ30" i="4"/>
  <c r="FP30" i="4"/>
  <c r="FT29" i="4"/>
  <c r="FS29" i="4"/>
  <c r="FR29" i="4"/>
  <c r="FQ29" i="4"/>
  <c r="FP29" i="4"/>
  <c r="FT28" i="4"/>
  <c r="FS28" i="4"/>
  <c r="FR28" i="4"/>
  <c r="FQ28" i="4"/>
  <c r="FP28" i="4"/>
  <c r="FT27" i="4"/>
  <c r="FS27" i="4"/>
  <c r="FR27" i="4"/>
  <c r="FQ27" i="4"/>
  <c r="FP27" i="4"/>
  <c r="FT26" i="4"/>
  <c r="FS26" i="4"/>
  <c r="FR26" i="4"/>
  <c r="FQ26" i="4"/>
  <c r="FP26" i="4"/>
  <c r="FT25" i="4"/>
  <c r="FS25" i="4"/>
  <c r="FR25" i="4"/>
  <c r="FQ25" i="4"/>
  <c r="FP25" i="4"/>
  <c r="FT24" i="4"/>
  <c r="FS24" i="4"/>
  <c r="FR24" i="4"/>
  <c r="FQ24" i="4"/>
  <c r="FP24" i="4"/>
  <c r="FT23" i="4"/>
  <c r="FS23" i="4"/>
  <c r="FR23" i="4"/>
  <c r="FQ23" i="4"/>
  <c r="FP23" i="4"/>
  <c r="FT22" i="4"/>
  <c r="FS22" i="4"/>
  <c r="FR22" i="4"/>
  <c r="FQ22" i="4"/>
  <c r="FP22" i="4"/>
  <c r="FT21" i="4"/>
  <c r="FS21" i="4"/>
  <c r="FR21" i="4"/>
  <c r="FQ21" i="4"/>
  <c r="FP21" i="4"/>
  <c r="FT20" i="4"/>
  <c r="FS20" i="4"/>
  <c r="FR20" i="4"/>
  <c r="FQ20" i="4"/>
  <c r="FP20" i="4"/>
  <c r="FT19" i="4"/>
  <c r="FS19" i="4"/>
  <c r="FR19" i="4"/>
  <c r="FQ19" i="4"/>
  <c r="FP19" i="4"/>
  <c r="FT18" i="4"/>
  <c r="FS18" i="4"/>
  <c r="FR18" i="4"/>
  <c r="FQ18" i="4"/>
  <c r="FP18" i="4"/>
  <c r="FT17" i="4"/>
  <c r="FS17" i="4"/>
  <c r="FR17" i="4"/>
  <c r="FQ17" i="4"/>
  <c r="FP17" i="4"/>
  <c r="FT16" i="4"/>
  <c r="FS16" i="4"/>
  <c r="FR16" i="4"/>
  <c r="FQ16" i="4"/>
  <c r="FP16" i="4"/>
  <c r="FT15" i="4"/>
  <c r="FS15" i="4"/>
  <c r="FR15" i="4"/>
  <c r="FQ15" i="4"/>
  <c r="FP15" i="4"/>
  <c r="FT14" i="4"/>
  <c r="FS14" i="4"/>
  <c r="FR14" i="4"/>
  <c r="FQ14" i="4"/>
  <c r="FP14" i="4"/>
  <c r="FB37" i="4"/>
  <c r="FA37" i="4"/>
  <c r="EZ37" i="4"/>
  <c r="EY37" i="4"/>
  <c r="EX37" i="4"/>
  <c r="FB36" i="4"/>
  <c r="FA36" i="4"/>
  <c r="EZ36" i="4"/>
  <c r="EY36" i="4"/>
  <c r="EX36" i="4"/>
  <c r="FB35" i="4"/>
  <c r="FA35" i="4"/>
  <c r="EZ35" i="4"/>
  <c r="EY35" i="4"/>
  <c r="EX35" i="4"/>
  <c r="FB34" i="4"/>
  <c r="FA34" i="4"/>
  <c r="EZ34" i="4"/>
  <c r="EY34" i="4"/>
  <c r="EX34" i="4"/>
  <c r="FB33" i="4"/>
  <c r="FA33" i="4"/>
  <c r="EZ33" i="4"/>
  <c r="EY33" i="4"/>
  <c r="EX33" i="4"/>
  <c r="FB32" i="4"/>
  <c r="FA32" i="4"/>
  <c r="EZ32" i="4"/>
  <c r="EY32" i="4"/>
  <c r="EX32" i="4"/>
  <c r="FB31" i="4"/>
  <c r="FA31" i="4"/>
  <c r="EZ31" i="4"/>
  <c r="EY31" i="4"/>
  <c r="EX31" i="4"/>
  <c r="FB30" i="4"/>
  <c r="FA30" i="4"/>
  <c r="EZ30" i="4"/>
  <c r="EY30" i="4"/>
  <c r="EX30" i="4"/>
  <c r="FB29" i="4"/>
  <c r="FA29" i="4"/>
  <c r="EZ29" i="4"/>
  <c r="EY29" i="4"/>
  <c r="EX29" i="4"/>
  <c r="FB28" i="4"/>
  <c r="FA28" i="4"/>
  <c r="EZ28" i="4"/>
  <c r="EY28" i="4"/>
  <c r="EX28" i="4"/>
  <c r="FB27" i="4"/>
  <c r="FA27" i="4"/>
  <c r="EZ27" i="4"/>
  <c r="EY27" i="4"/>
  <c r="EX27" i="4"/>
  <c r="FB26" i="4"/>
  <c r="FA26" i="4"/>
  <c r="EZ26" i="4"/>
  <c r="EY26" i="4"/>
  <c r="EX26" i="4"/>
  <c r="FB25" i="4"/>
  <c r="FA25" i="4"/>
  <c r="EZ25" i="4"/>
  <c r="EY25" i="4"/>
  <c r="EX25" i="4"/>
  <c r="FB24" i="4"/>
  <c r="FA24" i="4"/>
  <c r="EZ24" i="4"/>
  <c r="EY24" i="4"/>
  <c r="EX24" i="4"/>
  <c r="FB23" i="4"/>
  <c r="FA23" i="4"/>
  <c r="EZ23" i="4"/>
  <c r="EY23" i="4"/>
  <c r="EX23" i="4"/>
  <c r="FB22" i="4"/>
  <c r="FA22" i="4"/>
  <c r="EZ22" i="4"/>
  <c r="EY22" i="4"/>
  <c r="EX22" i="4"/>
  <c r="FB21" i="4"/>
  <c r="FA21" i="4"/>
  <c r="EZ21" i="4"/>
  <c r="EY21" i="4"/>
  <c r="EX21" i="4"/>
  <c r="FB20" i="4"/>
  <c r="FA20" i="4"/>
  <c r="EZ20" i="4"/>
  <c r="EY20" i="4"/>
  <c r="EX20" i="4"/>
  <c r="FB19" i="4"/>
  <c r="FA19" i="4"/>
  <c r="EZ19" i="4"/>
  <c r="EY19" i="4"/>
  <c r="EX19" i="4"/>
  <c r="FB18" i="4"/>
  <c r="FA18" i="4"/>
  <c r="EZ18" i="4"/>
  <c r="EY18" i="4"/>
  <c r="EX18" i="4"/>
  <c r="FB17" i="4"/>
  <c r="FA17" i="4"/>
  <c r="EZ17" i="4"/>
  <c r="EY17" i="4"/>
  <c r="EX17" i="4"/>
  <c r="FB16" i="4"/>
  <c r="FA16" i="4"/>
  <c r="EZ16" i="4"/>
  <c r="EY16" i="4"/>
  <c r="EX16" i="4"/>
  <c r="FB15" i="4"/>
  <c r="FA15" i="4"/>
  <c r="EZ15" i="4"/>
  <c r="EY15" i="4"/>
  <c r="EX15" i="4"/>
  <c r="FB14" i="4"/>
  <c r="FA14" i="4"/>
  <c r="EZ14" i="4"/>
  <c r="EY14" i="4"/>
  <c r="EX14" i="4"/>
  <c r="EJ37" i="4"/>
  <c r="EI37" i="4"/>
  <c r="EH37" i="4"/>
  <c r="EG37" i="4"/>
  <c r="EF37" i="4"/>
  <c r="EJ36" i="4"/>
  <c r="EI36" i="4"/>
  <c r="EH36" i="4"/>
  <c r="EG36" i="4"/>
  <c r="EF36" i="4"/>
  <c r="EJ35" i="4"/>
  <c r="EI35" i="4"/>
  <c r="EH35" i="4"/>
  <c r="EG35" i="4"/>
  <c r="EF35" i="4"/>
  <c r="EJ34" i="4"/>
  <c r="EI34" i="4"/>
  <c r="EH34" i="4"/>
  <c r="EG34" i="4"/>
  <c r="EF34" i="4"/>
  <c r="EJ33" i="4"/>
  <c r="EI33" i="4"/>
  <c r="EH33" i="4"/>
  <c r="EG33" i="4"/>
  <c r="EF33" i="4"/>
  <c r="EJ32" i="4"/>
  <c r="EI32" i="4"/>
  <c r="EH32" i="4"/>
  <c r="EG32" i="4"/>
  <c r="EF32" i="4"/>
  <c r="EJ31" i="4"/>
  <c r="EI31" i="4"/>
  <c r="EH31" i="4"/>
  <c r="EG31" i="4"/>
  <c r="EF31" i="4"/>
  <c r="EJ30" i="4"/>
  <c r="EI30" i="4"/>
  <c r="EH30" i="4"/>
  <c r="EG30" i="4"/>
  <c r="EF30" i="4"/>
  <c r="EJ29" i="4"/>
  <c r="EI29" i="4"/>
  <c r="EH29" i="4"/>
  <c r="EG29" i="4"/>
  <c r="EF29" i="4"/>
  <c r="EJ28" i="4"/>
  <c r="EI28" i="4"/>
  <c r="EH28" i="4"/>
  <c r="EG28" i="4"/>
  <c r="EF28" i="4"/>
  <c r="EJ27" i="4"/>
  <c r="EI27" i="4"/>
  <c r="EH27" i="4"/>
  <c r="EG27" i="4"/>
  <c r="EF27" i="4"/>
  <c r="EJ26" i="4"/>
  <c r="EI26" i="4"/>
  <c r="EH26" i="4"/>
  <c r="EG26" i="4"/>
  <c r="EF26" i="4"/>
  <c r="EJ25" i="4"/>
  <c r="EI25" i="4"/>
  <c r="EH25" i="4"/>
  <c r="EG25" i="4"/>
  <c r="EF25" i="4"/>
  <c r="EJ24" i="4"/>
  <c r="EI24" i="4"/>
  <c r="EH24" i="4"/>
  <c r="EG24" i="4"/>
  <c r="EF24" i="4"/>
  <c r="EJ23" i="4"/>
  <c r="EI23" i="4"/>
  <c r="EH23" i="4"/>
  <c r="EG23" i="4"/>
  <c r="EF23" i="4"/>
  <c r="EJ22" i="4"/>
  <c r="EI22" i="4"/>
  <c r="EH22" i="4"/>
  <c r="EG22" i="4"/>
  <c r="EF22" i="4"/>
  <c r="EJ21" i="4"/>
  <c r="EI21" i="4"/>
  <c r="EH21" i="4"/>
  <c r="EG21" i="4"/>
  <c r="EF21" i="4"/>
  <c r="EJ20" i="4"/>
  <c r="EI20" i="4"/>
  <c r="EH20" i="4"/>
  <c r="EG20" i="4"/>
  <c r="EF20" i="4"/>
  <c r="EJ19" i="4"/>
  <c r="EI19" i="4"/>
  <c r="EH19" i="4"/>
  <c r="EG19" i="4"/>
  <c r="EF19" i="4"/>
  <c r="EJ18" i="4"/>
  <c r="EI18" i="4"/>
  <c r="EH18" i="4"/>
  <c r="EG18" i="4"/>
  <c r="EF18" i="4"/>
  <c r="EJ17" i="4"/>
  <c r="EI17" i="4"/>
  <c r="EH17" i="4"/>
  <c r="EG17" i="4"/>
  <c r="EF17" i="4"/>
  <c r="EJ16" i="4"/>
  <c r="EI16" i="4"/>
  <c r="EH16" i="4"/>
  <c r="EG16" i="4"/>
  <c r="EF16" i="4"/>
  <c r="EJ15" i="4"/>
  <c r="EI15" i="4"/>
  <c r="EH15" i="4"/>
  <c r="EG15" i="4"/>
  <c r="EF15" i="4"/>
  <c r="EJ14" i="4"/>
  <c r="EI14" i="4"/>
  <c r="EH14" i="4"/>
  <c r="EG14" i="4"/>
  <c r="EF14" i="4"/>
  <c r="DR37" i="4"/>
  <c r="DQ37" i="4"/>
  <c r="DP37" i="4"/>
  <c r="DO37" i="4"/>
  <c r="DN37" i="4"/>
  <c r="DR36" i="4"/>
  <c r="DQ36" i="4"/>
  <c r="DP36" i="4"/>
  <c r="DO36" i="4"/>
  <c r="DN36" i="4"/>
  <c r="DR35" i="4"/>
  <c r="DQ35" i="4"/>
  <c r="DP35" i="4"/>
  <c r="DO35" i="4"/>
  <c r="DN35" i="4"/>
  <c r="DR34" i="4"/>
  <c r="DQ34" i="4"/>
  <c r="DP34" i="4"/>
  <c r="DO34" i="4"/>
  <c r="DN34" i="4"/>
  <c r="DR33" i="4"/>
  <c r="DQ33" i="4"/>
  <c r="DP33" i="4"/>
  <c r="DO33" i="4"/>
  <c r="DN33" i="4"/>
  <c r="DR32" i="4"/>
  <c r="DQ32" i="4"/>
  <c r="DP32" i="4"/>
  <c r="DO32" i="4"/>
  <c r="DN32" i="4"/>
  <c r="DR31" i="4"/>
  <c r="DQ31" i="4"/>
  <c r="DP31" i="4"/>
  <c r="DO31" i="4"/>
  <c r="DN31" i="4"/>
  <c r="DR30" i="4"/>
  <c r="DQ30" i="4"/>
  <c r="DP30" i="4"/>
  <c r="DO30" i="4"/>
  <c r="DN30" i="4"/>
  <c r="DR29" i="4"/>
  <c r="DQ29" i="4"/>
  <c r="DP29" i="4"/>
  <c r="DO29" i="4"/>
  <c r="DN29" i="4"/>
  <c r="DR28" i="4"/>
  <c r="DQ28" i="4"/>
  <c r="DP28" i="4"/>
  <c r="DO28" i="4"/>
  <c r="DN28" i="4"/>
  <c r="DR27" i="4"/>
  <c r="DQ27" i="4"/>
  <c r="DP27" i="4"/>
  <c r="DO27" i="4"/>
  <c r="DN27" i="4"/>
  <c r="DR26" i="4"/>
  <c r="DQ26" i="4"/>
  <c r="DP26" i="4"/>
  <c r="DO26" i="4"/>
  <c r="DN26" i="4"/>
  <c r="DR25" i="4"/>
  <c r="DQ25" i="4"/>
  <c r="DP25" i="4"/>
  <c r="DO25" i="4"/>
  <c r="DN25" i="4"/>
  <c r="DR24" i="4"/>
  <c r="DQ24" i="4"/>
  <c r="DP24" i="4"/>
  <c r="DO24" i="4"/>
  <c r="DN24" i="4"/>
  <c r="DR23" i="4"/>
  <c r="DQ23" i="4"/>
  <c r="DP23" i="4"/>
  <c r="DO23" i="4"/>
  <c r="DN23" i="4"/>
  <c r="DR22" i="4"/>
  <c r="DQ22" i="4"/>
  <c r="DP22" i="4"/>
  <c r="DO22" i="4"/>
  <c r="DN22" i="4"/>
  <c r="DR21" i="4"/>
  <c r="DQ21" i="4"/>
  <c r="DP21" i="4"/>
  <c r="DO21" i="4"/>
  <c r="DN21" i="4"/>
  <c r="DR20" i="4"/>
  <c r="DQ20" i="4"/>
  <c r="DP20" i="4"/>
  <c r="DO20" i="4"/>
  <c r="DN20" i="4"/>
  <c r="DR19" i="4"/>
  <c r="DQ19" i="4"/>
  <c r="DP19" i="4"/>
  <c r="DO19" i="4"/>
  <c r="DN19" i="4"/>
  <c r="DR18" i="4"/>
  <c r="DQ18" i="4"/>
  <c r="DP18" i="4"/>
  <c r="DO18" i="4"/>
  <c r="DN18" i="4"/>
  <c r="DR17" i="4"/>
  <c r="DQ17" i="4"/>
  <c r="DP17" i="4"/>
  <c r="DO17" i="4"/>
  <c r="DN17" i="4"/>
  <c r="DR16" i="4"/>
  <c r="DQ16" i="4"/>
  <c r="DP16" i="4"/>
  <c r="DO16" i="4"/>
  <c r="DN16" i="4"/>
  <c r="DR15" i="4"/>
  <c r="DQ15" i="4"/>
  <c r="DP15" i="4"/>
  <c r="DO15" i="4"/>
  <c r="DN15" i="4"/>
  <c r="DR14" i="4"/>
  <c r="DQ14" i="4"/>
  <c r="DP14" i="4"/>
  <c r="DO14" i="4"/>
  <c r="DN14" i="4"/>
  <c r="CZ37" i="4"/>
  <c r="CY37" i="4"/>
  <c r="CX37" i="4"/>
  <c r="CW37" i="4"/>
  <c r="CV37" i="4"/>
  <c r="CZ36" i="4"/>
  <c r="CY36" i="4"/>
  <c r="CX36" i="4"/>
  <c r="CW36" i="4"/>
  <c r="CV36" i="4"/>
  <c r="CZ35" i="4"/>
  <c r="CY35" i="4"/>
  <c r="CX35" i="4"/>
  <c r="CW35" i="4"/>
  <c r="CV35" i="4"/>
  <c r="CZ34" i="4"/>
  <c r="CY34" i="4"/>
  <c r="CX34" i="4"/>
  <c r="CW34" i="4"/>
  <c r="CV34" i="4"/>
  <c r="CZ33" i="4"/>
  <c r="CY33" i="4"/>
  <c r="CX33" i="4"/>
  <c r="CW33" i="4"/>
  <c r="CV33" i="4"/>
  <c r="CZ32" i="4"/>
  <c r="CY32" i="4"/>
  <c r="CX32" i="4"/>
  <c r="CW32" i="4"/>
  <c r="CV32" i="4"/>
  <c r="CZ31" i="4"/>
  <c r="CY31" i="4"/>
  <c r="CX31" i="4"/>
  <c r="CW31" i="4"/>
  <c r="CV31" i="4"/>
  <c r="CZ30" i="4"/>
  <c r="CY30" i="4"/>
  <c r="CX30" i="4"/>
  <c r="CW30" i="4"/>
  <c r="CV30" i="4"/>
  <c r="CZ29" i="4"/>
  <c r="CY29" i="4"/>
  <c r="CX29" i="4"/>
  <c r="CW29" i="4"/>
  <c r="CV29" i="4"/>
  <c r="CZ28" i="4"/>
  <c r="CY28" i="4"/>
  <c r="CX28" i="4"/>
  <c r="CW28" i="4"/>
  <c r="CV28" i="4"/>
  <c r="CZ27" i="4"/>
  <c r="CY27" i="4"/>
  <c r="CX27" i="4"/>
  <c r="CW27" i="4"/>
  <c r="CV27" i="4"/>
  <c r="CZ26" i="4"/>
  <c r="CY26" i="4"/>
  <c r="CX26" i="4"/>
  <c r="CW26" i="4"/>
  <c r="CV26" i="4"/>
  <c r="CZ25" i="4"/>
  <c r="CY25" i="4"/>
  <c r="CX25" i="4"/>
  <c r="CW25" i="4"/>
  <c r="CV25" i="4"/>
  <c r="CZ24" i="4"/>
  <c r="CY24" i="4"/>
  <c r="CX24" i="4"/>
  <c r="CW24" i="4"/>
  <c r="CV24" i="4"/>
  <c r="CZ23" i="4"/>
  <c r="CY23" i="4"/>
  <c r="CX23" i="4"/>
  <c r="CW23" i="4"/>
  <c r="CV23" i="4"/>
  <c r="CZ22" i="4"/>
  <c r="CY22" i="4"/>
  <c r="CX22" i="4"/>
  <c r="CW22" i="4"/>
  <c r="CV22" i="4"/>
  <c r="CZ21" i="4"/>
  <c r="CY21" i="4"/>
  <c r="CX21" i="4"/>
  <c r="CW21" i="4"/>
  <c r="CV21" i="4"/>
  <c r="CZ20" i="4"/>
  <c r="CY20" i="4"/>
  <c r="CX20" i="4"/>
  <c r="CW20" i="4"/>
  <c r="CV20" i="4"/>
  <c r="CZ19" i="4"/>
  <c r="CY19" i="4"/>
  <c r="CX19" i="4"/>
  <c r="CW19" i="4"/>
  <c r="CV19" i="4"/>
  <c r="CZ18" i="4"/>
  <c r="CY18" i="4"/>
  <c r="CX18" i="4"/>
  <c r="CW18" i="4"/>
  <c r="CV18" i="4"/>
  <c r="CZ17" i="4"/>
  <c r="CY17" i="4"/>
  <c r="CX17" i="4"/>
  <c r="CW17" i="4"/>
  <c r="CV17" i="4"/>
  <c r="CZ16" i="4"/>
  <c r="CY16" i="4"/>
  <c r="CX16" i="4"/>
  <c r="CW16" i="4"/>
  <c r="CV16" i="4"/>
  <c r="CZ15" i="4"/>
  <c r="CY15" i="4"/>
  <c r="CX15" i="4"/>
  <c r="CW15" i="4"/>
  <c r="CV15" i="4"/>
  <c r="CZ14" i="4"/>
  <c r="CY14" i="4"/>
  <c r="CX14" i="4"/>
  <c r="CW14" i="4"/>
  <c r="CV14" i="4"/>
  <c r="CH37" i="4"/>
  <c r="CG37" i="4"/>
  <c r="CF37" i="4"/>
  <c r="CE37" i="4"/>
  <c r="CD37" i="4"/>
  <c r="CH36" i="4"/>
  <c r="CG36" i="4"/>
  <c r="CF36" i="4"/>
  <c r="CE36" i="4"/>
  <c r="CD36" i="4"/>
  <c r="CH35" i="4"/>
  <c r="CG35" i="4"/>
  <c r="CF35" i="4"/>
  <c r="CE35" i="4"/>
  <c r="CD35" i="4"/>
  <c r="CH34" i="4"/>
  <c r="CG34" i="4"/>
  <c r="CF34" i="4"/>
  <c r="CE34" i="4"/>
  <c r="CD34" i="4"/>
  <c r="CH33" i="4"/>
  <c r="CG33" i="4"/>
  <c r="CF33" i="4"/>
  <c r="CE33" i="4"/>
  <c r="CD33" i="4"/>
  <c r="CH32" i="4"/>
  <c r="CG32" i="4"/>
  <c r="CF32" i="4"/>
  <c r="CE32" i="4"/>
  <c r="CD32" i="4"/>
  <c r="CH31" i="4"/>
  <c r="CG31" i="4"/>
  <c r="CF31" i="4"/>
  <c r="CE31" i="4"/>
  <c r="CD31" i="4"/>
  <c r="CH30" i="4"/>
  <c r="CG30" i="4"/>
  <c r="CF30" i="4"/>
  <c r="CE30" i="4"/>
  <c r="CD30" i="4"/>
  <c r="CH29" i="4"/>
  <c r="CG29" i="4"/>
  <c r="CF29" i="4"/>
  <c r="CE29" i="4"/>
  <c r="CD29" i="4"/>
  <c r="CH28" i="4"/>
  <c r="CG28" i="4"/>
  <c r="CF28" i="4"/>
  <c r="CE28" i="4"/>
  <c r="CD28" i="4"/>
  <c r="CH27" i="4"/>
  <c r="CG27" i="4"/>
  <c r="CF27" i="4"/>
  <c r="CE27" i="4"/>
  <c r="CD27" i="4"/>
  <c r="CH26" i="4"/>
  <c r="CG26" i="4"/>
  <c r="CF26" i="4"/>
  <c r="CE26" i="4"/>
  <c r="CD26" i="4"/>
  <c r="CH25" i="4"/>
  <c r="CG25" i="4"/>
  <c r="CF25" i="4"/>
  <c r="CE25" i="4"/>
  <c r="CD25" i="4"/>
  <c r="CH24" i="4"/>
  <c r="CG24" i="4"/>
  <c r="CF24" i="4"/>
  <c r="CE24" i="4"/>
  <c r="CD24" i="4"/>
  <c r="CH23" i="4"/>
  <c r="CG23" i="4"/>
  <c r="CF23" i="4"/>
  <c r="CE23" i="4"/>
  <c r="CD23" i="4"/>
  <c r="CH22" i="4"/>
  <c r="CG22" i="4"/>
  <c r="CF22" i="4"/>
  <c r="CE22" i="4"/>
  <c r="CD22" i="4"/>
  <c r="CH21" i="4"/>
  <c r="CG21" i="4"/>
  <c r="CF21" i="4"/>
  <c r="CE21" i="4"/>
  <c r="CD21" i="4"/>
  <c r="CH20" i="4"/>
  <c r="CG20" i="4"/>
  <c r="CF20" i="4"/>
  <c r="CE20" i="4"/>
  <c r="CD20" i="4"/>
  <c r="CH19" i="4"/>
  <c r="CG19" i="4"/>
  <c r="CF19" i="4"/>
  <c r="CE19" i="4"/>
  <c r="CD19" i="4"/>
  <c r="CH18" i="4"/>
  <c r="CG18" i="4"/>
  <c r="CF18" i="4"/>
  <c r="CE18" i="4"/>
  <c r="CD18" i="4"/>
  <c r="CH17" i="4"/>
  <c r="CG17" i="4"/>
  <c r="CF17" i="4"/>
  <c r="CE17" i="4"/>
  <c r="CD17" i="4"/>
  <c r="CH16" i="4"/>
  <c r="CG16" i="4"/>
  <c r="CF16" i="4"/>
  <c r="CE16" i="4"/>
  <c r="CD16" i="4"/>
  <c r="CH15" i="4"/>
  <c r="CG15" i="4"/>
  <c r="CF15" i="4"/>
  <c r="CE15" i="4"/>
  <c r="CD15" i="4"/>
  <c r="CH14" i="4"/>
  <c r="CG14" i="4"/>
  <c r="CF14" i="4"/>
  <c r="CE14" i="4"/>
  <c r="CD14" i="4"/>
  <c r="BP37" i="4"/>
  <c r="BO37" i="4"/>
  <c r="BN37" i="4"/>
  <c r="BM37" i="4"/>
  <c r="BL37" i="4"/>
  <c r="BP36" i="4"/>
  <c r="BO36" i="4"/>
  <c r="BN36" i="4"/>
  <c r="BM36" i="4"/>
  <c r="BL36" i="4"/>
  <c r="BP35" i="4"/>
  <c r="BO35" i="4"/>
  <c r="BN35" i="4"/>
  <c r="BM35" i="4"/>
  <c r="BL35" i="4"/>
  <c r="BP34" i="4"/>
  <c r="BO34" i="4"/>
  <c r="BN34" i="4"/>
  <c r="BM34" i="4"/>
  <c r="BL34" i="4"/>
  <c r="BP33" i="4"/>
  <c r="BO33" i="4"/>
  <c r="BN33" i="4"/>
  <c r="BM33" i="4"/>
  <c r="BL33" i="4"/>
  <c r="BP32" i="4"/>
  <c r="BO32" i="4"/>
  <c r="BN32" i="4"/>
  <c r="BM32" i="4"/>
  <c r="BL32" i="4"/>
  <c r="BP31" i="4"/>
  <c r="BO31" i="4"/>
  <c r="BN31" i="4"/>
  <c r="BM31" i="4"/>
  <c r="BL31" i="4"/>
  <c r="BP30" i="4"/>
  <c r="BO30" i="4"/>
  <c r="BN30" i="4"/>
  <c r="BM30" i="4"/>
  <c r="BL30" i="4"/>
  <c r="BP29" i="4"/>
  <c r="BO29" i="4"/>
  <c r="BN29" i="4"/>
  <c r="BM29" i="4"/>
  <c r="BL29" i="4"/>
  <c r="BP28" i="4"/>
  <c r="BO28" i="4"/>
  <c r="BN28" i="4"/>
  <c r="BM28" i="4"/>
  <c r="BL28" i="4"/>
  <c r="BP27" i="4"/>
  <c r="BO27" i="4"/>
  <c r="BN27" i="4"/>
  <c r="BM27" i="4"/>
  <c r="BL27" i="4"/>
  <c r="BP26" i="4"/>
  <c r="BO26" i="4"/>
  <c r="BN26" i="4"/>
  <c r="BM26" i="4"/>
  <c r="BL26" i="4"/>
  <c r="BP25" i="4"/>
  <c r="BO25" i="4"/>
  <c r="BN25" i="4"/>
  <c r="BM25" i="4"/>
  <c r="BL25" i="4"/>
  <c r="BP24" i="4"/>
  <c r="BO24" i="4"/>
  <c r="BN24" i="4"/>
  <c r="BM24" i="4"/>
  <c r="BL24" i="4"/>
  <c r="BP23" i="4"/>
  <c r="BO23" i="4"/>
  <c r="BN23" i="4"/>
  <c r="BM23" i="4"/>
  <c r="BL23" i="4"/>
  <c r="BP22" i="4"/>
  <c r="BO22" i="4"/>
  <c r="BN22" i="4"/>
  <c r="BM22" i="4"/>
  <c r="BL22" i="4"/>
  <c r="BP21" i="4"/>
  <c r="BO21" i="4"/>
  <c r="BN21" i="4"/>
  <c r="BM21" i="4"/>
  <c r="BL21" i="4"/>
  <c r="BP20" i="4"/>
  <c r="BO20" i="4"/>
  <c r="BN20" i="4"/>
  <c r="BM20" i="4"/>
  <c r="BL20" i="4"/>
  <c r="BP19" i="4"/>
  <c r="BO19" i="4"/>
  <c r="BN19" i="4"/>
  <c r="BM19" i="4"/>
  <c r="BL19" i="4"/>
  <c r="BP18" i="4"/>
  <c r="BO18" i="4"/>
  <c r="BN18" i="4"/>
  <c r="BM18" i="4"/>
  <c r="BL18" i="4"/>
  <c r="BP17" i="4"/>
  <c r="BO17" i="4"/>
  <c r="BN17" i="4"/>
  <c r="BM17" i="4"/>
  <c r="BL17" i="4"/>
  <c r="BP16" i="4"/>
  <c r="BO16" i="4"/>
  <c r="BN16" i="4"/>
  <c r="BM16" i="4"/>
  <c r="BL16" i="4"/>
  <c r="BP15" i="4"/>
  <c r="BO15" i="4"/>
  <c r="BN15" i="4"/>
  <c r="BM15" i="4"/>
  <c r="BL15" i="4"/>
  <c r="BP14" i="4"/>
  <c r="BO14" i="4"/>
  <c r="BN14" i="4"/>
  <c r="BM14" i="4"/>
  <c r="BL14" i="4"/>
  <c r="AX37" i="4"/>
  <c r="AW37" i="4"/>
  <c r="AV37" i="4"/>
  <c r="AU37" i="4"/>
  <c r="AT37" i="4"/>
  <c r="AX36" i="4"/>
  <c r="AW36" i="4"/>
  <c r="AV36" i="4"/>
  <c r="AU36" i="4"/>
  <c r="AT36" i="4"/>
  <c r="AX35" i="4"/>
  <c r="AW35" i="4"/>
  <c r="AV35" i="4"/>
  <c r="AU35" i="4"/>
  <c r="AT35" i="4"/>
  <c r="AX34" i="4"/>
  <c r="AW34" i="4"/>
  <c r="AV34" i="4"/>
  <c r="AU34" i="4"/>
  <c r="AT34" i="4"/>
  <c r="AX33" i="4"/>
  <c r="AW33" i="4"/>
  <c r="AV33" i="4"/>
  <c r="AU33" i="4"/>
  <c r="AT33" i="4"/>
  <c r="AX32" i="4"/>
  <c r="AW32" i="4"/>
  <c r="AV32" i="4"/>
  <c r="AU32" i="4"/>
  <c r="AT32" i="4"/>
  <c r="AX31" i="4"/>
  <c r="AW31" i="4"/>
  <c r="AV31" i="4"/>
  <c r="AU31" i="4"/>
  <c r="AT31" i="4"/>
  <c r="AX30" i="4"/>
  <c r="AW30" i="4"/>
  <c r="AV30" i="4"/>
  <c r="AU30" i="4"/>
  <c r="AT30" i="4"/>
  <c r="AX29" i="4"/>
  <c r="AW29" i="4"/>
  <c r="AV29" i="4"/>
  <c r="AU29" i="4"/>
  <c r="AT29" i="4"/>
  <c r="AX28" i="4"/>
  <c r="AW28" i="4"/>
  <c r="AV28" i="4"/>
  <c r="AU28" i="4"/>
  <c r="AT28" i="4"/>
  <c r="AX27" i="4"/>
  <c r="AW27" i="4"/>
  <c r="AV27" i="4"/>
  <c r="AU27" i="4"/>
  <c r="AT27" i="4"/>
  <c r="AX26" i="4"/>
  <c r="AW26" i="4"/>
  <c r="AV26" i="4"/>
  <c r="AU26" i="4"/>
  <c r="AT26" i="4"/>
  <c r="AX25" i="4"/>
  <c r="AW25" i="4"/>
  <c r="AV25" i="4"/>
  <c r="AU25" i="4"/>
  <c r="AT25" i="4"/>
  <c r="AX24" i="4"/>
  <c r="AW24" i="4"/>
  <c r="AV24" i="4"/>
  <c r="AU24" i="4"/>
  <c r="AT24" i="4"/>
  <c r="AX23" i="4"/>
  <c r="AW23" i="4"/>
  <c r="AV23" i="4"/>
  <c r="AU23" i="4"/>
  <c r="AT23" i="4"/>
  <c r="AX22" i="4"/>
  <c r="AW22" i="4"/>
  <c r="AV22" i="4"/>
  <c r="AU22" i="4"/>
  <c r="AT22" i="4"/>
  <c r="AX21" i="4"/>
  <c r="AW21" i="4"/>
  <c r="AV21" i="4"/>
  <c r="AU21" i="4"/>
  <c r="AT21" i="4"/>
  <c r="AX20" i="4"/>
  <c r="AW20" i="4"/>
  <c r="AV20" i="4"/>
  <c r="AU20" i="4"/>
  <c r="AT20" i="4"/>
  <c r="AX19" i="4"/>
  <c r="AW19" i="4"/>
  <c r="AV19" i="4"/>
  <c r="AU19" i="4"/>
  <c r="AT19" i="4"/>
  <c r="AX18" i="4"/>
  <c r="AW18" i="4"/>
  <c r="AV18" i="4"/>
  <c r="AU18" i="4"/>
  <c r="AT18" i="4"/>
  <c r="AX17" i="4"/>
  <c r="AW17" i="4"/>
  <c r="AV17" i="4"/>
  <c r="AU17" i="4"/>
  <c r="AT17" i="4"/>
  <c r="AX16" i="4"/>
  <c r="AW16" i="4"/>
  <c r="AV16" i="4"/>
  <c r="AU16" i="4"/>
  <c r="AT16" i="4"/>
  <c r="AX15" i="4"/>
  <c r="AW15" i="4"/>
  <c r="AV15" i="4"/>
  <c r="AU15" i="4"/>
  <c r="AT15" i="4"/>
  <c r="AX14" i="4"/>
  <c r="AW14" i="4"/>
  <c r="AV14" i="4"/>
  <c r="AU14" i="4"/>
  <c r="AT14" i="4"/>
  <c r="AF37" i="4"/>
  <c r="AE37" i="4"/>
  <c r="AD37" i="4"/>
  <c r="AC37" i="4"/>
  <c r="AB37" i="4"/>
  <c r="AF36" i="4"/>
  <c r="AE36" i="4"/>
  <c r="AD36" i="4"/>
  <c r="AC36" i="4"/>
  <c r="AB36" i="4"/>
  <c r="AF35" i="4"/>
  <c r="AE35" i="4"/>
  <c r="AD35" i="4"/>
  <c r="AC35" i="4"/>
  <c r="AB35" i="4"/>
  <c r="AF34" i="4"/>
  <c r="AE34" i="4"/>
  <c r="AD34" i="4"/>
  <c r="AC34" i="4"/>
  <c r="AB34" i="4"/>
  <c r="AF33" i="4"/>
  <c r="AE33" i="4"/>
  <c r="AD33" i="4"/>
  <c r="AC33" i="4"/>
  <c r="AB33" i="4"/>
  <c r="AF32" i="4"/>
  <c r="AE32" i="4"/>
  <c r="AD32" i="4"/>
  <c r="AC32" i="4"/>
  <c r="AB32" i="4"/>
  <c r="AF31" i="4"/>
  <c r="AE31" i="4"/>
  <c r="AD31" i="4"/>
  <c r="AC31" i="4"/>
  <c r="AB31" i="4"/>
  <c r="AF30" i="4"/>
  <c r="AE30" i="4"/>
  <c r="AD30" i="4"/>
  <c r="AC30" i="4"/>
  <c r="AB30" i="4"/>
  <c r="AF29" i="4"/>
  <c r="AE29" i="4"/>
  <c r="AD29" i="4"/>
  <c r="AC29" i="4"/>
  <c r="AB29" i="4"/>
  <c r="AF28" i="4"/>
  <c r="AE28" i="4"/>
  <c r="AD28" i="4"/>
  <c r="AC28" i="4"/>
  <c r="AB28" i="4"/>
  <c r="AF27" i="4"/>
  <c r="AE27" i="4"/>
  <c r="AD27" i="4"/>
  <c r="AC27" i="4"/>
  <c r="AB27" i="4"/>
  <c r="AF26" i="4"/>
  <c r="AE26" i="4"/>
  <c r="AD26" i="4"/>
  <c r="AC26" i="4"/>
  <c r="AB26" i="4"/>
  <c r="AF25" i="4"/>
  <c r="AE25" i="4"/>
  <c r="AD25" i="4"/>
  <c r="AC25" i="4"/>
  <c r="AB25" i="4"/>
  <c r="AF24" i="4"/>
  <c r="AE24" i="4"/>
  <c r="AD24" i="4"/>
  <c r="AC24" i="4"/>
  <c r="AB24" i="4"/>
  <c r="AF23" i="4"/>
  <c r="AE23" i="4"/>
  <c r="AD23" i="4"/>
  <c r="AC23" i="4"/>
  <c r="AB23" i="4"/>
  <c r="AF22" i="4"/>
  <c r="AE22" i="4"/>
  <c r="AD22" i="4"/>
  <c r="AC22" i="4"/>
  <c r="AB22" i="4"/>
  <c r="AF21" i="4"/>
  <c r="AE21" i="4"/>
  <c r="AD21" i="4"/>
  <c r="AC21" i="4"/>
  <c r="AB21" i="4"/>
  <c r="AF20" i="4"/>
  <c r="AE20" i="4"/>
  <c r="AD20" i="4"/>
  <c r="AC20" i="4"/>
  <c r="AB20" i="4"/>
  <c r="AF19" i="4"/>
  <c r="AE19" i="4"/>
  <c r="AD19" i="4"/>
  <c r="AC19" i="4"/>
  <c r="AB19" i="4"/>
  <c r="AF18" i="4"/>
  <c r="AE18" i="4"/>
  <c r="AD18" i="4"/>
  <c r="AC18" i="4"/>
  <c r="AB18" i="4"/>
  <c r="AF17" i="4"/>
  <c r="AE17" i="4"/>
  <c r="AD17" i="4"/>
  <c r="AC17" i="4"/>
  <c r="AB17" i="4"/>
  <c r="AF16" i="4"/>
  <c r="AE16" i="4"/>
  <c r="AD16" i="4"/>
  <c r="AC16" i="4"/>
  <c r="AB16" i="4"/>
  <c r="AF15" i="4"/>
  <c r="AE15" i="4"/>
  <c r="AD15" i="4"/>
  <c r="AC15" i="4"/>
  <c r="AB15" i="4"/>
  <c r="AF14" i="4"/>
  <c r="AE14" i="4"/>
  <c r="AD14" i="4"/>
  <c r="AC14" i="4"/>
  <c r="AB14" i="4"/>
  <c r="N37" i="4"/>
  <c r="M37" i="4"/>
  <c r="L37" i="4"/>
  <c r="K37" i="4"/>
  <c r="J37" i="4"/>
  <c r="N36" i="4"/>
  <c r="M36" i="4"/>
  <c r="L36" i="4"/>
  <c r="K36" i="4"/>
  <c r="J36" i="4"/>
  <c r="N35" i="4"/>
  <c r="M35" i="4"/>
  <c r="L35" i="4"/>
  <c r="K35" i="4"/>
  <c r="J35" i="4"/>
  <c r="N34" i="4"/>
  <c r="M34" i="4"/>
  <c r="L34" i="4"/>
  <c r="K34" i="4"/>
  <c r="J34" i="4"/>
  <c r="N33" i="4"/>
  <c r="M33" i="4"/>
  <c r="L33" i="4"/>
  <c r="K33" i="4"/>
  <c r="J33" i="4"/>
  <c r="N32" i="4"/>
  <c r="M32" i="4"/>
  <c r="L32" i="4"/>
  <c r="K32" i="4"/>
  <c r="J32" i="4"/>
  <c r="N31" i="4"/>
  <c r="M31" i="4"/>
  <c r="L31" i="4"/>
  <c r="K31" i="4"/>
  <c r="J31" i="4"/>
  <c r="N30" i="4"/>
  <c r="M30" i="4"/>
  <c r="L30" i="4"/>
  <c r="K30" i="4"/>
  <c r="J30" i="4"/>
  <c r="N29" i="4"/>
  <c r="M29" i="4"/>
  <c r="L29" i="4"/>
  <c r="K29" i="4"/>
  <c r="J29" i="4"/>
  <c r="N28" i="4"/>
  <c r="M28" i="4"/>
  <c r="L28" i="4"/>
  <c r="K28" i="4"/>
  <c r="J28" i="4"/>
  <c r="N27" i="4"/>
  <c r="M27" i="4"/>
  <c r="L27" i="4"/>
  <c r="K27" i="4"/>
  <c r="J27" i="4"/>
  <c r="N26" i="4"/>
  <c r="M26" i="4"/>
  <c r="L26" i="4"/>
  <c r="K26" i="4"/>
  <c r="J26" i="4"/>
  <c r="N25" i="4"/>
  <c r="M25" i="4"/>
  <c r="L25" i="4"/>
  <c r="K25" i="4"/>
  <c r="J25" i="4"/>
  <c r="N24" i="4"/>
  <c r="M24" i="4"/>
  <c r="L24" i="4"/>
  <c r="K24" i="4"/>
  <c r="J24" i="4"/>
  <c r="N23" i="4"/>
  <c r="M23" i="4"/>
  <c r="L23" i="4"/>
  <c r="K23" i="4"/>
  <c r="J23" i="4"/>
  <c r="N22" i="4"/>
  <c r="M22" i="4"/>
  <c r="L22" i="4"/>
  <c r="K22" i="4"/>
  <c r="J22" i="4"/>
  <c r="N21" i="4"/>
  <c r="M21" i="4"/>
  <c r="L21" i="4"/>
  <c r="K21" i="4"/>
  <c r="J21" i="4"/>
  <c r="N20" i="4"/>
  <c r="M20" i="4"/>
  <c r="L20" i="4"/>
  <c r="K20" i="4"/>
  <c r="J20" i="4"/>
  <c r="N19" i="4"/>
  <c r="M19" i="4"/>
  <c r="L19" i="4"/>
  <c r="K19" i="4"/>
  <c r="J19" i="4"/>
  <c r="N18" i="4"/>
  <c r="M18" i="4"/>
  <c r="L18" i="4"/>
  <c r="K18" i="4"/>
  <c r="J18" i="4"/>
  <c r="N17" i="4"/>
  <c r="M17" i="4"/>
  <c r="L17" i="4"/>
  <c r="K17" i="4"/>
  <c r="J17" i="4"/>
  <c r="N16" i="4"/>
  <c r="M16" i="4"/>
  <c r="L16" i="4"/>
  <c r="K16" i="4"/>
  <c r="J16" i="4"/>
  <c r="N15" i="4"/>
  <c r="M15" i="4"/>
  <c r="L15" i="4"/>
  <c r="K15" i="4"/>
  <c r="J15" i="4"/>
  <c r="N14" i="4"/>
  <c r="M14" i="4"/>
  <c r="L14" i="4"/>
  <c r="K14" i="4"/>
  <c r="J14" i="4"/>
  <c r="FY37" i="4" l="1"/>
  <c r="FX37" i="4"/>
  <c r="FW37" i="4"/>
  <c r="FV37" i="4"/>
  <c r="FY36" i="4"/>
  <c r="FX36" i="4"/>
  <c r="FW36" i="4"/>
  <c r="FV36" i="4"/>
  <c r="FY35" i="4"/>
  <c r="FX35" i="4"/>
  <c r="FW35" i="4"/>
  <c r="FV35" i="4"/>
  <c r="FY34" i="4"/>
  <c r="FX34" i="4"/>
  <c r="FW34" i="4"/>
  <c r="FV34" i="4"/>
  <c r="FY33" i="4"/>
  <c r="FX33" i="4"/>
  <c r="FW33" i="4"/>
  <c r="FV33" i="4"/>
  <c r="FY32" i="4"/>
  <c r="FX32" i="4"/>
  <c r="FW32" i="4"/>
  <c r="FV32" i="4"/>
  <c r="FY31" i="4"/>
  <c r="FX31" i="4"/>
  <c r="FW31" i="4"/>
  <c r="FV31" i="4"/>
  <c r="FY30" i="4"/>
  <c r="FX30" i="4"/>
  <c r="FW30" i="4"/>
  <c r="FV30" i="4"/>
  <c r="FY29" i="4"/>
  <c r="FX29" i="4"/>
  <c r="FW29" i="4"/>
  <c r="FV29" i="4"/>
  <c r="FY28" i="4"/>
  <c r="FX28" i="4"/>
  <c r="FW28" i="4"/>
  <c r="FV28" i="4"/>
  <c r="FY27" i="4"/>
  <c r="FX27" i="4"/>
  <c r="FW27" i="4"/>
  <c r="FV27" i="4"/>
  <c r="FY26" i="4"/>
  <c r="FX26" i="4"/>
  <c r="FW26" i="4"/>
  <c r="FV26" i="4"/>
  <c r="FY25" i="4"/>
  <c r="FX25" i="4"/>
  <c r="FW25" i="4"/>
  <c r="FV25" i="4"/>
  <c r="FY24" i="4"/>
  <c r="FX24" i="4"/>
  <c r="FW24" i="4"/>
  <c r="FV24" i="4"/>
  <c r="FY23" i="4"/>
  <c r="FX23" i="4"/>
  <c r="FW23" i="4"/>
  <c r="FV23" i="4"/>
  <c r="FY22" i="4"/>
  <c r="FX22" i="4"/>
  <c r="FW22" i="4"/>
  <c r="FV22" i="4"/>
  <c r="FY21" i="4"/>
  <c r="FX21" i="4"/>
  <c r="FW21" i="4"/>
  <c r="FV21" i="4"/>
  <c r="FY20" i="4"/>
  <c r="FX20" i="4"/>
  <c r="FW20" i="4"/>
  <c r="FV20" i="4"/>
  <c r="FY19" i="4"/>
  <c r="FX19" i="4"/>
  <c r="FW19" i="4"/>
  <c r="FV19" i="4"/>
  <c r="FY18" i="4"/>
  <c r="FX18" i="4"/>
  <c r="FW18" i="4"/>
  <c r="FV18" i="4"/>
  <c r="FY17" i="4"/>
  <c r="FX17" i="4"/>
  <c r="FW17" i="4"/>
  <c r="FV17" i="4"/>
  <c r="FY16" i="4"/>
  <c r="FX16" i="4"/>
  <c r="FW16" i="4"/>
  <c r="FV16" i="4"/>
  <c r="FY15" i="4"/>
  <c r="FX15" i="4"/>
  <c r="FW15" i="4"/>
  <c r="FV15" i="4"/>
  <c r="FY14" i="4"/>
  <c r="FX14" i="4"/>
  <c r="FW14" i="4"/>
  <c r="FV14" i="4"/>
  <c r="FG37" i="4"/>
  <c r="FF37" i="4"/>
  <c r="FE37" i="4"/>
  <c r="FD37" i="4"/>
  <c r="FG36" i="4"/>
  <c r="FF36" i="4"/>
  <c r="FE36" i="4"/>
  <c r="FD36" i="4"/>
  <c r="FG35" i="4"/>
  <c r="FF35" i="4"/>
  <c r="FE35" i="4"/>
  <c r="FD35" i="4"/>
  <c r="FG34" i="4"/>
  <c r="FF34" i="4"/>
  <c r="FE34" i="4"/>
  <c r="FD34" i="4"/>
  <c r="FG33" i="4"/>
  <c r="FF33" i="4"/>
  <c r="FE33" i="4"/>
  <c r="FD33" i="4"/>
  <c r="FG32" i="4"/>
  <c r="FF32" i="4"/>
  <c r="FE32" i="4"/>
  <c r="FD32" i="4"/>
  <c r="FG31" i="4"/>
  <c r="FF31" i="4"/>
  <c r="FE31" i="4"/>
  <c r="FD31" i="4"/>
  <c r="FG30" i="4"/>
  <c r="FF30" i="4"/>
  <c r="FE30" i="4"/>
  <c r="FD30" i="4"/>
  <c r="FG29" i="4"/>
  <c r="FF29" i="4"/>
  <c r="FE29" i="4"/>
  <c r="FD29" i="4"/>
  <c r="FG28" i="4"/>
  <c r="FF28" i="4"/>
  <c r="FE28" i="4"/>
  <c r="FD28" i="4"/>
  <c r="FG27" i="4"/>
  <c r="FF27" i="4"/>
  <c r="FE27" i="4"/>
  <c r="FD27" i="4"/>
  <c r="FG26" i="4"/>
  <c r="FF26" i="4"/>
  <c r="FE26" i="4"/>
  <c r="FD26" i="4"/>
  <c r="FG25" i="4"/>
  <c r="FF25" i="4"/>
  <c r="FE25" i="4"/>
  <c r="FD25" i="4"/>
  <c r="FG24" i="4"/>
  <c r="FF24" i="4"/>
  <c r="FE24" i="4"/>
  <c r="FD24" i="4"/>
  <c r="FG23" i="4"/>
  <c r="FF23" i="4"/>
  <c r="FE23" i="4"/>
  <c r="FD23" i="4"/>
  <c r="FG22" i="4"/>
  <c r="FF22" i="4"/>
  <c r="FE22" i="4"/>
  <c r="FD22" i="4"/>
  <c r="FG21" i="4"/>
  <c r="FF21" i="4"/>
  <c r="FE21" i="4"/>
  <c r="FD21" i="4"/>
  <c r="FG20" i="4"/>
  <c r="FF20" i="4"/>
  <c r="FE20" i="4"/>
  <c r="FD20" i="4"/>
  <c r="FG19" i="4"/>
  <c r="FF19" i="4"/>
  <c r="FE19" i="4"/>
  <c r="FD19" i="4"/>
  <c r="FG18" i="4"/>
  <c r="FF18" i="4"/>
  <c r="FE18" i="4"/>
  <c r="FD18" i="4"/>
  <c r="FG17" i="4"/>
  <c r="FF17" i="4"/>
  <c r="FE17" i="4"/>
  <c r="FD17" i="4"/>
  <c r="FG16" i="4"/>
  <c r="FF16" i="4"/>
  <c r="FE16" i="4"/>
  <c r="FD16" i="4"/>
  <c r="FG15" i="4"/>
  <c r="FF15" i="4"/>
  <c r="FE15" i="4"/>
  <c r="FD15" i="4"/>
  <c r="FG14" i="4"/>
  <c r="FF14" i="4"/>
  <c r="FE14" i="4"/>
  <c r="FD14" i="4"/>
  <c r="EO37" i="4"/>
  <c r="EN37" i="4"/>
  <c r="EM37" i="4"/>
  <c r="EL37" i="4"/>
  <c r="EO36" i="4"/>
  <c r="EN36" i="4"/>
  <c r="EM36" i="4"/>
  <c r="EL36" i="4"/>
  <c r="EO35" i="4"/>
  <c r="EN35" i="4"/>
  <c r="EM35" i="4"/>
  <c r="EL35" i="4"/>
  <c r="EO34" i="4"/>
  <c r="EN34" i="4"/>
  <c r="EM34" i="4"/>
  <c r="EL34" i="4"/>
  <c r="EO33" i="4"/>
  <c r="EN33" i="4"/>
  <c r="EM33" i="4"/>
  <c r="EL33" i="4"/>
  <c r="EO32" i="4"/>
  <c r="EN32" i="4"/>
  <c r="EM32" i="4"/>
  <c r="EL32" i="4"/>
  <c r="EO31" i="4"/>
  <c r="EN31" i="4"/>
  <c r="EM31" i="4"/>
  <c r="EL31" i="4"/>
  <c r="EO30" i="4"/>
  <c r="EN30" i="4"/>
  <c r="EM30" i="4"/>
  <c r="EL30" i="4"/>
  <c r="EO29" i="4"/>
  <c r="EN29" i="4"/>
  <c r="EM29" i="4"/>
  <c r="EL29" i="4"/>
  <c r="EO28" i="4"/>
  <c r="EN28" i="4"/>
  <c r="EM28" i="4"/>
  <c r="EL28" i="4"/>
  <c r="EO27" i="4"/>
  <c r="EN27" i="4"/>
  <c r="EM27" i="4"/>
  <c r="EL27" i="4"/>
  <c r="EO26" i="4"/>
  <c r="EN26" i="4"/>
  <c r="EM26" i="4"/>
  <c r="EL26" i="4"/>
  <c r="EO25" i="4"/>
  <c r="EN25" i="4"/>
  <c r="EM25" i="4"/>
  <c r="EL25" i="4"/>
  <c r="EO24" i="4"/>
  <c r="EN24" i="4"/>
  <c r="EM24" i="4"/>
  <c r="EL24" i="4"/>
  <c r="EO23" i="4"/>
  <c r="EN23" i="4"/>
  <c r="EM23" i="4"/>
  <c r="EL23" i="4"/>
  <c r="EO22" i="4"/>
  <c r="EN22" i="4"/>
  <c r="EM22" i="4"/>
  <c r="EL22" i="4"/>
  <c r="EO21" i="4"/>
  <c r="EN21" i="4"/>
  <c r="EM21" i="4"/>
  <c r="EL21" i="4"/>
  <c r="EO20" i="4"/>
  <c r="EN20" i="4"/>
  <c r="EM20" i="4"/>
  <c r="EL20" i="4"/>
  <c r="EO19" i="4"/>
  <c r="EN19" i="4"/>
  <c r="EM19" i="4"/>
  <c r="EL19" i="4"/>
  <c r="EO18" i="4"/>
  <c r="EN18" i="4"/>
  <c r="EM18" i="4"/>
  <c r="EL18" i="4"/>
  <c r="EO17" i="4"/>
  <c r="EN17" i="4"/>
  <c r="EM17" i="4"/>
  <c r="EL17" i="4"/>
  <c r="EO16" i="4"/>
  <c r="EN16" i="4"/>
  <c r="EM16" i="4"/>
  <c r="EL16" i="4"/>
  <c r="EO15" i="4"/>
  <c r="EN15" i="4"/>
  <c r="EM15" i="4"/>
  <c r="EL15" i="4"/>
  <c r="EO14" i="4"/>
  <c r="EN14" i="4"/>
  <c r="EM14" i="4"/>
  <c r="EL14" i="4"/>
  <c r="DW37" i="4"/>
  <c r="DV37" i="4"/>
  <c r="DU37" i="4"/>
  <c r="DT37" i="4"/>
  <c r="DW36" i="4"/>
  <c r="DV36" i="4"/>
  <c r="DU36" i="4"/>
  <c r="DT36" i="4"/>
  <c r="DW35" i="4"/>
  <c r="DV35" i="4"/>
  <c r="DU35" i="4"/>
  <c r="DT35" i="4"/>
  <c r="DW34" i="4"/>
  <c r="DV34" i="4"/>
  <c r="DU34" i="4"/>
  <c r="DT34" i="4"/>
  <c r="DW33" i="4"/>
  <c r="DV33" i="4"/>
  <c r="DU33" i="4"/>
  <c r="DT33" i="4"/>
  <c r="DW32" i="4"/>
  <c r="DV32" i="4"/>
  <c r="DU32" i="4"/>
  <c r="DT32" i="4"/>
  <c r="DW31" i="4"/>
  <c r="DV31" i="4"/>
  <c r="DU31" i="4"/>
  <c r="DT31" i="4"/>
  <c r="DW30" i="4"/>
  <c r="DV30" i="4"/>
  <c r="DU30" i="4"/>
  <c r="DT30" i="4"/>
  <c r="DW29" i="4"/>
  <c r="DV29" i="4"/>
  <c r="DU29" i="4"/>
  <c r="DT29" i="4"/>
  <c r="DW28" i="4"/>
  <c r="DV28" i="4"/>
  <c r="DU28" i="4"/>
  <c r="DT28" i="4"/>
  <c r="DW27" i="4"/>
  <c r="DV27" i="4"/>
  <c r="DU27" i="4"/>
  <c r="DT27" i="4"/>
  <c r="DW26" i="4"/>
  <c r="DV26" i="4"/>
  <c r="DU26" i="4"/>
  <c r="DT26" i="4"/>
  <c r="DW25" i="4"/>
  <c r="DV25" i="4"/>
  <c r="DU25" i="4"/>
  <c r="DT25" i="4"/>
  <c r="DW24" i="4"/>
  <c r="DV24" i="4"/>
  <c r="DU24" i="4"/>
  <c r="DT24" i="4"/>
  <c r="DW23" i="4"/>
  <c r="DV23" i="4"/>
  <c r="DU23" i="4"/>
  <c r="DT23" i="4"/>
  <c r="DW22" i="4"/>
  <c r="DV22" i="4"/>
  <c r="DU22" i="4"/>
  <c r="DT22" i="4"/>
  <c r="DW21" i="4"/>
  <c r="DV21" i="4"/>
  <c r="DU21" i="4"/>
  <c r="DT21" i="4"/>
  <c r="DW20" i="4"/>
  <c r="DV20" i="4"/>
  <c r="DU20" i="4"/>
  <c r="DT20" i="4"/>
  <c r="DW19" i="4"/>
  <c r="DV19" i="4"/>
  <c r="DU19" i="4"/>
  <c r="DT19" i="4"/>
  <c r="DW18" i="4"/>
  <c r="DV18" i="4"/>
  <c r="DU18" i="4"/>
  <c r="DT18" i="4"/>
  <c r="DW17" i="4"/>
  <c r="DV17" i="4"/>
  <c r="DU17" i="4"/>
  <c r="DT17" i="4"/>
  <c r="DW16" i="4"/>
  <c r="DV16" i="4"/>
  <c r="DU16" i="4"/>
  <c r="DT16" i="4"/>
  <c r="DW15" i="4"/>
  <c r="DV15" i="4"/>
  <c r="DU15" i="4"/>
  <c r="DT15" i="4"/>
  <c r="DW14" i="4"/>
  <c r="DV14" i="4"/>
  <c r="DU14" i="4"/>
  <c r="DT14" i="4"/>
  <c r="DE37" i="4"/>
  <c r="DD37" i="4"/>
  <c r="DC37" i="4"/>
  <c r="DB37" i="4"/>
  <c r="DE36" i="4"/>
  <c r="DD36" i="4"/>
  <c r="DC36" i="4"/>
  <c r="DB36" i="4"/>
  <c r="DE35" i="4"/>
  <c r="DD35" i="4"/>
  <c r="DC35" i="4"/>
  <c r="DB35" i="4"/>
  <c r="DE34" i="4"/>
  <c r="DD34" i="4"/>
  <c r="DC34" i="4"/>
  <c r="DB34" i="4"/>
  <c r="DE33" i="4"/>
  <c r="DD33" i="4"/>
  <c r="DC33" i="4"/>
  <c r="DB33" i="4"/>
  <c r="DE32" i="4"/>
  <c r="DD32" i="4"/>
  <c r="DC32" i="4"/>
  <c r="DB32" i="4"/>
  <c r="DE31" i="4"/>
  <c r="DD31" i="4"/>
  <c r="DC31" i="4"/>
  <c r="DB31" i="4"/>
  <c r="DE30" i="4"/>
  <c r="DD30" i="4"/>
  <c r="DC30" i="4"/>
  <c r="DB30" i="4"/>
  <c r="DE29" i="4"/>
  <c r="DD29" i="4"/>
  <c r="DC29" i="4"/>
  <c r="DB29" i="4"/>
  <c r="DE28" i="4"/>
  <c r="DD28" i="4"/>
  <c r="DC28" i="4"/>
  <c r="DB28" i="4"/>
  <c r="DE27" i="4"/>
  <c r="DD27" i="4"/>
  <c r="DC27" i="4"/>
  <c r="DB27" i="4"/>
  <c r="DE26" i="4"/>
  <c r="DD26" i="4"/>
  <c r="DC26" i="4"/>
  <c r="DB26" i="4"/>
  <c r="DE25" i="4"/>
  <c r="DD25" i="4"/>
  <c r="DC25" i="4"/>
  <c r="DB25" i="4"/>
  <c r="DE24" i="4"/>
  <c r="DD24" i="4"/>
  <c r="DC24" i="4"/>
  <c r="DB24" i="4"/>
  <c r="DE23" i="4"/>
  <c r="DD23" i="4"/>
  <c r="DC23" i="4"/>
  <c r="DB23" i="4"/>
  <c r="DE22" i="4"/>
  <c r="DD22" i="4"/>
  <c r="DC22" i="4"/>
  <c r="DB22" i="4"/>
  <c r="DE21" i="4"/>
  <c r="DD21" i="4"/>
  <c r="DC21" i="4"/>
  <c r="DB21" i="4"/>
  <c r="DE20" i="4"/>
  <c r="DD20" i="4"/>
  <c r="DC20" i="4"/>
  <c r="DB20" i="4"/>
  <c r="DE19" i="4"/>
  <c r="DD19" i="4"/>
  <c r="DC19" i="4"/>
  <c r="DB19" i="4"/>
  <c r="DE18" i="4"/>
  <c r="DD18" i="4"/>
  <c r="DC18" i="4"/>
  <c r="DB18" i="4"/>
  <c r="DE17" i="4"/>
  <c r="DD17" i="4"/>
  <c r="DC17" i="4"/>
  <c r="DB17" i="4"/>
  <c r="DE16" i="4"/>
  <c r="DD16" i="4"/>
  <c r="DC16" i="4"/>
  <c r="DB16" i="4"/>
  <c r="DE15" i="4"/>
  <c r="DD15" i="4"/>
  <c r="DC15" i="4"/>
  <c r="DB15" i="4"/>
  <c r="DE14" i="4"/>
  <c r="DD14" i="4"/>
  <c r="DC14" i="4"/>
  <c r="DB14" i="4"/>
  <c r="CM37" i="4"/>
  <c r="CL37" i="4"/>
  <c r="CK37" i="4"/>
  <c r="CJ37" i="4"/>
  <c r="CM36" i="4"/>
  <c r="CL36" i="4"/>
  <c r="CK36" i="4"/>
  <c r="CJ36" i="4"/>
  <c r="CM35" i="4"/>
  <c r="CL35" i="4"/>
  <c r="CK35" i="4"/>
  <c r="CJ35" i="4"/>
  <c r="CM34" i="4"/>
  <c r="CL34" i="4"/>
  <c r="CK34" i="4"/>
  <c r="CJ34" i="4"/>
  <c r="CM33" i="4"/>
  <c r="CL33" i="4"/>
  <c r="CK33" i="4"/>
  <c r="CJ33" i="4"/>
  <c r="CM32" i="4"/>
  <c r="CL32" i="4"/>
  <c r="CK32" i="4"/>
  <c r="CJ32" i="4"/>
  <c r="CM31" i="4"/>
  <c r="CL31" i="4"/>
  <c r="CK31" i="4"/>
  <c r="CJ31" i="4"/>
  <c r="CM30" i="4"/>
  <c r="CL30" i="4"/>
  <c r="CK30" i="4"/>
  <c r="CJ30" i="4"/>
  <c r="CM29" i="4"/>
  <c r="CL29" i="4"/>
  <c r="CK29" i="4"/>
  <c r="CJ29" i="4"/>
  <c r="CM28" i="4"/>
  <c r="CL28" i="4"/>
  <c r="CK28" i="4"/>
  <c r="CJ28" i="4"/>
  <c r="CM27" i="4"/>
  <c r="CL27" i="4"/>
  <c r="CK27" i="4"/>
  <c r="CJ27" i="4"/>
  <c r="CM26" i="4"/>
  <c r="CL26" i="4"/>
  <c r="CK26" i="4"/>
  <c r="CJ26" i="4"/>
  <c r="CM25" i="4"/>
  <c r="CL25" i="4"/>
  <c r="CK25" i="4"/>
  <c r="CJ25" i="4"/>
  <c r="CM24" i="4"/>
  <c r="CL24" i="4"/>
  <c r="CK24" i="4"/>
  <c r="CJ24" i="4"/>
  <c r="CM23" i="4"/>
  <c r="CL23" i="4"/>
  <c r="CK23" i="4"/>
  <c r="CJ23" i="4"/>
  <c r="CM22" i="4"/>
  <c r="CL22" i="4"/>
  <c r="CK22" i="4"/>
  <c r="CJ22" i="4"/>
  <c r="CM21" i="4"/>
  <c r="CL21" i="4"/>
  <c r="CK21" i="4"/>
  <c r="CJ21" i="4"/>
  <c r="CM20" i="4"/>
  <c r="CL20" i="4"/>
  <c r="CK20" i="4"/>
  <c r="CJ20" i="4"/>
  <c r="CM19" i="4"/>
  <c r="CL19" i="4"/>
  <c r="CK19" i="4"/>
  <c r="CJ19" i="4"/>
  <c r="CM18" i="4"/>
  <c r="CL18" i="4"/>
  <c r="CK18" i="4"/>
  <c r="CJ18" i="4"/>
  <c r="CM17" i="4"/>
  <c r="CL17" i="4"/>
  <c r="CK17" i="4"/>
  <c r="CJ17" i="4"/>
  <c r="CM16" i="4"/>
  <c r="CL16" i="4"/>
  <c r="CK16" i="4"/>
  <c r="CJ16" i="4"/>
  <c r="CM15" i="4"/>
  <c r="CL15" i="4"/>
  <c r="CK15" i="4"/>
  <c r="CJ15" i="4"/>
  <c r="CM14" i="4"/>
  <c r="CL14" i="4"/>
  <c r="CK14" i="4"/>
  <c r="CJ14" i="4"/>
  <c r="BU37" i="4"/>
  <c r="BT37" i="4"/>
  <c r="BS37" i="4"/>
  <c r="BR37" i="4"/>
  <c r="BU36" i="4"/>
  <c r="BT36" i="4"/>
  <c r="BS36" i="4"/>
  <c r="BR36" i="4"/>
  <c r="BU35" i="4"/>
  <c r="BT35" i="4"/>
  <c r="BS35" i="4"/>
  <c r="BR35" i="4"/>
  <c r="BU34" i="4"/>
  <c r="BT34" i="4"/>
  <c r="BS34" i="4"/>
  <c r="BR34" i="4"/>
  <c r="BU33" i="4"/>
  <c r="BT33" i="4"/>
  <c r="BS33" i="4"/>
  <c r="BR33" i="4"/>
  <c r="BU32" i="4"/>
  <c r="BT32" i="4"/>
  <c r="BS32" i="4"/>
  <c r="BR32" i="4"/>
  <c r="BU31" i="4"/>
  <c r="BT31" i="4"/>
  <c r="BS31" i="4"/>
  <c r="BR31" i="4"/>
  <c r="BU30" i="4"/>
  <c r="BT30" i="4"/>
  <c r="BS30" i="4"/>
  <c r="BR30" i="4"/>
  <c r="BU29" i="4"/>
  <c r="BT29" i="4"/>
  <c r="BS29" i="4"/>
  <c r="BR29" i="4"/>
  <c r="BU28" i="4"/>
  <c r="BT28" i="4"/>
  <c r="BS28" i="4"/>
  <c r="BR28" i="4"/>
  <c r="BU27" i="4"/>
  <c r="BT27" i="4"/>
  <c r="BS27" i="4"/>
  <c r="BR27" i="4"/>
  <c r="BU26" i="4"/>
  <c r="BT26" i="4"/>
  <c r="BS26" i="4"/>
  <c r="BR26" i="4"/>
  <c r="BU25" i="4"/>
  <c r="BT25" i="4"/>
  <c r="BS25" i="4"/>
  <c r="BR25" i="4"/>
  <c r="BU24" i="4"/>
  <c r="BT24" i="4"/>
  <c r="BS24" i="4"/>
  <c r="BR24" i="4"/>
  <c r="BU23" i="4"/>
  <c r="BT23" i="4"/>
  <c r="BS23" i="4"/>
  <c r="BR23" i="4"/>
  <c r="BU22" i="4"/>
  <c r="BT22" i="4"/>
  <c r="BS22" i="4"/>
  <c r="BR22" i="4"/>
  <c r="BU21" i="4"/>
  <c r="BT21" i="4"/>
  <c r="BS21" i="4"/>
  <c r="BR21" i="4"/>
  <c r="BU20" i="4"/>
  <c r="BT20" i="4"/>
  <c r="BS20" i="4"/>
  <c r="BR20" i="4"/>
  <c r="BU19" i="4"/>
  <c r="BT19" i="4"/>
  <c r="BS19" i="4"/>
  <c r="BR19" i="4"/>
  <c r="BU18" i="4"/>
  <c r="BT18" i="4"/>
  <c r="BS18" i="4"/>
  <c r="BR18" i="4"/>
  <c r="BU17" i="4"/>
  <c r="BT17" i="4"/>
  <c r="BS17" i="4"/>
  <c r="BR17" i="4"/>
  <c r="BU16" i="4"/>
  <c r="BT16" i="4"/>
  <c r="BS16" i="4"/>
  <c r="BR16" i="4"/>
  <c r="BU15" i="4"/>
  <c r="BT15" i="4"/>
  <c r="BS15" i="4"/>
  <c r="BR15" i="4"/>
  <c r="BU14" i="4"/>
  <c r="BT14" i="4"/>
  <c r="BS14" i="4"/>
  <c r="BR14" i="4"/>
  <c r="BC37" i="4"/>
  <c r="BB37" i="4"/>
  <c r="BA37" i="4"/>
  <c r="AZ37" i="4"/>
  <c r="BC36" i="4"/>
  <c r="BB36" i="4"/>
  <c r="BA36" i="4"/>
  <c r="AZ36" i="4"/>
  <c r="BC35" i="4"/>
  <c r="BB35" i="4"/>
  <c r="BA35" i="4"/>
  <c r="AZ35" i="4"/>
  <c r="BC34" i="4"/>
  <c r="BB34" i="4"/>
  <c r="BA34" i="4"/>
  <c r="AZ34" i="4"/>
  <c r="BC33" i="4"/>
  <c r="BB33" i="4"/>
  <c r="BA33" i="4"/>
  <c r="AZ33" i="4"/>
  <c r="BC32" i="4"/>
  <c r="BB32" i="4"/>
  <c r="BA32" i="4"/>
  <c r="AZ32" i="4"/>
  <c r="BC31" i="4"/>
  <c r="BB31" i="4"/>
  <c r="BA31" i="4"/>
  <c r="AZ31" i="4"/>
  <c r="BC30" i="4"/>
  <c r="BB30" i="4"/>
  <c r="BA30" i="4"/>
  <c r="AZ30" i="4"/>
  <c r="BC29" i="4"/>
  <c r="BB29" i="4"/>
  <c r="BA29" i="4"/>
  <c r="AZ29" i="4"/>
  <c r="BC28" i="4"/>
  <c r="BB28" i="4"/>
  <c r="BA28" i="4"/>
  <c r="AZ28" i="4"/>
  <c r="BC27" i="4"/>
  <c r="BB27" i="4"/>
  <c r="BA27" i="4"/>
  <c r="AZ27" i="4"/>
  <c r="BC26" i="4"/>
  <c r="BB26" i="4"/>
  <c r="BA26" i="4"/>
  <c r="AZ26" i="4"/>
  <c r="BC25" i="4"/>
  <c r="BB25" i="4"/>
  <c r="BA25" i="4"/>
  <c r="AZ25" i="4"/>
  <c r="BC24" i="4"/>
  <c r="BB24" i="4"/>
  <c r="BA24" i="4"/>
  <c r="AZ24" i="4"/>
  <c r="BC23" i="4"/>
  <c r="BB23" i="4"/>
  <c r="BA23" i="4"/>
  <c r="AZ23" i="4"/>
  <c r="BC22" i="4"/>
  <c r="BB22" i="4"/>
  <c r="BA22" i="4"/>
  <c r="AZ22" i="4"/>
  <c r="BC21" i="4"/>
  <c r="BB21" i="4"/>
  <c r="BA21" i="4"/>
  <c r="AZ21" i="4"/>
  <c r="BC20" i="4"/>
  <c r="BB20" i="4"/>
  <c r="BA20" i="4"/>
  <c r="AZ20" i="4"/>
  <c r="BC19" i="4"/>
  <c r="BB19" i="4"/>
  <c r="BA19" i="4"/>
  <c r="AZ19" i="4"/>
  <c r="BC18" i="4"/>
  <c r="BB18" i="4"/>
  <c r="BA18" i="4"/>
  <c r="AZ18" i="4"/>
  <c r="BC17" i="4"/>
  <c r="BB17" i="4"/>
  <c r="BA17" i="4"/>
  <c r="AZ17" i="4"/>
  <c r="BC16" i="4"/>
  <c r="BB16" i="4"/>
  <c r="BA16" i="4"/>
  <c r="AZ16" i="4"/>
  <c r="BC15" i="4"/>
  <c r="BB15" i="4"/>
  <c r="BA15" i="4"/>
  <c r="AZ15" i="4"/>
  <c r="BC14" i="4"/>
  <c r="BB14" i="4"/>
  <c r="BA14" i="4"/>
  <c r="AZ14" i="4"/>
  <c r="AK37" i="4"/>
  <c r="AJ37" i="4"/>
  <c r="AI37" i="4"/>
  <c r="AH37" i="4"/>
  <c r="AK36" i="4"/>
  <c r="AJ36" i="4"/>
  <c r="AI36" i="4"/>
  <c r="AH36" i="4"/>
  <c r="AK35" i="4"/>
  <c r="AJ35" i="4"/>
  <c r="AI35" i="4"/>
  <c r="AH35" i="4"/>
  <c r="AK34" i="4"/>
  <c r="AJ34" i="4"/>
  <c r="AI34" i="4"/>
  <c r="AH34" i="4"/>
  <c r="AK33" i="4"/>
  <c r="AJ33" i="4"/>
  <c r="AI33" i="4"/>
  <c r="AH33" i="4"/>
  <c r="AK32" i="4"/>
  <c r="AJ32" i="4"/>
  <c r="AI32" i="4"/>
  <c r="AH32" i="4"/>
  <c r="AK31" i="4"/>
  <c r="AJ31" i="4"/>
  <c r="AI31" i="4"/>
  <c r="AH31" i="4"/>
  <c r="AK30" i="4"/>
  <c r="AJ30" i="4"/>
  <c r="AI30" i="4"/>
  <c r="AH30" i="4"/>
  <c r="AK29" i="4"/>
  <c r="AJ29" i="4"/>
  <c r="AI29" i="4"/>
  <c r="AH29" i="4"/>
  <c r="AK28" i="4"/>
  <c r="AJ28" i="4"/>
  <c r="AI28" i="4"/>
  <c r="AH28" i="4"/>
  <c r="AK27" i="4"/>
  <c r="AJ27" i="4"/>
  <c r="AI27" i="4"/>
  <c r="AH27" i="4"/>
  <c r="AK26" i="4"/>
  <c r="AJ26" i="4"/>
  <c r="AI26" i="4"/>
  <c r="AH26" i="4"/>
  <c r="AK25" i="4"/>
  <c r="AJ25" i="4"/>
  <c r="AI25" i="4"/>
  <c r="AH25" i="4"/>
  <c r="AK24" i="4"/>
  <c r="AJ24" i="4"/>
  <c r="AI24" i="4"/>
  <c r="AH24" i="4"/>
  <c r="AK23" i="4"/>
  <c r="AJ23" i="4"/>
  <c r="AI23" i="4"/>
  <c r="AH23" i="4"/>
  <c r="AK22" i="4"/>
  <c r="AJ22" i="4"/>
  <c r="AI22" i="4"/>
  <c r="AH22" i="4"/>
  <c r="AK21" i="4"/>
  <c r="AJ21" i="4"/>
  <c r="AI21" i="4"/>
  <c r="AH21" i="4"/>
  <c r="AK20" i="4"/>
  <c r="AJ20" i="4"/>
  <c r="AI20" i="4"/>
  <c r="AH20" i="4"/>
  <c r="AK19" i="4"/>
  <c r="AJ19" i="4"/>
  <c r="AI19" i="4"/>
  <c r="AH19" i="4"/>
  <c r="AK18" i="4"/>
  <c r="AJ18" i="4"/>
  <c r="AI18" i="4"/>
  <c r="AH18" i="4"/>
  <c r="AK17" i="4"/>
  <c r="AJ17" i="4"/>
  <c r="AI17" i="4"/>
  <c r="AH17" i="4"/>
  <c r="AK16" i="4"/>
  <c r="AJ16" i="4"/>
  <c r="AI16" i="4"/>
  <c r="AH16" i="4"/>
  <c r="AK15" i="4"/>
  <c r="AJ15" i="4"/>
  <c r="AI15" i="4"/>
  <c r="AH15" i="4"/>
  <c r="AK14" i="4"/>
  <c r="AJ14" i="4"/>
  <c r="AI14" i="4"/>
  <c r="AH14" i="4"/>
  <c r="S37" i="4"/>
  <c r="S36" i="4"/>
  <c r="S35" i="4"/>
  <c r="S34" i="4"/>
  <c r="S33" i="4"/>
  <c r="S32" i="4"/>
  <c r="S31" i="4"/>
  <c r="S30" i="4"/>
  <c r="S29" i="4"/>
  <c r="S28" i="4"/>
  <c r="S27" i="4"/>
  <c r="S26" i="4"/>
  <c r="S25" i="4"/>
  <c r="S24" i="4"/>
  <c r="S23" i="4"/>
  <c r="S22" i="4"/>
  <c r="S21" i="4"/>
  <c r="S20" i="4"/>
  <c r="S19" i="4"/>
  <c r="S18" i="4"/>
  <c r="S17" i="4"/>
  <c r="S16" i="4"/>
  <c r="S15" i="4"/>
  <c r="S14" i="4"/>
  <c r="R37" i="4"/>
  <c r="R36" i="4"/>
  <c r="R35" i="4"/>
  <c r="R34" i="4"/>
  <c r="R33" i="4"/>
  <c r="R32" i="4"/>
  <c r="R31" i="4"/>
  <c r="R30" i="4"/>
  <c r="R29" i="4"/>
  <c r="R28" i="4"/>
  <c r="R27" i="4"/>
  <c r="R26" i="4"/>
  <c r="R25" i="4"/>
  <c r="R24" i="4"/>
  <c r="R23" i="4"/>
  <c r="R22" i="4"/>
  <c r="R21" i="4"/>
  <c r="R20" i="4"/>
  <c r="R19" i="4"/>
  <c r="R18" i="4"/>
  <c r="R17" i="4"/>
  <c r="R16" i="4"/>
  <c r="R15" i="4"/>
  <c r="R14" i="4"/>
  <c r="Q37" i="4"/>
  <c r="Q36" i="4"/>
  <c r="Q35" i="4"/>
  <c r="Q34" i="4"/>
  <c r="Q33" i="4"/>
  <c r="Q32" i="4"/>
  <c r="Q31" i="4"/>
  <c r="Q30" i="4"/>
  <c r="Q29" i="4"/>
  <c r="Q28" i="4"/>
  <c r="Q27" i="4"/>
  <c r="Q26" i="4"/>
  <c r="Q25" i="4"/>
  <c r="Q24" i="4"/>
  <c r="Q23" i="4"/>
  <c r="Q22" i="4"/>
  <c r="Q21" i="4"/>
  <c r="Q20" i="4"/>
  <c r="Q19" i="4"/>
  <c r="Q14" i="4"/>
  <c r="P37" i="4"/>
  <c r="P36" i="4"/>
  <c r="P35" i="4"/>
  <c r="P34" i="4"/>
  <c r="P33" i="4"/>
  <c r="P32" i="4"/>
  <c r="P31" i="4"/>
  <c r="P30" i="4"/>
  <c r="P29" i="4"/>
  <c r="P28" i="4"/>
  <c r="P27" i="4"/>
  <c r="P26" i="4"/>
  <c r="P25" i="4"/>
  <c r="P24" i="4"/>
  <c r="P23" i="4"/>
  <c r="P22" i="4"/>
  <c r="P21" i="4"/>
  <c r="P20" i="4"/>
  <c r="P19" i="4"/>
  <c r="P14" i="4"/>
  <c r="DG37" i="1"/>
  <c r="DG36" i="1"/>
  <c r="DG35" i="1"/>
  <c r="DG34" i="1"/>
  <c r="DG33" i="1"/>
  <c r="DG32" i="1"/>
  <c r="DG31" i="1"/>
  <c r="DG30" i="1"/>
  <c r="DG29" i="1"/>
  <c r="DG28" i="1"/>
  <c r="DG27" i="1"/>
  <c r="DG26" i="1"/>
  <c r="DG25" i="1"/>
  <c r="DG24" i="1"/>
  <c r="DG23" i="1"/>
  <c r="DG22" i="1"/>
  <c r="DG21" i="1"/>
  <c r="DG20" i="1"/>
  <c r="DG19" i="1"/>
  <c r="DG18" i="1"/>
  <c r="DG17" i="1"/>
  <c r="DG16" i="1"/>
  <c r="DG15" i="1"/>
  <c r="DG14" i="1"/>
  <c r="CV37" i="1"/>
  <c r="CV36" i="1"/>
  <c r="CV35" i="1"/>
  <c r="CV34" i="1"/>
  <c r="CV33" i="1"/>
  <c r="CV32" i="1"/>
  <c r="CV31" i="1"/>
  <c r="CV30" i="1"/>
  <c r="CV29" i="1"/>
  <c r="CV28" i="1"/>
  <c r="CV27" i="1"/>
  <c r="CV26" i="1"/>
  <c r="CV25" i="1"/>
  <c r="CV24" i="1"/>
  <c r="CV23" i="1"/>
  <c r="CV22" i="1"/>
  <c r="CV21" i="1"/>
  <c r="CV20" i="1"/>
  <c r="CV19" i="1"/>
  <c r="CV18" i="1"/>
  <c r="CV17" i="1"/>
  <c r="CV16" i="1"/>
  <c r="CV15" i="1"/>
  <c r="CV14" i="1"/>
  <c r="CK37" i="1"/>
  <c r="CK36" i="1"/>
  <c r="CK35" i="1"/>
  <c r="CK34" i="1"/>
  <c r="CK33" i="1"/>
  <c r="CK32" i="1"/>
  <c r="CK31" i="1"/>
  <c r="CK30" i="1"/>
  <c r="CK29" i="1"/>
  <c r="CK28" i="1"/>
  <c r="CK27" i="1"/>
  <c r="CK26" i="1"/>
  <c r="CK25" i="1"/>
  <c r="CK24" i="1"/>
  <c r="CK23" i="1"/>
  <c r="CK22" i="1"/>
  <c r="CK21" i="1"/>
  <c r="CK20" i="1"/>
  <c r="CK19" i="1"/>
  <c r="CK18" i="1"/>
  <c r="CK17" i="1"/>
  <c r="CK16" i="1"/>
  <c r="CK15" i="1"/>
  <c r="CK14" i="1"/>
  <c r="BZ37" i="1"/>
  <c r="BZ36" i="1"/>
  <c r="BZ35" i="1"/>
  <c r="BZ34" i="1"/>
  <c r="BZ33" i="1"/>
  <c r="BZ32" i="1"/>
  <c r="BZ31" i="1"/>
  <c r="BZ30" i="1"/>
  <c r="BZ29" i="1"/>
  <c r="BZ28" i="1"/>
  <c r="BZ27" i="1"/>
  <c r="BZ26" i="1"/>
  <c r="BZ25" i="1"/>
  <c r="BZ24" i="1"/>
  <c r="BZ23" i="1"/>
  <c r="BZ22" i="1"/>
  <c r="BZ21" i="1"/>
  <c r="BZ20" i="1"/>
  <c r="BZ19" i="1"/>
  <c r="BZ18" i="1"/>
  <c r="BZ17" i="1"/>
  <c r="BZ16" i="1"/>
  <c r="BZ15" i="1"/>
  <c r="BZ14" i="1"/>
  <c r="BO37" i="1"/>
  <c r="BO36" i="1"/>
  <c r="BO35" i="1"/>
  <c r="BO34" i="1"/>
  <c r="BO33" i="1"/>
  <c r="BO32" i="1"/>
  <c r="BO31" i="1"/>
  <c r="BO30" i="1"/>
  <c r="BO29" i="1"/>
  <c r="BO28" i="1"/>
  <c r="BO27" i="1"/>
  <c r="BO26" i="1"/>
  <c r="BO25" i="1"/>
  <c r="BO24" i="1"/>
  <c r="BO23" i="1"/>
  <c r="BO22" i="1"/>
  <c r="BO21" i="1"/>
  <c r="BO20" i="1"/>
  <c r="BO19" i="1"/>
  <c r="BO18" i="1"/>
  <c r="BO17" i="1"/>
  <c r="BO16" i="1"/>
  <c r="BO15" i="1"/>
  <c r="BO14" i="1"/>
  <c r="BD37" i="1"/>
  <c r="BD36" i="1"/>
  <c r="BD35" i="1"/>
  <c r="BD34" i="1"/>
  <c r="BD33" i="1"/>
  <c r="BD32" i="1"/>
  <c r="BD31" i="1"/>
  <c r="BD30" i="1"/>
  <c r="BD29" i="1"/>
  <c r="BD28" i="1"/>
  <c r="BD27" i="1"/>
  <c r="BD26" i="1"/>
  <c r="BD25" i="1"/>
  <c r="BD24" i="1"/>
  <c r="BD23" i="1"/>
  <c r="BD22" i="1"/>
  <c r="BD21" i="1"/>
  <c r="BD20" i="1"/>
  <c r="BD19" i="1"/>
  <c r="BD18" i="1"/>
  <c r="BD17" i="1"/>
  <c r="BD16" i="1"/>
  <c r="BD15" i="1"/>
  <c r="BD14" i="1"/>
  <c r="AS37" i="1"/>
  <c r="AS36" i="1"/>
  <c r="AS35" i="1"/>
  <c r="AS34" i="1"/>
  <c r="AS33" i="1"/>
  <c r="AS32" i="1"/>
  <c r="AS31" i="1"/>
  <c r="AS30" i="1"/>
  <c r="AS29" i="1"/>
  <c r="AS28" i="1"/>
  <c r="AS27" i="1"/>
  <c r="AS26" i="1"/>
  <c r="AS25" i="1"/>
  <c r="AS24" i="1"/>
  <c r="AS23" i="1"/>
  <c r="AS22" i="1"/>
  <c r="AS21" i="1"/>
  <c r="AS20" i="1"/>
  <c r="AS19" i="1"/>
  <c r="AS18" i="1"/>
  <c r="AS17" i="1"/>
  <c r="AS16" i="1"/>
  <c r="AS15" i="1"/>
  <c r="AS14" i="1"/>
  <c r="AH37" i="1"/>
  <c r="AH36" i="1"/>
  <c r="AH35" i="1"/>
  <c r="AH34" i="1"/>
  <c r="AH33" i="1"/>
  <c r="AH32" i="1"/>
  <c r="AH31" i="1"/>
  <c r="AH30" i="1"/>
  <c r="AH29" i="1"/>
  <c r="AH28" i="1"/>
  <c r="AH27" i="1"/>
  <c r="AH26" i="1"/>
  <c r="AH25" i="1"/>
  <c r="AH24" i="1"/>
  <c r="AH23" i="1"/>
  <c r="AH22" i="1"/>
  <c r="AH21" i="1"/>
  <c r="AH20" i="1"/>
  <c r="AH19" i="1"/>
  <c r="AH18" i="1"/>
  <c r="AH17" i="1"/>
  <c r="AH16" i="1"/>
  <c r="AH15" i="1"/>
  <c r="AH14" i="1"/>
  <c r="W37" i="1"/>
  <c r="W36" i="1"/>
  <c r="W35" i="1"/>
  <c r="W34" i="1"/>
  <c r="W33" i="1"/>
  <c r="W32" i="1"/>
  <c r="W31" i="1"/>
  <c r="W30" i="1"/>
  <c r="W29" i="1"/>
  <c r="W28" i="1"/>
  <c r="W27" i="1"/>
  <c r="W26" i="1"/>
  <c r="W25" i="1"/>
  <c r="W24" i="1"/>
  <c r="W23" i="1"/>
  <c r="W22" i="1"/>
  <c r="W21" i="1"/>
  <c r="W20" i="1"/>
  <c r="W19" i="1"/>
  <c r="W18" i="1"/>
  <c r="W17" i="1"/>
  <c r="W16" i="1"/>
  <c r="W15" i="1"/>
  <c r="W14" i="1"/>
  <c r="L37" i="1"/>
  <c r="L36" i="1"/>
  <c r="L35" i="1"/>
  <c r="L34" i="1"/>
  <c r="L33" i="1"/>
  <c r="L32" i="1"/>
  <c r="L31" i="1"/>
  <c r="L30" i="1"/>
  <c r="L29" i="1"/>
  <c r="L28" i="1"/>
  <c r="L27" i="1"/>
  <c r="L26" i="1"/>
  <c r="L25" i="1"/>
  <c r="L24" i="1"/>
  <c r="L23" i="1"/>
  <c r="L22" i="1"/>
  <c r="L21" i="1"/>
  <c r="L20" i="1"/>
  <c r="L19" i="1"/>
  <c r="L18" i="1"/>
  <c r="L17" i="1"/>
  <c r="L14" i="1"/>
  <c r="A30" i="10" l="1"/>
  <c r="A29" i="10"/>
  <c r="A28" i="10"/>
  <c r="A27" i="10"/>
  <c r="A26" i="10"/>
  <c r="A25" i="10"/>
  <c r="A24" i="10"/>
  <c r="A23" i="10"/>
  <c r="A22" i="10"/>
  <c r="A21" i="10"/>
  <c r="I24" i="10" l="1"/>
  <c r="AK2" i="2"/>
  <c r="I28" i="10"/>
  <c r="CG2" i="2"/>
  <c r="I23" i="10"/>
  <c r="Y2" i="2"/>
  <c r="I25" i="10"/>
  <c r="AW2" i="2"/>
  <c r="I29" i="10"/>
  <c r="CS2" i="2"/>
  <c r="I27" i="10"/>
  <c r="BU2" i="2"/>
  <c r="I22" i="10"/>
  <c r="M2" i="2"/>
  <c r="M29" i="2" s="1"/>
  <c r="I26" i="10"/>
  <c r="BI2" i="2"/>
  <c r="I30" i="10"/>
  <c r="DE2" i="2"/>
  <c r="I21" i="10"/>
  <c r="EA42" i="4"/>
  <c r="EA41" i="4"/>
  <c r="BI277" i="2" l="1"/>
  <c r="BI64" i="2"/>
  <c r="BI315" i="2"/>
  <c r="BI29" i="2"/>
  <c r="BI350" i="2"/>
  <c r="BI420" i="2"/>
  <c r="BI242" i="2"/>
  <c r="BI207" i="2"/>
  <c r="BI99" i="2"/>
  <c r="BI385" i="2"/>
  <c r="BI172" i="2"/>
  <c r="BI134" i="2"/>
  <c r="BU99" i="2"/>
  <c r="BU29" i="2"/>
  <c r="BU242" i="2"/>
  <c r="BU277" i="2"/>
  <c r="BU315" i="2"/>
  <c r="BU64" i="2"/>
  <c r="BU385" i="2"/>
  <c r="BU207" i="2"/>
  <c r="BU172" i="2"/>
  <c r="BU350" i="2"/>
  <c r="BU420" i="2"/>
  <c r="BU134" i="2"/>
  <c r="AW350" i="2"/>
  <c r="AW420" i="2"/>
  <c r="AW134" i="2"/>
  <c r="AW99" i="2"/>
  <c r="AW242" i="2"/>
  <c r="AW64" i="2"/>
  <c r="AW385" i="2"/>
  <c r="AW315" i="2"/>
  <c r="AW172" i="2"/>
  <c r="AW277" i="2"/>
  <c r="AW207" i="2"/>
  <c r="AW29" i="2"/>
  <c r="CG277" i="2"/>
  <c r="CG207" i="2"/>
  <c r="CG64" i="2"/>
  <c r="CG350" i="2"/>
  <c r="CG420" i="2"/>
  <c r="CG172" i="2"/>
  <c r="CG242" i="2"/>
  <c r="CG134" i="2"/>
  <c r="CG29" i="2"/>
  <c r="CG385" i="2"/>
  <c r="CG315" i="2"/>
  <c r="CG99" i="2"/>
  <c r="DE172" i="2"/>
  <c r="DE64" i="2"/>
  <c r="DE277" i="2"/>
  <c r="DE207" i="2"/>
  <c r="DE29" i="2"/>
  <c r="DE350" i="2"/>
  <c r="DE420" i="2"/>
  <c r="DE242" i="2"/>
  <c r="DE385" i="2"/>
  <c r="DE315" i="2"/>
  <c r="DE99" i="2"/>
  <c r="DE134" i="2"/>
  <c r="M385" i="2"/>
  <c r="M315" i="2"/>
  <c r="M134" i="2"/>
  <c r="M277" i="2"/>
  <c r="M207" i="2"/>
  <c r="M99" i="2"/>
  <c r="M172" i="2"/>
  <c r="M350" i="2"/>
  <c r="M420" i="2"/>
  <c r="M64" i="2"/>
  <c r="M242" i="2"/>
  <c r="CS134" i="2"/>
  <c r="CS242" i="2"/>
  <c r="CS172" i="2"/>
  <c r="CS385" i="2"/>
  <c r="CS420" i="2"/>
  <c r="CS277" i="2"/>
  <c r="CS315" i="2"/>
  <c r="CS64" i="2"/>
  <c r="CS207" i="2"/>
  <c r="CS29" i="2"/>
  <c r="CS350" i="2"/>
  <c r="CS99" i="2"/>
  <c r="Y172" i="2"/>
  <c r="Y134" i="2"/>
  <c r="Y420" i="2"/>
  <c r="Y242" i="2"/>
  <c r="Y99" i="2"/>
  <c r="Y29" i="2"/>
  <c r="Y385" i="2"/>
  <c r="Y315" i="2"/>
  <c r="Y277" i="2"/>
  <c r="Y207" i="2"/>
  <c r="Y64" i="2"/>
  <c r="Y350" i="2"/>
  <c r="AK420" i="2"/>
  <c r="AK134" i="2"/>
  <c r="AK277" i="2"/>
  <c r="AK207" i="2"/>
  <c r="AK172" i="2"/>
  <c r="AK350" i="2"/>
  <c r="AK64" i="2"/>
  <c r="AK242" i="2"/>
  <c r="AK99" i="2"/>
  <c r="AK29" i="2"/>
  <c r="AK385" i="2"/>
  <c r="AK315" i="2"/>
  <c r="CE41" i="1"/>
  <c r="CE40" i="1"/>
  <c r="I39" i="10" l="1"/>
  <c r="BO44" i="1" l="1"/>
  <c r="BO43" i="1"/>
  <c r="BO42" i="1"/>
  <c r="BO41" i="1"/>
  <c r="BO40" i="1"/>
  <c r="FK42" i="4" l="1"/>
  <c r="FK41" i="4"/>
  <c r="FK97" i="4"/>
  <c r="FK96" i="4"/>
  <c r="ES42" i="4"/>
  <c r="ES41" i="4"/>
  <c r="ES97" i="4"/>
  <c r="ES96" i="4"/>
  <c r="EA97" i="4"/>
  <c r="EA96" i="4"/>
  <c r="DI42" i="4"/>
  <c r="DI41" i="4"/>
  <c r="DI97" i="4"/>
  <c r="DI96" i="4"/>
  <c r="CQ42" i="4"/>
  <c r="CQ41" i="4"/>
  <c r="CQ97" i="4"/>
  <c r="CQ96" i="4"/>
  <c r="CQ98" i="4" s="1"/>
  <c r="CS43" i="4" s="1"/>
  <c r="CT43" i="4" s="1"/>
  <c r="BY42" i="4"/>
  <c r="BY41" i="4"/>
  <c r="BY97" i="4"/>
  <c r="BY96" i="4"/>
  <c r="BG42" i="4"/>
  <c r="BG41" i="4"/>
  <c r="BG97" i="4"/>
  <c r="BG96" i="4"/>
  <c r="BG98" i="4" s="1"/>
  <c r="BI43" i="4" s="1"/>
  <c r="BJ43" i="4" s="1"/>
  <c r="EA98" i="4" l="1"/>
  <c r="EC43" i="4" s="1"/>
  <c r="ED43" i="4" s="1"/>
  <c r="DI98" i="4"/>
  <c r="DK43" i="4" s="1"/>
  <c r="DL43" i="4" s="1"/>
  <c r="FK98" i="4"/>
  <c r="FM43" i="4" s="1"/>
  <c r="FN43" i="4" s="1"/>
  <c r="BY98" i="4"/>
  <c r="CA43" i="4" s="1"/>
  <c r="CB43" i="4" s="1"/>
  <c r="ES98" i="4"/>
  <c r="EU43" i="4" s="1"/>
  <c r="EV43" i="4" s="1"/>
  <c r="AO97" i="4"/>
  <c r="AO96" i="4"/>
  <c r="AO98" i="4" s="1"/>
  <c r="AQ43" i="4" s="1"/>
  <c r="AR43" i="4" s="1"/>
  <c r="AO42" i="4"/>
  <c r="AO41" i="4"/>
  <c r="W42" i="4"/>
  <c r="W41" i="4"/>
  <c r="W97" i="4"/>
  <c r="W96" i="4"/>
  <c r="W98" i="4" l="1"/>
  <c r="Y43" i="4" s="1"/>
  <c r="Z43" i="4" s="1"/>
  <c r="B25" i="8" l="1"/>
  <c r="B24" i="8" l="1"/>
  <c r="B23" i="8"/>
  <c r="B22" i="8"/>
  <c r="G2" i="10" s="1"/>
  <c r="B21" i="8"/>
  <c r="A1" i="2" s="1"/>
  <c r="B20" i="8"/>
  <c r="B15" i="9" s="1"/>
  <c r="B1" i="1" l="1"/>
  <c r="DE384" i="2"/>
  <c r="DE314" i="2"/>
  <c r="DE276" i="2"/>
  <c r="DE171" i="2"/>
  <c r="CS419" i="2"/>
  <c r="CS171" i="2"/>
  <c r="CG419" i="2"/>
  <c r="CG98" i="2"/>
  <c r="BU384" i="2"/>
  <c r="BU314" i="2"/>
  <c r="BU276" i="2"/>
  <c r="BU133" i="2"/>
  <c r="BI419" i="2"/>
  <c r="BI384" i="2"/>
  <c r="BI349" i="2"/>
  <c r="BI314" i="2"/>
  <c r="BI241" i="2"/>
  <c r="BI206" i="2"/>
  <c r="AW349" i="2"/>
  <c r="AW276" i="2"/>
  <c r="AW206" i="2"/>
  <c r="AW133" i="2"/>
  <c r="AK241" i="2"/>
  <c r="AK171" i="2"/>
  <c r="AK98" i="2"/>
  <c r="AK1" i="2"/>
  <c r="Y384" i="2"/>
  <c r="Y241" i="2"/>
  <c r="Y171" i="2"/>
  <c r="M419" i="2"/>
  <c r="M1" i="2"/>
  <c r="DE349" i="2"/>
  <c r="CS133" i="2"/>
  <c r="CG384" i="2"/>
  <c r="CG206" i="2"/>
  <c r="CG63" i="2"/>
  <c r="BU349" i="2"/>
  <c r="BU241" i="2"/>
  <c r="BU1" i="2"/>
  <c r="BI276" i="2"/>
  <c r="AW63" i="2"/>
  <c r="AK276" i="2"/>
  <c r="AK63" i="2"/>
  <c r="Y133" i="2"/>
  <c r="Y63" i="2"/>
  <c r="DE63" i="2"/>
  <c r="CS384" i="2"/>
  <c r="CS314" i="2"/>
  <c r="CS98" i="2"/>
  <c r="CS1" i="2"/>
  <c r="CG349" i="2"/>
  <c r="CG241" i="2"/>
  <c r="CG133" i="2"/>
  <c r="CG28" i="2"/>
  <c r="BU419" i="2"/>
  <c r="BU206" i="2"/>
  <c r="BU63" i="2"/>
  <c r="BU28" i="2"/>
  <c r="BI63" i="2"/>
  <c r="AW314" i="2"/>
  <c r="AW1" i="2"/>
  <c r="AK133" i="2"/>
  <c r="AK28" i="2"/>
  <c r="Y419" i="2"/>
  <c r="Y314" i="2"/>
  <c r="Y98" i="2"/>
  <c r="Y1" i="2"/>
  <c r="M349" i="2"/>
  <c r="M241" i="2"/>
  <c r="M133" i="2"/>
  <c r="M63" i="2"/>
  <c r="DE206" i="2"/>
  <c r="CS276" i="2"/>
  <c r="CG276" i="2"/>
  <c r="BU98" i="2"/>
  <c r="BI133" i="2"/>
  <c r="AW419" i="2"/>
  <c r="AK206" i="2"/>
  <c r="Y276" i="2"/>
  <c r="Y206" i="2"/>
  <c r="M384" i="2"/>
  <c r="M206" i="2"/>
  <c r="DE419" i="2"/>
  <c r="DE241" i="2"/>
  <c r="DE133" i="2"/>
  <c r="DE98" i="2"/>
  <c r="DE28" i="2"/>
  <c r="DE1" i="2"/>
  <c r="CS349" i="2"/>
  <c r="CS241" i="2"/>
  <c r="CS206" i="2"/>
  <c r="CS63" i="2"/>
  <c r="CS28" i="2"/>
  <c r="CG314" i="2"/>
  <c r="CG171" i="2"/>
  <c r="CG1" i="2"/>
  <c r="BU171" i="2"/>
  <c r="BI171" i="2"/>
  <c r="BI98" i="2"/>
  <c r="BI28" i="2"/>
  <c r="BI1" i="2"/>
  <c r="AW384" i="2"/>
  <c r="AW241" i="2"/>
  <c r="AW171" i="2"/>
  <c r="AW98" i="2"/>
  <c r="AW28" i="2"/>
  <c r="AK419" i="2"/>
  <c r="AK384" i="2"/>
  <c r="AK349" i="2"/>
  <c r="AK314" i="2"/>
  <c r="M314" i="2"/>
  <c r="M171" i="2"/>
  <c r="M98" i="2"/>
  <c r="M28" i="2"/>
  <c r="Y349" i="2"/>
  <c r="Y28" i="2"/>
  <c r="M276" i="2"/>
  <c r="A384" i="2"/>
  <c r="A349" i="2"/>
  <c r="A133" i="2"/>
  <c r="A63" i="2"/>
  <c r="A98" i="2"/>
  <c r="A28" i="2"/>
  <c r="FH2" i="4"/>
  <c r="FH39" i="4" s="1"/>
  <c r="EP2" i="4"/>
  <c r="EP39" i="4" s="1"/>
  <c r="DX2" i="4"/>
  <c r="DX39" i="4" s="1"/>
  <c r="DF2" i="4"/>
  <c r="DF39" i="4" s="1"/>
  <c r="CN2" i="4"/>
  <c r="CN39" i="4" s="1"/>
  <c r="BV2" i="4"/>
  <c r="BV39" i="4" s="1"/>
  <c r="BD2" i="4"/>
  <c r="BD39" i="4" s="1"/>
  <c r="AL2" i="4"/>
  <c r="AL39" i="4" s="1"/>
  <c r="T2" i="4"/>
  <c r="T39" i="4" s="1"/>
  <c r="B2" i="4"/>
  <c r="B39" i="4" s="1"/>
  <c r="A2" i="2"/>
  <c r="CW2" i="1"/>
  <c r="CL2" i="1"/>
  <c r="CA2" i="1"/>
  <c r="BP2" i="1"/>
  <c r="BE2" i="1"/>
  <c r="AT2" i="1"/>
  <c r="AI2" i="1"/>
  <c r="X2" i="1"/>
  <c r="M2" i="1"/>
  <c r="B2" i="1"/>
  <c r="B26" i="8"/>
  <c r="CS35" i="2" l="1"/>
  <c r="DE35" i="2"/>
  <c r="BI35" i="2"/>
  <c r="CG35" i="2"/>
  <c r="BU35" i="2"/>
  <c r="M35" i="2"/>
  <c r="AW35" i="2"/>
  <c r="AK35" i="2"/>
  <c r="Y35" i="2"/>
  <c r="A35" i="2"/>
  <c r="A29" i="2"/>
  <c r="A64" i="2"/>
  <c r="A315" i="2"/>
  <c r="A172" i="2"/>
  <c r="A420" i="2"/>
  <c r="A277" i="2"/>
  <c r="A134" i="2"/>
  <c r="A385" i="2"/>
  <c r="A242" i="2"/>
  <c r="A99" i="2"/>
  <c r="A350" i="2"/>
  <c r="A207" i="2"/>
  <c r="DE426" i="2" l="1"/>
  <c r="DE226" i="2"/>
  <c r="DE153" i="2"/>
  <c r="DE70" i="2"/>
  <c r="DE248" i="2"/>
  <c r="DE118" i="2"/>
  <c r="DG10" i="2"/>
  <c r="CS213" i="2"/>
  <c r="CS404" i="2"/>
  <c r="CS226" i="2"/>
  <c r="CS83" i="2"/>
  <c r="CS48" i="2"/>
  <c r="CG213" i="2"/>
  <c r="CU10" i="2"/>
  <c r="CG283" i="2"/>
  <c r="CS140" i="2"/>
  <c r="CG369" i="2"/>
  <c r="CG118" i="2"/>
  <c r="CI23" i="2"/>
  <c r="BU296" i="2"/>
  <c r="BU70" i="2"/>
  <c r="BU213" i="2"/>
  <c r="BU283" i="2"/>
  <c r="BU426" i="2"/>
  <c r="BU48" i="2"/>
  <c r="BI153" i="2"/>
  <c r="AW321" i="2"/>
  <c r="BI213" i="2"/>
  <c r="BK10" i="2"/>
  <c r="AW283" i="2"/>
  <c r="BI283" i="2"/>
  <c r="BI140" i="2"/>
  <c r="AW191" i="2"/>
  <c r="BI261" i="2"/>
  <c r="AW248" i="2"/>
  <c r="AK261" i="2"/>
  <c r="AW70" i="2"/>
  <c r="AK296" i="2"/>
  <c r="AW105" i="2"/>
  <c r="AK404" i="2"/>
  <c r="AK105" i="2"/>
  <c r="Y296" i="2"/>
  <c r="AW153" i="2"/>
  <c r="AK321" i="2"/>
  <c r="AM10" i="2"/>
  <c r="AM23" i="2"/>
  <c r="Y83" i="2"/>
  <c r="M248" i="2"/>
  <c r="Y140" i="2"/>
  <c r="Y248" i="2"/>
  <c r="AA10" i="2"/>
  <c r="Y404" i="2"/>
  <c r="Y118" i="2"/>
  <c r="O23" i="2"/>
  <c r="M70" i="2"/>
  <c r="O10" i="2"/>
  <c r="M105" i="2"/>
  <c r="DE369" i="2"/>
  <c r="DE439" i="2"/>
  <c r="DE404" i="2"/>
  <c r="DE356" i="2"/>
  <c r="DE213" i="2"/>
  <c r="DE83" i="2"/>
  <c r="CS426" i="2"/>
  <c r="DE48" i="2"/>
  <c r="CS369" i="2"/>
  <c r="CS178" i="2"/>
  <c r="CS321" i="2"/>
  <c r="CG439" i="2"/>
  <c r="CS70" i="2"/>
  <c r="CG404" i="2"/>
  <c r="CG178" i="2"/>
  <c r="CS105" i="2"/>
  <c r="CG334" i="2"/>
  <c r="CG48" i="2"/>
  <c r="BU439" i="2"/>
  <c r="BU248" i="2"/>
  <c r="CG70" i="2"/>
  <c r="BU178" i="2"/>
  <c r="BU226" i="2"/>
  <c r="BU356" i="2"/>
  <c r="BI439" i="2"/>
  <c r="BI105" i="2"/>
  <c r="BW23" i="2"/>
  <c r="BI118" i="2"/>
  <c r="AW426" i="2"/>
  <c r="BU83" i="2"/>
  <c r="BI248" i="2"/>
  <c r="BI83" i="2"/>
  <c r="BW10" i="2"/>
  <c r="BI191" i="2"/>
  <c r="AW178" i="2"/>
  <c r="AK140" i="2"/>
  <c r="AY23" i="2"/>
  <c r="AK213" i="2"/>
  <c r="AW83" i="2"/>
  <c r="AK226" i="2"/>
  <c r="AK48" i="2"/>
  <c r="AW261" i="2"/>
  <c r="AW118" i="2"/>
  <c r="AK283" i="2"/>
  <c r="Y439" i="2"/>
  <c r="Y391" i="2"/>
  <c r="M426" i="2"/>
  <c r="M191" i="2"/>
  <c r="M439" i="2"/>
  <c r="Y105" i="2"/>
  <c r="M391" i="2"/>
  <c r="Y334" i="2"/>
  <c r="Y70" i="2"/>
  <c r="M321" i="2"/>
  <c r="M404" i="2"/>
  <c r="M48" i="2"/>
  <c r="C23" i="2"/>
  <c r="DE334" i="2"/>
  <c r="DE391" i="2"/>
  <c r="DE178" i="2"/>
  <c r="DE321" i="2"/>
  <c r="DE191" i="2"/>
  <c r="CS334" i="2"/>
  <c r="CS391" i="2"/>
  <c r="DG23" i="2"/>
  <c r="CS296" i="2"/>
  <c r="CS153" i="2"/>
  <c r="CS261" i="2"/>
  <c r="CG296" i="2"/>
  <c r="CG391" i="2"/>
  <c r="CG356" i="2"/>
  <c r="CG153" i="2"/>
  <c r="CU23" i="2"/>
  <c r="CG248" i="2"/>
  <c r="CG140" i="2"/>
  <c r="BU369" i="2"/>
  <c r="BU153" i="2"/>
  <c r="BU391" i="2"/>
  <c r="CI10" i="2"/>
  <c r="BU191" i="2"/>
  <c r="BU321" i="2"/>
  <c r="BI321" i="2"/>
  <c r="AW404" i="2"/>
  <c r="BI356" i="2"/>
  <c r="BI70" i="2"/>
  <c r="AW369" i="2"/>
  <c r="BI391" i="2"/>
  <c r="BI226" i="2"/>
  <c r="BK23" i="2"/>
  <c r="BI426" i="2"/>
  <c r="AW391" i="2"/>
  <c r="AK356" i="2"/>
  <c r="AK70" i="2"/>
  <c r="AK391" i="2"/>
  <c r="AK178" i="2"/>
  <c r="AW48" i="2"/>
  <c r="AK191" i="2"/>
  <c r="Y426" i="2"/>
  <c r="AW226" i="2"/>
  <c r="AY10" i="2"/>
  <c r="AK248" i="2"/>
  <c r="Y369" i="2"/>
  <c r="Y213" i="2"/>
  <c r="M369" i="2"/>
  <c r="Y226" i="2"/>
  <c r="M296" i="2"/>
  <c r="Y48" i="2"/>
  <c r="M226" i="2"/>
  <c r="Y261" i="2"/>
  <c r="M261" i="2"/>
  <c r="M283" i="2"/>
  <c r="M356" i="2"/>
  <c r="M213" i="2"/>
  <c r="C10" i="2"/>
  <c r="DE261" i="2"/>
  <c r="DE283" i="2"/>
  <c r="DE105" i="2"/>
  <c r="DE296" i="2"/>
  <c r="DE140" i="2"/>
  <c r="CS283" i="2"/>
  <c r="CS356" i="2"/>
  <c r="CS439" i="2"/>
  <c r="CS248" i="2"/>
  <c r="CS118" i="2"/>
  <c r="CS191" i="2"/>
  <c r="CG261" i="2"/>
  <c r="CG226" i="2"/>
  <c r="CG321" i="2"/>
  <c r="CG105" i="2"/>
  <c r="CG426" i="2"/>
  <c r="CG191" i="2"/>
  <c r="CG83" i="2"/>
  <c r="BU334" i="2"/>
  <c r="BU118" i="2"/>
  <c r="BU261" i="2"/>
  <c r="BU404" i="2"/>
  <c r="BU140" i="2"/>
  <c r="BU105" i="2"/>
  <c r="BI296" i="2"/>
  <c r="AW356" i="2"/>
  <c r="BI334" i="2"/>
  <c r="BI48" i="2"/>
  <c r="AW334" i="2"/>
  <c r="BI369" i="2"/>
  <c r="BI178" i="2"/>
  <c r="AW439" i="2"/>
  <c r="BI404" i="2"/>
  <c r="AW296" i="2"/>
  <c r="AK334" i="2"/>
  <c r="AW140" i="2"/>
  <c r="AK369" i="2"/>
  <c r="AK83" i="2"/>
  <c r="AK426" i="2"/>
  <c r="AK153" i="2"/>
  <c r="Y356" i="2"/>
  <c r="AW213" i="2"/>
  <c r="AK439" i="2"/>
  <c r="AK118" i="2"/>
  <c r="Y321" i="2"/>
  <c r="Y178" i="2"/>
  <c r="M334" i="2"/>
  <c r="Y191" i="2"/>
  <c r="Y283" i="2"/>
  <c r="AA23" i="2"/>
  <c r="M118" i="2"/>
  <c r="Y153" i="2"/>
  <c r="M153" i="2"/>
  <c r="M140" i="2"/>
  <c r="M83" i="2"/>
  <c r="M178" i="2"/>
  <c r="A178" i="2"/>
  <c r="A356" i="2"/>
  <c r="A296" i="2"/>
  <c r="A261" i="2"/>
  <c r="A404" i="2"/>
  <c r="A369" i="2"/>
  <c r="A334" i="2"/>
  <c r="A283" i="2"/>
  <c r="A70" i="2"/>
  <c r="A248" i="2"/>
  <c r="A213" i="2"/>
  <c r="A140" i="2"/>
  <c r="A105" i="2"/>
  <c r="A439" i="2"/>
  <c r="A48" i="2"/>
  <c r="A226" i="2"/>
  <c r="A118" i="2"/>
  <c r="A153" i="2"/>
  <c r="A83" i="2"/>
  <c r="A321" i="2"/>
  <c r="A426" i="2"/>
  <c r="A391" i="2"/>
  <c r="A191" i="2"/>
  <c r="G1" i="10"/>
  <c r="B92" i="4" l="1"/>
  <c r="EP92" i="4" s="1"/>
  <c r="B37" i="4"/>
  <c r="DF37" i="4" s="1"/>
  <c r="BD37" i="4" l="1"/>
  <c r="DX37" i="4"/>
  <c r="T92" i="4"/>
  <c r="CN92" i="4"/>
  <c r="FH92" i="4"/>
  <c r="BV37" i="4"/>
  <c r="EP37" i="4"/>
  <c r="AL92" i="4"/>
  <c r="DF92" i="4"/>
  <c r="T37" i="4"/>
  <c r="CN37" i="4"/>
  <c r="FH37" i="4"/>
  <c r="BD92" i="4"/>
  <c r="DX92" i="4"/>
  <c r="AL37" i="4"/>
  <c r="BV92" i="4"/>
  <c r="Q18" i="4" l="1"/>
  <c r="P18" i="4"/>
  <c r="D30" i="10"/>
  <c r="D29" i="10"/>
  <c r="D28" i="10"/>
  <c r="D27" i="10"/>
  <c r="D26" i="10"/>
  <c r="D25" i="10"/>
  <c r="D24" i="10"/>
  <c r="D23" i="10"/>
  <c r="D21" i="10"/>
  <c r="D22" i="10"/>
  <c r="D31" i="10" l="1"/>
  <c r="FJ63" i="4" l="1"/>
  <c r="ER63" i="4"/>
  <c r="DZ63" i="4"/>
  <c r="DH63" i="4"/>
  <c r="CP63" i="4"/>
  <c r="BX63" i="4"/>
  <c r="BF63" i="4"/>
  <c r="AN63" i="4"/>
  <c r="V63" i="4"/>
  <c r="D63" i="4"/>
  <c r="FY65" i="4"/>
  <c r="FX65" i="4"/>
  <c r="FR65" i="4"/>
  <c r="FQ65" i="4"/>
  <c r="FP65" i="4"/>
  <c r="FN65" i="4"/>
  <c r="FT65" i="4" s="1"/>
  <c r="FM65" i="4"/>
  <c r="FS65" i="4" s="1"/>
  <c r="FG65" i="4"/>
  <c r="FF65" i="4"/>
  <c r="EZ65" i="4"/>
  <c r="EY65" i="4"/>
  <c r="EX65" i="4"/>
  <c r="EV65" i="4"/>
  <c r="FB65" i="4" s="1"/>
  <c r="EU65" i="4"/>
  <c r="FA65" i="4" s="1"/>
  <c r="EO65" i="4"/>
  <c r="EN65" i="4"/>
  <c r="EH65" i="4"/>
  <c r="EG65" i="4"/>
  <c r="EF65" i="4"/>
  <c r="ED65" i="4"/>
  <c r="EJ65" i="4" s="1"/>
  <c r="EC65" i="4"/>
  <c r="EI65" i="4" s="1"/>
  <c r="DW65" i="4"/>
  <c r="DV65" i="4"/>
  <c r="DP65" i="4"/>
  <c r="DO65" i="4"/>
  <c r="DN65" i="4"/>
  <c r="DL65" i="4"/>
  <c r="DR65" i="4" s="1"/>
  <c r="DK65" i="4"/>
  <c r="DQ65" i="4" s="1"/>
  <c r="DE65" i="4"/>
  <c r="DD65" i="4"/>
  <c r="CX65" i="4"/>
  <c r="CW65" i="4"/>
  <c r="CV65" i="4"/>
  <c r="CT65" i="4"/>
  <c r="CZ65" i="4" s="1"/>
  <c r="CS65" i="4"/>
  <c r="CY65" i="4" s="1"/>
  <c r="CM65" i="4"/>
  <c r="CL65" i="4"/>
  <c r="CF65" i="4"/>
  <c r="CE65" i="4"/>
  <c r="CD65" i="4"/>
  <c r="CB65" i="4"/>
  <c r="CH65" i="4" s="1"/>
  <c r="CA65" i="4"/>
  <c r="CG65" i="4" s="1"/>
  <c r="BU65" i="4"/>
  <c r="BT65" i="4"/>
  <c r="BN65" i="4"/>
  <c r="BM65" i="4"/>
  <c r="BL65" i="4"/>
  <c r="BJ65" i="4"/>
  <c r="BP65" i="4" s="1"/>
  <c r="BI65" i="4"/>
  <c r="BO65" i="4" s="1"/>
  <c r="BC65" i="4"/>
  <c r="BB65" i="4"/>
  <c r="AV65" i="4"/>
  <c r="AU65" i="4"/>
  <c r="AT65" i="4"/>
  <c r="AR65" i="4"/>
  <c r="AX65" i="4" s="1"/>
  <c r="AQ65" i="4"/>
  <c r="AW65" i="4" s="1"/>
  <c r="AK65" i="4"/>
  <c r="AJ65" i="4"/>
  <c r="AD65" i="4"/>
  <c r="AC65" i="4"/>
  <c r="AB65" i="4"/>
  <c r="Z65" i="4"/>
  <c r="AF65" i="4" s="1"/>
  <c r="Y65" i="4"/>
  <c r="AE65" i="4" s="1"/>
  <c r="S65" i="4"/>
  <c r="R65" i="4"/>
  <c r="H65" i="4"/>
  <c r="G65" i="4"/>
  <c r="FJ8" i="4"/>
  <c r="ER8" i="4"/>
  <c r="DZ8" i="4"/>
  <c r="DH8" i="4"/>
  <c r="CP8" i="4"/>
  <c r="BX8" i="4"/>
  <c r="BF8" i="4"/>
  <c r="AN8" i="4"/>
  <c r="V8" i="4"/>
  <c r="D8" i="4"/>
  <c r="FY10" i="4"/>
  <c r="FX10" i="4"/>
  <c r="FR10" i="4"/>
  <c r="FQ10" i="4"/>
  <c r="FP10" i="4"/>
  <c r="FN10" i="4"/>
  <c r="FT10" i="4" s="1"/>
  <c r="FM10" i="4"/>
  <c r="FS10" i="4" s="1"/>
  <c r="FG10" i="4"/>
  <c r="FF10" i="4"/>
  <c r="EZ10" i="4"/>
  <c r="EY10" i="4"/>
  <c r="EX10" i="4"/>
  <c r="EV10" i="4"/>
  <c r="FB10" i="4" s="1"/>
  <c r="EU10" i="4"/>
  <c r="FA10" i="4" s="1"/>
  <c r="EO10" i="4"/>
  <c r="EN10" i="4"/>
  <c r="EH10" i="4"/>
  <c r="EG10" i="4"/>
  <c r="EF10" i="4"/>
  <c r="ED10" i="4"/>
  <c r="EJ10" i="4" s="1"/>
  <c r="EC10" i="4"/>
  <c r="EI10" i="4" s="1"/>
  <c r="DW10" i="4"/>
  <c r="DV10" i="4"/>
  <c r="DP10" i="4"/>
  <c r="DO10" i="4"/>
  <c r="DN10" i="4"/>
  <c r="DL10" i="4"/>
  <c r="DR10" i="4" s="1"/>
  <c r="DK10" i="4"/>
  <c r="DQ10" i="4" s="1"/>
  <c r="DE10" i="4"/>
  <c r="DD10" i="4"/>
  <c r="CX10" i="4"/>
  <c r="CW10" i="4"/>
  <c r="CV10" i="4"/>
  <c r="CT10" i="4"/>
  <c r="CZ10" i="4" s="1"/>
  <c r="CS10" i="4"/>
  <c r="CY10" i="4" s="1"/>
  <c r="CM10" i="4"/>
  <c r="CL10" i="4"/>
  <c r="CF10" i="4"/>
  <c r="CE10" i="4"/>
  <c r="CD10" i="4"/>
  <c r="CB10" i="4"/>
  <c r="CH10" i="4" s="1"/>
  <c r="CA10" i="4"/>
  <c r="CG10" i="4" s="1"/>
  <c r="BU10" i="4"/>
  <c r="BT10" i="4"/>
  <c r="BN10" i="4"/>
  <c r="BM10" i="4"/>
  <c r="BL10" i="4"/>
  <c r="BJ10" i="4"/>
  <c r="BP10" i="4" s="1"/>
  <c r="BI10" i="4"/>
  <c r="BO10" i="4" s="1"/>
  <c r="BC10" i="4"/>
  <c r="BB10" i="4"/>
  <c r="AV10" i="4"/>
  <c r="AU10" i="4"/>
  <c r="AT10" i="4"/>
  <c r="AR10" i="4"/>
  <c r="AX10" i="4" s="1"/>
  <c r="AQ10" i="4"/>
  <c r="AW10" i="4" s="1"/>
  <c r="AK10" i="4"/>
  <c r="AJ10" i="4"/>
  <c r="AD10" i="4"/>
  <c r="AC10" i="4"/>
  <c r="AB10" i="4"/>
  <c r="Z10" i="4"/>
  <c r="AF10" i="4" s="1"/>
  <c r="Y10" i="4"/>
  <c r="AE10" i="4" s="1"/>
  <c r="S10" i="4"/>
  <c r="R10" i="4"/>
  <c r="H10" i="4"/>
  <c r="G10" i="4"/>
  <c r="DB10" i="1"/>
  <c r="DA10" i="1"/>
  <c r="CZ10" i="1"/>
  <c r="CY10" i="1"/>
  <c r="CQ10" i="1"/>
  <c r="CP10" i="1"/>
  <c r="CO10" i="1"/>
  <c r="CN10" i="1"/>
  <c r="CF10" i="1"/>
  <c r="CE10" i="1"/>
  <c r="CD10" i="1"/>
  <c r="CC10" i="1"/>
  <c r="BU10" i="1"/>
  <c r="BT10" i="1"/>
  <c r="BS10" i="1"/>
  <c r="BR10" i="1"/>
  <c r="BJ10" i="1"/>
  <c r="BI10" i="1"/>
  <c r="BH10" i="1"/>
  <c r="BG10" i="1"/>
  <c r="AY10" i="1"/>
  <c r="AX10" i="1"/>
  <c r="AW10" i="1"/>
  <c r="AV10" i="1"/>
  <c r="AN10" i="1"/>
  <c r="AM10" i="1"/>
  <c r="AL10" i="1"/>
  <c r="AK10" i="1"/>
  <c r="AC10" i="1"/>
  <c r="AB10" i="1"/>
  <c r="AA10" i="1"/>
  <c r="Z10" i="1"/>
  <c r="R10" i="1"/>
  <c r="Q10" i="1"/>
  <c r="P10" i="1"/>
  <c r="O10" i="1"/>
  <c r="G10" i="1"/>
  <c r="F10" i="1"/>
  <c r="E10" i="1"/>
  <c r="D10" i="1"/>
  <c r="B37" i="1"/>
  <c r="X6" i="1" l="1"/>
  <c r="AI6" i="1"/>
  <c r="AT6" i="1"/>
  <c r="BE6" i="1"/>
  <c r="BP6" i="1"/>
  <c r="CA6" i="1"/>
  <c r="CL6" i="1"/>
  <c r="CW6" i="1"/>
  <c r="M6" i="1"/>
  <c r="B6" i="1"/>
  <c r="A5" i="2" l="1"/>
  <c r="A419" i="2"/>
  <c r="A314" i="2"/>
  <c r="A353" i="2" l="1"/>
  <c r="A388" i="2"/>
  <c r="A245" i="2"/>
  <c r="A102" i="2"/>
  <c r="A137" i="2"/>
  <c r="A67" i="2"/>
  <c r="A32" i="2"/>
  <c r="A318" i="2"/>
  <c r="A175" i="2"/>
  <c r="A280" i="2"/>
  <c r="A210" i="2"/>
  <c r="A423" i="2"/>
  <c r="A171" i="2"/>
  <c r="A276" i="2" l="1"/>
  <c r="A241" i="2"/>
  <c r="A206" i="2"/>
  <c r="DA41" i="1"/>
  <c r="DA40" i="1"/>
  <c r="FH5" i="4"/>
  <c r="FT92" i="4"/>
  <c r="FY92" i="4" s="1"/>
  <c r="FS92" i="4"/>
  <c r="FR92" i="4"/>
  <c r="FQ92" i="4"/>
  <c r="FP92" i="4"/>
  <c r="FH91" i="4"/>
  <c r="FH90" i="4" s="1"/>
  <c r="FH89" i="4" s="1"/>
  <c r="FH88" i="4" s="1"/>
  <c r="FH87" i="4" s="1"/>
  <c r="FH86" i="4" s="1"/>
  <c r="FH85" i="4" s="1"/>
  <c r="FH84" i="4" s="1"/>
  <c r="FH83" i="4" s="1"/>
  <c r="FH82" i="4" s="1"/>
  <c r="FH81" i="4" s="1"/>
  <c r="FH80" i="4" s="1"/>
  <c r="FH79" i="4" s="1"/>
  <c r="FH78" i="4" s="1"/>
  <c r="FH77" i="4" s="1"/>
  <c r="FH76" i="4" s="1"/>
  <c r="FH75" i="4" s="1"/>
  <c r="FH74" i="4" s="1"/>
  <c r="FH73" i="4" s="1"/>
  <c r="FH72" i="4" s="1"/>
  <c r="FH71" i="4" s="1"/>
  <c r="FH70" i="4" s="1"/>
  <c r="FH69" i="4" s="1"/>
  <c r="FH68" i="4" s="1"/>
  <c r="FH67" i="4" s="1"/>
  <c r="FH66" i="4" s="1"/>
  <c r="FT91" i="4"/>
  <c r="FS91" i="4"/>
  <c r="FR91" i="4"/>
  <c r="FW91" i="4" s="1"/>
  <c r="FQ91" i="4"/>
  <c r="FV91" i="4" s="1"/>
  <c r="FP91" i="4"/>
  <c r="FT90" i="4"/>
  <c r="FS90" i="4"/>
  <c r="FR90" i="4"/>
  <c r="FQ90" i="4"/>
  <c r="FP90" i="4"/>
  <c r="FT89" i="4"/>
  <c r="FY89" i="4" s="1"/>
  <c r="FS89" i="4"/>
  <c r="FR89" i="4"/>
  <c r="FQ89" i="4"/>
  <c r="FP89" i="4"/>
  <c r="FT88" i="4"/>
  <c r="FS88" i="4"/>
  <c r="FR88" i="4"/>
  <c r="FQ88" i="4"/>
  <c r="FP88" i="4"/>
  <c r="FT87" i="4"/>
  <c r="FS87" i="4"/>
  <c r="FR87" i="4"/>
  <c r="FQ87" i="4"/>
  <c r="FP87" i="4"/>
  <c r="FT86" i="4"/>
  <c r="FS86" i="4"/>
  <c r="FX86" i="4" s="1"/>
  <c r="FR86" i="4"/>
  <c r="FQ86" i="4"/>
  <c r="FP86" i="4"/>
  <c r="FT85" i="4"/>
  <c r="FY85" i="4" s="1"/>
  <c r="FS85" i="4"/>
  <c r="FR85" i="4"/>
  <c r="FQ85" i="4"/>
  <c r="FP85" i="4"/>
  <c r="FT84" i="4"/>
  <c r="FS84" i="4"/>
  <c r="FR84" i="4"/>
  <c r="FQ84" i="4"/>
  <c r="FP84" i="4"/>
  <c r="FT83" i="4"/>
  <c r="FS83" i="4"/>
  <c r="FR83" i="4"/>
  <c r="FW83" i="4" s="1"/>
  <c r="FQ83" i="4"/>
  <c r="FV83" i="4" s="1"/>
  <c r="FP83" i="4"/>
  <c r="FT82" i="4"/>
  <c r="FS82" i="4"/>
  <c r="FR82" i="4"/>
  <c r="FQ82" i="4"/>
  <c r="FP82" i="4"/>
  <c r="FT81" i="4"/>
  <c r="FY81" i="4" s="1"/>
  <c r="FS81" i="4"/>
  <c r="FR81" i="4"/>
  <c r="FQ81" i="4"/>
  <c r="FP81" i="4"/>
  <c r="FT80" i="4"/>
  <c r="FS80" i="4"/>
  <c r="FR80" i="4"/>
  <c r="FQ80" i="4"/>
  <c r="FP80" i="4"/>
  <c r="FT79" i="4"/>
  <c r="FS79" i="4"/>
  <c r="FR79" i="4"/>
  <c r="FQ79" i="4"/>
  <c r="FP79" i="4"/>
  <c r="FT78" i="4"/>
  <c r="FS78" i="4"/>
  <c r="FX78" i="4" s="1"/>
  <c r="FR78" i="4"/>
  <c r="FQ78" i="4"/>
  <c r="FP78" i="4"/>
  <c r="FT77" i="4"/>
  <c r="FS77" i="4"/>
  <c r="FR77" i="4"/>
  <c r="FQ77" i="4"/>
  <c r="FP77" i="4"/>
  <c r="FT76" i="4"/>
  <c r="FS76" i="4"/>
  <c r="FR76" i="4"/>
  <c r="FQ76" i="4"/>
  <c r="FP76" i="4"/>
  <c r="FT75" i="4"/>
  <c r="FS75" i="4"/>
  <c r="FR75" i="4"/>
  <c r="FW75" i="4" s="1"/>
  <c r="FQ75" i="4"/>
  <c r="FV75" i="4" s="1"/>
  <c r="FP75" i="4"/>
  <c r="FT74" i="4"/>
  <c r="FS74" i="4"/>
  <c r="FR74" i="4"/>
  <c r="FQ74" i="4"/>
  <c r="FP74" i="4"/>
  <c r="FT73" i="4"/>
  <c r="FY73" i="4" s="1"/>
  <c r="FS73" i="4"/>
  <c r="FR73" i="4"/>
  <c r="FQ73" i="4"/>
  <c r="FP73" i="4"/>
  <c r="FT72" i="4"/>
  <c r="FS72" i="4"/>
  <c r="FR72" i="4"/>
  <c r="FQ72" i="4"/>
  <c r="FP72" i="4"/>
  <c r="FT71" i="4"/>
  <c r="FS71" i="4"/>
  <c r="FR71" i="4"/>
  <c r="FQ71" i="4"/>
  <c r="FP71" i="4"/>
  <c r="FT70" i="4"/>
  <c r="FS70" i="4"/>
  <c r="FX70" i="4" s="1"/>
  <c r="FR70" i="4"/>
  <c r="FQ70" i="4"/>
  <c r="FP70" i="4"/>
  <c r="FT69" i="4"/>
  <c r="FY69" i="4" s="1"/>
  <c r="FS69" i="4"/>
  <c r="FR69" i="4"/>
  <c r="FQ69" i="4"/>
  <c r="FP69" i="4"/>
  <c r="FL46" i="4"/>
  <c r="FH36" i="4"/>
  <c r="FH35" i="4" s="1"/>
  <c r="FH34" i="4" s="1"/>
  <c r="FH33" i="4" s="1"/>
  <c r="FH32" i="4" s="1"/>
  <c r="FH31" i="4" s="1"/>
  <c r="FH30" i="4" s="1"/>
  <c r="FH29" i="4" s="1"/>
  <c r="FH28" i="4" s="1"/>
  <c r="FH27" i="4" s="1"/>
  <c r="FH26" i="4" s="1"/>
  <c r="FH25" i="4" s="1"/>
  <c r="FH24" i="4" s="1"/>
  <c r="FH23" i="4" s="1"/>
  <c r="FH22" i="4" s="1"/>
  <c r="FH21" i="4" s="1"/>
  <c r="FH20" i="4" s="1"/>
  <c r="FH19" i="4" s="1"/>
  <c r="FH18" i="4" s="1"/>
  <c r="FH17" i="4" s="1"/>
  <c r="FH16" i="4" s="1"/>
  <c r="FH15" i="4" s="1"/>
  <c r="FH14" i="4" s="1"/>
  <c r="FH13" i="4" s="1"/>
  <c r="FH12" i="4" s="1"/>
  <c r="FH11" i="4" s="1"/>
  <c r="FH57" i="4"/>
  <c r="FH94" i="4" s="1"/>
  <c r="FH1" i="4"/>
  <c r="FH56" i="4" s="1"/>
  <c r="CP41" i="1"/>
  <c r="CP40" i="1"/>
  <c r="EP5" i="4"/>
  <c r="FB92" i="4"/>
  <c r="FA92" i="4"/>
  <c r="EZ92" i="4"/>
  <c r="EY92" i="4"/>
  <c r="EX92" i="4"/>
  <c r="EP91" i="4"/>
  <c r="EP90" i="4" s="1"/>
  <c r="EP89" i="4" s="1"/>
  <c r="EP88" i="4" s="1"/>
  <c r="EP87" i="4" s="1"/>
  <c r="EP86" i="4" s="1"/>
  <c r="EP85" i="4" s="1"/>
  <c r="EP84" i="4" s="1"/>
  <c r="EP83" i="4" s="1"/>
  <c r="EP82" i="4" s="1"/>
  <c r="EP81" i="4" s="1"/>
  <c r="EP80" i="4" s="1"/>
  <c r="EP79" i="4" s="1"/>
  <c r="EP78" i="4" s="1"/>
  <c r="EP77" i="4" s="1"/>
  <c r="EP76" i="4" s="1"/>
  <c r="EP75" i="4" s="1"/>
  <c r="EP74" i="4" s="1"/>
  <c r="EP73" i="4" s="1"/>
  <c r="EP72" i="4" s="1"/>
  <c r="EP71" i="4" s="1"/>
  <c r="EP70" i="4" s="1"/>
  <c r="EP69" i="4" s="1"/>
  <c r="EP68" i="4" s="1"/>
  <c r="EP67" i="4" s="1"/>
  <c r="EP66" i="4" s="1"/>
  <c r="FB91" i="4"/>
  <c r="FA91" i="4"/>
  <c r="EZ91" i="4"/>
  <c r="EY91" i="4"/>
  <c r="EX91" i="4"/>
  <c r="FB90" i="4"/>
  <c r="FA90" i="4"/>
  <c r="EZ90" i="4"/>
  <c r="EY90" i="4"/>
  <c r="EX90" i="4"/>
  <c r="FB89" i="4"/>
  <c r="FA89" i="4"/>
  <c r="EZ89" i="4"/>
  <c r="EY89" i="4"/>
  <c r="EX89" i="4"/>
  <c r="FB88" i="4"/>
  <c r="FA88" i="4"/>
  <c r="EZ88" i="4"/>
  <c r="EY88" i="4"/>
  <c r="EX88" i="4"/>
  <c r="FB87" i="4"/>
  <c r="FA87" i="4"/>
  <c r="EZ87" i="4"/>
  <c r="EY87" i="4"/>
  <c r="EX87" i="4"/>
  <c r="FB86" i="4"/>
  <c r="FA86" i="4"/>
  <c r="EZ86" i="4"/>
  <c r="EY86" i="4"/>
  <c r="EX86" i="4"/>
  <c r="FB85" i="4"/>
  <c r="FA85" i="4"/>
  <c r="EZ85" i="4"/>
  <c r="EY85" i="4"/>
  <c r="EX85" i="4"/>
  <c r="FB84" i="4"/>
  <c r="FG84" i="4" s="1"/>
  <c r="FA84" i="4"/>
  <c r="EZ84" i="4"/>
  <c r="EY84" i="4"/>
  <c r="EX84" i="4"/>
  <c r="FB83" i="4"/>
  <c r="FA83" i="4"/>
  <c r="EZ83" i="4"/>
  <c r="EY83" i="4"/>
  <c r="EX83" i="4"/>
  <c r="FB82" i="4"/>
  <c r="FA82" i="4"/>
  <c r="EZ82" i="4"/>
  <c r="EY82" i="4"/>
  <c r="EX82" i="4"/>
  <c r="FB81" i="4"/>
  <c r="FA81" i="4"/>
  <c r="EZ81" i="4"/>
  <c r="EY81" i="4"/>
  <c r="EX81" i="4"/>
  <c r="FB80" i="4"/>
  <c r="FA80" i="4"/>
  <c r="EZ80" i="4"/>
  <c r="EY80" i="4"/>
  <c r="EX80" i="4"/>
  <c r="FB79" i="4"/>
  <c r="FA79" i="4"/>
  <c r="EZ79" i="4"/>
  <c r="EY79" i="4"/>
  <c r="EX79" i="4"/>
  <c r="FB78" i="4"/>
  <c r="FA78" i="4"/>
  <c r="EZ78" i="4"/>
  <c r="EY78" i="4"/>
  <c r="EX78" i="4"/>
  <c r="FB77" i="4"/>
  <c r="FA77" i="4"/>
  <c r="EZ77" i="4"/>
  <c r="EY77" i="4"/>
  <c r="EX77" i="4"/>
  <c r="FB76" i="4"/>
  <c r="FG76" i="4" s="1"/>
  <c r="FA76" i="4"/>
  <c r="EZ76" i="4"/>
  <c r="EY76" i="4"/>
  <c r="EX76" i="4"/>
  <c r="FB75" i="4"/>
  <c r="FA75" i="4"/>
  <c r="EZ75" i="4"/>
  <c r="EY75" i="4"/>
  <c r="EX75" i="4"/>
  <c r="FB74" i="4"/>
  <c r="FA74" i="4"/>
  <c r="EZ74" i="4"/>
  <c r="EY74" i="4"/>
  <c r="EX74" i="4"/>
  <c r="FB73" i="4"/>
  <c r="FA73" i="4"/>
  <c r="EZ73" i="4"/>
  <c r="EY73" i="4"/>
  <c r="EX73" i="4"/>
  <c r="FB72" i="4"/>
  <c r="FA72" i="4"/>
  <c r="EZ72" i="4"/>
  <c r="EY72" i="4"/>
  <c r="EX72" i="4"/>
  <c r="FB71" i="4"/>
  <c r="FA71" i="4"/>
  <c r="EZ71" i="4"/>
  <c r="EY71" i="4"/>
  <c r="EX71" i="4"/>
  <c r="FB70" i="4"/>
  <c r="FA70" i="4"/>
  <c r="EZ70" i="4"/>
  <c r="EY70" i="4"/>
  <c r="EX70" i="4"/>
  <c r="FB69" i="4"/>
  <c r="FA69" i="4"/>
  <c r="EZ69" i="4"/>
  <c r="EY69" i="4"/>
  <c r="EX69" i="4"/>
  <c r="ET46" i="4"/>
  <c r="EP36" i="4"/>
  <c r="EP35" i="4" s="1"/>
  <c r="EP34" i="4" s="1"/>
  <c r="EP33" i="4" s="1"/>
  <c r="EP32" i="4" s="1"/>
  <c r="EP31" i="4" s="1"/>
  <c r="EP30" i="4" s="1"/>
  <c r="EP29" i="4" s="1"/>
  <c r="EP28" i="4" s="1"/>
  <c r="EP27" i="4" s="1"/>
  <c r="EP26" i="4" s="1"/>
  <c r="EP25" i="4" s="1"/>
  <c r="EP24" i="4" s="1"/>
  <c r="EP23" i="4" s="1"/>
  <c r="EP22" i="4" s="1"/>
  <c r="EP21" i="4" s="1"/>
  <c r="EP20" i="4" s="1"/>
  <c r="EP19" i="4" s="1"/>
  <c r="EP18" i="4" s="1"/>
  <c r="EP17" i="4" s="1"/>
  <c r="EP16" i="4" s="1"/>
  <c r="EP15" i="4" s="1"/>
  <c r="EP14" i="4" s="1"/>
  <c r="EP13" i="4" s="1"/>
  <c r="EP12" i="4" s="1"/>
  <c r="EP11" i="4" s="1"/>
  <c r="EP57" i="4"/>
  <c r="EP94" i="4" s="1"/>
  <c r="EP1" i="4"/>
  <c r="EP56" i="4" s="1"/>
  <c r="DX5" i="4"/>
  <c r="EJ92" i="4"/>
  <c r="EI92" i="4"/>
  <c r="EH92" i="4"/>
  <c r="EG92" i="4"/>
  <c r="EF92" i="4"/>
  <c r="DX91" i="4"/>
  <c r="DX90" i="4" s="1"/>
  <c r="DX89" i="4" s="1"/>
  <c r="DX88" i="4" s="1"/>
  <c r="DX87" i="4" s="1"/>
  <c r="DX86" i="4" s="1"/>
  <c r="DX85" i="4" s="1"/>
  <c r="DX84" i="4" s="1"/>
  <c r="DX83" i="4" s="1"/>
  <c r="DX82" i="4" s="1"/>
  <c r="DX81" i="4" s="1"/>
  <c r="DX80" i="4" s="1"/>
  <c r="DX79" i="4" s="1"/>
  <c r="DX78" i="4" s="1"/>
  <c r="DX77" i="4" s="1"/>
  <c r="DX76" i="4" s="1"/>
  <c r="DX75" i="4" s="1"/>
  <c r="DX74" i="4" s="1"/>
  <c r="DX73" i="4" s="1"/>
  <c r="DX72" i="4" s="1"/>
  <c r="DX71" i="4" s="1"/>
  <c r="DX70" i="4" s="1"/>
  <c r="DX69" i="4" s="1"/>
  <c r="DX68" i="4" s="1"/>
  <c r="DX67" i="4" s="1"/>
  <c r="DX66" i="4" s="1"/>
  <c r="EJ91" i="4"/>
  <c r="EI91" i="4"/>
  <c r="EH91" i="4"/>
  <c r="EG91" i="4"/>
  <c r="EF91" i="4"/>
  <c r="EJ90" i="4"/>
  <c r="EI90" i="4"/>
  <c r="EH90" i="4"/>
  <c r="EG90" i="4"/>
  <c r="EF90" i="4"/>
  <c r="EJ89" i="4"/>
  <c r="EI89" i="4"/>
  <c r="EH89" i="4"/>
  <c r="EG89" i="4"/>
  <c r="EF89" i="4"/>
  <c r="EJ88" i="4"/>
  <c r="EI88" i="4"/>
  <c r="EH88" i="4"/>
  <c r="EG88" i="4"/>
  <c r="EF88" i="4"/>
  <c r="EJ87" i="4"/>
  <c r="EI87" i="4"/>
  <c r="EH87" i="4"/>
  <c r="EG87" i="4"/>
  <c r="EF87" i="4"/>
  <c r="EJ86" i="4"/>
  <c r="EI86" i="4"/>
  <c r="EH86" i="4"/>
  <c r="EG86" i="4"/>
  <c r="EF86" i="4"/>
  <c r="EJ85" i="4"/>
  <c r="EI85" i="4"/>
  <c r="EH85" i="4"/>
  <c r="EG85" i="4"/>
  <c r="EF85" i="4"/>
  <c r="EJ84" i="4"/>
  <c r="EI84" i="4"/>
  <c r="EH84" i="4"/>
  <c r="EG84" i="4"/>
  <c r="EF84" i="4"/>
  <c r="EJ83" i="4"/>
  <c r="EI83" i="4"/>
  <c r="EH83" i="4"/>
  <c r="EG83" i="4"/>
  <c r="EF83" i="4"/>
  <c r="EJ82" i="4"/>
  <c r="EI82" i="4"/>
  <c r="EH82" i="4"/>
  <c r="EG82" i="4"/>
  <c r="EF82" i="4"/>
  <c r="EJ81" i="4"/>
  <c r="EI81" i="4"/>
  <c r="EH81" i="4"/>
  <c r="EG81" i="4"/>
  <c r="EF81" i="4"/>
  <c r="EJ80" i="4"/>
  <c r="EI80" i="4"/>
  <c r="EH80" i="4"/>
  <c r="EG80" i="4"/>
  <c r="EF80" i="4"/>
  <c r="EJ79" i="4"/>
  <c r="EI79" i="4"/>
  <c r="EH79" i="4"/>
  <c r="EG79" i="4"/>
  <c r="EF79" i="4"/>
  <c r="EJ78" i="4"/>
  <c r="EI78" i="4"/>
  <c r="EH78" i="4"/>
  <c r="EG78" i="4"/>
  <c r="EF78" i="4"/>
  <c r="EJ77" i="4"/>
  <c r="EI77" i="4"/>
  <c r="EH77" i="4"/>
  <c r="EG77" i="4"/>
  <c r="EF77" i="4"/>
  <c r="EJ76" i="4"/>
  <c r="EI76" i="4"/>
  <c r="EH76" i="4"/>
  <c r="EG76" i="4"/>
  <c r="EF76" i="4"/>
  <c r="EJ75" i="4"/>
  <c r="EI75" i="4"/>
  <c r="EH75" i="4"/>
  <c r="EG75" i="4"/>
  <c r="EF75" i="4"/>
  <c r="EJ74" i="4"/>
  <c r="EI74" i="4"/>
  <c r="EH74" i="4"/>
  <c r="EG74" i="4"/>
  <c r="EF74" i="4"/>
  <c r="EJ73" i="4"/>
  <c r="EI73" i="4"/>
  <c r="EH73" i="4"/>
  <c r="EG73" i="4"/>
  <c r="EF73" i="4"/>
  <c r="EJ72" i="4"/>
  <c r="EI72" i="4"/>
  <c r="EH72" i="4"/>
  <c r="EG72" i="4"/>
  <c r="EF72" i="4"/>
  <c r="EJ71" i="4"/>
  <c r="EI71" i="4"/>
  <c r="EH71" i="4"/>
  <c r="EG71" i="4"/>
  <c r="EF71" i="4"/>
  <c r="EJ70" i="4"/>
  <c r="EI70" i="4"/>
  <c r="EH70" i="4"/>
  <c r="EG70" i="4"/>
  <c r="EF70" i="4"/>
  <c r="EJ69" i="4"/>
  <c r="EI69" i="4"/>
  <c r="EH69" i="4"/>
  <c r="EG69" i="4"/>
  <c r="EF69" i="4"/>
  <c r="EB46" i="4"/>
  <c r="DX36" i="4"/>
  <c r="DX35" i="4" s="1"/>
  <c r="DX34" i="4" s="1"/>
  <c r="DX33" i="4" s="1"/>
  <c r="DX32" i="4" s="1"/>
  <c r="DX31" i="4" s="1"/>
  <c r="DX30" i="4" s="1"/>
  <c r="DX29" i="4" s="1"/>
  <c r="DX28" i="4" s="1"/>
  <c r="DX27" i="4" s="1"/>
  <c r="DX26" i="4" s="1"/>
  <c r="DX25" i="4" s="1"/>
  <c r="DX24" i="4" s="1"/>
  <c r="DX23" i="4" s="1"/>
  <c r="DX22" i="4" s="1"/>
  <c r="DX21" i="4" s="1"/>
  <c r="DX20" i="4" s="1"/>
  <c r="DX19" i="4" s="1"/>
  <c r="DX18" i="4" s="1"/>
  <c r="DX17" i="4" s="1"/>
  <c r="DX16" i="4" s="1"/>
  <c r="DX15" i="4" s="1"/>
  <c r="DX14" i="4" s="1"/>
  <c r="DX13" i="4" s="1"/>
  <c r="DX12" i="4" s="1"/>
  <c r="DX11" i="4" s="1"/>
  <c r="DX57" i="4"/>
  <c r="DX94" i="4" s="1"/>
  <c r="DX1" i="4"/>
  <c r="DX56" i="4" s="1"/>
  <c r="BT41" i="1"/>
  <c r="BT40" i="1"/>
  <c r="DF5" i="4"/>
  <c r="DR92" i="4"/>
  <c r="DQ92" i="4"/>
  <c r="DP92" i="4"/>
  <c r="DO92" i="4"/>
  <c r="DN92" i="4"/>
  <c r="DF91" i="4"/>
  <c r="DF90" i="4" s="1"/>
  <c r="DF89" i="4" s="1"/>
  <c r="DF88" i="4" s="1"/>
  <c r="DF87" i="4" s="1"/>
  <c r="DF86" i="4" s="1"/>
  <c r="DF85" i="4" s="1"/>
  <c r="DF84" i="4" s="1"/>
  <c r="DF83" i="4" s="1"/>
  <c r="DF82" i="4" s="1"/>
  <c r="DF81" i="4" s="1"/>
  <c r="DF80" i="4" s="1"/>
  <c r="DF79" i="4" s="1"/>
  <c r="DF78" i="4" s="1"/>
  <c r="DF77" i="4" s="1"/>
  <c r="DF76" i="4" s="1"/>
  <c r="DF75" i="4" s="1"/>
  <c r="DF74" i="4" s="1"/>
  <c r="DF73" i="4" s="1"/>
  <c r="DF72" i="4" s="1"/>
  <c r="DF71" i="4" s="1"/>
  <c r="DF70" i="4" s="1"/>
  <c r="DF69" i="4" s="1"/>
  <c r="DF68" i="4" s="1"/>
  <c r="DF67" i="4" s="1"/>
  <c r="DF66" i="4" s="1"/>
  <c r="DR91" i="4"/>
  <c r="DQ91" i="4"/>
  <c r="DP91" i="4"/>
  <c r="DO91" i="4"/>
  <c r="DN91" i="4"/>
  <c r="DR90" i="4"/>
  <c r="DQ90" i="4"/>
  <c r="DP90" i="4"/>
  <c r="DO90" i="4"/>
  <c r="DN90" i="4"/>
  <c r="DR89" i="4"/>
  <c r="DQ89" i="4"/>
  <c r="DP89" i="4"/>
  <c r="DO89" i="4"/>
  <c r="DN89" i="4"/>
  <c r="DR88" i="4"/>
  <c r="DW88" i="4" s="1"/>
  <c r="DQ88" i="4"/>
  <c r="DP88" i="4"/>
  <c r="DO88" i="4"/>
  <c r="DN88" i="4"/>
  <c r="DR87" i="4"/>
  <c r="DQ87" i="4"/>
  <c r="DP87" i="4"/>
  <c r="DO87" i="4"/>
  <c r="DT87" i="4" s="1"/>
  <c r="DN87" i="4"/>
  <c r="DR86" i="4"/>
  <c r="DQ86" i="4"/>
  <c r="DP86" i="4"/>
  <c r="DO86" i="4"/>
  <c r="DN86" i="4"/>
  <c r="DR85" i="4"/>
  <c r="DQ85" i="4"/>
  <c r="DP85" i="4"/>
  <c r="DO85" i="4"/>
  <c r="DN85" i="4"/>
  <c r="DR84" i="4"/>
  <c r="DQ84" i="4"/>
  <c r="DP84" i="4"/>
  <c r="DO84" i="4"/>
  <c r="DN84" i="4"/>
  <c r="DR83" i="4"/>
  <c r="DQ83" i="4"/>
  <c r="DP83" i="4"/>
  <c r="DO83" i="4"/>
  <c r="DN83" i="4"/>
  <c r="DR82" i="4"/>
  <c r="DQ82" i="4"/>
  <c r="DP82" i="4"/>
  <c r="DO82" i="4"/>
  <c r="DN82" i="4"/>
  <c r="DR81" i="4"/>
  <c r="DQ81" i="4"/>
  <c r="DP81" i="4"/>
  <c r="DO81" i="4"/>
  <c r="DN81" i="4"/>
  <c r="DR80" i="4"/>
  <c r="DW80" i="4" s="1"/>
  <c r="DQ80" i="4"/>
  <c r="DP80" i="4"/>
  <c r="DO80" i="4"/>
  <c r="DN80" i="4"/>
  <c r="DR79" i="4"/>
  <c r="DQ79" i="4"/>
  <c r="DP79" i="4"/>
  <c r="DO79" i="4"/>
  <c r="DT79" i="4" s="1"/>
  <c r="DN79" i="4"/>
  <c r="DR78" i="4"/>
  <c r="DQ78" i="4"/>
  <c r="DP78" i="4"/>
  <c r="DO78" i="4"/>
  <c r="DN78" i="4"/>
  <c r="DR77" i="4"/>
  <c r="DQ77" i="4"/>
  <c r="DP77" i="4"/>
  <c r="DO77" i="4"/>
  <c r="DN77" i="4"/>
  <c r="DR76" i="4"/>
  <c r="DQ76" i="4"/>
  <c r="DP76" i="4"/>
  <c r="DO76" i="4"/>
  <c r="DN76" i="4"/>
  <c r="DR75" i="4"/>
  <c r="DQ75" i="4"/>
  <c r="DP75" i="4"/>
  <c r="DO75" i="4"/>
  <c r="DN75" i="4"/>
  <c r="DR74" i="4"/>
  <c r="DQ74" i="4"/>
  <c r="DP74" i="4"/>
  <c r="DO74" i="4"/>
  <c r="DN74" i="4"/>
  <c r="DR73" i="4"/>
  <c r="DQ73" i="4"/>
  <c r="DP73" i="4"/>
  <c r="DO73" i="4"/>
  <c r="DN73" i="4"/>
  <c r="DR72" i="4"/>
  <c r="DW72" i="4" s="1"/>
  <c r="DQ72" i="4"/>
  <c r="DP72" i="4"/>
  <c r="DO72" i="4"/>
  <c r="DN72" i="4"/>
  <c r="DR71" i="4"/>
  <c r="DQ71" i="4"/>
  <c r="DP71" i="4"/>
  <c r="DO71" i="4"/>
  <c r="DT71" i="4" s="1"/>
  <c r="DN71" i="4"/>
  <c r="DR70" i="4"/>
  <c r="DQ70" i="4"/>
  <c r="DP70" i="4"/>
  <c r="DO70" i="4"/>
  <c r="DN70" i="4"/>
  <c r="DR69" i="4"/>
  <c r="DQ69" i="4"/>
  <c r="DP69" i="4"/>
  <c r="DO69" i="4"/>
  <c r="DN69" i="4"/>
  <c r="DJ46" i="4"/>
  <c r="DF36" i="4"/>
  <c r="DF35" i="4" s="1"/>
  <c r="DF34" i="4" s="1"/>
  <c r="DF33" i="4" s="1"/>
  <c r="DF32" i="4" s="1"/>
  <c r="DF31" i="4" s="1"/>
  <c r="DF30" i="4" s="1"/>
  <c r="DF29" i="4" s="1"/>
  <c r="DF28" i="4" s="1"/>
  <c r="DF27" i="4" s="1"/>
  <c r="DF26" i="4" s="1"/>
  <c r="DF25" i="4" s="1"/>
  <c r="DF24" i="4" s="1"/>
  <c r="DF23" i="4" s="1"/>
  <c r="DF22" i="4" s="1"/>
  <c r="DF21" i="4" s="1"/>
  <c r="DF20" i="4" s="1"/>
  <c r="DF19" i="4" s="1"/>
  <c r="DF18" i="4" s="1"/>
  <c r="DF17" i="4" s="1"/>
  <c r="DF16" i="4" s="1"/>
  <c r="DF15" i="4" s="1"/>
  <c r="DF14" i="4" s="1"/>
  <c r="DF13" i="4" s="1"/>
  <c r="DF12" i="4" s="1"/>
  <c r="DF11" i="4" s="1"/>
  <c r="DF57" i="4"/>
  <c r="DF94" i="4" s="1"/>
  <c r="DF1" i="4"/>
  <c r="DF56" i="4" s="1"/>
  <c r="BI41" i="1"/>
  <c r="BI40" i="1"/>
  <c r="CN5" i="4"/>
  <c r="CZ92" i="4"/>
  <c r="CY92" i="4"/>
  <c r="CX92" i="4"/>
  <c r="CW92" i="4"/>
  <c r="CV92" i="4"/>
  <c r="CN91" i="4"/>
  <c r="CN90" i="4" s="1"/>
  <c r="CN89" i="4" s="1"/>
  <c r="CN88" i="4" s="1"/>
  <c r="CN87" i="4" s="1"/>
  <c r="CN86" i="4" s="1"/>
  <c r="CN85" i="4" s="1"/>
  <c r="CN84" i="4" s="1"/>
  <c r="CN83" i="4" s="1"/>
  <c r="CN82" i="4" s="1"/>
  <c r="CN81" i="4" s="1"/>
  <c r="CN80" i="4" s="1"/>
  <c r="CN79" i="4" s="1"/>
  <c r="CN78" i="4" s="1"/>
  <c r="CN77" i="4" s="1"/>
  <c r="CN76" i="4" s="1"/>
  <c r="CN75" i="4" s="1"/>
  <c r="CN74" i="4" s="1"/>
  <c r="CN73" i="4" s="1"/>
  <c r="CN72" i="4" s="1"/>
  <c r="CN71" i="4" s="1"/>
  <c r="CN70" i="4" s="1"/>
  <c r="CN69" i="4" s="1"/>
  <c r="CN68" i="4" s="1"/>
  <c r="CN67" i="4" s="1"/>
  <c r="CN66" i="4" s="1"/>
  <c r="CZ91" i="4"/>
  <c r="CY91" i="4"/>
  <c r="CX91" i="4"/>
  <c r="CW91" i="4"/>
  <c r="CV91" i="4"/>
  <c r="CZ90" i="4"/>
  <c r="CY90" i="4"/>
  <c r="CX90" i="4"/>
  <c r="DC90" i="4" s="1"/>
  <c r="CW90" i="4"/>
  <c r="CV90" i="4"/>
  <c r="CZ89" i="4"/>
  <c r="CY89" i="4"/>
  <c r="CX89" i="4"/>
  <c r="CW89" i="4"/>
  <c r="CV89" i="4"/>
  <c r="CZ88" i="4"/>
  <c r="CY88" i="4"/>
  <c r="CX88" i="4"/>
  <c r="CW88" i="4"/>
  <c r="CV88" i="4"/>
  <c r="CZ87" i="4"/>
  <c r="CY87" i="4"/>
  <c r="CX87" i="4"/>
  <c r="CW87" i="4"/>
  <c r="CV87" i="4"/>
  <c r="CZ86" i="4"/>
  <c r="CY86" i="4"/>
  <c r="CX86" i="4"/>
  <c r="CW86" i="4"/>
  <c r="CV86" i="4"/>
  <c r="CZ85" i="4"/>
  <c r="CY85" i="4"/>
  <c r="DD85" i="4" s="1"/>
  <c r="CX85" i="4"/>
  <c r="CW85" i="4"/>
  <c r="CV85" i="4"/>
  <c r="CZ84" i="4"/>
  <c r="CY84" i="4"/>
  <c r="CX84" i="4"/>
  <c r="CW84" i="4"/>
  <c r="CV84" i="4"/>
  <c r="CZ83" i="4"/>
  <c r="CY83" i="4"/>
  <c r="CX83" i="4"/>
  <c r="CW83" i="4"/>
  <c r="CV83" i="4"/>
  <c r="CZ82" i="4"/>
  <c r="CY82" i="4"/>
  <c r="CX82" i="4"/>
  <c r="DC82" i="4" s="1"/>
  <c r="CW82" i="4"/>
  <c r="CV82" i="4"/>
  <c r="CZ81" i="4"/>
  <c r="CY81" i="4"/>
  <c r="CX81" i="4"/>
  <c r="CW81" i="4"/>
  <c r="CV81" i="4"/>
  <c r="CZ80" i="4"/>
  <c r="CY80" i="4"/>
  <c r="CX80" i="4"/>
  <c r="CW80" i="4"/>
  <c r="CV80" i="4"/>
  <c r="CZ79" i="4"/>
  <c r="CY79" i="4"/>
  <c r="CX79" i="4"/>
  <c r="CW79" i="4"/>
  <c r="CV79" i="4"/>
  <c r="CZ78" i="4"/>
  <c r="CY78" i="4"/>
  <c r="CX78" i="4"/>
  <c r="CW78" i="4"/>
  <c r="CV78" i="4"/>
  <c r="CZ77" i="4"/>
  <c r="DE77" i="4" s="1"/>
  <c r="CY77" i="4"/>
  <c r="DD77" i="4" s="1"/>
  <c r="CX77" i="4"/>
  <c r="CW77" i="4"/>
  <c r="CV77" i="4"/>
  <c r="CZ76" i="4"/>
  <c r="CY76" i="4"/>
  <c r="CX76" i="4"/>
  <c r="CW76" i="4"/>
  <c r="CV76" i="4"/>
  <c r="CZ75" i="4"/>
  <c r="CY75" i="4"/>
  <c r="CX75" i="4"/>
  <c r="CW75" i="4"/>
  <c r="CV75" i="4"/>
  <c r="CZ74" i="4"/>
  <c r="CY74" i="4"/>
  <c r="CX74" i="4"/>
  <c r="DC74" i="4" s="1"/>
  <c r="CW74" i="4"/>
  <c r="CV74" i="4"/>
  <c r="CZ73" i="4"/>
  <c r="CY73" i="4"/>
  <c r="CX73" i="4"/>
  <c r="CW73" i="4"/>
  <c r="CV73" i="4"/>
  <c r="CZ72" i="4"/>
  <c r="CY72" i="4"/>
  <c r="CX72" i="4"/>
  <c r="CW72" i="4"/>
  <c r="CV72" i="4"/>
  <c r="CZ71" i="4"/>
  <c r="CY71" i="4"/>
  <c r="CX71" i="4"/>
  <c r="CW71" i="4"/>
  <c r="CV71" i="4"/>
  <c r="CZ70" i="4"/>
  <c r="CY70" i="4"/>
  <c r="CX70" i="4"/>
  <c r="CW70" i="4"/>
  <c r="CV70" i="4"/>
  <c r="CZ69" i="4"/>
  <c r="DE69" i="4" s="1"/>
  <c r="CY69" i="4"/>
  <c r="DD69" i="4" s="1"/>
  <c r="CX69" i="4"/>
  <c r="CW69" i="4"/>
  <c r="CV69" i="4"/>
  <c r="CR46" i="4"/>
  <c r="CN36" i="4"/>
  <c r="CN35" i="4" s="1"/>
  <c r="CN34" i="4" s="1"/>
  <c r="CN33" i="4" s="1"/>
  <c r="CN32" i="4" s="1"/>
  <c r="CN31" i="4" s="1"/>
  <c r="CN30" i="4" s="1"/>
  <c r="CN29" i="4" s="1"/>
  <c r="CN28" i="4" s="1"/>
  <c r="CN27" i="4" s="1"/>
  <c r="CN26" i="4" s="1"/>
  <c r="CN25" i="4" s="1"/>
  <c r="CN24" i="4" s="1"/>
  <c r="CN23" i="4" s="1"/>
  <c r="CN22" i="4" s="1"/>
  <c r="CN21" i="4" s="1"/>
  <c r="CN20" i="4" s="1"/>
  <c r="CN19" i="4" s="1"/>
  <c r="CN18" i="4" s="1"/>
  <c r="CN17" i="4" s="1"/>
  <c r="CN16" i="4" s="1"/>
  <c r="CN15" i="4" s="1"/>
  <c r="CN14" i="4" s="1"/>
  <c r="CN13" i="4" s="1"/>
  <c r="CN12" i="4" s="1"/>
  <c r="CN11" i="4" s="1"/>
  <c r="CN57" i="4"/>
  <c r="CN94" i="4" s="1"/>
  <c r="CN1" i="4"/>
  <c r="CN56" i="4" s="1"/>
  <c r="AM41" i="1"/>
  <c r="AM40" i="1"/>
  <c r="AX41" i="1"/>
  <c r="AX40" i="1"/>
  <c r="BV5" i="4"/>
  <c r="CH92" i="4"/>
  <c r="CG92" i="4"/>
  <c r="CF92" i="4"/>
  <c r="CE92" i="4"/>
  <c r="CD92" i="4"/>
  <c r="BV91" i="4"/>
  <c r="BV90" i="4" s="1"/>
  <c r="BV89" i="4" s="1"/>
  <c r="BV88" i="4" s="1"/>
  <c r="BV87" i="4" s="1"/>
  <c r="BV86" i="4" s="1"/>
  <c r="BV85" i="4" s="1"/>
  <c r="BV84" i="4" s="1"/>
  <c r="BV83" i="4" s="1"/>
  <c r="BV82" i="4" s="1"/>
  <c r="BV81" i="4" s="1"/>
  <c r="BV80" i="4" s="1"/>
  <c r="BV79" i="4" s="1"/>
  <c r="BV78" i="4" s="1"/>
  <c r="BV77" i="4" s="1"/>
  <c r="BV76" i="4" s="1"/>
  <c r="BV75" i="4" s="1"/>
  <c r="BV74" i="4" s="1"/>
  <c r="BV73" i="4" s="1"/>
  <c r="BV72" i="4" s="1"/>
  <c r="BV71" i="4" s="1"/>
  <c r="BV70" i="4" s="1"/>
  <c r="BV69" i="4" s="1"/>
  <c r="BV68" i="4" s="1"/>
  <c r="BV67" i="4" s="1"/>
  <c r="BV66" i="4" s="1"/>
  <c r="CH91" i="4"/>
  <c r="CG91" i="4"/>
  <c r="CF91" i="4"/>
  <c r="CE91" i="4"/>
  <c r="CD91" i="4"/>
  <c r="CH90" i="4"/>
  <c r="CG90" i="4"/>
  <c r="CF90" i="4"/>
  <c r="CE90" i="4"/>
  <c r="CD90" i="4"/>
  <c r="CH89" i="4"/>
  <c r="CG89" i="4"/>
  <c r="CF89" i="4"/>
  <c r="CE89" i="4"/>
  <c r="CD89" i="4"/>
  <c r="CH88" i="4"/>
  <c r="CG88" i="4"/>
  <c r="CF88" i="4"/>
  <c r="CE88" i="4"/>
  <c r="CD88" i="4"/>
  <c r="CH87" i="4"/>
  <c r="CG87" i="4"/>
  <c r="CF87" i="4"/>
  <c r="CE87" i="4"/>
  <c r="CJ87" i="4" s="1"/>
  <c r="CD87" i="4"/>
  <c r="CH86" i="4"/>
  <c r="CG86" i="4"/>
  <c r="CF86" i="4"/>
  <c r="CE86" i="4"/>
  <c r="CD86" i="4"/>
  <c r="CH85" i="4"/>
  <c r="CG85" i="4"/>
  <c r="CF85" i="4"/>
  <c r="CE85" i="4"/>
  <c r="CD85" i="4"/>
  <c r="CH84" i="4"/>
  <c r="CM84" i="4" s="1"/>
  <c r="CG84" i="4"/>
  <c r="CL84" i="4" s="1"/>
  <c r="CF84" i="4"/>
  <c r="CE84" i="4"/>
  <c r="CD84" i="4"/>
  <c r="CH83" i="4"/>
  <c r="CG83" i="4"/>
  <c r="CF83" i="4"/>
  <c r="CE83" i="4"/>
  <c r="CD83" i="4"/>
  <c r="CH82" i="4"/>
  <c r="CG82" i="4"/>
  <c r="CF82" i="4"/>
  <c r="CE82" i="4"/>
  <c r="CD82" i="4"/>
  <c r="CH81" i="4"/>
  <c r="CG81" i="4"/>
  <c r="CF81" i="4"/>
  <c r="CK81" i="4" s="1"/>
  <c r="CE81" i="4"/>
  <c r="CD81" i="4"/>
  <c r="CH80" i="4"/>
  <c r="CG80" i="4"/>
  <c r="CF80" i="4"/>
  <c r="CE80" i="4"/>
  <c r="CD80" i="4"/>
  <c r="CH79" i="4"/>
  <c r="CG79" i="4"/>
  <c r="CF79" i="4"/>
  <c r="CE79" i="4"/>
  <c r="CJ79" i="4" s="1"/>
  <c r="CD79" i="4"/>
  <c r="CH78" i="4"/>
  <c r="CG78" i="4"/>
  <c r="CF78" i="4"/>
  <c r="CE78" i="4"/>
  <c r="CD78" i="4"/>
  <c r="CH77" i="4"/>
  <c r="CG77" i="4"/>
  <c r="CF77" i="4"/>
  <c r="CE77" i="4"/>
  <c r="CD77" i="4"/>
  <c r="CH76" i="4"/>
  <c r="CM76" i="4" s="1"/>
  <c r="CG76" i="4"/>
  <c r="CL76" i="4" s="1"/>
  <c r="CF76" i="4"/>
  <c r="CE76" i="4"/>
  <c r="CD76" i="4"/>
  <c r="CH75" i="4"/>
  <c r="CG75" i="4"/>
  <c r="CF75" i="4"/>
  <c r="CE75" i="4"/>
  <c r="CD75" i="4"/>
  <c r="CH74" i="4"/>
  <c r="CG74" i="4"/>
  <c r="CF74" i="4"/>
  <c r="CE74" i="4"/>
  <c r="CD74" i="4"/>
  <c r="CH73" i="4"/>
  <c r="CG73" i="4"/>
  <c r="CF73" i="4"/>
  <c r="CK73" i="4" s="1"/>
  <c r="CE73" i="4"/>
  <c r="CD73" i="4"/>
  <c r="CH72" i="4"/>
  <c r="CG72" i="4"/>
  <c r="CF72" i="4"/>
  <c r="CE72" i="4"/>
  <c r="CD72" i="4"/>
  <c r="CH71" i="4"/>
  <c r="CG71" i="4"/>
  <c r="CF71" i="4"/>
  <c r="CE71" i="4"/>
  <c r="CJ71" i="4" s="1"/>
  <c r="CD71" i="4"/>
  <c r="CH70" i="4"/>
  <c r="CG70" i="4"/>
  <c r="CF70" i="4"/>
  <c r="CE70" i="4"/>
  <c r="CD70" i="4"/>
  <c r="CH69" i="4"/>
  <c r="CG69" i="4"/>
  <c r="CF69" i="4"/>
  <c r="CE69" i="4"/>
  <c r="CD69" i="4"/>
  <c r="BZ46" i="4"/>
  <c r="BV36" i="4"/>
  <c r="BV35" i="4" s="1"/>
  <c r="BV34" i="4" s="1"/>
  <c r="BV33" i="4" s="1"/>
  <c r="BV32" i="4" s="1"/>
  <c r="BV31" i="4" s="1"/>
  <c r="BV30" i="4" s="1"/>
  <c r="BV29" i="4" s="1"/>
  <c r="BV28" i="4" s="1"/>
  <c r="BV27" i="4" s="1"/>
  <c r="BV26" i="4" s="1"/>
  <c r="BV25" i="4" s="1"/>
  <c r="BV24" i="4" s="1"/>
  <c r="BV23" i="4" s="1"/>
  <c r="BV22" i="4" s="1"/>
  <c r="BV21" i="4" s="1"/>
  <c r="BV20" i="4" s="1"/>
  <c r="BV19" i="4" s="1"/>
  <c r="BV18" i="4" s="1"/>
  <c r="BV17" i="4" s="1"/>
  <c r="BV16" i="4" s="1"/>
  <c r="BV15" i="4" s="1"/>
  <c r="BV14" i="4" s="1"/>
  <c r="BV13" i="4" s="1"/>
  <c r="BV12" i="4" s="1"/>
  <c r="BV11" i="4" s="1"/>
  <c r="BV57" i="4"/>
  <c r="BV94" i="4" s="1"/>
  <c r="BV1" i="4"/>
  <c r="BV56" i="4" s="1"/>
  <c r="BD5" i="4"/>
  <c r="BP92" i="4"/>
  <c r="BO92" i="4"/>
  <c r="BN92" i="4"/>
  <c r="BM92" i="4"/>
  <c r="BL92" i="4"/>
  <c r="BD91" i="4"/>
  <c r="BD90" i="4" s="1"/>
  <c r="BD89" i="4" s="1"/>
  <c r="BD88" i="4" s="1"/>
  <c r="BD87" i="4" s="1"/>
  <c r="BD86" i="4" s="1"/>
  <c r="BD85" i="4" s="1"/>
  <c r="BD84" i="4" s="1"/>
  <c r="BD83" i="4" s="1"/>
  <c r="BD82" i="4" s="1"/>
  <c r="BD81" i="4" s="1"/>
  <c r="BD80" i="4" s="1"/>
  <c r="BD79" i="4" s="1"/>
  <c r="BD78" i="4" s="1"/>
  <c r="BD77" i="4" s="1"/>
  <c r="BD76" i="4" s="1"/>
  <c r="BD75" i="4" s="1"/>
  <c r="BD74" i="4" s="1"/>
  <c r="BD73" i="4" s="1"/>
  <c r="BD72" i="4" s="1"/>
  <c r="BD71" i="4" s="1"/>
  <c r="BD70" i="4" s="1"/>
  <c r="BD69" i="4" s="1"/>
  <c r="BD68" i="4" s="1"/>
  <c r="BD67" i="4" s="1"/>
  <c r="BD66" i="4" s="1"/>
  <c r="BP91" i="4"/>
  <c r="BU91" i="4" s="1"/>
  <c r="BO91" i="4"/>
  <c r="BT91" i="4" s="1"/>
  <c r="BN91" i="4"/>
  <c r="BM91" i="4"/>
  <c r="BL91" i="4"/>
  <c r="BP90" i="4"/>
  <c r="BO90" i="4"/>
  <c r="BN90" i="4"/>
  <c r="BM90" i="4"/>
  <c r="BL90" i="4"/>
  <c r="BP89" i="4"/>
  <c r="BO89" i="4"/>
  <c r="BN89" i="4"/>
  <c r="BM89" i="4"/>
  <c r="BL89" i="4"/>
  <c r="BP88" i="4"/>
  <c r="BO88" i="4"/>
  <c r="BN88" i="4"/>
  <c r="BS88" i="4" s="1"/>
  <c r="BM88" i="4"/>
  <c r="BL88" i="4"/>
  <c r="BP87" i="4"/>
  <c r="BU87" i="4" s="1"/>
  <c r="BO87" i="4"/>
  <c r="BN87" i="4"/>
  <c r="BM87" i="4"/>
  <c r="BL87" i="4"/>
  <c r="BP86" i="4"/>
  <c r="BO86" i="4"/>
  <c r="BN86" i="4"/>
  <c r="BM86" i="4"/>
  <c r="BL86" i="4"/>
  <c r="BP85" i="4"/>
  <c r="BO85" i="4"/>
  <c r="BN85" i="4"/>
  <c r="BM85" i="4"/>
  <c r="BL85" i="4"/>
  <c r="BP84" i="4"/>
  <c r="BO84" i="4"/>
  <c r="BN84" i="4"/>
  <c r="BM84" i="4"/>
  <c r="BL84" i="4"/>
  <c r="BP83" i="4"/>
  <c r="BU83" i="4" s="1"/>
  <c r="BO83" i="4"/>
  <c r="BT83" i="4" s="1"/>
  <c r="BN83" i="4"/>
  <c r="BM83" i="4"/>
  <c r="BL83" i="4"/>
  <c r="BP82" i="4"/>
  <c r="BO82" i="4"/>
  <c r="BN82" i="4"/>
  <c r="BM82" i="4"/>
  <c r="BL82" i="4"/>
  <c r="BP81" i="4"/>
  <c r="BO81" i="4"/>
  <c r="BN81" i="4"/>
  <c r="BM81" i="4"/>
  <c r="BL81" i="4"/>
  <c r="BP80" i="4"/>
  <c r="BO80" i="4"/>
  <c r="BN80" i="4"/>
  <c r="BS80" i="4" s="1"/>
  <c r="BM80" i="4"/>
  <c r="BL80" i="4"/>
  <c r="BP79" i="4"/>
  <c r="BU79" i="4" s="1"/>
  <c r="BO79" i="4"/>
  <c r="BN79" i="4"/>
  <c r="BM79" i="4"/>
  <c r="BL79" i="4"/>
  <c r="BP78" i="4"/>
  <c r="BO78" i="4"/>
  <c r="BN78" i="4"/>
  <c r="BM78" i="4"/>
  <c r="BL78" i="4"/>
  <c r="BP77" i="4"/>
  <c r="BO77" i="4"/>
  <c r="BN77" i="4"/>
  <c r="BM77" i="4"/>
  <c r="BL77" i="4"/>
  <c r="BP76" i="4"/>
  <c r="BO76" i="4"/>
  <c r="BN76" i="4"/>
  <c r="BM76" i="4"/>
  <c r="BL76" i="4"/>
  <c r="BP75" i="4"/>
  <c r="BU75" i="4" s="1"/>
  <c r="BO75" i="4"/>
  <c r="BT75" i="4" s="1"/>
  <c r="BN75" i="4"/>
  <c r="BM75" i="4"/>
  <c r="BL75" i="4"/>
  <c r="BP74" i="4"/>
  <c r="BO74" i="4"/>
  <c r="BN74" i="4"/>
  <c r="BM74" i="4"/>
  <c r="BL74" i="4"/>
  <c r="BP73" i="4"/>
  <c r="BO73" i="4"/>
  <c r="BN73" i="4"/>
  <c r="BM73" i="4"/>
  <c r="BL73" i="4"/>
  <c r="BP72" i="4"/>
  <c r="BO72" i="4"/>
  <c r="BN72" i="4"/>
  <c r="BS72" i="4" s="1"/>
  <c r="BM72" i="4"/>
  <c r="BL72" i="4"/>
  <c r="BP71" i="4"/>
  <c r="BU71" i="4" s="1"/>
  <c r="BO71" i="4"/>
  <c r="BN71" i="4"/>
  <c r="BM71" i="4"/>
  <c r="BL71" i="4"/>
  <c r="BP70" i="4"/>
  <c r="BO70" i="4"/>
  <c r="BN70" i="4"/>
  <c r="BM70" i="4"/>
  <c r="BL70" i="4"/>
  <c r="BP69" i="4"/>
  <c r="BO69" i="4"/>
  <c r="BN69" i="4"/>
  <c r="BM69" i="4"/>
  <c r="BL69" i="4"/>
  <c r="BH46" i="4"/>
  <c r="BD36" i="4"/>
  <c r="BD35" i="4" s="1"/>
  <c r="BD34" i="4" s="1"/>
  <c r="BD33" i="4" s="1"/>
  <c r="BD32" i="4" s="1"/>
  <c r="BD31" i="4" s="1"/>
  <c r="BD30" i="4" s="1"/>
  <c r="BD29" i="4" s="1"/>
  <c r="BD28" i="4" s="1"/>
  <c r="BD27" i="4" s="1"/>
  <c r="BD26" i="4" s="1"/>
  <c r="BD25" i="4" s="1"/>
  <c r="BD24" i="4" s="1"/>
  <c r="BD23" i="4" s="1"/>
  <c r="BD22" i="4" s="1"/>
  <c r="BD21" i="4" s="1"/>
  <c r="BD20" i="4" s="1"/>
  <c r="BD19" i="4" s="1"/>
  <c r="BD18" i="4" s="1"/>
  <c r="BD17" i="4" s="1"/>
  <c r="BD16" i="4" s="1"/>
  <c r="BD15" i="4" s="1"/>
  <c r="BD14" i="4" s="1"/>
  <c r="BD13" i="4" s="1"/>
  <c r="BD12" i="4" s="1"/>
  <c r="BD11" i="4" s="1"/>
  <c r="BD57" i="4"/>
  <c r="BD94" i="4" s="1"/>
  <c r="BD1" i="4"/>
  <c r="BD56" i="4" s="1"/>
  <c r="AB41" i="1"/>
  <c r="AB40" i="1"/>
  <c r="AL5" i="4"/>
  <c r="AX92" i="4"/>
  <c r="AW92" i="4"/>
  <c r="AV92" i="4"/>
  <c r="BA92" i="4" s="1"/>
  <c r="AU92" i="4"/>
  <c r="AT92" i="4"/>
  <c r="AL91" i="4"/>
  <c r="AL90" i="4" s="1"/>
  <c r="AL89" i="4" s="1"/>
  <c r="AL88" i="4" s="1"/>
  <c r="AL87" i="4" s="1"/>
  <c r="AL86" i="4" s="1"/>
  <c r="AL85" i="4" s="1"/>
  <c r="AL84" i="4" s="1"/>
  <c r="AL83" i="4" s="1"/>
  <c r="AL82" i="4" s="1"/>
  <c r="AL81" i="4" s="1"/>
  <c r="AL80" i="4" s="1"/>
  <c r="AL79" i="4" s="1"/>
  <c r="AL78" i="4" s="1"/>
  <c r="AL77" i="4" s="1"/>
  <c r="AL76" i="4" s="1"/>
  <c r="AL75" i="4" s="1"/>
  <c r="AL74" i="4" s="1"/>
  <c r="AL73" i="4" s="1"/>
  <c r="AL72" i="4" s="1"/>
  <c r="AL71" i="4" s="1"/>
  <c r="AL70" i="4" s="1"/>
  <c r="AL69" i="4" s="1"/>
  <c r="AL68" i="4" s="1"/>
  <c r="AL67" i="4" s="1"/>
  <c r="AL66" i="4" s="1"/>
  <c r="AX91" i="4"/>
  <c r="AW91" i="4"/>
  <c r="AV91" i="4"/>
  <c r="AU91" i="4"/>
  <c r="AT91" i="4"/>
  <c r="AX90" i="4"/>
  <c r="AW90" i="4"/>
  <c r="AV90" i="4"/>
  <c r="AU90" i="4"/>
  <c r="AT90" i="4"/>
  <c r="AX89" i="4"/>
  <c r="AW89" i="4"/>
  <c r="AV89" i="4"/>
  <c r="BA89" i="4" s="1"/>
  <c r="AU89" i="4"/>
  <c r="AT89" i="4"/>
  <c r="AX88" i="4"/>
  <c r="BC88" i="4" s="1"/>
  <c r="AW88" i="4"/>
  <c r="BB88" i="4" s="1"/>
  <c r="AV88" i="4"/>
  <c r="AU88" i="4"/>
  <c r="AT88" i="4"/>
  <c r="AX87" i="4"/>
  <c r="AW87" i="4"/>
  <c r="AV87" i="4"/>
  <c r="AU87" i="4"/>
  <c r="AZ87" i="4" s="1"/>
  <c r="AT87" i="4"/>
  <c r="AX86" i="4"/>
  <c r="AW86" i="4"/>
  <c r="AV86" i="4"/>
  <c r="AU86" i="4"/>
  <c r="AT86" i="4"/>
  <c r="AX85" i="4"/>
  <c r="AW85" i="4"/>
  <c r="AV85" i="4"/>
  <c r="BA85" i="4" s="1"/>
  <c r="AU85" i="4"/>
  <c r="AT85" i="4"/>
  <c r="AX84" i="4"/>
  <c r="AW84" i="4"/>
  <c r="BB84" i="4" s="1"/>
  <c r="AV84" i="4"/>
  <c r="AU84" i="4"/>
  <c r="AT84" i="4"/>
  <c r="AX83" i="4"/>
  <c r="AW83" i="4"/>
  <c r="AV83" i="4"/>
  <c r="AU83" i="4"/>
  <c r="AT83" i="4"/>
  <c r="AX82" i="4"/>
  <c r="AW82" i="4"/>
  <c r="AV82" i="4"/>
  <c r="AU82" i="4"/>
  <c r="AT82" i="4"/>
  <c r="AX81" i="4"/>
  <c r="AW81" i="4"/>
  <c r="AV81" i="4"/>
  <c r="BA81" i="4" s="1"/>
  <c r="AU81" i="4"/>
  <c r="AT81" i="4"/>
  <c r="AX80" i="4"/>
  <c r="BC80" i="4" s="1"/>
  <c r="AW80" i="4"/>
  <c r="BB80" i="4" s="1"/>
  <c r="AV80" i="4"/>
  <c r="AU80" i="4"/>
  <c r="AT80" i="4"/>
  <c r="AX79" i="4"/>
  <c r="AW79" i="4"/>
  <c r="AV79" i="4"/>
  <c r="AU79" i="4"/>
  <c r="AZ79" i="4" s="1"/>
  <c r="AT79" i="4"/>
  <c r="AX78" i="4"/>
  <c r="AW78" i="4"/>
  <c r="AV78" i="4"/>
  <c r="AU78" i="4"/>
  <c r="AT78" i="4"/>
  <c r="AX77" i="4"/>
  <c r="AW77" i="4"/>
  <c r="AV77" i="4"/>
  <c r="BA77" i="4" s="1"/>
  <c r="AU77" i="4"/>
  <c r="AT77" i="4"/>
  <c r="AX76" i="4"/>
  <c r="AW76" i="4"/>
  <c r="BB76" i="4" s="1"/>
  <c r="AV76" i="4"/>
  <c r="AU76" i="4"/>
  <c r="AT76" i="4"/>
  <c r="AX75" i="4"/>
  <c r="AW75" i="4"/>
  <c r="AV75" i="4"/>
  <c r="AU75" i="4"/>
  <c r="AT75" i="4"/>
  <c r="AX74" i="4"/>
  <c r="AW74" i="4"/>
  <c r="AV74" i="4"/>
  <c r="AU74" i="4"/>
  <c r="AT74" i="4"/>
  <c r="AX73" i="4"/>
  <c r="AW73" i="4"/>
  <c r="AV73" i="4"/>
  <c r="BA73" i="4" s="1"/>
  <c r="AU73" i="4"/>
  <c r="AT73" i="4"/>
  <c r="AX72" i="4"/>
  <c r="BC72" i="4" s="1"/>
  <c r="AW72" i="4"/>
  <c r="BB72" i="4" s="1"/>
  <c r="AV72" i="4"/>
  <c r="AU72" i="4"/>
  <c r="AT72" i="4"/>
  <c r="AX71" i="4"/>
  <c r="AW71" i="4"/>
  <c r="AV71" i="4"/>
  <c r="AU71" i="4"/>
  <c r="AZ71" i="4" s="1"/>
  <c r="AT71" i="4"/>
  <c r="AX70" i="4"/>
  <c r="AW70" i="4"/>
  <c r="AV70" i="4"/>
  <c r="AU70" i="4"/>
  <c r="AT70" i="4"/>
  <c r="AX69" i="4"/>
  <c r="AW69" i="4"/>
  <c r="AV69" i="4"/>
  <c r="AU69" i="4"/>
  <c r="AT69" i="4"/>
  <c r="AP46" i="4"/>
  <c r="AL36" i="4"/>
  <c r="AL35" i="4" s="1"/>
  <c r="AL34" i="4" s="1"/>
  <c r="AL33" i="4" s="1"/>
  <c r="AL32" i="4" s="1"/>
  <c r="AL31" i="4" s="1"/>
  <c r="AL30" i="4" s="1"/>
  <c r="AL29" i="4" s="1"/>
  <c r="AL28" i="4" s="1"/>
  <c r="AL27" i="4" s="1"/>
  <c r="AL26" i="4" s="1"/>
  <c r="AL25" i="4" s="1"/>
  <c r="AL24" i="4" s="1"/>
  <c r="AL23" i="4" s="1"/>
  <c r="AL22" i="4" s="1"/>
  <c r="AL21" i="4" s="1"/>
  <c r="AL20" i="4" s="1"/>
  <c r="AL19" i="4" s="1"/>
  <c r="AL18" i="4" s="1"/>
  <c r="AL17" i="4" s="1"/>
  <c r="AL16" i="4" s="1"/>
  <c r="AL15" i="4" s="1"/>
  <c r="AL14" i="4" s="1"/>
  <c r="AL13" i="4" s="1"/>
  <c r="AL12" i="4" s="1"/>
  <c r="AL11" i="4" s="1"/>
  <c r="AL57" i="4"/>
  <c r="AL94" i="4" s="1"/>
  <c r="AL1" i="4"/>
  <c r="AL56" i="4" s="1"/>
  <c r="Q41" i="1"/>
  <c r="Q40" i="1"/>
  <c r="X46" i="4"/>
  <c r="T5" i="4"/>
  <c r="AF92" i="4"/>
  <c r="AE92" i="4"/>
  <c r="AD92" i="4"/>
  <c r="AC92" i="4"/>
  <c r="AB92" i="4"/>
  <c r="T91" i="4"/>
  <c r="T90" i="4" s="1"/>
  <c r="T89" i="4" s="1"/>
  <c r="T88" i="4" s="1"/>
  <c r="T87" i="4" s="1"/>
  <c r="T86" i="4" s="1"/>
  <c r="T85" i="4" s="1"/>
  <c r="T84" i="4" s="1"/>
  <c r="T83" i="4" s="1"/>
  <c r="T82" i="4" s="1"/>
  <c r="T81" i="4" s="1"/>
  <c r="T80" i="4" s="1"/>
  <c r="T79" i="4" s="1"/>
  <c r="T78" i="4" s="1"/>
  <c r="T77" i="4" s="1"/>
  <c r="T76" i="4" s="1"/>
  <c r="T75" i="4" s="1"/>
  <c r="T74" i="4" s="1"/>
  <c r="T73" i="4" s="1"/>
  <c r="T72" i="4" s="1"/>
  <c r="T71" i="4" s="1"/>
  <c r="T70" i="4" s="1"/>
  <c r="T69" i="4" s="1"/>
  <c r="T68" i="4" s="1"/>
  <c r="T67" i="4" s="1"/>
  <c r="T66" i="4" s="1"/>
  <c r="AF91" i="4"/>
  <c r="AE91" i="4"/>
  <c r="AD91" i="4"/>
  <c r="AC91" i="4"/>
  <c r="AB91" i="4"/>
  <c r="AF90" i="4"/>
  <c r="AE90" i="4"/>
  <c r="AJ90" i="4" s="1"/>
  <c r="AD90" i="4"/>
  <c r="AC90" i="4"/>
  <c r="AB90" i="4"/>
  <c r="AF89" i="4"/>
  <c r="AE89" i="4"/>
  <c r="AD89" i="4"/>
  <c r="AC89" i="4"/>
  <c r="AB89" i="4"/>
  <c r="AF88" i="4"/>
  <c r="AE88" i="4"/>
  <c r="AD88" i="4"/>
  <c r="AC88" i="4"/>
  <c r="AB88" i="4"/>
  <c r="AF87" i="4"/>
  <c r="AE87" i="4"/>
  <c r="AD87" i="4"/>
  <c r="AI87" i="4" s="1"/>
  <c r="AC87" i="4"/>
  <c r="AB87" i="4"/>
  <c r="AF86" i="4"/>
  <c r="AE86" i="4"/>
  <c r="AD86" i="4"/>
  <c r="AC86" i="4"/>
  <c r="AB86" i="4"/>
  <c r="AF85" i="4"/>
  <c r="AE85" i="4"/>
  <c r="AD85" i="4"/>
  <c r="AC85" i="4"/>
  <c r="AB85" i="4"/>
  <c r="AF84" i="4"/>
  <c r="AE84" i="4"/>
  <c r="AD84" i="4"/>
  <c r="AC84" i="4"/>
  <c r="AB84" i="4"/>
  <c r="AF83" i="4"/>
  <c r="AE83" i="4"/>
  <c r="AD83" i="4"/>
  <c r="AC83" i="4"/>
  <c r="AB83" i="4"/>
  <c r="AF82" i="4"/>
  <c r="AE82" i="4"/>
  <c r="AJ82" i="4" s="1"/>
  <c r="AD82" i="4"/>
  <c r="AC82" i="4"/>
  <c r="AB82" i="4"/>
  <c r="AF81" i="4"/>
  <c r="AE81" i="4"/>
  <c r="AD81" i="4"/>
  <c r="AC81" i="4"/>
  <c r="AB81" i="4"/>
  <c r="AF80" i="4"/>
  <c r="AE80" i="4"/>
  <c r="AD80" i="4"/>
  <c r="AC80" i="4"/>
  <c r="AB80" i="4"/>
  <c r="AF79" i="4"/>
  <c r="AE79" i="4"/>
  <c r="AD79" i="4"/>
  <c r="AI79" i="4" s="1"/>
  <c r="AC79" i="4"/>
  <c r="AB79" i="4"/>
  <c r="AF78" i="4"/>
  <c r="AE78" i="4"/>
  <c r="AD78" i="4"/>
  <c r="AC78" i="4"/>
  <c r="AB78" i="4"/>
  <c r="AF77" i="4"/>
  <c r="AE77" i="4"/>
  <c r="AD77" i="4"/>
  <c r="AC77" i="4"/>
  <c r="AB77" i="4"/>
  <c r="AF76" i="4"/>
  <c r="AE76" i="4"/>
  <c r="AD76" i="4"/>
  <c r="AC76" i="4"/>
  <c r="AB76" i="4"/>
  <c r="AF75" i="4"/>
  <c r="AE75" i="4"/>
  <c r="AD75" i="4"/>
  <c r="AI75" i="4" s="1"/>
  <c r="AC75" i="4"/>
  <c r="AB75" i="4"/>
  <c r="AF74" i="4"/>
  <c r="AE74" i="4"/>
  <c r="AJ74" i="4" s="1"/>
  <c r="AD74" i="4"/>
  <c r="AC74" i="4"/>
  <c r="AB74" i="4"/>
  <c r="AF73" i="4"/>
  <c r="AE73" i="4"/>
  <c r="AD73" i="4"/>
  <c r="AC73" i="4"/>
  <c r="AB73" i="4"/>
  <c r="AF72" i="4"/>
  <c r="AE72" i="4"/>
  <c r="AD72" i="4"/>
  <c r="AC72" i="4"/>
  <c r="AB72" i="4"/>
  <c r="AF71" i="4"/>
  <c r="AE71" i="4"/>
  <c r="AD71" i="4"/>
  <c r="AI71" i="4" s="1"/>
  <c r="AC71" i="4"/>
  <c r="AB71" i="4"/>
  <c r="AF70" i="4"/>
  <c r="AE70" i="4"/>
  <c r="AJ70" i="4" s="1"/>
  <c r="AD70" i="4"/>
  <c r="AC70" i="4"/>
  <c r="AB70" i="4"/>
  <c r="AF69" i="4"/>
  <c r="AE69" i="4"/>
  <c r="AD69" i="4"/>
  <c r="AC69" i="4"/>
  <c r="AB69" i="4"/>
  <c r="T36" i="4"/>
  <c r="T35" i="4" s="1"/>
  <c r="T34" i="4" s="1"/>
  <c r="T33" i="4" s="1"/>
  <c r="T32" i="4" s="1"/>
  <c r="T31" i="4" s="1"/>
  <c r="T30" i="4" s="1"/>
  <c r="T29" i="4" s="1"/>
  <c r="T28" i="4" s="1"/>
  <c r="T27" i="4" s="1"/>
  <c r="T26" i="4" s="1"/>
  <c r="T25" i="4" s="1"/>
  <c r="T24" i="4" s="1"/>
  <c r="T23" i="4" s="1"/>
  <c r="T22" i="4" s="1"/>
  <c r="T21" i="4" s="1"/>
  <c r="T20" i="4" s="1"/>
  <c r="T19" i="4" s="1"/>
  <c r="T18" i="4" s="1"/>
  <c r="T17" i="4" s="1"/>
  <c r="T16" i="4" s="1"/>
  <c r="T15" i="4" s="1"/>
  <c r="T14" i="4" s="1"/>
  <c r="T13" i="4" s="1"/>
  <c r="T12" i="4" s="1"/>
  <c r="T11" i="4" s="1"/>
  <c r="T57" i="4"/>
  <c r="T94" i="4" s="1"/>
  <c r="T1" i="4"/>
  <c r="T56" i="4" s="1"/>
  <c r="B5" i="4"/>
  <c r="CW37" i="1"/>
  <c r="CW36" i="1" s="1"/>
  <c r="CW35" i="1" s="1"/>
  <c r="CW34" i="1" s="1"/>
  <c r="CW33" i="1" s="1"/>
  <c r="CW32" i="1" s="1"/>
  <c r="CW31" i="1" s="1"/>
  <c r="CW30" i="1" s="1"/>
  <c r="CW29" i="1" s="1"/>
  <c r="CW28" i="1" s="1"/>
  <c r="CW27" i="1" s="1"/>
  <c r="CW26" i="1" s="1"/>
  <c r="CW25" i="1" s="1"/>
  <c r="CW24" i="1" s="1"/>
  <c r="CW23" i="1" s="1"/>
  <c r="CW22" i="1" s="1"/>
  <c r="CW21" i="1" s="1"/>
  <c r="CW20" i="1" s="1"/>
  <c r="CW19" i="1" s="1"/>
  <c r="CW18" i="1" s="1"/>
  <c r="CW17" i="1" s="1"/>
  <c r="CW16" i="1" s="1"/>
  <c r="CW15" i="1" s="1"/>
  <c r="CW14" i="1" s="1"/>
  <c r="CW13" i="1" s="1"/>
  <c r="CW12" i="1" s="1"/>
  <c r="CW11" i="1" s="1"/>
  <c r="CL37" i="1"/>
  <c r="CL36" i="1" s="1"/>
  <c r="CL35" i="1" s="1"/>
  <c r="CL34" i="1" s="1"/>
  <c r="CL33" i="1" s="1"/>
  <c r="CL32" i="1" s="1"/>
  <c r="CL31" i="1" s="1"/>
  <c r="CL30" i="1" s="1"/>
  <c r="CL29" i="1" s="1"/>
  <c r="CL28" i="1" s="1"/>
  <c r="CL27" i="1" s="1"/>
  <c r="CL26" i="1" s="1"/>
  <c r="CL25" i="1" s="1"/>
  <c r="CL24" i="1" s="1"/>
  <c r="CL23" i="1" s="1"/>
  <c r="CL22" i="1" s="1"/>
  <c r="CL21" i="1" s="1"/>
  <c r="CL20" i="1" s="1"/>
  <c r="CL19" i="1" s="1"/>
  <c r="CL18" i="1" s="1"/>
  <c r="CL17" i="1" s="1"/>
  <c r="CL16" i="1" s="1"/>
  <c r="CL15" i="1" s="1"/>
  <c r="CL14" i="1" s="1"/>
  <c r="CL13" i="1" s="1"/>
  <c r="CL12" i="1" s="1"/>
  <c r="CL11" i="1" s="1"/>
  <c r="CA37" i="1"/>
  <c r="CA36" i="1" s="1"/>
  <c r="CA35" i="1" s="1"/>
  <c r="CA34" i="1" s="1"/>
  <c r="CA33" i="1" s="1"/>
  <c r="CA32" i="1" s="1"/>
  <c r="CA31" i="1" s="1"/>
  <c r="CA30" i="1" s="1"/>
  <c r="CA29" i="1" s="1"/>
  <c r="CA28" i="1" s="1"/>
  <c r="CA27" i="1" s="1"/>
  <c r="CA26" i="1" s="1"/>
  <c r="CA25" i="1" s="1"/>
  <c r="CA24" i="1" s="1"/>
  <c r="CA23" i="1" s="1"/>
  <c r="CA22" i="1" s="1"/>
  <c r="CA21" i="1" s="1"/>
  <c r="CA20" i="1" s="1"/>
  <c r="CA19" i="1" s="1"/>
  <c r="CA18" i="1" s="1"/>
  <c r="CA17" i="1" s="1"/>
  <c r="CA16" i="1" s="1"/>
  <c r="CA15" i="1" s="1"/>
  <c r="CA14" i="1" s="1"/>
  <c r="CA13" i="1" s="1"/>
  <c r="CA12" i="1" s="1"/>
  <c r="CA11" i="1" s="1"/>
  <c r="BP37" i="1"/>
  <c r="BP36" i="1" s="1"/>
  <c r="BP35" i="1" s="1"/>
  <c r="BP34" i="1" s="1"/>
  <c r="BP33" i="1" s="1"/>
  <c r="BP32" i="1" s="1"/>
  <c r="BP31" i="1" s="1"/>
  <c r="BP30" i="1" s="1"/>
  <c r="BP29" i="1" s="1"/>
  <c r="BP28" i="1" s="1"/>
  <c r="BP27" i="1" s="1"/>
  <c r="BP26" i="1" s="1"/>
  <c r="BP25" i="1" s="1"/>
  <c r="BP24" i="1" s="1"/>
  <c r="BP23" i="1" s="1"/>
  <c r="BP22" i="1" s="1"/>
  <c r="BP21" i="1" s="1"/>
  <c r="BP20" i="1" s="1"/>
  <c r="BP19" i="1" s="1"/>
  <c r="BP18" i="1" s="1"/>
  <c r="BP17" i="1" s="1"/>
  <c r="BP16" i="1" s="1"/>
  <c r="BP15" i="1" s="1"/>
  <c r="BP14" i="1" s="1"/>
  <c r="BP13" i="1" s="1"/>
  <c r="BP12" i="1" s="1"/>
  <c r="BP11" i="1" s="1"/>
  <c r="BE37" i="1"/>
  <c r="BE36" i="1" s="1"/>
  <c r="BE35" i="1" s="1"/>
  <c r="BE34" i="1" s="1"/>
  <c r="BE33" i="1" s="1"/>
  <c r="BE32" i="1" s="1"/>
  <c r="BE31" i="1" s="1"/>
  <c r="BE30" i="1" s="1"/>
  <c r="BE29" i="1" s="1"/>
  <c r="BE28" i="1" s="1"/>
  <c r="BE27" i="1" s="1"/>
  <c r="BE26" i="1" s="1"/>
  <c r="BE25" i="1" s="1"/>
  <c r="BE24" i="1" s="1"/>
  <c r="BE23" i="1" s="1"/>
  <c r="BE22" i="1" s="1"/>
  <c r="BE21" i="1" s="1"/>
  <c r="BE20" i="1" s="1"/>
  <c r="BE19" i="1" s="1"/>
  <c r="BE18" i="1" s="1"/>
  <c r="BE17" i="1" s="1"/>
  <c r="BE16" i="1" s="1"/>
  <c r="BE15" i="1" s="1"/>
  <c r="BE14" i="1" s="1"/>
  <c r="BE13" i="1" s="1"/>
  <c r="BE12" i="1" s="1"/>
  <c r="BE11" i="1" s="1"/>
  <c r="AT37" i="1"/>
  <c r="AT36" i="1" s="1"/>
  <c r="AT35" i="1" s="1"/>
  <c r="AT34" i="1" s="1"/>
  <c r="AT33" i="1" s="1"/>
  <c r="AT32" i="1" s="1"/>
  <c r="AT31" i="1" s="1"/>
  <c r="AT30" i="1" s="1"/>
  <c r="AT29" i="1" s="1"/>
  <c r="AT28" i="1" s="1"/>
  <c r="AT27" i="1" s="1"/>
  <c r="AT26" i="1" s="1"/>
  <c r="AT25" i="1" s="1"/>
  <c r="AT24" i="1" s="1"/>
  <c r="AT23" i="1" s="1"/>
  <c r="AT22" i="1" s="1"/>
  <c r="AT21" i="1" s="1"/>
  <c r="AT20" i="1" s="1"/>
  <c r="AT19" i="1" s="1"/>
  <c r="AT18" i="1" s="1"/>
  <c r="AT17" i="1" s="1"/>
  <c r="AT16" i="1" s="1"/>
  <c r="AT15" i="1" s="1"/>
  <c r="AT14" i="1" s="1"/>
  <c r="AT13" i="1" s="1"/>
  <c r="AT12" i="1" s="1"/>
  <c r="AT11" i="1" s="1"/>
  <c r="AI37" i="1"/>
  <c r="X37" i="1"/>
  <c r="DB42" i="1"/>
  <c r="CQ42" i="1"/>
  <c r="CF42" i="1"/>
  <c r="BU42" i="1"/>
  <c r="BJ42" i="1"/>
  <c r="AY42" i="1"/>
  <c r="AN42" i="1"/>
  <c r="AC42" i="1"/>
  <c r="R42" i="1"/>
  <c r="B1" i="4"/>
  <c r="DB11" i="1"/>
  <c r="DF10" i="1"/>
  <c r="DE10" i="1"/>
  <c r="DG10" i="1"/>
  <c r="DD10" i="1"/>
  <c r="CW1" i="1"/>
  <c r="CQ11" i="1"/>
  <c r="CU10" i="1"/>
  <c r="CT10" i="1"/>
  <c r="CV10" i="1"/>
  <c r="CS10" i="1"/>
  <c r="CL1" i="1"/>
  <c r="CF11" i="1"/>
  <c r="CK10" i="1"/>
  <c r="CJ10" i="1"/>
  <c r="CI10" i="1"/>
  <c r="CH10" i="1"/>
  <c r="CA1" i="1"/>
  <c r="BU11" i="1"/>
  <c r="BZ10" i="1"/>
  <c r="BY10" i="1"/>
  <c r="BX10" i="1"/>
  <c r="BW10" i="1"/>
  <c r="BP1" i="1"/>
  <c r="BJ11" i="1"/>
  <c r="BO10" i="1"/>
  <c r="BN10" i="1"/>
  <c r="BM10" i="1"/>
  <c r="BL10" i="1"/>
  <c r="BE1" i="1"/>
  <c r="BD10" i="1"/>
  <c r="AY12" i="1"/>
  <c r="AY11" i="1"/>
  <c r="BC10" i="1"/>
  <c r="BB10" i="1"/>
  <c r="BA10" i="1"/>
  <c r="AT1" i="1"/>
  <c r="AI1" i="1"/>
  <c r="X1" i="1"/>
  <c r="M1" i="1"/>
  <c r="AK74" i="4" l="1"/>
  <c r="BT71" i="4"/>
  <c r="BS76" i="4"/>
  <c r="BT79" i="4"/>
  <c r="BS84" i="4"/>
  <c r="BT87" i="4"/>
  <c r="CJ75" i="4"/>
  <c r="CJ83" i="4"/>
  <c r="CJ91" i="4"/>
  <c r="AJ78" i="4"/>
  <c r="AI83" i="4"/>
  <c r="AJ86" i="4"/>
  <c r="AI91" i="4"/>
  <c r="AZ75" i="4"/>
  <c r="BC76" i="4"/>
  <c r="AZ83" i="4"/>
  <c r="BC84" i="4"/>
  <c r="AZ91" i="4"/>
  <c r="DC70" i="4"/>
  <c r="DD73" i="4"/>
  <c r="DC78" i="4"/>
  <c r="DD81" i="4"/>
  <c r="DC86" i="4"/>
  <c r="DD89" i="4"/>
  <c r="DT75" i="4"/>
  <c r="DW76" i="4"/>
  <c r="DT83" i="4"/>
  <c r="DW84" i="4"/>
  <c r="DT91" i="4"/>
  <c r="FG70" i="4"/>
  <c r="FG78" i="4"/>
  <c r="FG86" i="4"/>
  <c r="AK70" i="4"/>
  <c r="AK78" i="4"/>
  <c r="AK86" i="4"/>
  <c r="CL72" i="4"/>
  <c r="CK77" i="4"/>
  <c r="CL80" i="4"/>
  <c r="CK85" i="4"/>
  <c r="CL88" i="4"/>
  <c r="DE73" i="4"/>
  <c r="DE81" i="4"/>
  <c r="DE89" i="4"/>
  <c r="DE92" i="4"/>
  <c r="CM72" i="4"/>
  <c r="CM80" i="4"/>
  <c r="CM88" i="4"/>
  <c r="FG72" i="4"/>
  <c r="FG80" i="4"/>
  <c r="FG88" i="4"/>
  <c r="FG74" i="4"/>
  <c r="FG82" i="4"/>
  <c r="AK82" i="4"/>
  <c r="AK90" i="4"/>
  <c r="DE85" i="4"/>
  <c r="FY78" i="4"/>
  <c r="FV71" i="4"/>
  <c r="FV79" i="4"/>
  <c r="FV87" i="4"/>
  <c r="FW71" i="4"/>
  <c r="FX74" i="4"/>
  <c r="FY77" i="4"/>
  <c r="FW79" i="4"/>
  <c r="FX82" i="4"/>
  <c r="FW87" i="4"/>
  <c r="FX90" i="4"/>
  <c r="AH72" i="4"/>
  <c r="AH76" i="4"/>
  <c r="AH80" i="4"/>
  <c r="AH84" i="4"/>
  <c r="AH88" i="4"/>
  <c r="AZ70" i="4"/>
  <c r="AZ74" i="4"/>
  <c r="AZ78" i="4"/>
  <c r="AZ82" i="4"/>
  <c r="AZ86" i="4"/>
  <c r="AZ90" i="4"/>
  <c r="BR73" i="4"/>
  <c r="BR77" i="4"/>
  <c r="BR81" i="4"/>
  <c r="BR85" i="4"/>
  <c r="BR89" i="4"/>
  <c r="BR92" i="4"/>
  <c r="CJ70" i="4"/>
  <c r="CJ74" i="4"/>
  <c r="CJ78" i="4"/>
  <c r="CJ82" i="4"/>
  <c r="CJ86" i="4"/>
  <c r="DB71" i="4"/>
  <c r="DB75" i="4"/>
  <c r="DB79" i="4"/>
  <c r="DB83" i="4"/>
  <c r="DB87" i="4"/>
  <c r="DB91" i="4"/>
  <c r="DT70" i="4"/>
  <c r="DT74" i="4"/>
  <c r="DT78" i="4"/>
  <c r="DT82" i="4"/>
  <c r="DT86" i="4"/>
  <c r="DT90" i="4"/>
  <c r="EL73" i="4"/>
  <c r="EL77" i="4"/>
  <c r="EL81" i="4"/>
  <c r="EL85" i="4"/>
  <c r="EL89" i="4"/>
  <c r="EL92" i="4"/>
  <c r="AH69" i="4"/>
  <c r="AJ71" i="4"/>
  <c r="AH73" i="4"/>
  <c r="AJ75" i="4"/>
  <c r="AI80" i="4"/>
  <c r="AJ83" i="4"/>
  <c r="AI88" i="4"/>
  <c r="AH92" i="4"/>
  <c r="BB69" i="4"/>
  <c r="BA70" i="4"/>
  <c r="BB73" i="4"/>
  <c r="BA74" i="4"/>
  <c r="BA78" i="4"/>
  <c r="BS69" i="4"/>
  <c r="BR70" i="4"/>
  <c r="BT72" i="4"/>
  <c r="BS73" i="4"/>
  <c r="BR74" i="4"/>
  <c r="BT76" i="4"/>
  <c r="BS77" i="4"/>
  <c r="BR78" i="4"/>
  <c r="BT80" i="4"/>
  <c r="BS81" i="4"/>
  <c r="BR82" i="4"/>
  <c r="BT84" i="4"/>
  <c r="BS85" i="4"/>
  <c r="BR86" i="4"/>
  <c r="BT88" i="4"/>
  <c r="BS89" i="4"/>
  <c r="BR90" i="4"/>
  <c r="CL69" i="4"/>
  <c r="CK70" i="4"/>
  <c r="CL73" i="4"/>
  <c r="CK74" i="4"/>
  <c r="CL77" i="4"/>
  <c r="CK78" i="4"/>
  <c r="CL81" i="4"/>
  <c r="CK82" i="4"/>
  <c r="CL85" i="4"/>
  <c r="CK86" i="4"/>
  <c r="CL89" i="4"/>
  <c r="CK90" i="4"/>
  <c r="CL92" i="4"/>
  <c r="DD70" i="4"/>
  <c r="DC71" i="4"/>
  <c r="DB72" i="4"/>
  <c r="DD74" i="4"/>
  <c r="DC75" i="4"/>
  <c r="DB76" i="4"/>
  <c r="DD78" i="4"/>
  <c r="DC79" i="4"/>
  <c r="DB80" i="4"/>
  <c r="DD82" i="4"/>
  <c r="DC83" i="4"/>
  <c r="DB84" i="4"/>
  <c r="DD86" i="4"/>
  <c r="DC87" i="4"/>
  <c r="DB88" i="4"/>
  <c r="DD90" i="4"/>
  <c r="DC91" i="4"/>
  <c r="DV69" i="4"/>
  <c r="DU70" i="4"/>
  <c r="DV73" i="4"/>
  <c r="DU74" i="4"/>
  <c r="DV77" i="4"/>
  <c r="DU78" i="4"/>
  <c r="DV81" i="4"/>
  <c r="DU82" i="4"/>
  <c r="DV85" i="4"/>
  <c r="DU86" i="4"/>
  <c r="DV89" i="4"/>
  <c r="DU90" i="4"/>
  <c r="DV92" i="4"/>
  <c r="EM69" i="4"/>
  <c r="EL70" i="4"/>
  <c r="EN72" i="4"/>
  <c r="EM73" i="4"/>
  <c r="EL74" i="4"/>
  <c r="EN76" i="4"/>
  <c r="EM77" i="4"/>
  <c r="EL78" i="4"/>
  <c r="EN80" i="4"/>
  <c r="EM81" i="4"/>
  <c r="EL82" i="4"/>
  <c r="EN84" i="4"/>
  <c r="EM85" i="4"/>
  <c r="EL86" i="4"/>
  <c r="EN88" i="4"/>
  <c r="EM89" i="4"/>
  <c r="EL90" i="4"/>
  <c r="EM92" i="4"/>
  <c r="FF69" i="4"/>
  <c r="FE70" i="4"/>
  <c r="FD71" i="4"/>
  <c r="FF73" i="4"/>
  <c r="FE74" i="4"/>
  <c r="FD75" i="4"/>
  <c r="FF77" i="4"/>
  <c r="FE78" i="4"/>
  <c r="FD79" i="4"/>
  <c r="FF81" i="4"/>
  <c r="FE82" i="4"/>
  <c r="FD83" i="4"/>
  <c r="FF85" i="4"/>
  <c r="FE86" i="4"/>
  <c r="FD87" i="4"/>
  <c r="FF89" i="4"/>
  <c r="FE90" i="4"/>
  <c r="FD91" i="4"/>
  <c r="FF92" i="4"/>
  <c r="FV90" i="4"/>
  <c r="AI72" i="4"/>
  <c r="AI76" i="4"/>
  <c r="AH77" i="4"/>
  <c r="AJ79" i="4"/>
  <c r="AH81" i="4"/>
  <c r="AI84" i="4"/>
  <c r="AH85" i="4"/>
  <c r="AJ87" i="4"/>
  <c r="AH89" i="4"/>
  <c r="BB77" i="4"/>
  <c r="BB81" i="4"/>
  <c r="BA82" i="4"/>
  <c r="BB85" i="4"/>
  <c r="BA86" i="4"/>
  <c r="BB89" i="4"/>
  <c r="BA90" i="4"/>
  <c r="AK75" i="4"/>
  <c r="BC69" i="4"/>
  <c r="BC73" i="4"/>
  <c r="BC77" i="4"/>
  <c r="BC81" i="4"/>
  <c r="BC85" i="4"/>
  <c r="BU72" i="4"/>
  <c r="BU76" i="4"/>
  <c r="BU80" i="4"/>
  <c r="BU84" i="4"/>
  <c r="BU88" i="4"/>
  <c r="CM69" i="4"/>
  <c r="CM73" i="4"/>
  <c r="CM77" i="4"/>
  <c r="CM81" i="4"/>
  <c r="CM85" i="4"/>
  <c r="CM89" i="4"/>
  <c r="CM92" i="4"/>
  <c r="DE70" i="4"/>
  <c r="DE74" i="4"/>
  <c r="DE78" i="4"/>
  <c r="DE82" i="4"/>
  <c r="DE86" i="4"/>
  <c r="DE90" i="4"/>
  <c r="DW69" i="4"/>
  <c r="DV70" i="4"/>
  <c r="DU71" i="4"/>
  <c r="DW73" i="4"/>
  <c r="DV74" i="4"/>
  <c r="DU75" i="4"/>
  <c r="DW77" i="4"/>
  <c r="DV78" i="4"/>
  <c r="DU79" i="4"/>
  <c r="DW81" i="4"/>
  <c r="DV82" i="4"/>
  <c r="DU83" i="4"/>
  <c r="DW85" i="4"/>
  <c r="DV86" i="4"/>
  <c r="DU87" i="4"/>
  <c r="DV90" i="4"/>
  <c r="DU91" i="4"/>
  <c r="DW92" i="4"/>
  <c r="EN69" i="4"/>
  <c r="EM70" i="4"/>
  <c r="EL71" i="4"/>
  <c r="EO72" i="4"/>
  <c r="EN73" i="4"/>
  <c r="EM74" i="4"/>
  <c r="EL75" i="4"/>
  <c r="EO76" i="4"/>
  <c r="EN77" i="4"/>
  <c r="EM78" i="4"/>
  <c r="EL79" i="4"/>
  <c r="EO80" i="4"/>
  <c r="EN81" i="4"/>
  <c r="EM82" i="4"/>
  <c r="EL83" i="4"/>
  <c r="EO84" i="4"/>
  <c r="EN85" i="4"/>
  <c r="EM86" i="4"/>
  <c r="EL87" i="4"/>
  <c r="EO88" i="4"/>
  <c r="EN89" i="4"/>
  <c r="EM90" i="4"/>
  <c r="EL91" i="4"/>
  <c r="EN92" i="4"/>
  <c r="FG69" i="4"/>
  <c r="FF70" i="4"/>
  <c r="FE71" i="4"/>
  <c r="FG73" i="4"/>
  <c r="FF74" i="4"/>
  <c r="FE75" i="4"/>
  <c r="FG77" i="4"/>
  <c r="FF78" i="4"/>
  <c r="FE79" i="4"/>
  <c r="FG81" i="4"/>
  <c r="FF82" i="4"/>
  <c r="FE83" i="4"/>
  <c r="FG85" i="4"/>
  <c r="FF86" i="4"/>
  <c r="FE87" i="4"/>
  <c r="FE91" i="4"/>
  <c r="FG92" i="4"/>
  <c r="FX69" i="4"/>
  <c r="FW70" i="4"/>
  <c r="FY72" i="4"/>
  <c r="FX73" i="4"/>
  <c r="FW74" i="4"/>
  <c r="FY76" i="4"/>
  <c r="FX77" i="4"/>
  <c r="FW78" i="4"/>
  <c r="FY80" i="4"/>
  <c r="FX81" i="4"/>
  <c r="FW82" i="4"/>
  <c r="FY84" i="4"/>
  <c r="FX85" i="4"/>
  <c r="FW86" i="4"/>
  <c r="FY88" i="4"/>
  <c r="FX89" i="4"/>
  <c r="FW90" i="4"/>
  <c r="FX92" i="4"/>
  <c r="AH71" i="4"/>
  <c r="FV74" i="4"/>
  <c r="EL69" i="4"/>
  <c r="CK69" i="4"/>
  <c r="BR69" i="4"/>
  <c r="BA69" i="4"/>
  <c r="DW89" i="4"/>
  <c r="FG89" i="4"/>
  <c r="FF90" i="4"/>
  <c r="FG90" i="4"/>
  <c r="CK89" i="4"/>
  <c r="CJ90" i="4"/>
  <c r="CK92" i="4"/>
  <c r="BS92" i="4"/>
  <c r="BB92" i="4"/>
  <c r="BC89" i="4"/>
  <c r="BC92" i="4"/>
  <c r="AH91" i="4"/>
  <c r="AJ91" i="4"/>
  <c r="EO71" i="4"/>
  <c r="EO75" i="4"/>
  <c r="EO79" i="4"/>
  <c r="EO83" i="4"/>
  <c r="EO87" i="4"/>
  <c r="EO91" i="4"/>
  <c r="FW69" i="4"/>
  <c r="FV70" i="4"/>
  <c r="FY71" i="4"/>
  <c r="FX72" i="4"/>
  <c r="FW73" i="4"/>
  <c r="FY75" i="4"/>
  <c r="FX76" i="4"/>
  <c r="FW77" i="4"/>
  <c r="FV78" i="4"/>
  <c r="FY79" i="4"/>
  <c r="FX80" i="4"/>
  <c r="FW81" i="4"/>
  <c r="FV82" i="4"/>
  <c r="FY83" i="4"/>
  <c r="FX84" i="4"/>
  <c r="FW85" i="4"/>
  <c r="FV86" i="4"/>
  <c r="FY87" i="4"/>
  <c r="FX88" i="4"/>
  <c r="FW89" i="4"/>
  <c r="FY91" i="4"/>
  <c r="FW92" i="4"/>
  <c r="AI69" i="4"/>
  <c r="AH70" i="4"/>
  <c r="AK71" i="4"/>
  <c r="AJ72" i="4"/>
  <c r="AI73" i="4"/>
  <c r="AH74" i="4"/>
  <c r="AJ76" i="4"/>
  <c r="AI77" i="4"/>
  <c r="AH78" i="4"/>
  <c r="AK79" i="4"/>
  <c r="AJ80" i="4"/>
  <c r="AI81" i="4"/>
  <c r="AH82" i="4"/>
  <c r="AK83" i="4"/>
  <c r="AJ84" i="4"/>
  <c r="AI85" i="4"/>
  <c r="AH86" i="4"/>
  <c r="AK87" i="4"/>
  <c r="AJ88" i="4"/>
  <c r="AI89" i="4"/>
  <c r="AH90" i="4"/>
  <c r="AK91" i="4"/>
  <c r="AI92" i="4"/>
  <c r="BB70" i="4"/>
  <c r="BA71" i="4"/>
  <c r="AZ72" i="4"/>
  <c r="BB74" i="4"/>
  <c r="BA75" i="4"/>
  <c r="AZ76" i="4"/>
  <c r="BB78" i="4"/>
  <c r="BA79" i="4"/>
  <c r="AZ80" i="4"/>
  <c r="BB82" i="4"/>
  <c r="BA83" i="4"/>
  <c r="AZ84" i="4"/>
  <c r="BB86" i="4"/>
  <c r="BA87" i="4"/>
  <c r="AZ88" i="4"/>
  <c r="BB90" i="4"/>
  <c r="BA91" i="4"/>
  <c r="BT69" i="4"/>
  <c r="BS70" i="4"/>
  <c r="BR71" i="4"/>
  <c r="BT73" i="4"/>
  <c r="BS74" i="4"/>
  <c r="BR75" i="4"/>
  <c r="BT77" i="4"/>
  <c r="BS78" i="4"/>
  <c r="BR79" i="4"/>
  <c r="BT81" i="4"/>
  <c r="BS82" i="4"/>
  <c r="BR83" i="4"/>
  <c r="BT85" i="4"/>
  <c r="BS86" i="4"/>
  <c r="BR87" i="4"/>
  <c r="BT89" i="4"/>
  <c r="BS90" i="4"/>
  <c r="BR91" i="4"/>
  <c r="BT92" i="4"/>
  <c r="CL70" i="4"/>
  <c r="CK71" i="4"/>
  <c r="CJ72" i="4"/>
  <c r="CL74" i="4"/>
  <c r="CK75" i="4"/>
  <c r="CJ76" i="4"/>
  <c r="CL78" i="4"/>
  <c r="CK79" i="4"/>
  <c r="CJ80" i="4"/>
  <c r="CL82" i="4"/>
  <c r="CK83" i="4"/>
  <c r="CJ84" i="4"/>
  <c r="CL86" i="4"/>
  <c r="CK87" i="4"/>
  <c r="CJ88" i="4"/>
  <c r="CL90" i="4"/>
  <c r="CK91" i="4"/>
  <c r="DB69" i="4"/>
  <c r="DD71" i="4"/>
  <c r="DC72" i="4"/>
  <c r="DB73" i="4"/>
  <c r="DD75" i="4"/>
  <c r="DC76" i="4"/>
  <c r="DB77" i="4"/>
  <c r="DD79" i="4"/>
  <c r="DC80" i="4"/>
  <c r="DB81" i="4"/>
  <c r="DD83" i="4"/>
  <c r="DC84" i="4"/>
  <c r="DB85" i="4"/>
  <c r="DD87" i="4"/>
  <c r="DC88" i="4"/>
  <c r="DB89" i="4"/>
  <c r="DD91" i="4"/>
  <c r="DB92" i="4"/>
  <c r="DT72" i="4"/>
  <c r="DT76" i="4"/>
  <c r="DT80" i="4"/>
  <c r="DT84" i="4"/>
  <c r="DT88" i="4"/>
  <c r="FD72" i="4"/>
  <c r="FD76" i="4"/>
  <c r="FD80" i="4"/>
  <c r="FD84" i="4"/>
  <c r="FD88" i="4"/>
  <c r="AJ69" i="4"/>
  <c r="AI70" i="4"/>
  <c r="AK72" i="4"/>
  <c r="AJ73" i="4"/>
  <c r="AI74" i="4"/>
  <c r="AH75" i="4"/>
  <c r="AK76" i="4"/>
  <c r="AJ77" i="4"/>
  <c r="AI78" i="4"/>
  <c r="AH79" i="4"/>
  <c r="AK80" i="4"/>
  <c r="AJ81" i="4"/>
  <c r="AI82" i="4"/>
  <c r="AH83" i="4"/>
  <c r="AK84" i="4"/>
  <c r="AJ85" i="4"/>
  <c r="AI86" i="4"/>
  <c r="AH87" i="4"/>
  <c r="AK88" i="4"/>
  <c r="AJ89" i="4"/>
  <c r="AI90" i="4"/>
  <c r="AJ92" i="4"/>
  <c r="AZ69" i="4"/>
  <c r="BC70" i="4"/>
  <c r="BB71" i="4"/>
  <c r="BA72" i="4"/>
  <c r="AZ73" i="4"/>
  <c r="BC74" i="4"/>
  <c r="BB75" i="4"/>
  <c r="BA76" i="4"/>
  <c r="AZ77" i="4"/>
  <c r="BC78" i="4"/>
  <c r="BB79" i="4"/>
  <c r="BA80" i="4"/>
  <c r="AZ81" i="4"/>
  <c r="BC82" i="4"/>
  <c r="BB83" i="4"/>
  <c r="BA84" i="4"/>
  <c r="AZ85" i="4"/>
  <c r="BC86" i="4"/>
  <c r="BB87" i="4"/>
  <c r="BA88" i="4"/>
  <c r="AZ89" i="4"/>
  <c r="BC90" i="4"/>
  <c r="BB91" i="4"/>
  <c r="AZ92" i="4"/>
  <c r="BU69" i="4"/>
  <c r="BT70" i="4"/>
  <c r="BS71" i="4"/>
  <c r="BR72" i="4"/>
  <c r="BU73" i="4"/>
  <c r="BT74" i="4"/>
  <c r="BS75" i="4"/>
  <c r="BR76" i="4"/>
  <c r="BU77" i="4"/>
  <c r="BT78" i="4"/>
  <c r="BS79" i="4"/>
  <c r="BR80" i="4"/>
  <c r="BU81" i="4"/>
  <c r="BT82" i="4"/>
  <c r="BS83" i="4"/>
  <c r="BR84" i="4"/>
  <c r="BU85" i="4"/>
  <c r="BT86" i="4"/>
  <c r="BS87" i="4"/>
  <c r="BR88" i="4"/>
  <c r="BU89" i="4"/>
  <c r="BT90" i="4"/>
  <c r="BS91" i="4"/>
  <c r="BU92" i="4"/>
  <c r="CJ69" i="4"/>
  <c r="CM70" i="4"/>
  <c r="CL71" i="4"/>
  <c r="CK72" i="4"/>
  <c r="CJ73" i="4"/>
  <c r="CM74" i="4"/>
  <c r="CL75" i="4"/>
  <c r="CK76" i="4"/>
  <c r="CJ77" i="4"/>
  <c r="CM78" i="4"/>
  <c r="CL79" i="4"/>
  <c r="CK80" i="4"/>
  <c r="CJ81" i="4"/>
  <c r="CM82" i="4"/>
  <c r="CL83" i="4"/>
  <c r="CK84" i="4"/>
  <c r="CJ85" i="4"/>
  <c r="CM86" i="4"/>
  <c r="CL87" i="4"/>
  <c r="CK88" i="4"/>
  <c r="CJ89" i="4"/>
  <c r="CM90" i="4"/>
  <c r="CL91" i="4"/>
  <c r="CJ92" i="4"/>
  <c r="DC69" i="4"/>
  <c r="DB70" i="4"/>
  <c r="DE71" i="4"/>
  <c r="DD72" i="4"/>
  <c r="DC73" i="4"/>
  <c r="DB74" i="4"/>
  <c r="DE75" i="4"/>
  <c r="DD76" i="4"/>
  <c r="DC77" i="4"/>
  <c r="DB78" i="4"/>
  <c r="DE79" i="4"/>
  <c r="DD80" i="4"/>
  <c r="DC81" i="4"/>
  <c r="DB82" i="4"/>
  <c r="DE83" i="4"/>
  <c r="DD84" i="4"/>
  <c r="DC85" i="4"/>
  <c r="DB86" i="4"/>
  <c r="DE87" i="4"/>
  <c r="DD88" i="4"/>
  <c r="DC89" i="4"/>
  <c r="DB90" i="4"/>
  <c r="DE91" i="4"/>
  <c r="DC92" i="4"/>
  <c r="DT69" i="4"/>
  <c r="DW70" i="4"/>
  <c r="DV71" i="4"/>
  <c r="DU72" i="4"/>
  <c r="DT73" i="4"/>
  <c r="DW74" i="4"/>
  <c r="DV75" i="4"/>
  <c r="DU76" i="4"/>
  <c r="DT77" i="4"/>
  <c r="DW78" i="4"/>
  <c r="DV79" i="4"/>
  <c r="DU80" i="4"/>
  <c r="DT81" i="4"/>
  <c r="DW82" i="4"/>
  <c r="DV83" i="4"/>
  <c r="DU84" i="4"/>
  <c r="DT85" i="4"/>
  <c r="DW86" i="4"/>
  <c r="DV87" i="4"/>
  <c r="DU88" i="4"/>
  <c r="DT89" i="4"/>
  <c r="DW90" i="4"/>
  <c r="DV91" i="4"/>
  <c r="DT92" i="4"/>
  <c r="EO69" i="4"/>
  <c r="EN70" i="4"/>
  <c r="EM71" i="4"/>
  <c r="EL72" i="4"/>
  <c r="EO73" i="4"/>
  <c r="EN74" i="4"/>
  <c r="EM75" i="4"/>
  <c r="EL76" i="4"/>
  <c r="EO77" i="4"/>
  <c r="EN78" i="4"/>
  <c r="EM79" i="4"/>
  <c r="EL80" i="4"/>
  <c r="EO81" i="4"/>
  <c r="EN82" i="4"/>
  <c r="EM83" i="4"/>
  <c r="EL84" i="4"/>
  <c r="EO85" i="4"/>
  <c r="EN86" i="4"/>
  <c r="EM87" i="4"/>
  <c r="EL88" i="4"/>
  <c r="EO89" i="4"/>
  <c r="EN90" i="4"/>
  <c r="EM91" i="4"/>
  <c r="EO92" i="4"/>
  <c r="FD69" i="4"/>
  <c r="FF71" i="4"/>
  <c r="FE72" i="4"/>
  <c r="FD73" i="4"/>
  <c r="FF75" i="4"/>
  <c r="FE76" i="4"/>
  <c r="FD77" i="4"/>
  <c r="FF79" i="4"/>
  <c r="FE80" i="4"/>
  <c r="FD81" i="4"/>
  <c r="FF83" i="4"/>
  <c r="FE84" i="4"/>
  <c r="FD85" i="4"/>
  <c r="FF87" i="4"/>
  <c r="FE88" i="4"/>
  <c r="FD89" i="4"/>
  <c r="FF91" i="4"/>
  <c r="FD92" i="4"/>
  <c r="FV72" i="4"/>
  <c r="FV76" i="4"/>
  <c r="FV80" i="4"/>
  <c r="FV84" i="4"/>
  <c r="FV88" i="4"/>
  <c r="AK69" i="4"/>
  <c r="AK73" i="4"/>
  <c r="AK77" i="4"/>
  <c r="AK81" i="4"/>
  <c r="AK85" i="4"/>
  <c r="AK89" i="4"/>
  <c r="AK92" i="4"/>
  <c r="BC71" i="4"/>
  <c r="BC75" i="4"/>
  <c r="BC79" i="4"/>
  <c r="BC83" i="4"/>
  <c r="BC87" i="4"/>
  <c r="BC91" i="4"/>
  <c r="BU70" i="4"/>
  <c r="BU74" i="4"/>
  <c r="BU78" i="4"/>
  <c r="BU82" i="4"/>
  <c r="BU86" i="4"/>
  <c r="BU90" i="4"/>
  <c r="CM71" i="4"/>
  <c r="CM75" i="4"/>
  <c r="CM79" i="4"/>
  <c r="CM83" i="4"/>
  <c r="CM87" i="4"/>
  <c r="CM91" i="4"/>
  <c r="DE72" i="4"/>
  <c r="DE76" i="4"/>
  <c r="DE80" i="4"/>
  <c r="DE84" i="4"/>
  <c r="DE88" i="4"/>
  <c r="DD92" i="4"/>
  <c r="DU69" i="4"/>
  <c r="DW71" i="4"/>
  <c r="DV72" i="4"/>
  <c r="DU73" i="4"/>
  <c r="DW75" i="4"/>
  <c r="DV76" i="4"/>
  <c r="DU77" i="4"/>
  <c r="DW79" i="4"/>
  <c r="DV80" i="4"/>
  <c r="DU81" i="4"/>
  <c r="DW83" i="4"/>
  <c r="DV84" i="4"/>
  <c r="DU85" i="4"/>
  <c r="DW87" i="4"/>
  <c r="DV88" i="4"/>
  <c r="DU89" i="4"/>
  <c r="DW91" i="4"/>
  <c r="DU92" i="4"/>
  <c r="EO70" i="4"/>
  <c r="EN71" i="4"/>
  <c r="EM72" i="4"/>
  <c r="EO74" i="4"/>
  <c r="EN75" i="4"/>
  <c r="EM76" i="4"/>
  <c r="EO78" i="4"/>
  <c r="EN79" i="4"/>
  <c r="EM80" i="4"/>
  <c r="EO82" i="4"/>
  <c r="EN83" i="4"/>
  <c r="EM84" i="4"/>
  <c r="EO86" i="4"/>
  <c r="EN87" i="4"/>
  <c r="EM88" i="4"/>
  <c r="EO90" i="4"/>
  <c r="EN91" i="4"/>
  <c r="FE69" i="4"/>
  <c r="FD70" i="4"/>
  <c r="FG71" i="4"/>
  <c r="FF72" i="4"/>
  <c r="FE73" i="4"/>
  <c r="FD74" i="4"/>
  <c r="FG75" i="4"/>
  <c r="FF76" i="4"/>
  <c r="FE77" i="4"/>
  <c r="FD78" i="4"/>
  <c r="FG79" i="4"/>
  <c r="FF80" i="4"/>
  <c r="FE81" i="4"/>
  <c r="FD82" i="4"/>
  <c r="FG83" i="4"/>
  <c r="FF84" i="4"/>
  <c r="FE85" i="4"/>
  <c r="FD86" i="4"/>
  <c r="FG87" i="4"/>
  <c r="FF88" i="4"/>
  <c r="FE89" i="4"/>
  <c r="FD90" i="4"/>
  <c r="FG91" i="4"/>
  <c r="FE92" i="4"/>
  <c r="FV69" i="4"/>
  <c r="FY70" i="4"/>
  <c r="FX71" i="4"/>
  <c r="FW72" i="4"/>
  <c r="FV73" i="4"/>
  <c r="FY74" i="4"/>
  <c r="FX75" i="4"/>
  <c r="FW76" i="4"/>
  <c r="FV77" i="4"/>
  <c r="FX79" i="4"/>
  <c r="FW80" i="4"/>
  <c r="FV81" i="4"/>
  <c r="FY82" i="4"/>
  <c r="FX83" i="4"/>
  <c r="FW84" i="4"/>
  <c r="FV85" i="4"/>
  <c r="FY86" i="4"/>
  <c r="FX87" i="4"/>
  <c r="FW88" i="4"/>
  <c r="FV89" i="4"/>
  <c r="FY90" i="4"/>
  <c r="FX91" i="4"/>
  <c r="FV92" i="4"/>
  <c r="DB12" i="1"/>
  <c r="CQ12" i="1"/>
  <c r="CQ13" i="1"/>
  <c r="CF12" i="1"/>
  <c r="BU13" i="1"/>
  <c r="BU12" i="1"/>
  <c r="BJ12" i="1"/>
  <c r="AY13" i="1"/>
  <c r="AI36" i="1"/>
  <c r="AI35" i="1" s="1"/>
  <c r="AI34" i="1" s="1"/>
  <c r="AI33" i="1" s="1"/>
  <c r="AI32" i="1" s="1"/>
  <c r="AI31" i="1" s="1"/>
  <c r="AI30" i="1" s="1"/>
  <c r="AI29" i="1" s="1"/>
  <c r="AI28" i="1" s="1"/>
  <c r="AI27" i="1" s="1"/>
  <c r="AI26" i="1" s="1"/>
  <c r="AI25" i="1" s="1"/>
  <c r="AI24" i="1" s="1"/>
  <c r="AI23" i="1" s="1"/>
  <c r="AI22" i="1" s="1"/>
  <c r="AI21" i="1" s="1"/>
  <c r="AI20" i="1" s="1"/>
  <c r="AI19" i="1" s="1"/>
  <c r="AI18" i="1" s="1"/>
  <c r="AI17" i="1" s="1"/>
  <c r="AI16" i="1" s="1"/>
  <c r="AI15" i="1" s="1"/>
  <c r="AI14" i="1" s="1"/>
  <c r="AI13" i="1" s="1"/>
  <c r="AI12" i="1" s="1"/>
  <c r="AI11" i="1" s="1"/>
  <c r="X36" i="1"/>
  <c r="X35" i="1" s="1"/>
  <c r="X34" i="1" s="1"/>
  <c r="X33" i="1" s="1"/>
  <c r="X32" i="1" s="1"/>
  <c r="X31" i="1" s="1"/>
  <c r="X30" i="1" s="1"/>
  <c r="X29" i="1" s="1"/>
  <c r="X28" i="1" s="1"/>
  <c r="X27" i="1" s="1"/>
  <c r="X26" i="1" s="1"/>
  <c r="X25" i="1" s="1"/>
  <c r="X24" i="1" s="1"/>
  <c r="X23" i="1" s="1"/>
  <c r="X22" i="1" s="1"/>
  <c r="X21" i="1" s="1"/>
  <c r="X20" i="1" s="1"/>
  <c r="X19" i="1" s="1"/>
  <c r="X18" i="1" s="1"/>
  <c r="X17" i="1" s="1"/>
  <c r="X16" i="1" s="1"/>
  <c r="X15" i="1" s="1"/>
  <c r="X14" i="1" s="1"/>
  <c r="X13" i="1" s="1"/>
  <c r="X12" i="1" s="1"/>
  <c r="X11" i="1" s="1"/>
  <c r="M37" i="1"/>
  <c r="M36" i="1" s="1"/>
  <c r="M35" i="1" s="1"/>
  <c r="M34" i="1" s="1"/>
  <c r="M33" i="1" s="1"/>
  <c r="M32" i="1" s="1"/>
  <c r="M31" i="1" s="1"/>
  <c r="M30" i="1" s="1"/>
  <c r="M29" i="1" s="1"/>
  <c r="M28" i="1" s="1"/>
  <c r="M27" i="1" s="1"/>
  <c r="M26" i="1" s="1"/>
  <c r="M25" i="1" s="1"/>
  <c r="M24" i="1" s="1"/>
  <c r="M23" i="1" s="1"/>
  <c r="M22" i="1" s="1"/>
  <c r="M21" i="1" s="1"/>
  <c r="M20" i="1" s="1"/>
  <c r="M19" i="1" s="1"/>
  <c r="M18" i="1" s="1"/>
  <c r="M17" i="1" s="1"/>
  <c r="M16" i="1" s="1"/>
  <c r="M15" i="1" s="1"/>
  <c r="M14" i="1" s="1"/>
  <c r="M13" i="1" s="1"/>
  <c r="M12" i="1" s="1"/>
  <c r="M11" i="1" s="1"/>
  <c r="AN11" i="1"/>
  <c r="AS10" i="1"/>
  <c r="AR10" i="1"/>
  <c r="AQ10" i="1"/>
  <c r="AP10" i="1"/>
  <c r="AC11" i="1"/>
  <c r="AH10" i="1"/>
  <c r="AG10" i="1"/>
  <c r="AF10" i="1"/>
  <c r="AE10" i="1"/>
  <c r="R11" i="1"/>
  <c r="W10" i="1"/>
  <c r="V10" i="1"/>
  <c r="U10" i="1"/>
  <c r="T10" i="1"/>
  <c r="DB13" i="1" l="1"/>
  <c r="CQ14" i="1"/>
  <c r="CF13" i="1"/>
  <c r="BU14" i="1"/>
  <c r="BJ13" i="1"/>
  <c r="AY14" i="1"/>
  <c r="AN12" i="1"/>
  <c r="AC12" i="1"/>
  <c r="R12" i="1"/>
  <c r="F48" i="4"/>
  <c r="F47" i="4"/>
  <c r="F44" i="1"/>
  <c r="F43" i="1"/>
  <c r="F41" i="1"/>
  <c r="F40" i="1"/>
  <c r="DB14" i="1" l="1"/>
  <c r="CQ15" i="1"/>
  <c r="CF14" i="1"/>
  <c r="BU15" i="1"/>
  <c r="BJ14" i="1"/>
  <c r="BJ15" i="1"/>
  <c r="AY15" i="1"/>
  <c r="AN13" i="1"/>
  <c r="AC13" i="1"/>
  <c r="R13" i="1"/>
  <c r="DB15" i="1" l="1"/>
  <c r="CQ16" i="1"/>
  <c r="CF15" i="1"/>
  <c r="BU16" i="1"/>
  <c r="BJ16" i="1"/>
  <c r="AY16" i="1"/>
  <c r="AN14" i="1"/>
  <c r="AC14" i="1"/>
  <c r="R14" i="1"/>
  <c r="DB16" i="1" l="1"/>
  <c r="CQ17" i="1"/>
  <c r="CF16" i="1"/>
  <c r="BU17" i="1"/>
  <c r="AY17" i="1"/>
  <c r="AN15" i="1"/>
  <c r="AC15" i="1"/>
  <c r="R15" i="1"/>
  <c r="DB17" i="1" l="1"/>
  <c r="CQ18" i="1"/>
  <c r="CF17" i="1"/>
  <c r="BU18" i="1"/>
  <c r="BJ17" i="1"/>
  <c r="BJ18" i="1"/>
  <c r="AY18" i="1"/>
  <c r="AN16" i="1"/>
  <c r="AC16" i="1"/>
  <c r="R16" i="1"/>
  <c r="L203" i="2"/>
  <c r="L204" i="2" s="1"/>
  <c r="L205" i="2" s="1"/>
  <c r="C14" i="2" s="1"/>
  <c r="C16" i="2" s="1"/>
  <c r="DB18" i="1" l="1"/>
  <c r="CQ19" i="1"/>
  <c r="CF18" i="1"/>
  <c r="BU19" i="1"/>
  <c r="BJ19" i="1"/>
  <c r="AY19" i="1"/>
  <c r="AN17" i="1"/>
  <c r="AC17" i="1"/>
  <c r="R17" i="1"/>
  <c r="DB19" i="1" l="1"/>
  <c r="CQ20" i="1"/>
  <c r="CF19" i="1"/>
  <c r="BU20" i="1"/>
  <c r="AY20" i="1"/>
  <c r="AN18" i="1"/>
  <c r="AC18" i="1"/>
  <c r="R18" i="1"/>
  <c r="DB20" i="1" l="1"/>
  <c r="CQ21" i="1"/>
  <c r="CF20" i="1"/>
  <c r="BU21" i="1"/>
  <c r="BJ20" i="1"/>
  <c r="AY21" i="1"/>
  <c r="AN19" i="1"/>
  <c r="AC19" i="1"/>
  <c r="R19" i="1"/>
  <c r="DB21" i="1" l="1"/>
  <c r="CQ22" i="1"/>
  <c r="CF21" i="1"/>
  <c r="BU22" i="1"/>
  <c r="BJ22" i="1"/>
  <c r="BJ21" i="1"/>
  <c r="AY22" i="1"/>
  <c r="AN20" i="1"/>
  <c r="AC20" i="1"/>
  <c r="R20" i="1"/>
  <c r="DB22" i="1" l="1"/>
  <c r="CQ23" i="1"/>
  <c r="CF22" i="1"/>
  <c r="BU23" i="1"/>
  <c r="AY23" i="1"/>
  <c r="AN21" i="1"/>
  <c r="AC21" i="1"/>
  <c r="R21" i="1"/>
  <c r="DB23" i="1" l="1"/>
  <c r="CQ24" i="1"/>
  <c r="CF23" i="1"/>
  <c r="BU24" i="1"/>
  <c r="BJ24" i="1"/>
  <c r="BJ23" i="1"/>
  <c r="AY24" i="1"/>
  <c r="AN22" i="1"/>
  <c r="AC22" i="1"/>
  <c r="R22" i="1"/>
  <c r="DB24" i="1" l="1"/>
  <c r="CQ25" i="1"/>
  <c r="CF24" i="1"/>
  <c r="BU25" i="1"/>
  <c r="BJ25" i="1"/>
  <c r="AY25" i="1"/>
  <c r="AN23" i="1"/>
  <c r="AC23" i="1"/>
  <c r="R23" i="1"/>
  <c r="DB25" i="1" l="1"/>
  <c r="CQ26" i="1"/>
  <c r="CF25" i="1"/>
  <c r="BU26" i="1"/>
  <c r="AY26" i="1"/>
  <c r="AN24" i="1"/>
  <c r="AC24" i="1"/>
  <c r="R24" i="1"/>
  <c r="DB26" i="1" l="1"/>
  <c r="CQ27" i="1"/>
  <c r="CF26" i="1"/>
  <c r="BU27" i="1"/>
  <c r="BJ26" i="1"/>
  <c r="BJ27" i="1"/>
  <c r="AY27" i="1"/>
  <c r="AN25" i="1"/>
  <c r="AC25" i="1"/>
  <c r="R25" i="1"/>
  <c r="K203" i="2"/>
  <c r="K204" i="2" s="1"/>
  <c r="J203" i="2"/>
  <c r="I203" i="2"/>
  <c r="H203" i="2"/>
  <c r="G203" i="2"/>
  <c r="F203" i="2"/>
  <c r="E203" i="2"/>
  <c r="D203" i="2"/>
  <c r="K205" i="2" l="1"/>
  <c r="D14" i="2" s="1"/>
  <c r="D16" i="2" s="1"/>
  <c r="D25" i="2"/>
  <c r="F204" i="2"/>
  <c r="J204" i="2"/>
  <c r="G204" i="2"/>
  <c r="H204" i="2"/>
  <c r="C204" i="2"/>
  <c r="L25" i="2" s="1"/>
  <c r="D204" i="2"/>
  <c r="E204" i="2"/>
  <c r="I204" i="2"/>
  <c r="DB27" i="1"/>
  <c r="CQ28" i="1"/>
  <c r="CF27" i="1"/>
  <c r="BU28" i="1"/>
  <c r="AY28" i="1"/>
  <c r="AN26" i="1"/>
  <c r="AC26" i="1"/>
  <c r="R26" i="1"/>
  <c r="D205" i="2" l="1"/>
  <c r="K14" i="2" s="1"/>
  <c r="K16" i="2" s="1"/>
  <c r="K25" i="2"/>
  <c r="H205" i="2"/>
  <c r="G14" i="2" s="1"/>
  <c r="G16" i="2" s="1"/>
  <c r="G25" i="2"/>
  <c r="J205" i="2"/>
  <c r="E14" i="2" s="1"/>
  <c r="E16" i="2" s="1"/>
  <c r="E25" i="2"/>
  <c r="G205" i="2"/>
  <c r="H14" i="2" s="1"/>
  <c r="H16" i="2" s="1"/>
  <c r="H25" i="2"/>
  <c r="F205" i="2"/>
  <c r="I14" i="2" s="1"/>
  <c r="I16" i="2" s="1"/>
  <c r="I25" i="2"/>
  <c r="I205" i="2"/>
  <c r="F14" i="2" s="1"/>
  <c r="F16" i="2" s="1"/>
  <c r="F25" i="2"/>
  <c r="E205" i="2"/>
  <c r="J14" i="2" s="1"/>
  <c r="J16" i="2" s="1"/>
  <c r="J25" i="2"/>
  <c r="C205" i="2"/>
  <c r="L14" i="2" s="1"/>
  <c r="L16" i="2" s="1"/>
  <c r="DB28" i="1"/>
  <c r="CQ29" i="1"/>
  <c r="CF28" i="1"/>
  <c r="BU29" i="1"/>
  <c r="BJ28" i="1"/>
  <c r="BJ29" i="1"/>
  <c r="AY29" i="1"/>
  <c r="AN27" i="1"/>
  <c r="AC27" i="1"/>
  <c r="R27" i="1"/>
  <c r="DB29" i="1" l="1"/>
  <c r="CQ30" i="1"/>
  <c r="CF29" i="1"/>
  <c r="BU30" i="1"/>
  <c r="BJ30" i="1"/>
  <c r="AY30" i="1"/>
  <c r="AN28" i="1"/>
  <c r="AC28" i="1"/>
  <c r="R28" i="1"/>
  <c r="DB30" i="1" l="1"/>
  <c r="CQ31" i="1"/>
  <c r="CF30" i="1"/>
  <c r="BU31" i="1"/>
  <c r="AY31" i="1"/>
  <c r="AN29" i="1"/>
  <c r="AC29" i="1"/>
  <c r="R29" i="1"/>
  <c r="DB31" i="1" l="1"/>
  <c r="CQ32" i="1"/>
  <c r="CF31" i="1"/>
  <c r="BU32" i="1"/>
  <c r="BJ31" i="1"/>
  <c r="BJ32" i="1"/>
  <c r="AY32" i="1"/>
  <c r="AN30" i="1"/>
  <c r="AC30" i="1"/>
  <c r="R30" i="1"/>
  <c r="DB32" i="1" l="1"/>
  <c r="CQ33" i="1"/>
  <c r="CF32" i="1"/>
  <c r="BU33" i="1"/>
  <c r="BJ33" i="1"/>
  <c r="AY33" i="1"/>
  <c r="AN31" i="1"/>
  <c r="AC31" i="1"/>
  <c r="R31" i="1"/>
  <c r="DB33" i="1" l="1"/>
  <c r="CQ34" i="1"/>
  <c r="CF33" i="1"/>
  <c r="BU34" i="1"/>
  <c r="BJ34" i="1"/>
  <c r="AY34" i="1"/>
  <c r="AN32" i="1"/>
  <c r="AC32" i="1"/>
  <c r="R32" i="1"/>
  <c r="DB34" i="1" l="1"/>
  <c r="CQ35" i="1"/>
  <c r="CF34" i="1"/>
  <c r="BU35" i="1"/>
  <c r="BJ35" i="1"/>
  <c r="AY35" i="1"/>
  <c r="AN33" i="1"/>
  <c r="AC33" i="1"/>
  <c r="R33" i="1"/>
  <c r="DB35" i="1" l="1"/>
  <c r="CQ37" i="1"/>
  <c r="CQ36" i="1"/>
  <c r="CF35" i="1"/>
  <c r="BU37" i="1"/>
  <c r="BU36" i="1"/>
  <c r="AY37" i="1"/>
  <c r="AY36" i="1"/>
  <c r="AN34" i="1"/>
  <c r="AC34" i="1"/>
  <c r="R34" i="1"/>
  <c r="BJ36" i="1" l="1"/>
  <c r="CV40" i="1"/>
  <c r="CO40" i="1" s="1"/>
  <c r="DB37" i="1"/>
  <c r="DB36" i="1"/>
  <c r="CV44" i="1"/>
  <c r="CV43" i="1"/>
  <c r="CV42" i="1"/>
  <c r="CV41" i="1"/>
  <c r="CF36" i="1"/>
  <c r="BD40" i="1"/>
  <c r="AW40" i="1" s="1"/>
  <c r="AN35" i="1"/>
  <c r="AC35" i="1"/>
  <c r="R35" i="1"/>
  <c r="CN50" i="1" l="1"/>
  <c r="CN46" i="1"/>
  <c r="CN49" i="1"/>
  <c r="CN48" i="1"/>
  <c r="CN51" i="1"/>
  <c r="CN47" i="1"/>
  <c r="AV50" i="1"/>
  <c r="AV46" i="1"/>
  <c r="AV49" i="1"/>
  <c r="AV48" i="1"/>
  <c r="AV51" i="1"/>
  <c r="AV47" i="1"/>
  <c r="DG44" i="1"/>
  <c r="DG43" i="1"/>
  <c r="DG42" i="1"/>
  <c r="DG41" i="1"/>
  <c r="DG40" i="1"/>
  <c r="CZ40" i="1" s="1"/>
  <c r="CF37" i="1"/>
  <c r="BZ44" i="1"/>
  <c r="BZ43" i="1"/>
  <c r="BZ42" i="1"/>
  <c r="BZ41" i="1"/>
  <c r="BZ40" i="1"/>
  <c r="BS40" i="1" s="1"/>
  <c r="BH40" i="1"/>
  <c r="BJ37" i="1"/>
  <c r="BD44" i="1"/>
  <c r="BD43" i="1"/>
  <c r="BD42" i="1"/>
  <c r="BD41" i="1"/>
  <c r="AN36" i="1"/>
  <c r="AC36" i="1"/>
  <c r="AC37" i="1"/>
  <c r="R36" i="1"/>
  <c r="R37" i="1"/>
  <c r="CY48" i="1" l="1"/>
  <c r="CY51" i="1"/>
  <c r="CY47" i="1"/>
  <c r="CY50" i="1"/>
  <c r="CY46" i="1"/>
  <c r="CY49" i="1"/>
  <c r="BR50" i="1"/>
  <c r="BR46" i="1"/>
  <c r="BR49" i="1"/>
  <c r="BR48" i="1"/>
  <c r="BR51" i="1"/>
  <c r="BR47" i="1"/>
  <c r="BG48" i="1"/>
  <c r="BG51" i="1"/>
  <c r="BG47" i="1"/>
  <c r="BG50" i="1"/>
  <c r="BG46" i="1"/>
  <c r="BG49" i="1"/>
  <c r="CK44" i="1"/>
  <c r="CK43" i="1"/>
  <c r="CK42" i="1"/>
  <c r="CK41" i="1"/>
  <c r="CK40" i="1"/>
  <c r="CD40" i="1" s="1"/>
  <c r="AN37" i="1"/>
  <c r="CC48" i="1" l="1"/>
  <c r="CC51" i="1"/>
  <c r="CC47" i="1"/>
  <c r="CC50" i="1"/>
  <c r="CC46" i="1"/>
  <c r="CC49" i="1"/>
  <c r="AS44" i="1"/>
  <c r="AS43" i="1"/>
  <c r="AS42" i="1"/>
  <c r="AS41" i="1"/>
  <c r="AS40" i="1"/>
  <c r="AL40" i="1" s="1"/>
  <c r="AH44" i="1"/>
  <c r="AH43" i="1"/>
  <c r="AH42" i="1"/>
  <c r="AH40" i="1"/>
  <c r="AA40" i="1" s="1"/>
  <c r="AH41" i="1"/>
  <c r="W44" i="1"/>
  <c r="W43" i="1"/>
  <c r="W42" i="1"/>
  <c r="W41" i="1"/>
  <c r="W40" i="1"/>
  <c r="P40" i="1" s="1"/>
  <c r="AK48" i="1" l="1"/>
  <c r="AK51" i="1"/>
  <c r="AK47" i="1"/>
  <c r="AK50" i="1"/>
  <c r="AK46" i="1"/>
  <c r="AK49" i="1"/>
  <c r="Z50" i="1"/>
  <c r="Z46" i="1"/>
  <c r="Z49" i="1"/>
  <c r="Z48" i="1"/>
  <c r="Z51" i="1"/>
  <c r="Z47" i="1"/>
  <c r="O48" i="1"/>
  <c r="O51" i="1"/>
  <c r="O47" i="1"/>
  <c r="O50" i="1"/>
  <c r="O46" i="1"/>
  <c r="O49" i="1"/>
  <c r="J10" i="1" l="1"/>
  <c r="B57" i="4" l="1"/>
  <c r="B94" i="4" s="1"/>
  <c r="B56" i="4"/>
  <c r="L65" i="4"/>
  <c r="K65" i="4"/>
  <c r="J65" i="4"/>
  <c r="N65" i="4"/>
  <c r="M65" i="4"/>
  <c r="L10" i="4"/>
  <c r="K10" i="4"/>
  <c r="J10" i="4"/>
  <c r="N10" i="4"/>
  <c r="M10" i="4"/>
  <c r="N92" i="4"/>
  <c r="M92" i="4"/>
  <c r="L92" i="4"/>
  <c r="K92" i="4"/>
  <c r="J92" i="4"/>
  <c r="N91" i="4"/>
  <c r="M91" i="4"/>
  <c r="L91" i="4"/>
  <c r="K91" i="4"/>
  <c r="J91" i="4"/>
  <c r="N90" i="4"/>
  <c r="S90" i="4" s="1"/>
  <c r="M90" i="4"/>
  <c r="R90" i="4" s="1"/>
  <c r="L90" i="4"/>
  <c r="K90" i="4"/>
  <c r="J90" i="4"/>
  <c r="N89" i="4"/>
  <c r="M89" i="4"/>
  <c r="L89" i="4"/>
  <c r="K89" i="4"/>
  <c r="J89" i="4"/>
  <c r="N88" i="4"/>
  <c r="M88" i="4"/>
  <c r="L88" i="4"/>
  <c r="K88" i="4"/>
  <c r="J88" i="4"/>
  <c r="N87" i="4"/>
  <c r="M87" i="4"/>
  <c r="L87" i="4"/>
  <c r="K87" i="4"/>
  <c r="J87" i="4"/>
  <c r="N86" i="4"/>
  <c r="M86" i="4"/>
  <c r="L86" i="4"/>
  <c r="K86" i="4"/>
  <c r="J86" i="4"/>
  <c r="N85" i="4"/>
  <c r="S85" i="4" s="1"/>
  <c r="M85" i="4"/>
  <c r="L85" i="4"/>
  <c r="K85" i="4"/>
  <c r="J85" i="4"/>
  <c r="N84" i="4"/>
  <c r="M84" i="4"/>
  <c r="L84" i="4"/>
  <c r="K84" i="4"/>
  <c r="J84" i="4"/>
  <c r="N83" i="4"/>
  <c r="M83" i="4"/>
  <c r="L83" i="4"/>
  <c r="K83" i="4"/>
  <c r="J83" i="4"/>
  <c r="N82" i="4"/>
  <c r="M82" i="4"/>
  <c r="R82" i="4" s="1"/>
  <c r="L82" i="4"/>
  <c r="K82" i="4"/>
  <c r="J82" i="4"/>
  <c r="N81" i="4"/>
  <c r="M81" i="4"/>
  <c r="L81" i="4"/>
  <c r="K81" i="4"/>
  <c r="J81" i="4"/>
  <c r="N80" i="4"/>
  <c r="M80" i="4"/>
  <c r="L80" i="4"/>
  <c r="K80" i="4"/>
  <c r="J80" i="4"/>
  <c r="N79" i="4"/>
  <c r="M79" i="4"/>
  <c r="L79" i="4"/>
  <c r="Q79" i="4" s="1"/>
  <c r="K79" i="4"/>
  <c r="J79" i="4"/>
  <c r="N78" i="4"/>
  <c r="M78" i="4"/>
  <c r="L78" i="4"/>
  <c r="K78" i="4"/>
  <c r="J78" i="4"/>
  <c r="N77" i="4"/>
  <c r="S77" i="4" s="1"/>
  <c r="M77" i="4"/>
  <c r="L77" i="4"/>
  <c r="K77" i="4"/>
  <c r="J77" i="4"/>
  <c r="N76" i="4"/>
  <c r="M76" i="4"/>
  <c r="L76" i="4"/>
  <c r="K76" i="4"/>
  <c r="J76" i="4"/>
  <c r="N75" i="4"/>
  <c r="M75" i="4"/>
  <c r="L75" i="4"/>
  <c r="K75" i="4"/>
  <c r="J75" i="4"/>
  <c r="N74" i="4"/>
  <c r="M74" i="4"/>
  <c r="L74" i="4"/>
  <c r="K74" i="4"/>
  <c r="J74" i="4"/>
  <c r="N73" i="4"/>
  <c r="M73" i="4"/>
  <c r="L73" i="4"/>
  <c r="K73" i="4"/>
  <c r="J73" i="4"/>
  <c r="N72" i="4"/>
  <c r="M72" i="4"/>
  <c r="L72" i="4"/>
  <c r="K72" i="4"/>
  <c r="J72" i="4"/>
  <c r="N71" i="4"/>
  <c r="M71" i="4"/>
  <c r="L71" i="4"/>
  <c r="K71" i="4"/>
  <c r="J71" i="4"/>
  <c r="N70" i="4"/>
  <c r="M70" i="4"/>
  <c r="L70" i="4"/>
  <c r="K70" i="4"/>
  <c r="J70" i="4"/>
  <c r="N69" i="4"/>
  <c r="S69" i="4" s="1"/>
  <c r="M69" i="4"/>
  <c r="L69" i="4"/>
  <c r="K69" i="4"/>
  <c r="J69" i="4"/>
  <c r="B91" i="4"/>
  <c r="B90" i="4" s="1"/>
  <c r="B89" i="4" s="1"/>
  <c r="B88" i="4" s="1"/>
  <c r="B87" i="4" s="1"/>
  <c r="B86" i="4" s="1"/>
  <c r="B85" i="4" s="1"/>
  <c r="B84" i="4" s="1"/>
  <c r="B83" i="4" s="1"/>
  <c r="B82" i="4" s="1"/>
  <c r="B81" i="4" s="1"/>
  <c r="B80" i="4" s="1"/>
  <c r="B79" i="4" s="1"/>
  <c r="B78" i="4" s="1"/>
  <c r="B77" i="4" s="1"/>
  <c r="B76" i="4" s="1"/>
  <c r="B75" i="4" s="1"/>
  <c r="B74" i="4" s="1"/>
  <c r="B73" i="4" s="1"/>
  <c r="B72" i="4" s="1"/>
  <c r="B71" i="4" s="1"/>
  <c r="B70" i="4" s="1"/>
  <c r="B69" i="4" s="1"/>
  <c r="B68" i="4" s="1"/>
  <c r="B67" i="4" s="1"/>
  <c r="B66" i="4" s="1"/>
  <c r="R78" i="4" l="1"/>
  <c r="S81" i="4"/>
  <c r="Q83" i="4"/>
  <c r="R86" i="4"/>
  <c r="S89" i="4"/>
  <c r="Q91" i="4"/>
  <c r="P91" i="4"/>
  <c r="P74" i="4"/>
  <c r="P78" i="4"/>
  <c r="R77" i="4"/>
  <c r="Q78" i="4"/>
  <c r="P79" i="4"/>
  <c r="R81" i="4"/>
  <c r="Q82" i="4"/>
  <c r="P83" i="4"/>
  <c r="R85" i="4"/>
  <c r="R89" i="4"/>
  <c r="Q90" i="4"/>
  <c r="P80" i="4"/>
  <c r="P84" i="4"/>
  <c r="P88" i="4"/>
  <c r="P92" i="4"/>
  <c r="P72" i="4"/>
  <c r="P76" i="4"/>
  <c r="R71" i="4"/>
  <c r="S86" i="4"/>
  <c r="P70" i="4"/>
  <c r="Q75" i="4"/>
  <c r="R70" i="4"/>
  <c r="Q71" i="4"/>
  <c r="R74" i="4"/>
  <c r="R69" i="4"/>
  <c r="S73" i="4"/>
  <c r="S71" i="4"/>
  <c r="R73" i="4"/>
  <c r="S82" i="4"/>
  <c r="S75" i="4"/>
  <c r="Q87" i="4"/>
  <c r="Q86" i="4"/>
  <c r="P87" i="4"/>
  <c r="P69" i="4"/>
  <c r="S70" i="4"/>
  <c r="Q72" i="4"/>
  <c r="P73" i="4"/>
  <c r="S74" i="4"/>
  <c r="R75" i="4"/>
  <c r="Q76" i="4"/>
  <c r="P77" i="4"/>
  <c r="S78" i="4"/>
  <c r="R79" i="4"/>
  <c r="Q80" i="4"/>
  <c r="P81" i="4"/>
  <c r="R83" i="4"/>
  <c r="Q84" i="4"/>
  <c r="P85" i="4"/>
  <c r="R87" i="4"/>
  <c r="Q88" i="4"/>
  <c r="P89" i="4"/>
  <c r="R91" i="4"/>
  <c r="Q92" i="4"/>
  <c r="Q69" i="4"/>
  <c r="R72" i="4"/>
  <c r="Q73" i="4"/>
  <c r="R76" i="4"/>
  <c r="Q77" i="4"/>
  <c r="S79" i="4"/>
  <c r="R80" i="4"/>
  <c r="Q81" i="4"/>
  <c r="P82" i="4"/>
  <c r="S83" i="4"/>
  <c r="R84" i="4"/>
  <c r="Q85" i="4"/>
  <c r="P86" i="4"/>
  <c r="S87" i="4"/>
  <c r="R88" i="4"/>
  <c r="Q89" i="4"/>
  <c r="P90" i="4"/>
  <c r="S91" i="4"/>
  <c r="R92" i="4"/>
  <c r="Q70" i="4"/>
  <c r="P71" i="4"/>
  <c r="S72" i="4"/>
  <c r="Q74" i="4"/>
  <c r="P75" i="4"/>
  <c r="S76" i="4"/>
  <c r="S80" i="4"/>
  <c r="S84" i="4"/>
  <c r="S88" i="4"/>
  <c r="S92" i="4"/>
  <c r="Q17" i="4" l="1"/>
  <c r="P17" i="4"/>
  <c r="Q15" i="4"/>
  <c r="P15" i="4"/>
  <c r="Q16" i="4"/>
  <c r="P16" i="4"/>
  <c r="P97" i="4"/>
  <c r="CL97" i="4"/>
  <c r="FG96" i="4"/>
  <c r="CL96" i="4"/>
  <c r="BC96" i="4"/>
  <c r="EN96" i="4"/>
  <c r="BC97" i="4"/>
  <c r="AK97" i="4"/>
  <c r="EN97" i="4"/>
  <c r="BB97" i="4"/>
  <c r="FD98" i="4"/>
  <c r="EO98" i="4"/>
  <c r="BB98" i="4"/>
  <c r="CM98" i="4"/>
  <c r="BU98" i="4"/>
  <c r="BC99" i="4"/>
  <c r="EO99" i="4"/>
  <c r="CL99" i="4"/>
  <c r="BB99" i="4"/>
  <c r="FV100" i="4"/>
  <c r="FG100" i="4"/>
  <c r="BT100" i="4"/>
  <c r="EN100" i="4"/>
  <c r="DT96" i="4"/>
  <c r="AI96" i="4"/>
  <c r="FW96" i="4"/>
  <c r="DB96" i="4"/>
  <c r="FW97" i="4"/>
  <c r="FD97" i="4"/>
  <c r="EL97" i="4"/>
  <c r="DB97" i="4"/>
  <c r="BR97" i="4"/>
  <c r="BA98" i="4"/>
  <c r="BS98" i="4"/>
  <c r="DT98" i="4"/>
  <c r="AZ98" i="4"/>
  <c r="FW99" i="4"/>
  <c r="AI99" i="4"/>
  <c r="FD99" i="4"/>
  <c r="EL99" i="4"/>
  <c r="CJ99" i="4"/>
  <c r="DT100" i="4"/>
  <c r="CK100" i="4"/>
  <c r="DB100" i="4"/>
  <c r="DV96" i="4"/>
  <c r="FY96" i="4"/>
  <c r="AJ96" i="4"/>
  <c r="FF96" i="4"/>
  <c r="CM97" i="4"/>
  <c r="BU97" i="4"/>
  <c r="FG97" i="4"/>
  <c r="BT97" i="4"/>
  <c r="FG98" i="4"/>
  <c r="BT98" i="4"/>
  <c r="EN98" i="4"/>
  <c r="AH99" i="4"/>
  <c r="CM99" i="4"/>
  <c r="AK99" i="4"/>
  <c r="DE99" i="4"/>
  <c r="AJ99" i="4"/>
  <c r="DV100" i="4"/>
  <c r="BU100" i="4"/>
  <c r="FY100" i="4"/>
  <c r="AK100" i="4"/>
  <c r="DU96" i="4"/>
  <c r="EL96" i="4"/>
  <c r="FE96" i="4"/>
  <c r="AZ96" i="4"/>
  <c r="FE97" i="4"/>
  <c r="CJ97" i="4"/>
  <c r="DU97" i="4"/>
  <c r="BS97" i="4"/>
  <c r="AZ97" i="4"/>
  <c r="AH98" i="4"/>
  <c r="EM98" i="4"/>
  <c r="DC98" i="4"/>
  <c r="CK98" i="4"/>
  <c r="FE99" i="4"/>
  <c r="CK99" i="4"/>
  <c r="DU99" i="4"/>
  <c r="AZ99" i="4"/>
  <c r="CJ100" i="4"/>
  <c r="EL100" i="4"/>
  <c r="FW100" i="4"/>
  <c r="AZ100" i="4"/>
  <c r="FX100" i="4"/>
  <c r="FF100" i="4"/>
  <c r="EO96" i="4"/>
  <c r="AK96" i="4"/>
  <c r="DW96" i="4"/>
  <c r="FX96" i="4"/>
  <c r="DD96" i="4"/>
  <c r="FF97" i="4"/>
  <c r="FX97" i="4"/>
  <c r="DE97" i="4"/>
  <c r="DW97" i="4"/>
  <c r="FV98" i="4"/>
  <c r="FY98" i="4"/>
  <c r="DV98" i="4"/>
  <c r="DW98" i="4"/>
  <c r="AJ98" i="4"/>
  <c r="DD98" i="4"/>
  <c r="FF99" i="4"/>
  <c r="FG99" i="4"/>
  <c r="DV99" i="4"/>
  <c r="EN99" i="4"/>
  <c r="DW99" i="4"/>
  <c r="EO100" i="4"/>
  <c r="DW100" i="4"/>
  <c r="AJ100" i="4"/>
  <c r="CM100" i="4"/>
  <c r="BB100" i="4"/>
  <c r="FV96" i="4"/>
  <c r="BA96" i="4"/>
  <c r="CK96" i="4"/>
  <c r="DC96" i="4"/>
  <c r="CJ96" i="4"/>
  <c r="CK97" i="4"/>
  <c r="BA97" i="4"/>
  <c r="DT97" i="4"/>
  <c r="AI97" i="4"/>
  <c r="FE98" i="4"/>
  <c r="FW98" i="4"/>
  <c r="BR98" i="4"/>
  <c r="DB98" i="4"/>
  <c r="FV99" i="4"/>
  <c r="DC99" i="4"/>
  <c r="EM99" i="4"/>
  <c r="BA100" i="4"/>
  <c r="EM100" i="4"/>
  <c r="DC100" i="4"/>
  <c r="BS100" i="4"/>
  <c r="FF98" i="4"/>
  <c r="BU96" i="4"/>
  <c r="BB96" i="4"/>
  <c r="BT96" i="4"/>
  <c r="CM96" i="4"/>
  <c r="DE96" i="4"/>
  <c r="DD97" i="4"/>
  <c r="EO97" i="4"/>
  <c r="AJ97" i="4"/>
  <c r="DV97" i="4"/>
  <c r="FY97" i="4"/>
  <c r="FX98" i="4"/>
  <c r="AK98" i="4"/>
  <c r="BC98" i="4"/>
  <c r="CL98" i="4"/>
  <c r="DE98" i="4"/>
  <c r="DT99" i="4"/>
  <c r="FX99" i="4"/>
  <c r="DD99" i="4"/>
  <c r="BU99" i="4"/>
  <c r="BT99" i="4"/>
  <c r="FY99" i="4"/>
  <c r="FD100" i="4"/>
  <c r="DD100" i="4"/>
  <c r="BC100" i="4"/>
  <c r="CL100" i="4"/>
  <c r="DE100" i="4"/>
  <c r="FD96" i="4"/>
  <c r="AH96" i="4"/>
  <c r="EM96" i="4"/>
  <c r="BR96" i="4"/>
  <c r="BS96" i="4"/>
  <c r="AH97" i="4"/>
  <c r="FV97" i="4"/>
  <c r="EM97" i="4"/>
  <c r="DC97" i="4"/>
  <c r="EL98" i="4"/>
  <c r="DU98" i="4"/>
  <c r="AI98" i="4"/>
  <c r="CJ98" i="4"/>
  <c r="BS99" i="4"/>
  <c r="BR99" i="4"/>
  <c r="BA99" i="4"/>
  <c r="DB99" i="4"/>
  <c r="FE100" i="4"/>
  <c r="AI100" i="4"/>
  <c r="DU100" i="4"/>
  <c r="BR100" i="4"/>
  <c r="AH100" i="4"/>
  <c r="Q96" i="4"/>
  <c r="P96" i="4"/>
  <c r="S96" i="4"/>
  <c r="R98" i="4"/>
  <c r="R96" i="4"/>
  <c r="P98" i="4"/>
  <c r="P99" i="4"/>
  <c r="P100" i="4"/>
  <c r="Q97" i="4"/>
  <c r="E96" i="4" s="1"/>
  <c r="Q100" i="4"/>
  <c r="Q99" i="4"/>
  <c r="Q98" i="4"/>
  <c r="R100" i="4"/>
  <c r="R97" i="4"/>
  <c r="S97" i="4"/>
  <c r="E97" i="4" s="1"/>
  <c r="R99" i="4"/>
  <c r="S98" i="4"/>
  <c r="S99" i="4"/>
  <c r="S100" i="4"/>
  <c r="E98" i="4" l="1"/>
  <c r="G43" i="4" s="1"/>
  <c r="DE41" i="4"/>
  <c r="BB41" i="4"/>
  <c r="EN41" i="4"/>
  <c r="AJ41" i="4"/>
  <c r="BC41" i="4"/>
  <c r="DD44" i="4"/>
  <c r="EN44" i="4"/>
  <c r="BB45" i="4"/>
  <c r="CM45" i="4"/>
  <c r="FF45" i="4"/>
  <c r="FD41" i="4"/>
  <c r="AI41" i="4"/>
  <c r="CK41" i="4"/>
  <c r="FW42" i="4"/>
  <c r="BR42" i="4"/>
  <c r="BR43" i="4"/>
  <c r="DT43" i="4"/>
  <c r="DB44" i="4"/>
  <c r="CJ44" i="4"/>
  <c r="CK44" i="4"/>
  <c r="AH45" i="4"/>
  <c r="CJ45" i="4"/>
  <c r="CK45" i="4"/>
  <c r="DU45" i="4"/>
  <c r="FG41" i="4"/>
  <c r="FF42" i="4"/>
  <c r="BB42" i="4"/>
  <c r="CM42" i="4"/>
  <c r="DW42" i="4"/>
  <c r="FY43" i="4"/>
  <c r="BC43" i="4"/>
  <c r="DE44" i="4"/>
  <c r="FY44" i="4"/>
  <c r="FX45" i="4"/>
  <c r="BC45" i="4"/>
  <c r="BA41" i="4"/>
  <c r="DC41" i="4"/>
  <c r="DT42" i="4"/>
  <c r="FE42" i="4"/>
  <c r="EM43" i="4"/>
  <c r="FV44" i="4"/>
  <c r="DD41" i="4"/>
  <c r="FY41" i="4"/>
  <c r="FF41" i="4"/>
  <c r="CM41" i="4"/>
  <c r="FG42" i="4"/>
  <c r="DD42" i="4"/>
  <c r="BC42" i="4"/>
  <c r="AK42" i="4"/>
  <c r="FY42" i="4"/>
  <c r="EN43" i="4"/>
  <c r="AK43" i="4"/>
  <c r="FG43" i="4"/>
  <c r="AJ43" i="4"/>
  <c r="DW44" i="4"/>
  <c r="EO44" i="4"/>
  <c r="BC44" i="4"/>
  <c r="BT44" i="4"/>
  <c r="FF44" i="4"/>
  <c r="EO45" i="4"/>
  <c r="DW45" i="4"/>
  <c r="AK45" i="4"/>
  <c r="BT45" i="4"/>
  <c r="FV41" i="4"/>
  <c r="FW41" i="4"/>
  <c r="BR41" i="4"/>
  <c r="BS41" i="4"/>
  <c r="CK42" i="4"/>
  <c r="AZ42" i="4"/>
  <c r="DU42" i="4"/>
  <c r="AH42" i="4"/>
  <c r="AI42" i="4"/>
  <c r="CJ43" i="4"/>
  <c r="AZ43" i="4"/>
  <c r="DC43" i="4"/>
  <c r="AH43" i="4"/>
  <c r="FD44" i="4"/>
  <c r="FE44" i="4"/>
  <c r="DC44" i="4"/>
  <c r="BS44" i="4"/>
  <c r="DU44" i="4"/>
  <c r="FD45" i="4"/>
  <c r="DB45" i="4"/>
  <c r="EL45" i="4"/>
  <c r="BS45" i="4"/>
  <c r="FX42" i="4"/>
  <c r="CL42" i="4"/>
  <c r="DE42" i="4"/>
  <c r="EN42" i="4"/>
  <c r="EO43" i="4"/>
  <c r="FF43" i="4"/>
  <c r="BU43" i="4"/>
  <c r="DV43" i="4"/>
  <c r="BB44" i="4"/>
  <c r="CM44" i="4"/>
  <c r="DE45" i="4"/>
  <c r="BU45" i="4"/>
  <c r="AH41" i="4"/>
  <c r="DT41" i="4"/>
  <c r="FD42" i="4"/>
  <c r="BS42" i="4"/>
  <c r="BA43" i="4"/>
  <c r="FE43" i="4"/>
  <c r="CK43" i="4"/>
  <c r="FW44" i="4"/>
  <c r="BA45" i="4"/>
  <c r="EO41" i="4"/>
  <c r="FX41" i="4"/>
  <c r="DW41" i="4"/>
  <c r="BT42" i="4"/>
  <c r="CL43" i="4"/>
  <c r="CM43" i="4"/>
  <c r="FG44" i="4"/>
  <c r="BU44" i="4"/>
  <c r="CL44" i="4"/>
  <c r="FG45" i="4"/>
  <c r="EN45" i="4"/>
  <c r="FE41" i="4"/>
  <c r="DB41" i="4"/>
  <c r="CQ43" i="4" s="1"/>
  <c r="FV42" i="4"/>
  <c r="EM42" i="4"/>
  <c r="EL42" i="4"/>
  <c r="DB43" i="4"/>
  <c r="DU43" i="4"/>
  <c r="BS43" i="4"/>
  <c r="AZ44" i="4"/>
  <c r="EM44" i="4"/>
  <c r="EL44" i="4"/>
  <c r="AI44" i="4"/>
  <c r="EM45" i="4"/>
  <c r="BR45" i="4"/>
  <c r="DC45" i="4"/>
  <c r="DT45" i="4"/>
  <c r="CJ42" i="4"/>
  <c r="AK41" i="4"/>
  <c r="BU41" i="4"/>
  <c r="BT41" i="4"/>
  <c r="DV41" i="4"/>
  <c r="CL41" i="4"/>
  <c r="BU42" i="4"/>
  <c r="EO42" i="4"/>
  <c r="AJ42" i="4"/>
  <c r="DV42" i="4"/>
  <c r="BB43" i="4"/>
  <c r="FX43" i="4"/>
  <c r="DD43" i="4"/>
  <c r="BT43" i="4"/>
  <c r="DE43" i="4"/>
  <c r="FX44" i="4"/>
  <c r="AK44" i="4"/>
  <c r="AJ44" i="4"/>
  <c r="DV44" i="4"/>
  <c r="FY45" i="4"/>
  <c r="AJ45" i="4"/>
  <c r="DV45" i="4"/>
  <c r="DD45" i="4"/>
  <c r="CL45" i="4"/>
  <c r="DU41" i="4"/>
  <c r="EM41" i="4"/>
  <c r="AZ41" i="4"/>
  <c r="EL41" i="4"/>
  <c r="CJ41" i="4"/>
  <c r="DB42" i="4"/>
  <c r="BA42" i="4"/>
  <c r="DC42" i="4"/>
  <c r="FV43" i="4"/>
  <c r="FD43" i="4"/>
  <c r="FW43" i="4"/>
  <c r="EL43" i="4"/>
  <c r="AI43" i="4"/>
  <c r="BR44" i="4"/>
  <c r="BA44" i="4"/>
  <c r="AH44" i="4"/>
  <c r="DT44" i="4"/>
  <c r="FV45" i="4"/>
  <c r="FE45" i="4"/>
  <c r="AZ45" i="4"/>
  <c r="FW45" i="4"/>
  <c r="AI45" i="4"/>
  <c r="DW43" i="4"/>
  <c r="P44" i="4"/>
  <c r="P43" i="4"/>
  <c r="S45" i="4"/>
  <c r="S41" i="4"/>
  <c r="P42" i="4"/>
  <c r="S42" i="4"/>
  <c r="P41" i="4"/>
  <c r="S43" i="4"/>
  <c r="Q45" i="4"/>
  <c r="Q42" i="4"/>
  <c r="Q41" i="4"/>
  <c r="Q44" i="4"/>
  <c r="E41" i="4" s="1"/>
  <c r="R42" i="4"/>
  <c r="P45" i="4"/>
  <c r="R44" i="4"/>
  <c r="R41" i="4"/>
  <c r="R43" i="4"/>
  <c r="S44" i="4"/>
  <c r="E42" i="4" s="1"/>
  <c r="Q43" i="4"/>
  <c r="R45" i="4"/>
  <c r="AO43" i="4" l="1"/>
  <c r="EA43" i="4"/>
  <c r="FK43" i="4"/>
  <c r="W43" i="4"/>
  <c r="ES43" i="4"/>
  <c r="BG43" i="4"/>
  <c r="DI43" i="4"/>
  <c r="BY43" i="4"/>
  <c r="E43" i="4"/>
  <c r="H43" i="4" s="1"/>
  <c r="FK54" i="4" l="1"/>
  <c r="FK50" i="4"/>
  <c r="FK52" i="4"/>
  <c r="FK55" i="4"/>
  <c r="FK53" i="4"/>
  <c r="FK51" i="4"/>
  <c r="ES55" i="4"/>
  <c r="ES53" i="4"/>
  <c r="ES52" i="4"/>
  <c r="ES51" i="4"/>
  <c r="ES54" i="4"/>
  <c r="ES50" i="4"/>
  <c r="EA54" i="4"/>
  <c r="EA50" i="4"/>
  <c r="EA53" i="4"/>
  <c r="EA52" i="4"/>
  <c r="EA55" i="4"/>
  <c r="EA51" i="4"/>
  <c r="DI55" i="4"/>
  <c r="DI51" i="4"/>
  <c r="DI54" i="4"/>
  <c r="DI50" i="4"/>
  <c r="DI53" i="4"/>
  <c r="DI52" i="4"/>
  <c r="CQ54" i="4"/>
  <c r="CQ50" i="4"/>
  <c r="CQ53" i="4"/>
  <c r="CQ52" i="4"/>
  <c r="CQ55" i="4"/>
  <c r="CQ51" i="4"/>
  <c r="BY53" i="4"/>
  <c r="BY52" i="4"/>
  <c r="BY55" i="4"/>
  <c r="BY51" i="4"/>
  <c r="BY54" i="4"/>
  <c r="BY50" i="4"/>
  <c r="BG55" i="4"/>
  <c r="BG51" i="4"/>
  <c r="BG54" i="4"/>
  <c r="BG50" i="4"/>
  <c r="BG53" i="4"/>
  <c r="BG52" i="4"/>
  <c r="AO53" i="4"/>
  <c r="AO52" i="4"/>
  <c r="AO55" i="4"/>
  <c r="AO51" i="4"/>
  <c r="AO54" i="4"/>
  <c r="AO50" i="4"/>
  <c r="W54" i="4"/>
  <c r="W50" i="4"/>
  <c r="W55" i="4"/>
  <c r="W53" i="4"/>
  <c r="W52" i="4"/>
  <c r="W51" i="4"/>
  <c r="E54" i="4" l="1"/>
  <c r="E50" i="4"/>
  <c r="E53" i="4"/>
  <c r="E52" i="4"/>
  <c r="E55" i="4"/>
  <c r="E51" i="4"/>
  <c r="I10" i="1" l="1"/>
  <c r="K10" i="1"/>
  <c r="L10" i="1"/>
  <c r="G12" i="1" l="1"/>
  <c r="G13" i="1"/>
  <c r="G14" i="1"/>
  <c r="G15" i="1"/>
  <c r="G16" i="1"/>
  <c r="G17" i="1"/>
  <c r="G18" i="1"/>
  <c r="G19" i="1"/>
  <c r="G20" i="1"/>
  <c r="G21" i="1"/>
  <c r="G22" i="1"/>
  <c r="G23" i="1"/>
  <c r="G24" i="1"/>
  <c r="G25" i="1"/>
  <c r="G26" i="1"/>
  <c r="G27" i="1"/>
  <c r="G28" i="1"/>
  <c r="G11" i="1"/>
  <c r="L16" i="1"/>
  <c r="L15" i="1"/>
  <c r="B36" i="4"/>
  <c r="B35" i="4" s="1"/>
  <c r="B34" i="4" s="1"/>
  <c r="B33" i="4" s="1"/>
  <c r="B32" i="4" s="1"/>
  <c r="B31" i="4" s="1"/>
  <c r="B30" i="4" s="1"/>
  <c r="B29" i="4" s="1"/>
  <c r="B28" i="4" s="1"/>
  <c r="B27" i="4" s="1"/>
  <c r="B26" i="4" s="1"/>
  <c r="B25" i="4" s="1"/>
  <c r="B24" i="4" s="1"/>
  <c r="B23" i="4" s="1"/>
  <c r="B22" i="4" s="1"/>
  <c r="B21" i="4" s="1"/>
  <c r="B20" i="4" s="1"/>
  <c r="B19" i="4" s="1"/>
  <c r="B36" i="1"/>
  <c r="B35" i="1" s="1"/>
  <c r="B34" i="1" s="1"/>
  <c r="B33" i="1" s="1"/>
  <c r="B32" i="1" s="1"/>
  <c r="B31" i="1" s="1"/>
  <c r="B30" i="1" s="1"/>
  <c r="B29" i="1" s="1"/>
  <c r="B28" i="1" s="1"/>
  <c r="B27" i="1" s="1"/>
  <c r="B26" i="1" s="1"/>
  <c r="B25" i="1" s="1"/>
  <c r="B24" i="1" s="1"/>
  <c r="B23" i="1" s="1"/>
  <c r="B22" i="1" s="1"/>
  <c r="B21" i="1" s="1"/>
  <c r="B20" i="1" s="1"/>
  <c r="B19" i="1" s="1"/>
  <c r="B18" i="1" s="1"/>
  <c r="B17" i="1" s="1"/>
  <c r="B16" i="1" s="1"/>
  <c r="B15" i="1" s="1"/>
  <c r="B14" i="1" s="1"/>
  <c r="B13" i="1" s="1"/>
  <c r="B12" i="1" s="1"/>
  <c r="B11" i="1" s="1"/>
  <c r="B18" i="4" l="1"/>
  <c r="B17" i="4" s="1"/>
  <c r="B16" i="4" s="1"/>
  <c r="B15" i="4" s="1"/>
  <c r="B14" i="4" s="1"/>
  <c r="B13" i="4" s="1"/>
  <c r="B12" i="4" s="1"/>
  <c r="B11" i="4" s="1"/>
  <c r="G29" i="1" l="1"/>
  <c r="G30" i="1" l="1"/>
  <c r="G31" i="1" l="1"/>
  <c r="G32" i="1" l="1"/>
  <c r="G33" i="1" l="1"/>
  <c r="G34" i="1" l="1"/>
  <c r="G35" i="1" l="1"/>
  <c r="G36" i="1" l="1"/>
  <c r="G37" i="1" l="1"/>
  <c r="L43" i="1" l="1"/>
  <c r="L41" i="1"/>
  <c r="L42" i="1"/>
  <c r="L40" i="1"/>
  <c r="L44" i="1"/>
  <c r="E40" i="1" l="1"/>
  <c r="D50" i="1" l="1"/>
  <c r="D46" i="1"/>
  <c r="D49" i="1"/>
  <c r="D48" i="1"/>
  <c r="D51" i="1"/>
  <c r="D47" i="1"/>
</calcChain>
</file>

<file path=xl/sharedStrings.xml><?xml version="1.0" encoding="utf-8"?>
<sst xmlns="http://schemas.openxmlformats.org/spreadsheetml/2006/main" count="2229" uniqueCount="242">
  <si>
    <t>Calendar YYYYQ</t>
  </si>
  <si>
    <t>Closed Claims</t>
  </si>
  <si>
    <t>Reported Claims</t>
  </si>
  <si>
    <t>Earned Exposures</t>
  </si>
  <si>
    <t>Months of Development</t>
  </si>
  <si>
    <t>Premium Trend</t>
  </si>
  <si>
    <t>Annual Trend</t>
  </si>
  <si>
    <t>8 pt</t>
  </si>
  <si>
    <t>12 pt</t>
  </si>
  <si>
    <t>16 pt</t>
  </si>
  <si>
    <t>20 pt</t>
  </si>
  <si>
    <t>24 pt</t>
  </si>
  <si>
    <t>Selected:</t>
  </si>
  <si>
    <t>Trend Period (Years) for Most Recent</t>
  </si>
  <si>
    <t>Trend Factors:</t>
  </si>
  <si>
    <t>Most Recent Year</t>
  </si>
  <si>
    <r>
      <t>2</t>
    </r>
    <r>
      <rPr>
        <vertAlign val="superscript"/>
        <sz val="11"/>
        <color theme="1"/>
        <rFont val="Calibri"/>
        <family val="2"/>
      </rPr>
      <t>nd</t>
    </r>
    <r>
      <rPr>
        <sz val="11"/>
        <color theme="1"/>
        <rFont val="Calibri"/>
        <family val="2"/>
        <scheme val="minor"/>
      </rPr>
      <t xml:space="preserve"> Prior Year</t>
    </r>
  </si>
  <si>
    <r>
      <t>3</t>
    </r>
    <r>
      <rPr>
        <vertAlign val="superscript"/>
        <sz val="11"/>
        <color theme="1"/>
        <rFont val="Calibri"/>
        <family val="2"/>
      </rPr>
      <t>rd</t>
    </r>
    <r>
      <rPr>
        <sz val="11"/>
        <color theme="1"/>
        <rFont val="Calibri"/>
        <family val="2"/>
        <scheme val="minor"/>
      </rPr>
      <t xml:space="preserve"> Prior Year</t>
    </r>
  </si>
  <si>
    <r>
      <t>4</t>
    </r>
    <r>
      <rPr>
        <vertAlign val="superscript"/>
        <sz val="11"/>
        <color theme="1"/>
        <rFont val="Calibri"/>
        <family val="2"/>
      </rPr>
      <t>th</t>
    </r>
    <r>
      <rPr>
        <sz val="11"/>
        <color theme="1"/>
        <rFont val="Calibri"/>
        <family val="2"/>
        <scheme val="minor"/>
      </rPr>
      <t xml:space="preserve"> Prior Year</t>
    </r>
  </si>
  <si>
    <r>
      <t>5</t>
    </r>
    <r>
      <rPr>
        <vertAlign val="superscript"/>
        <sz val="11"/>
        <color theme="1"/>
        <rFont val="Calibri"/>
        <family val="2"/>
      </rPr>
      <t>th</t>
    </r>
    <r>
      <rPr>
        <sz val="11"/>
        <color theme="1"/>
        <rFont val="Calibri"/>
        <family val="2"/>
        <scheme val="minor"/>
      </rPr>
      <t xml:space="preserve"> Prior Year</t>
    </r>
  </si>
  <si>
    <r>
      <t>6</t>
    </r>
    <r>
      <rPr>
        <vertAlign val="superscript"/>
        <sz val="11"/>
        <color theme="1"/>
        <rFont val="Calibri"/>
        <family val="2"/>
      </rPr>
      <t>th</t>
    </r>
    <r>
      <rPr>
        <sz val="11"/>
        <color theme="1"/>
        <rFont val="Calibri"/>
        <family val="2"/>
        <scheme val="minor"/>
      </rPr>
      <t xml:space="preserve"> Prior Year</t>
    </r>
  </si>
  <si>
    <t>Quarterly Data</t>
  </si>
  <si>
    <t>Rolling 4-Quarter Data</t>
  </si>
  <si>
    <t>California Company-Specific Premium Trend Data</t>
  </si>
  <si>
    <t>Closed Frequency</t>
  </si>
  <si>
    <t>Reported Frequency</t>
  </si>
  <si>
    <t>Paid Severity</t>
  </si>
  <si>
    <t>Closed Frequency per 100 Exposures</t>
  </si>
  <si>
    <t>Reported Frequency per 100 Exposures</t>
  </si>
  <si>
    <t>Frequency:</t>
  </si>
  <si>
    <t>Severity:</t>
  </si>
  <si>
    <t>Trend</t>
  </si>
  <si>
    <t>Complement Trend</t>
  </si>
  <si>
    <t>Pure Premium:</t>
  </si>
  <si>
    <t>Credibility-Weighted Loss Trend</t>
  </si>
  <si>
    <t>Complement Loss and DCCE Trend</t>
  </si>
  <si>
    <t>Age to Age Factors</t>
  </si>
  <si>
    <t>3 Yr Wtd Avg</t>
  </si>
  <si>
    <t>Tail</t>
  </si>
  <si>
    <t>Age-Ult</t>
  </si>
  <si>
    <t>Selected</t>
  </si>
  <si>
    <t>Ultimate $</t>
  </si>
  <si>
    <t>Ultimate DCCE</t>
  </si>
  <si>
    <t>DCCE Age-Ult</t>
  </si>
  <si>
    <t>For Department Use Only</t>
  </si>
  <si>
    <t>Click button below to unprotect all sheets of this file.</t>
  </si>
  <si>
    <t>Click button below to reprotect all sheets of this file.</t>
  </si>
  <si>
    <t>Enter Edition Date here=&gt;</t>
  </si>
  <si>
    <t>Click button below to update footers for each sheet of the application with new edition date.</t>
  </si>
  <si>
    <t>Check to ensure that each sheet's print preview shows the correct edition date.</t>
  </si>
  <si>
    <t>Click button below to hide sheets that are for Department use only, i.e. Input sheet.</t>
  </si>
  <si>
    <t>(Note: Run macro explicitly from Developer menu to unhide sheet.)</t>
  </si>
  <si>
    <t>3 Yr Avg</t>
  </si>
  <si>
    <t>Trend Period (Years) for Most Recent Year in Experience Period:</t>
  </si>
  <si>
    <t>Year in Experience Period:</t>
  </si>
  <si>
    <t>Non-Catastrophe Loss and DCCE Trend</t>
  </si>
  <si>
    <t>Selected LDFs</t>
  </si>
  <si>
    <t>Non-Catastrophe Reported Claim Count Development - Annual Triangles</t>
  </si>
  <si>
    <t>Ultimate DCCE Ratio</t>
  </si>
  <si>
    <t>Data Aggregation Method for Loss &amp; DCCE Development</t>
  </si>
  <si>
    <t>Months of Development for Annual Loss &amp; DCCE Development</t>
  </si>
  <si>
    <t>Does the Company-Specific Loss Trend Data include or exclude DCCE?</t>
  </si>
  <si>
    <t>Does the Complement Loss Trend Data include or exclude DCCE?</t>
  </si>
  <si>
    <t>Is the Company-Specific Premium Trend Data on a written or earned basis?</t>
  </si>
  <si>
    <t>Policy Year</t>
  </si>
  <si>
    <t>AggMethod</t>
  </si>
  <si>
    <t>Exhibit 5</t>
  </si>
  <si>
    <t>Exhibit 8</t>
  </si>
  <si>
    <t>Exhibit 7</t>
  </si>
  <si>
    <t>All Exhibits</t>
  </si>
  <si>
    <t>Is the current NAIC categorical split of LAE (DCCE/A&amp;OE) used in this application?</t>
  </si>
  <si>
    <t>http://www.insurance.ca.gov/0250-insurers/0800-rate-filings/</t>
  </si>
  <si>
    <t>Accompanying the Prior Approval Rate Application</t>
  </si>
  <si>
    <t>Instructions for Completing the Standard Exhibits Template</t>
  </si>
  <si>
    <t>State of California</t>
  </si>
  <si>
    <t>Department of Insurance (CDI)</t>
  </si>
  <si>
    <t>Select Exhibits to Print</t>
  </si>
  <si>
    <t>Company:</t>
  </si>
  <si>
    <t>Line:</t>
  </si>
  <si>
    <t>STANDARD EXHIBITS TEMPLATE</t>
  </si>
  <si>
    <t>Completed by:</t>
  </si>
  <si>
    <t>Date:</t>
  </si>
  <si>
    <t>Y/N Indicator</t>
  </si>
  <si>
    <t>Line Type</t>
  </si>
  <si>
    <t>General Line (Page 1)</t>
  </si>
  <si>
    <t>Y/N/na Indicator</t>
  </si>
  <si>
    <t>Y</t>
  </si>
  <si>
    <t>Commercial</t>
  </si>
  <si>
    <t>N</t>
  </si>
  <si>
    <t>Personal</t>
  </si>
  <si>
    <t>Aircraft</t>
  </si>
  <si>
    <t>n/a</t>
  </si>
  <si>
    <t>Allied Lines</t>
  </si>
  <si>
    <t>Auto Liability and Physical Damage</t>
  </si>
  <si>
    <t>Auto Warranty</t>
  </si>
  <si>
    <t>Boiler &amp; Machinery</t>
  </si>
  <si>
    <t>Burglary &amp; Theft</t>
  </si>
  <si>
    <t>Commercial Auto Liability</t>
  </si>
  <si>
    <t>Earthquake</t>
  </si>
  <si>
    <t>Commercial Auto Physical Damage</t>
  </si>
  <si>
    <t>Farmowners</t>
  </si>
  <si>
    <t>Commercial Multiple Peril (Combined)</t>
  </si>
  <si>
    <t>Fidelity</t>
  </si>
  <si>
    <t>Commercial Multiple Peril (Liability)</t>
  </si>
  <si>
    <t>Fire</t>
  </si>
  <si>
    <t>Commercial Multiple Peril (Non-Liability)</t>
  </si>
  <si>
    <t>Flood</t>
  </si>
  <si>
    <t>Homeowners</t>
  </si>
  <si>
    <t>Earthquake w/consideration for the cost of reinsurance</t>
  </si>
  <si>
    <t>12.0R</t>
  </si>
  <si>
    <t>Home Warranty</t>
  </si>
  <si>
    <t>Farmowners Multiple Peril</t>
  </si>
  <si>
    <t>Inland Marine</t>
  </si>
  <si>
    <t>Medical Malpractice</t>
  </si>
  <si>
    <t>Multiple Peril</t>
  </si>
  <si>
    <t>Other Liability</t>
  </si>
  <si>
    <t>Homeowners Multiple Peril</t>
  </si>
  <si>
    <t>Products Liability</t>
  </si>
  <si>
    <t>Surety</t>
  </si>
  <si>
    <t>Medical Malpractice (Claims-Made)</t>
  </si>
  <si>
    <t>Medical Malpractice (Occurrence)</t>
  </si>
  <si>
    <t>Medical Malpractice - incl. reinsurance costs</t>
  </si>
  <si>
    <t>11.0R</t>
  </si>
  <si>
    <t>Medical Malpractice (Claims-Made) - incl. reinsurance costs</t>
  </si>
  <si>
    <t>11.2R</t>
  </si>
  <si>
    <t>Medical Malpractice (Occurrence) - incl. reinsurance costs</t>
  </si>
  <si>
    <t>11.1R</t>
  </si>
  <si>
    <t>Other Liability (Claims-Made)</t>
  </si>
  <si>
    <t>Other Liability (Occurrence)</t>
  </si>
  <si>
    <t>Private Passenger Auto Liability</t>
  </si>
  <si>
    <t>Private Passenger Auto Physical Damage</t>
  </si>
  <si>
    <t>Products Liability (Claims-Made)</t>
  </si>
  <si>
    <t>Products Liability (Occurrence)</t>
  </si>
  <si>
    <t>Detailed Line Description/AS Line Number (Page 1)</t>
  </si>
  <si>
    <t>Data Aggregation Method (Page 1)</t>
  </si>
  <si>
    <t>Combo Box controls listed to the right on this row, if applicable=&gt;</t>
  </si>
  <si>
    <t>Company Name:</t>
  </si>
  <si>
    <t>General Line :</t>
  </si>
  <si>
    <t>(DEPARTMENT USE ONLY)</t>
  </si>
  <si>
    <t>Error Messages, if Any, Associated with General to the Left</t>
  </si>
  <si>
    <t>Exhibits to Print (Page 1)</t>
  </si>
  <si>
    <t>RangeNames</t>
  </si>
  <si>
    <t>Edition_Date</t>
  </si>
  <si>
    <t>Co_Name</t>
  </si>
  <si>
    <t>General_Line</t>
  </si>
  <si>
    <t>CDI_FileNo</t>
  </si>
  <si>
    <t>Completed_By</t>
  </si>
  <si>
    <t>Completed_Date</t>
  </si>
  <si>
    <t>Password:</t>
  </si>
  <si>
    <t>1)</t>
  </si>
  <si>
    <t>2)</t>
  </si>
  <si>
    <t>3)</t>
  </si>
  <si>
    <t>4)</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</si>
  <si>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</si>
  <si>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(Not Used)</t>
  </si>
  <si>
    <r>
      <rPr>
        <sz val="11"/>
        <color theme="1"/>
        <rFont val="Calibri"/>
        <family val="2"/>
      </rPr>
      <t>Standardized exhibits for Exhibits 5, 7 and 8 are</t>
    </r>
    <r>
      <rPr>
        <sz val="11"/>
        <color theme="1"/>
        <rFont val="Calibri"/>
        <family val="2"/>
        <scheme val="minor"/>
      </rPr>
      <t xml:space="preserve"> required to be completed for each coverage (e.g., BI, PD, MP, UM, COLL, COMP, etc.), form (e.g., HO-3, HO-4, HO-6, etc.) or program (e.g., Auto Dealers, Garagekeepers, Truckers/Motor Carriers, etc.) separately identified in the </t>
    </r>
    <r>
      <rPr>
        <i/>
        <sz val="11"/>
        <color theme="1"/>
        <rFont val="Calibri"/>
        <family val="2"/>
        <scheme val="minor"/>
      </rPr>
      <t>Prior Approval Rate Template</t>
    </r>
    <r>
      <rPr>
        <sz val="11"/>
        <color theme="1"/>
        <rFont val="Calibri"/>
        <family val="2"/>
        <scheme val="minor"/>
      </rPr>
      <t>.  For each new filing submitted, download a new template - do not "recycle" a template from a previously approved filing.</t>
    </r>
  </si>
  <si>
    <r>
      <t xml:space="preserve">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</si>
  <si>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t>5)</t>
  </si>
  <si>
    <t>6)</t>
  </si>
  <si>
    <t>7)</t>
  </si>
  <si>
    <t>Refer to the complete Prior Approval Rate Filing Instructions for additional information.</t>
  </si>
  <si>
    <t>On the '2.Exhibit 5' page, enter the premium, premium at current and exposures based on written or earned data, as indicated in the '1.General' page, for the 27 quarters that generate the 24 rolling 4-quarter average premiums.  Enter the selected trend fit and calculated trend period (justified in the Filing Memorandum).</t>
  </si>
  <si>
    <t>GENERAL INFORMATION</t>
  </si>
  <si>
    <t>Months of</t>
  </si>
  <si>
    <t>Development</t>
  </si>
  <si>
    <t>Paid</t>
  </si>
  <si>
    <t>Incurred</t>
  </si>
  <si>
    <t>Type of</t>
  </si>
  <si>
    <t>Rolling 4-Quarter Annual Trends</t>
  </si>
  <si>
    <r>
      <t>Total Paid</t>
    </r>
    <r>
      <rPr>
        <sz val="9"/>
        <color theme="1"/>
        <rFont val="Calibri"/>
        <family val="2"/>
        <scheme val="minor"/>
      </rPr>
      <t xml:space="preserve"> (w/Partials) </t>
    </r>
    <r>
      <rPr>
        <sz val="11"/>
        <color theme="1"/>
        <rFont val="Calibri"/>
        <family val="2"/>
        <scheme val="minor"/>
      </rPr>
      <t>Severity</t>
    </r>
  </si>
  <si>
    <t>Credibility (Justify in Exh 10)</t>
  </si>
  <si>
    <t>Alternate Pure Premium :</t>
  </si>
  <si>
    <t>Alternate</t>
  </si>
  <si>
    <t>(Justify in Filing  Memorandum)</t>
  </si>
  <si>
    <t>Rolling 4-Qtr</t>
  </si>
  <si>
    <t>(Enter name of each coverage/form/program included in this application. Otherwise, enter a blank. Do not skip coverages.</t>
  </si>
  <si>
    <r>
      <t>Most Recent Fiscal Period in Loss and Premium Trend Data</t>
    </r>
    <r>
      <rPr>
        <sz val="11"/>
        <color theme="1"/>
        <rFont val="Calibri"/>
        <family val="2"/>
        <scheme val="minor"/>
      </rPr>
      <t xml:space="preserve"> </t>
    </r>
    <r>
      <rPr>
        <i/>
        <sz val="9"/>
        <color theme="1"/>
        <rFont val="Calibri"/>
        <family val="2"/>
        <scheme val="minor"/>
      </rPr>
      <t>(Enter in YYYYQ format.)</t>
    </r>
  </si>
  <si>
    <r>
      <t>Most Recent Fiscal Period in Loss Development Data</t>
    </r>
    <r>
      <rPr>
        <i/>
        <sz val="9"/>
        <color theme="1"/>
        <rFont val="Calibri"/>
        <family val="2"/>
        <scheme val="minor"/>
      </rPr>
      <t xml:space="preserve"> (Enter in YYYYQ format.)</t>
    </r>
  </si>
  <si>
    <r>
      <t>Most Recent Fiscal Period in Complement Loss Trend Data</t>
    </r>
    <r>
      <rPr>
        <i/>
        <sz val="9"/>
        <color theme="1"/>
        <rFont val="Calibri"/>
        <family val="2"/>
        <scheme val="minor"/>
      </rPr>
      <t xml:space="preserve"> (Enter in YYYYQ format.)</t>
    </r>
  </si>
  <si>
    <t>Line Type:</t>
  </si>
  <si>
    <t>Coverage/Form/Program</t>
  </si>
  <si>
    <t>Detailed Line Description(s)</t>
  </si>
  <si>
    <t>Fire &amp; Allied Lines</t>
  </si>
  <si>
    <t>Detailed Line Description(s) Converter</t>
  </si>
  <si>
    <t>(Index to text)</t>
  </si>
  <si>
    <t>Detailed Line Description for Selected General Line</t>
  </si>
  <si>
    <t>On the '4.Exhibit 8' page, enter the earned exposures, reported claim counts, closed claim counts, paid losses, and total paid losses on closed claims (including partial payments from prior years) for the 27 quarters that generate the 24 rolling 4-quarter frequencies and severities.  Enter the selected trend fit.  Note, the number of points selected for the trend fit must be the same for premium and loss.  Enter the loss trend credibility and complement data, if necessary.  Selections and assumptions must be justified in the Filing Memorandum.</t>
  </si>
  <si>
    <t>Confirm that Exhibit 8 - Reported Claim Counts include Closed without Payments.</t>
  </si>
  <si>
    <t>Confirm that Exhibit 7 - Reported Claim Counts include Closed without Payments.</t>
  </si>
  <si>
    <t>(Justify Selection and Trend Period in Filing Memorandum)</t>
  </si>
  <si>
    <t>(Justify All Selections and Trend Period in Filing Memorandum)</t>
  </si>
  <si>
    <r>
      <t>(Select 12 or 15 Months.</t>
    </r>
    <r>
      <rPr>
        <i/>
        <sz val="9"/>
        <color theme="1"/>
        <rFont val="Calibri"/>
        <family val="2"/>
        <scheme val="minor"/>
      </rPr>
      <t>)</t>
    </r>
  </si>
  <si>
    <t>Non-Catastrophe Paid Loss &amp; DCCE Development - Annual Triangles</t>
  </si>
  <si>
    <t>Non-Catastrophe Incurred Loss &amp; DCCE Development - Annual Triangles</t>
  </si>
  <si>
    <t>Non-Catastrophe Incurred Loss Development - Annual Triangles</t>
  </si>
  <si>
    <t>Non-Catastrophe Incurred DCCE to Incurred Loss Ratio Development - Annual Triangles</t>
  </si>
  <si>
    <t>Non-Catastrophe Incurred DCCE Development - Annual Triangles</t>
  </si>
  <si>
    <t>Non-Catastrophe Paid DCCE Development - Annual Triangles</t>
  </si>
  <si>
    <t>Non-Catastrophe Paid Loss Development - Annual Triangles</t>
  </si>
  <si>
    <t>Confirm that Exhibit 7 - Paid Claim Counts include both open and closed paid claims.</t>
  </si>
  <si>
    <t>Non-Catastrophe Closed Without Payment Claim Count Development - Annual Triangles</t>
  </si>
  <si>
    <t>Non-Catastrophe Paid DCCE to Paid Loss Ratio Development - Annual Triangles</t>
  </si>
  <si>
    <t>Paid - Pure Loss</t>
  </si>
  <si>
    <t>Incurred - Pure Loss</t>
  </si>
  <si>
    <t>Paid - Loss &amp; DCCE</t>
  </si>
  <si>
    <t>Incurred - Loss &amp; DCCE</t>
  </si>
  <si>
    <t>Paid - DCCE Dollar</t>
  </si>
  <si>
    <t>Incurred - DCCE Dollar</t>
  </si>
  <si>
    <t>Ultimate #</t>
  </si>
  <si>
    <t>Does Exhibit 7 - Paid Claim Counts include Closed without Payments?</t>
  </si>
  <si>
    <t>Does Exhibit 8 - Closed Claim Counts include Closed without Payments?</t>
  </si>
  <si>
    <t>Non-Catastrophe Closed With Payment Claim Count Development - Annual Triangles</t>
  </si>
  <si>
    <t>Non-Catastrophe Paid Claim Count Development - Annual Triangles</t>
  </si>
  <si>
    <t>Does the Company track DCCE Development Data on an incurred basis?</t>
  </si>
  <si>
    <t>Loss Trend Complement Data Source and
Coverage/Form/Program</t>
  </si>
  <si>
    <t>Selected Ult Loss</t>
  </si>
  <si>
    <t>In addition to identifying the coverage, forms or programs included in this template, enter the insurer information common to all coverages in the "1.General" page, including, but not limited to, Company Name; General Line; Data Aggregation Method used (accident year, report year, policy year); Most Recent Fiscal Period in Trend and Development Data; Months of Development.</t>
  </si>
  <si>
    <r>
      <t xml:space="preserve">Insurers </t>
    </r>
    <r>
      <rPr>
        <b/>
        <sz val="11"/>
        <color theme="1"/>
        <rFont val="Calibri"/>
        <family val="2"/>
        <scheme val="minor"/>
      </rPr>
      <t>must</t>
    </r>
    <r>
      <rPr>
        <sz val="11"/>
        <color theme="1"/>
        <rFont val="Calibri"/>
        <family val="2"/>
        <scheme val="minor"/>
      </rPr>
      <t xml:space="preserve"> submit annual loss develop triangles.  Enter the required triangular data in the corresponding '3.Exhibit 7 - Annual' page. Annual triangles are required for paid loss &amp; DCCE, paid loss, paid DCCE, incurred loss &amp; DCCE, incurred loss, incurred DCCE (if tracked), reported claim counts, paid claim counts, closed with payment claim counts, and closed with no payment claim counts. Insurers may also submit quarterly development triangles in  '2.Exhibit 7 – Quarterly' page of the Supplemental Quarterly Development Template posted on the CDI website to support their selected loss and DCCE development factors.  Submission of annual triangles in the Standard Exhibits Template is required regardless of whether the insurer is developing losses and DCCE on an annual or quarterly basis.</t>
    </r>
  </si>
  <si>
    <t>Non-Catastrophe Loss &amp; DCCE Development</t>
  </si>
  <si>
    <t>Paid - DCCE (by Ratio)</t>
  </si>
  <si>
    <t>Incurred - DCCE (by Ratio)</t>
  </si>
  <si>
    <t>Fire, Allied Lines &amp; Other Liability</t>
  </si>
  <si>
    <t>Fire &amp; Other Liability</t>
  </si>
  <si>
    <t>Allied Lines &amp; Other Liability</t>
  </si>
  <si>
    <t>Accident Year Data</t>
  </si>
  <si>
    <t>Report Year Data (Claims-Made policies only)</t>
  </si>
  <si>
    <t>Policy Year Data (Multi-Year policies only)</t>
  </si>
  <si>
    <t>Products Liability &amp; Other Liability</t>
  </si>
  <si>
    <t>Proposed Effective Date:</t>
  </si>
  <si>
    <t>(If no, provide explanation in Filing Memorandum.  Include a time line as to when compliance with CCR §2644.8 will be achieved.)</t>
  </si>
  <si>
    <t xml:space="preserve">What is the average policy term of your book in months (taken from Exhibit 3 - </t>
  </si>
  <si>
    <t>Policy Term Distribution)?</t>
  </si>
  <si>
    <t>1/3/2023</t>
  </si>
  <si>
    <t>Nicole Pettis</t>
  </si>
  <si>
    <t>State Farm General Insurance Company</t>
  </si>
  <si>
    <t>Earned</t>
  </si>
  <si>
    <t>Excludes DCCE</t>
  </si>
  <si>
    <t>Yes</t>
  </si>
  <si>
    <t>No</t>
  </si>
  <si>
    <t>Rental Dwelling</t>
  </si>
  <si>
    <t>Reported</t>
  </si>
  <si>
    <t>W0kRIAM4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</si>
</sst>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_(* \(#,##0.00\);_(* &quot;-&quot;??_);_(@_)"/>
    <numFmt numFmtId="164" formatCode="#,##0.000_);\(#,##0.000\)"/>
    <numFmt numFmtId="165" formatCode="0.0%"/>
    <numFmt numFmtId="166" formatCode="0.000_);\(0.000\)"/>
    <numFmt numFmtId="167" formatCode="_(* #,##0.000_);_(* \(#,##0.000\);_(* &quot;-&quot;??_);_(@_)"/>
    <numFmt numFmtId="168" formatCode="0_);\(0\)"/>
    <numFmt numFmtId="169" formatCode="m/d/yyyy;@"/>
    <numFmt numFmtId="170" formatCode="mm/dd/yy;@"/>
  </numFmts>
  <fonts count="42" x14ac:knownFonts="1">
    <font>
      <sz val="11"/>
      <color theme="1"/>
      <name val="Calibri"/>
      <family val="2"/>
      <scheme val="minor"/>
    </font>
    <font>
      <sz val="11"/>
      <color theme="1"/>
      <name val="Calibri"/>
      <family val="2"/>
      <scheme val="minor"/>
    </font>
    <font>
      <b/>
      <sz val="11"/>
      <color theme="1"/>
      <name val="Calibri"/>
      <family val="2"/>
      <scheme val="minor"/>
    </font>
    <font>
      <i/>
      <sz val="11"/>
      <color rgb="FF008000"/>
      <name val="Calibri"/>
      <family val="2"/>
      <scheme val="minor"/>
    </font>
    <font>
      <b/>
      <sz val="11"/>
      <color rgb="FF0000FF"/>
      <name val="Calibri"/>
      <family val="2"/>
      <scheme val="minor"/>
    </font>
    <font>
      <b/>
      <i/>
      <sz val="11"/>
      <name val="Calibri"/>
      <family val="2"/>
      <scheme val="minor"/>
    </font>
    <font>
      <i/>
      <sz val="11"/>
      <name val="Calibri"/>
      <family val="2"/>
      <scheme val="minor"/>
    </font>
    <font>
      <b/>
      <i/>
      <sz val="11"/>
      <color rgb="FF0000FF"/>
      <name val="Calibri"/>
      <family val="2"/>
      <scheme val="minor"/>
    </font>
    <font>
      <i/>
      <sz val="11"/>
      <color rgb="FF0000FF"/>
      <name val="Calibri"/>
      <family val="2"/>
      <scheme val="minor"/>
    </font>
    <font>
      <sz val="11"/>
      <color rgb="FF0000FF"/>
      <name val="Calibri"/>
      <family val="2"/>
      <scheme val="minor"/>
    </font>
    <font>
      <b/>
      <sz val="11"/>
      <name val="Calibri"/>
      <family val="2"/>
      <scheme val="minor"/>
    </font>
    <font>
      <sz val="11"/>
      <name val="Calibri"/>
      <family val="2"/>
      <scheme val="minor"/>
    </font>
    <font>
      <vertAlign val="superscript"/>
      <sz val="11"/>
      <color theme="1"/>
      <name val="Calibri"/>
      <family val="2"/>
    </font>
    <font>
      <b/>
      <i/>
      <sz val="11"/>
      <color theme="1"/>
      <name val="Calibri"/>
      <family val="2"/>
      <scheme val="minor"/>
    </font>
    <font>
      <b/>
      <sz val="16"/>
      <color theme="1"/>
      <name val="Calibri"/>
      <family val="2"/>
      <scheme val="minor"/>
    </font>
    <font>
      <sz val="16"/>
      <color theme="1"/>
      <name val="Calibri"/>
      <family val="2"/>
      <scheme val="minor"/>
    </font>
    <font>
      <b/>
      <sz val="16"/>
      <name val="Calibri"/>
      <family val="2"/>
      <scheme val="minor"/>
    </font>
    <font>
      <b/>
      <sz val="16"/>
      <color rgb="FF0000FF"/>
      <name val="Calibri"/>
      <family val="2"/>
      <scheme val="minor"/>
    </font>
    <font>
      <b/>
      <sz val="11"/>
      <color rgb="FFC00000"/>
      <name val="Calibri"/>
      <family val="2"/>
      <scheme val="minor"/>
    </font>
    <font>
      <sz val="11"/>
      <color rgb="FF000000"/>
      <name val="Calibri"/>
      <family val="2"/>
    </font>
    <font>
      <i/>
      <sz val="9"/>
      <color theme="1"/>
      <name val="Calibri"/>
      <family val="2"/>
      <scheme val="minor"/>
    </font>
    <font>
      <b/>
      <sz val="20"/>
      <color theme="1"/>
      <name val="Calibri"/>
      <family val="2"/>
      <scheme val="minor"/>
    </font>
    <font>
      <b/>
      <i/>
      <sz val="12"/>
      <color theme="1"/>
      <name val="Calibri"/>
      <family val="2"/>
      <scheme val="minor"/>
    </font>
    <font>
      <u/>
      <sz val="11"/>
      <color theme="10"/>
      <name val="Calibri"/>
      <family val="2"/>
      <scheme val="minor"/>
    </font>
    <font>
      <b/>
      <i/>
      <u/>
      <sz val="12"/>
      <color theme="10"/>
      <name val="Calibri"/>
      <family val="2"/>
      <scheme val="minor"/>
    </font>
    <font>
      <b/>
      <sz val="18"/>
      <color theme="1"/>
      <name val="Calibri"/>
      <family val="2"/>
      <scheme val="minor"/>
    </font>
    <font>
      <b/>
      <sz val="11"/>
      <color rgb="FF7030A0"/>
      <name val="Calibri"/>
      <family val="2"/>
      <scheme val="minor"/>
    </font>
    <font>
      <b/>
      <sz val="11"/>
      <color rgb="FF0000FF"/>
      <name val="Calibri"/>
      <family val="2"/>
    </font>
    <font>
      <i/>
      <sz val="11"/>
      <color theme="1"/>
      <name val="Calibri"/>
      <family val="2"/>
      <scheme val="minor"/>
    </font>
    <font>
      <sz val="11"/>
      <color theme="1"/>
      <name val="Calibri"/>
      <family val="2"/>
    </font>
    <font>
      <sz val="9"/>
      <color theme="1"/>
      <name val="Calibri"/>
      <family val="2"/>
      <scheme val="minor"/>
    </font>
    <font>
      <b/>
      <sz val="11"/>
      <color theme="9" tint="-0.499984740745262"/>
      <name val="Calibri"/>
      <family val="2"/>
      <scheme val="minor"/>
    </font>
    <font>
      <vertAlign val="superscript"/>
      <sz val="11"/>
      <color theme="1"/>
      <name val="Calibri"/>
      <family val="2"/>
      <scheme val="minor"/>
    </font>
    <font>
      <sz val="11"/>
      <color rgb="FFFF0000"/>
      <name val="Calibri"/>
      <family val="2"/>
      <scheme val="minor"/>
    </font>
    <font>
      <sz val="16"/>
      <name val="Calibri"/>
      <family val="2"/>
      <scheme val="minor"/>
    </font>
    <font>
      <sz val="18"/>
      <color rgb="FFC00000"/>
      <name val="Calibri"/>
      <family val="2"/>
      <scheme val="minor"/>
    </font>
    <font>
      <b/>
      <sz val="16"/>
      <color rgb="FFFF0000"/>
      <name val="Calibri"/>
      <family val="2"/>
      <scheme val="minor"/>
    </font>
    <font>
      <sz val="16"/>
      <color rgb="FFFF0000"/>
      <name val="Calibri"/>
      <family val="2"/>
      <scheme val="minor"/>
    </font>
    <font>
      <i/>
      <sz val="11"/>
      <color rgb="FFFF0000"/>
      <name val="Calibri"/>
      <family val="2"/>
      <scheme val="minor"/>
    </font>
    <font>
      <b/>
      <i/>
      <sz val="11"/>
      <color rgb="FFFF0000"/>
      <name val="Calibri"/>
      <family val="2"/>
      <scheme val="minor"/>
    </font>
    <font>
      <b/>
      <sz val="11"/>
      <color rgb="FFFF0000"/>
      <name val="Calibri"/>
      <family val="2"/>
      <scheme val="minor"/>
    </font>
    <font>
      <b/>
      <sz val="11"/>
      <color rgb="FFFFC000"/>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theme="8" tint="0.79998168889431442"/>
        <bgColor indexed="64"/>
      </patternFill>
    </fill>
    <fill>
      <patternFill patternType="solid">
        <fgColor theme="8" tint="0.59999389629810485"/>
        <bgColor indexed="64"/>
      </patternFill>
    </fill>
  </fills>
  <borders count="37">
    <border>
      <left/>
      <right/>
      <top/>
      <bottom/>
      <diagonal/>
    </border>
    <border>
      <left/>
      <right/>
      <top style="medium">
        <color indexed="64"/>
      </top>
      <bottom/>
      <diagonal/>
    </border>
    <border>
      <left/>
      <right/>
      <top/>
      <bottom style="thin">
        <color indexed="64"/>
      </bottom>
      <diagonal/>
    </border>
    <border>
      <left/>
      <right/>
      <top/>
      <bottom style="medium">
        <color indexed="64"/>
      </bottom>
      <diagonal/>
    </border>
    <border>
      <left/>
      <right/>
      <top style="medium">
        <color indexed="64"/>
      </top>
      <bottom style="medium">
        <color indexed="64"/>
      </bottom>
      <diagonal/>
    </border>
    <border>
      <left style="thin">
        <color theme="4" tint="0.59996337778862885"/>
      </left>
      <right style="thin">
        <color theme="4" tint="0.59996337778862885"/>
      </right>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style="thin">
        <color theme="4" tint="0.59996337778862885"/>
      </left>
      <right/>
      <top style="thin">
        <color theme="4" tint="0.59996337778862885"/>
      </top>
      <bottom style="thin">
        <color theme="4" tint="0.59996337778862885"/>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style="thin">
        <color indexed="64"/>
      </bottom>
      <diagonal/>
    </border>
    <border>
      <left style="thin">
        <color theme="4" tint="0.59996337778862885"/>
      </left>
      <right style="thin">
        <color theme="4" tint="0.59996337778862885"/>
      </right>
      <top style="medium">
        <color indexed="64"/>
      </top>
      <bottom style="thin">
        <color theme="4" tint="0.59996337778862885"/>
      </bottom>
      <diagonal/>
    </border>
    <border>
      <left/>
      <right/>
      <top style="thin">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top/>
      <bottom/>
      <diagonal/>
    </border>
    <border>
      <left style="medium">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3" tint="0.79998168889431442"/>
      </left>
      <right style="thin">
        <color theme="3" tint="0.79998168889431442"/>
      </right>
      <top style="thin">
        <color theme="3" tint="0.79998168889431442"/>
      </top>
      <bottom style="thin">
        <color theme="3" tint="0.79998168889431442"/>
      </bottom>
      <diagonal/>
    </border>
  </borders>
  <cellStyleXfs count="6">
    <xf numFmtId="0" fontId="0"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23" fillId="0" borderId="0" applyNumberFormat="0" applyFill="0" applyBorder="0" applyAlignment="0" applyProtection="0"/>
  </cellStyleXfs>
  <cellXfs count="323">
    <xf numFmtId="0" fontId="0" fillId="0" borderId="0" xfId="0"/>
    <xf numFmtId="0" fontId="2" fillId="0" borderId="0" xfId="0" applyFont="1" applyAlignment="1" applyProtection="1">
      <alignment horizontal="right"/>
    </xf>
    <xf numFmtId="0" fontId="0" fillId="0" borderId="0" xfId="0" applyAlignment="1">
      <alignment horizontal="centerContinuous"/>
    </xf>
    <xf numFmtId="0" fontId="3" fillId="0" borderId="0" xfId="0" applyFont="1"/>
    <xf numFmtId="0" fontId="0" fillId="0" borderId="0" xfId="0" applyBorder="1"/>
    <xf numFmtId="0" fontId="6" fillId="0" borderId="0" xfId="0" applyFont="1" applyBorder="1" applyAlignment="1">
      <alignment horizontal="right" vertical="center"/>
    </xf>
    <xf numFmtId="0" fontId="4" fillId="0" borderId="0" xfId="0" applyFont="1" applyBorder="1" applyAlignment="1">
      <alignment horizontal="center" vertical="center"/>
    </xf>
    <xf numFmtId="0" fontId="7" fillId="0" borderId="3" xfId="0" applyFont="1" applyBorder="1" applyAlignment="1">
      <alignment horizontal="center" vertical="center" wrapText="1"/>
    </xf>
    <xf numFmtId="0" fontId="8" fillId="0" borderId="0" xfId="0" applyFont="1" applyAlignment="1">
      <alignment horizontal="right" vertical="center"/>
    </xf>
    <xf numFmtId="0" fontId="2" fillId="0" borderId="3" xfId="0" applyFont="1" applyBorder="1" applyAlignment="1">
      <alignment horizontal="centerContinuous" vertical="center" wrapText="1"/>
    </xf>
    <xf numFmtId="0" fontId="2" fillId="0" borderId="4" xfId="0" applyFont="1" applyBorder="1" applyAlignment="1">
      <alignment horizontal="center" vertical="center" wrapText="1"/>
    </xf>
    <xf numFmtId="0" fontId="2" fillId="0" borderId="0" xfId="0" applyFont="1"/>
    <xf numFmtId="0" fontId="2" fillId="0" borderId="0" xfId="0" applyFont="1" applyAlignment="1" applyProtection="1">
      <alignment horizontal="center" vertical="center"/>
      <protection locked="0"/>
    </xf>
    <xf numFmtId="37" fontId="9" fillId="0" borderId="0" xfId="0" applyNumberFormat="1" applyFont="1"/>
    <xf numFmtId="37" fontId="9" fillId="0" borderId="5" xfId="0" applyNumberFormat="1" applyFont="1" applyBorder="1" applyProtection="1">
      <protection locked="0"/>
    </xf>
    <xf numFmtId="0" fontId="2" fillId="0" borderId="0" xfId="0" applyFont="1" applyAlignment="1">
      <alignment horizontal="center" vertical="center"/>
    </xf>
    <xf numFmtId="37" fontId="9" fillId="0" borderId="6" xfId="0" applyNumberFormat="1" applyFont="1" applyBorder="1" applyProtection="1">
      <protection locked="0"/>
    </xf>
    <xf numFmtId="0" fontId="0" fillId="0" borderId="0" xfId="0" applyAlignment="1">
      <alignment vertical="center"/>
    </xf>
    <xf numFmtId="0" fontId="0" fillId="0" borderId="0" xfId="0" applyAlignment="1">
      <alignment horizontal="centerContinuous" vertical="center"/>
    </xf>
    <xf numFmtId="0" fontId="2" fillId="0" borderId="0" xfId="0" applyFont="1" applyAlignment="1">
      <alignment horizontal="centerContinuous" vertical="center"/>
    </xf>
    <xf numFmtId="38" fontId="10" fillId="0" borderId="2" xfId="0" applyNumberFormat="1" applyFont="1" applyBorder="1" applyAlignment="1">
      <alignment horizontal="center" vertical="center"/>
    </xf>
    <xf numFmtId="37" fontId="9" fillId="0" borderId="6" xfId="0" applyNumberFormat="1" applyFont="1" applyBorder="1" applyAlignment="1" applyProtection="1">
      <alignment vertical="center"/>
      <protection locked="0"/>
    </xf>
    <xf numFmtId="37" fontId="9" fillId="2" borderId="0" xfId="0" applyNumberFormat="1" applyFont="1" applyFill="1" applyAlignment="1">
      <alignment vertical="center"/>
    </xf>
    <xf numFmtId="37" fontId="4" fillId="0" borderId="6" xfId="0" applyNumberFormat="1" applyFont="1" applyBorder="1" applyAlignment="1" applyProtection="1">
      <alignment horizontal="center" vertical="center"/>
      <protection locked="0"/>
    </xf>
    <xf numFmtId="164" fontId="9" fillId="0" borderId="6" xfId="0" applyNumberFormat="1" applyFont="1" applyBorder="1" applyProtection="1">
      <protection locked="0"/>
    </xf>
    <xf numFmtId="0" fontId="0" fillId="0" borderId="0" xfId="0" applyProtection="1"/>
    <xf numFmtId="0" fontId="0" fillId="0" borderId="0" xfId="0" applyAlignment="1" applyProtection="1">
      <alignment horizontal="centerContinuous"/>
    </xf>
    <xf numFmtId="0" fontId="4" fillId="0" borderId="0" xfId="0" applyFont="1" applyBorder="1" applyAlignment="1" applyProtection="1">
      <alignment horizontal="center" vertical="center"/>
    </xf>
    <xf numFmtId="0" fontId="7" fillId="0" borderId="3" xfId="0" applyFont="1" applyBorder="1" applyAlignment="1" applyProtection="1">
      <alignment horizontal="center" vertical="center" wrapText="1"/>
    </xf>
    <xf numFmtId="0" fontId="8" fillId="0" borderId="0" xfId="0" applyFont="1" applyAlignment="1" applyProtection="1">
      <alignment horizontal="right" vertical="center"/>
    </xf>
    <xf numFmtId="0" fontId="2" fillId="0" borderId="4" xfId="0" applyFont="1" applyBorder="1" applyAlignment="1" applyProtection="1">
      <alignment horizontal="center" vertical="center" wrapText="1"/>
    </xf>
    <xf numFmtId="0" fontId="2" fillId="0" borderId="0" xfId="0" applyFont="1" applyAlignment="1" applyProtection="1">
      <alignment horizontal="center" vertical="center"/>
    </xf>
    <xf numFmtId="37" fontId="9" fillId="0" borderId="0" xfId="0" applyNumberFormat="1" applyFont="1" applyProtection="1"/>
    <xf numFmtId="37" fontId="11" fillId="0" borderId="0" xfId="0" applyNumberFormat="1" applyFont="1" applyBorder="1" applyProtection="1"/>
    <xf numFmtId="37" fontId="9" fillId="2" borderId="1" xfId="0" applyNumberFormat="1" applyFont="1" applyFill="1" applyBorder="1" applyProtection="1"/>
    <xf numFmtId="37" fontId="9" fillId="2" borderId="0" xfId="0" applyNumberFormat="1" applyFont="1" applyFill="1" applyBorder="1" applyProtection="1"/>
    <xf numFmtId="165" fontId="2" fillId="0" borderId="0" xfId="1" applyNumberFormat="1" applyFont="1" applyAlignment="1" applyProtection="1">
      <alignment horizontal="center" vertical="center"/>
    </xf>
    <xf numFmtId="0" fontId="0" fillId="0" borderId="0" xfId="0" applyAlignment="1" applyProtection="1">
      <alignment horizontal="left"/>
    </xf>
    <xf numFmtId="0" fontId="0" fillId="0" borderId="0" xfId="0" applyAlignment="1" applyProtection="1">
      <alignment horizontal="left" indent="1"/>
    </xf>
    <xf numFmtId="0" fontId="13" fillId="0" borderId="0" xfId="0" applyFont="1" applyAlignment="1" applyProtection="1">
      <alignment horizontal="centerContinuous" vertical="center"/>
    </xf>
    <xf numFmtId="0" fontId="2" fillId="0" borderId="0" xfId="0" applyFont="1" applyAlignment="1" applyProtection="1">
      <alignment horizontal="centerContinuous" vertical="center"/>
    </xf>
    <xf numFmtId="0" fontId="0" fillId="0" borderId="0" xfId="0" applyFont="1" applyAlignment="1" applyProtection="1">
      <alignment horizontal="centerContinuous"/>
    </xf>
    <xf numFmtId="0" fontId="3" fillId="0" borderId="0" xfId="0" applyFont="1" applyAlignment="1" applyProtection="1">
      <alignment vertical="center"/>
    </xf>
    <xf numFmtId="0" fontId="10" fillId="0" borderId="0" xfId="0" applyFont="1" applyAlignment="1" applyProtection="1">
      <alignment horizontal="centerContinuous" vertical="center"/>
    </xf>
    <xf numFmtId="0" fontId="11" fillId="0" borderId="0" xfId="0" applyFont="1" applyAlignment="1" applyProtection="1">
      <alignment horizontal="centerContinuous"/>
    </xf>
    <xf numFmtId="0" fontId="2" fillId="0" borderId="0" xfId="0" applyFont="1" applyAlignment="1" applyProtection="1">
      <alignment horizontal="centerContinuous"/>
    </xf>
    <xf numFmtId="164" fontId="2" fillId="0" borderId="0" xfId="0" applyNumberFormat="1" applyFont="1" applyProtection="1"/>
    <xf numFmtId="0" fontId="15" fillId="0" borderId="0" xfId="0" applyFont="1" applyAlignment="1" applyProtection="1">
      <alignment horizontal="centerContinuous"/>
    </xf>
    <xf numFmtId="0" fontId="14" fillId="0" borderId="0" xfId="0" applyFont="1" applyAlignment="1" applyProtection="1">
      <alignment horizontal="centerContinuous" vertical="center"/>
    </xf>
    <xf numFmtId="0" fontId="0" fillId="0" borderId="0" xfId="0" applyFont="1" applyProtection="1"/>
    <xf numFmtId="0" fontId="3" fillId="0" borderId="0" xfId="0" applyFont="1" applyBorder="1" applyAlignment="1">
      <alignment horizontal="right" vertical="center"/>
    </xf>
    <xf numFmtId="0" fontId="8" fillId="0" borderId="0" xfId="0" applyFont="1" applyAlignment="1">
      <alignment horizontal="centerContinuous" vertical="center"/>
    </xf>
    <xf numFmtId="0" fontId="2" fillId="0" borderId="0" xfId="0" applyFont="1" applyBorder="1" applyAlignment="1">
      <alignment horizontal="centerContinuous" vertical="center"/>
    </xf>
    <xf numFmtId="0" fontId="0" fillId="0" borderId="0" xfId="0" applyAlignment="1"/>
    <xf numFmtId="0" fontId="0" fillId="0" borderId="0" xfId="0" applyAlignment="1">
      <alignment horizontal="center" vertical="center" wrapText="1"/>
    </xf>
    <xf numFmtId="39" fontId="11" fillId="0" borderId="0" xfId="0" applyNumberFormat="1" applyFont="1" applyFill="1" applyBorder="1"/>
    <xf numFmtId="37" fontId="11" fillId="0" borderId="0" xfId="0" applyNumberFormat="1" applyFont="1" applyFill="1" applyBorder="1"/>
    <xf numFmtId="0" fontId="0" fillId="0" borderId="2" xfId="0" applyBorder="1" applyAlignment="1">
      <alignment horizontal="center" vertical="center" wrapText="1"/>
    </xf>
    <xf numFmtId="164" fontId="0" fillId="0" borderId="0" xfId="0" applyNumberFormat="1"/>
    <xf numFmtId="37" fontId="4" fillId="0" borderId="6" xfId="0" applyNumberFormat="1" applyFont="1" applyBorder="1" applyAlignment="1" applyProtection="1">
      <alignment horizontal="center" vertical="center" shrinkToFit="1"/>
      <protection locked="0"/>
    </xf>
    <xf numFmtId="165" fontId="0" fillId="0" borderId="0" xfId="1" applyNumberFormat="1" applyFont="1"/>
    <xf numFmtId="0" fontId="0" fillId="0" borderId="0" xfId="0" applyAlignment="1" applyProtection="1">
      <alignment horizontal="center" vertical="center"/>
    </xf>
    <xf numFmtId="0" fontId="2" fillId="0" borderId="2" xfId="0" applyFont="1" applyBorder="1" applyAlignment="1" applyProtection="1">
      <alignment horizontal="center" vertical="center"/>
    </xf>
    <xf numFmtId="165" fontId="2" fillId="0" borderId="0" xfId="1" applyNumberFormat="1" applyFont="1" applyAlignment="1">
      <alignment horizontal="center" vertical="center"/>
    </xf>
    <xf numFmtId="0" fontId="2" fillId="0" borderId="2" xfId="0" applyFont="1" applyBorder="1" applyAlignment="1" applyProtection="1">
      <alignment horizontal="center" vertical="center" wrapText="1"/>
    </xf>
    <xf numFmtId="0" fontId="2" fillId="0" borderId="2" xfId="0" applyFont="1" applyFill="1" applyBorder="1" applyAlignment="1" applyProtection="1">
      <alignment horizontal="center" vertical="center" wrapText="1"/>
    </xf>
    <xf numFmtId="0" fontId="2" fillId="0" borderId="2" xfId="0" applyFont="1" applyBorder="1" applyAlignment="1">
      <alignment horizontal="center" vertical="center" wrapText="1"/>
    </xf>
    <xf numFmtId="0" fontId="16" fillId="0" borderId="0" xfId="0" applyFont="1" applyAlignment="1" applyProtection="1">
      <alignment horizontal="centerContinuous"/>
    </xf>
    <xf numFmtId="0" fontId="17" fillId="0" borderId="0" xfId="0" applyFont="1" applyAlignment="1" applyProtection="1">
      <alignment horizontal="centerContinuous"/>
    </xf>
    <xf numFmtId="0" fontId="7" fillId="0" borderId="0" xfId="0" applyFont="1" applyAlignment="1" applyProtection="1">
      <alignment horizontal="centerContinuous" vertical="center"/>
    </xf>
    <xf numFmtId="0" fontId="0" fillId="0" borderId="15" xfId="0" applyBorder="1" applyAlignment="1" applyProtection="1">
      <alignment horizontal="center" vertical="center" wrapText="1"/>
    </xf>
    <xf numFmtId="165" fontId="0" fillId="0" borderId="0" xfId="1" applyNumberFormat="1" applyFont="1" applyBorder="1" applyAlignment="1" applyProtection="1">
      <alignment horizontal="center"/>
    </xf>
    <xf numFmtId="0" fontId="0" fillId="0" borderId="8" xfId="0" applyBorder="1" applyAlignment="1" applyProtection="1">
      <alignment horizontal="center" vertical="center" wrapText="1"/>
    </xf>
    <xf numFmtId="37" fontId="0" fillId="0" borderId="4" xfId="0" applyNumberFormat="1" applyBorder="1" applyAlignment="1">
      <alignment horizontal="centerContinuous" vertical="center"/>
    </xf>
    <xf numFmtId="37" fontId="0" fillId="0" borderId="12" xfId="0" applyNumberFormat="1" applyBorder="1" applyAlignment="1">
      <alignment horizontal="centerContinuous" vertical="center"/>
    </xf>
    <xf numFmtId="0" fontId="0" fillId="0" borderId="13" xfId="0" applyBorder="1"/>
    <xf numFmtId="0" fontId="0" fillId="0" borderId="14" xfId="0" applyBorder="1" applyAlignment="1">
      <alignment horizontal="center" vertical="center" wrapText="1"/>
    </xf>
    <xf numFmtId="0" fontId="0" fillId="0" borderId="15" xfId="0" applyBorder="1" applyAlignment="1">
      <alignment horizontal="center" vertical="center" wrapText="1"/>
    </xf>
    <xf numFmtId="165" fontId="0" fillId="0" borderId="0" xfId="1" applyNumberFormat="1" applyFont="1" applyBorder="1"/>
    <xf numFmtId="164" fontId="0" fillId="0" borderId="0" xfId="0" applyNumberFormat="1" applyBorder="1"/>
    <xf numFmtId="0" fontId="0" fillId="0" borderId="8" xfId="0" applyBorder="1" applyAlignment="1">
      <alignment horizontal="center" vertical="center" wrapText="1"/>
    </xf>
    <xf numFmtId="165" fontId="0" fillId="0" borderId="3" xfId="1" applyNumberFormat="1" applyFont="1" applyBorder="1"/>
    <xf numFmtId="0" fontId="0" fillId="0" borderId="3" xfId="0" applyBorder="1"/>
    <xf numFmtId="0" fontId="0" fillId="0" borderId="18" xfId="0" applyBorder="1" applyAlignment="1" applyProtection="1">
      <alignment horizontal="center" vertical="center" wrapText="1"/>
    </xf>
    <xf numFmtId="37" fontId="9" fillId="0" borderId="19" xfId="0" applyNumberFormat="1" applyFont="1" applyBorder="1" applyProtection="1">
      <protection locked="0"/>
    </xf>
    <xf numFmtId="166" fontId="2" fillId="0" borderId="0" xfId="1" applyNumberFormat="1" applyFont="1" applyProtection="1"/>
    <xf numFmtId="37" fontId="4" fillId="0" borderId="9" xfId="0" applyNumberFormat="1" applyFont="1" applyBorder="1" applyAlignment="1" applyProtection="1">
      <alignment horizontal="center" vertical="center"/>
      <protection locked="0"/>
    </xf>
    <xf numFmtId="0" fontId="2" fillId="0" borderId="0" xfId="0" applyFont="1" applyBorder="1" applyAlignment="1" applyProtection="1">
      <alignment horizontal="center" vertical="center"/>
    </xf>
    <xf numFmtId="165" fontId="2" fillId="0" borderId="10" xfId="1" applyNumberFormat="1" applyFont="1" applyBorder="1" applyAlignment="1" applyProtection="1">
      <alignment horizontal="center" vertical="center"/>
    </xf>
    <xf numFmtId="0" fontId="2" fillId="0" borderId="0" xfId="0" applyFont="1" applyAlignment="1" applyProtection="1">
      <alignment horizontal="left"/>
    </xf>
    <xf numFmtId="164" fontId="0" fillId="0" borderId="0" xfId="0" applyNumberFormat="1" applyFont="1"/>
    <xf numFmtId="0" fontId="2" fillId="0" borderId="0" xfId="0" applyFont="1" applyAlignment="1">
      <alignment horizontal="center"/>
    </xf>
    <xf numFmtId="0" fontId="10" fillId="0" borderId="2" xfId="0" applyFont="1" applyBorder="1" applyAlignment="1">
      <alignment horizontal="center" vertical="center" wrapText="1"/>
    </xf>
    <xf numFmtId="164" fontId="2" fillId="0" borderId="0" xfId="0" applyNumberFormat="1" applyFont="1"/>
    <xf numFmtId="0" fontId="2" fillId="0" borderId="0" xfId="0" applyFont="1" applyBorder="1" applyAlignment="1">
      <alignment horizontal="right" vertical="center"/>
    </xf>
    <xf numFmtId="0" fontId="2" fillId="0" borderId="0" xfId="0" applyFont="1" applyAlignment="1">
      <alignment vertical="center"/>
    </xf>
    <xf numFmtId="37" fontId="4" fillId="0" borderId="5" xfId="0" applyNumberFormat="1" applyFont="1" applyBorder="1" applyAlignment="1" applyProtection="1">
      <alignment horizontal="center" vertical="center"/>
      <protection locked="0"/>
    </xf>
    <xf numFmtId="165" fontId="9" fillId="0" borderId="5" xfId="1" applyNumberFormat="1" applyFont="1" applyBorder="1" applyAlignment="1" applyProtection="1">
      <alignment horizontal="center" vertical="center"/>
      <protection locked="0"/>
    </xf>
    <xf numFmtId="38" fontId="10" fillId="0" borderId="2" xfId="0" applyNumberFormat="1" applyFont="1" applyBorder="1" applyAlignment="1">
      <alignment horizontal="center" vertical="center" wrapText="1"/>
    </xf>
    <xf numFmtId="37" fontId="2" fillId="0" borderId="0" xfId="0" applyNumberFormat="1" applyFont="1" applyAlignment="1">
      <alignment vertical="center"/>
    </xf>
    <xf numFmtId="16" fontId="10" fillId="0" borderId="2" xfId="0" quotePrefix="1" applyNumberFormat="1" applyFont="1" applyBorder="1" applyAlignment="1">
      <alignment horizontal="center" vertical="center"/>
    </xf>
    <xf numFmtId="165" fontId="2" fillId="0" borderId="0" xfId="1" applyNumberFormat="1" applyFont="1" applyAlignment="1">
      <alignment vertical="center"/>
    </xf>
    <xf numFmtId="0" fontId="0" fillId="0" borderId="20" xfId="0" applyBorder="1" applyAlignment="1">
      <alignment vertical="center"/>
    </xf>
    <xf numFmtId="0" fontId="0" fillId="0" borderId="20" xfId="0" applyBorder="1" applyAlignment="1">
      <alignment horizontal="centerContinuous" vertical="center"/>
    </xf>
    <xf numFmtId="0" fontId="2" fillId="0" borderId="0" xfId="0" applyFont="1" applyAlignment="1" applyProtection="1">
      <alignment vertical="center"/>
    </xf>
    <xf numFmtId="0" fontId="2" fillId="2" borderId="0" xfId="0" applyFont="1" applyFill="1" applyAlignment="1">
      <alignment horizontal="center"/>
    </xf>
    <xf numFmtId="0" fontId="0" fillId="2" borderId="0" xfId="0" applyFill="1" applyAlignment="1">
      <alignment vertical="center"/>
    </xf>
    <xf numFmtId="0" fontId="2" fillId="2" borderId="0" xfId="0" applyFont="1" applyFill="1"/>
    <xf numFmtId="0" fontId="0" fillId="0" borderId="2" xfId="0" applyBorder="1" applyAlignment="1">
      <alignment vertical="center"/>
    </xf>
    <xf numFmtId="0" fontId="2" fillId="0" borderId="2" xfId="0" applyFont="1" applyBorder="1" applyAlignment="1">
      <alignment horizontal="right" vertical="center"/>
    </xf>
    <xf numFmtId="37" fontId="2" fillId="0" borderId="0" xfId="0" applyNumberFormat="1" applyFont="1" applyBorder="1" applyAlignment="1">
      <alignment vertical="center"/>
    </xf>
    <xf numFmtId="0" fontId="2" fillId="0" borderId="11" xfId="0" applyFont="1" applyBorder="1" applyAlignment="1">
      <alignment vertical="center"/>
    </xf>
    <xf numFmtId="0" fontId="2" fillId="2" borderId="4" xfId="0" applyFont="1" applyFill="1" applyBorder="1" applyAlignment="1">
      <alignment horizontal="center"/>
    </xf>
    <xf numFmtId="164" fontId="2" fillId="0" borderId="4" xfId="0" applyNumberFormat="1" applyFont="1" applyBorder="1"/>
    <xf numFmtId="164" fontId="2" fillId="0" borderId="12" xfId="0" applyNumberFormat="1" applyFont="1" applyBorder="1"/>
    <xf numFmtId="0" fontId="2" fillId="2" borderId="4" xfId="0" applyFont="1" applyFill="1" applyBorder="1" applyAlignment="1">
      <alignment vertical="center"/>
    </xf>
    <xf numFmtId="0" fontId="2" fillId="2" borderId="0" xfId="0" applyFont="1" applyFill="1" applyAlignment="1" applyProtection="1">
      <alignment horizontal="center"/>
    </xf>
    <xf numFmtId="10" fontId="11" fillId="0" borderId="0" xfId="1" applyNumberFormat="1" applyFont="1" applyBorder="1" applyAlignment="1" applyProtection="1">
      <alignment vertical="center"/>
    </xf>
    <xf numFmtId="0" fontId="10" fillId="2" borderId="0" xfId="0" applyFont="1" applyFill="1"/>
    <xf numFmtId="0" fontId="0" fillId="2" borderId="0" xfId="0" applyFill="1"/>
    <xf numFmtId="0" fontId="18" fillId="2" borderId="0" xfId="0" applyFont="1" applyFill="1"/>
    <xf numFmtId="49" fontId="4" fillId="2" borderId="0" xfId="0" applyNumberFormat="1" applyFont="1" applyFill="1" applyAlignment="1" applyProtection="1">
      <alignment horizontal="left"/>
      <protection locked="0"/>
    </xf>
    <xf numFmtId="49" fontId="9" fillId="2" borderId="0" xfId="0" applyNumberFormat="1" applyFont="1" applyFill="1" applyAlignment="1">
      <alignment horizontal="left"/>
    </xf>
    <xf numFmtId="167" fontId="2" fillId="0" borderId="0" xfId="4" applyNumberFormat="1" applyFont="1" applyProtection="1"/>
    <xf numFmtId="0" fontId="0" fillId="0" borderId="0" xfId="0" applyBorder="1" applyAlignment="1">
      <alignment horizontal="center" vertical="center" wrapText="1"/>
    </xf>
    <xf numFmtId="0" fontId="0" fillId="0" borderId="0" xfId="0" applyBorder="1" applyAlignment="1" applyProtection="1">
      <alignment horizontal="center" vertical="center" wrapText="1"/>
    </xf>
    <xf numFmtId="165" fontId="9" fillId="2" borderId="0" xfId="1" applyNumberFormat="1" applyFont="1" applyFill="1" applyBorder="1" applyAlignment="1" applyProtection="1">
      <alignment horizontal="center" vertical="center"/>
    </xf>
    <xf numFmtId="165" fontId="2" fillId="0" borderId="0" xfId="0" applyNumberFormat="1" applyFont="1" applyAlignment="1" applyProtection="1">
      <alignment horizontal="center"/>
    </xf>
    <xf numFmtId="165" fontId="10" fillId="0" borderId="10" xfId="1" applyNumberFormat="1" applyFont="1" applyBorder="1" applyAlignment="1" applyProtection="1">
      <alignment horizontal="center" vertical="center"/>
    </xf>
    <xf numFmtId="0" fontId="2" fillId="0" borderId="20" xfId="0" applyFont="1" applyBorder="1" applyAlignment="1">
      <alignment horizontal="centerContinuous" vertical="center"/>
    </xf>
    <xf numFmtId="0" fontId="0" fillId="0" borderId="20" xfId="0" applyFont="1" applyBorder="1" applyAlignment="1">
      <alignment horizontal="center"/>
    </xf>
    <xf numFmtId="0" fontId="2" fillId="0" borderId="20" xfId="0" applyFont="1" applyBorder="1" applyAlignment="1">
      <alignment horizontal="centerContinuous"/>
    </xf>
    <xf numFmtId="0" fontId="0" fillId="0" borderId="20" xfId="0" applyFont="1" applyBorder="1" applyAlignment="1">
      <alignment horizontal="centerContinuous"/>
    </xf>
    <xf numFmtId="0" fontId="10" fillId="0" borderId="0" xfId="0" applyFont="1" applyBorder="1" applyAlignment="1" applyProtection="1">
      <alignment horizontal="center" vertical="center"/>
    </xf>
    <xf numFmtId="37" fontId="9" fillId="2" borderId="0" xfId="0" applyNumberFormat="1" applyFont="1" applyFill="1" applyAlignment="1" applyProtection="1">
      <alignment vertical="center"/>
      <protection locked="0"/>
    </xf>
    <xf numFmtId="0" fontId="18" fillId="0" borderId="0" xfId="0" applyFont="1" applyProtection="1"/>
    <xf numFmtId="0" fontId="18" fillId="0" borderId="0" xfId="0" applyFont="1" applyAlignment="1" applyProtection="1">
      <alignment horizontal="left"/>
    </xf>
    <xf numFmtId="0" fontId="16" fillId="0" borderId="0" xfId="0" applyFont="1" applyAlignment="1" applyProtection="1">
      <alignment horizontal="centerContinuous"/>
      <protection locked="0"/>
    </xf>
    <xf numFmtId="0" fontId="5" fillId="0" borderId="0" xfId="0" applyFont="1" applyAlignment="1" applyProtection="1">
      <alignment horizontal="centerContinuous" vertical="center"/>
      <protection locked="0"/>
    </xf>
    <xf numFmtId="37" fontId="11" fillId="0" borderId="0" xfId="0" applyNumberFormat="1" applyFont="1" applyBorder="1" applyAlignment="1" applyProtection="1">
      <alignment shrinkToFit="1"/>
    </xf>
    <xf numFmtId="0" fontId="2" fillId="0" borderId="0" xfId="0" applyFont="1" applyAlignment="1">
      <alignment horizontal="left" vertical="center" wrapText="1"/>
    </xf>
    <xf numFmtId="37" fontId="2" fillId="0" borderId="0" xfId="0" applyNumberFormat="1" applyFont="1" applyAlignment="1"/>
    <xf numFmtId="0" fontId="4" fillId="0" borderId="0" xfId="0" applyFont="1" applyAlignment="1" applyProtection="1"/>
    <xf numFmtId="0" fontId="0" fillId="0" borderId="0" xfId="0" applyFont="1" applyAlignment="1">
      <alignment vertical="center"/>
    </xf>
    <xf numFmtId="37" fontId="0" fillId="0" borderId="0" xfId="0" applyNumberFormat="1" applyFont="1" applyAlignment="1" applyProtection="1">
      <alignment horizontal="right" vertical="center"/>
    </xf>
    <xf numFmtId="0" fontId="4" fillId="0" borderId="2" xfId="0" applyFont="1" applyBorder="1" applyAlignment="1" applyProtection="1"/>
    <xf numFmtId="0" fontId="2" fillId="0" borderId="2" xfId="0" applyFont="1" applyBorder="1" applyAlignment="1">
      <alignment horizontal="center" vertical="center"/>
    </xf>
    <xf numFmtId="37" fontId="2" fillId="0" borderId="0" xfId="0" applyNumberFormat="1" applyFont="1" applyAlignment="1" applyProtection="1">
      <alignment horizontal="right" vertical="center"/>
    </xf>
    <xf numFmtId="0" fontId="4" fillId="0" borderId="0" xfId="0" applyFont="1" applyBorder="1" applyAlignment="1" applyProtection="1"/>
    <xf numFmtId="164" fontId="2" fillId="0" borderId="0" xfId="0" applyNumberFormat="1" applyFont="1" applyAlignment="1">
      <alignment horizontal="right"/>
    </xf>
    <xf numFmtId="37" fontId="9" fillId="0" borderId="0" xfId="0" applyNumberFormat="1" applyFont="1" applyBorder="1" applyAlignment="1" applyProtection="1">
      <alignment horizontal="centerContinuous" vertical="center" shrinkToFit="1"/>
      <protection locked="0"/>
    </xf>
    <xf numFmtId="0" fontId="0" fillId="0" borderId="0" xfId="0" applyFont="1" applyAlignment="1">
      <alignment horizontal="centerContinuous" vertical="center"/>
    </xf>
    <xf numFmtId="0" fontId="11" fillId="0" borderId="0" xfId="0" applyFont="1"/>
    <xf numFmtId="37" fontId="4" fillId="0" borderId="6" xfId="0" applyNumberFormat="1" applyFont="1" applyBorder="1" applyProtection="1">
      <protection locked="0"/>
    </xf>
    <xf numFmtId="0" fontId="20" fillId="0" borderId="0" xfId="0" applyFont="1"/>
    <xf numFmtId="168" fontId="4" fillId="0" borderId="6" xfId="0" applyNumberFormat="1" applyFont="1" applyBorder="1" applyAlignment="1" applyProtection="1">
      <alignment horizontal="left"/>
      <protection locked="0"/>
    </xf>
    <xf numFmtId="49" fontId="4" fillId="0" borderId="6" xfId="0" applyNumberFormat="1" applyFont="1" applyBorder="1" applyProtection="1">
      <protection locked="0"/>
    </xf>
    <xf numFmtId="49" fontId="4" fillId="0" borderId="6" xfId="0" applyNumberFormat="1" applyFont="1" applyBorder="1" applyAlignment="1" applyProtection="1">
      <alignment horizontal="left"/>
      <protection locked="0"/>
    </xf>
    <xf numFmtId="0" fontId="4" fillId="0" borderId="0" xfId="0" applyFont="1"/>
    <xf numFmtId="37" fontId="4" fillId="0" borderId="6" xfId="0" applyNumberFormat="1" applyFont="1" applyBorder="1" applyAlignment="1" applyProtection="1">
      <alignment horizontal="left" vertical="center"/>
      <protection locked="0"/>
    </xf>
    <xf numFmtId="0" fontId="0" fillId="0" borderId="0" xfId="0" quotePrefix="1"/>
    <xf numFmtId="0" fontId="20" fillId="0" borderId="0" xfId="0" applyFont="1" applyAlignment="1">
      <alignment vertical="center"/>
    </xf>
    <xf numFmtId="0" fontId="0" fillId="0" borderId="0" xfId="0" applyAlignment="1">
      <alignment horizontal="left" vertical="center"/>
    </xf>
    <xf numFmtId="0" fontId="21" fillId="0" borderId="0" xfId="0" applyFont="1" applyAlignment="1">
      <alignment horizontal="centerContinuous" vertical="center"/>
    </xf>
    <xf numFmtId="0" fontId="21" fillId="0" borderId="0" xfId="0" applyFont="1" applyBorder="1" applyAlignment="1">
      <alignment horizontal="left" vertical="center"/>
    </xf>
    <xf numFmtId="0" fontId="22" fillId="0" borderId="0" xfId="0" applyFont="1" applyBorder="1" applyAlignment="1">
      <alignment horizontal="left" vertical="center" wrapText="1"/>
    </xf>
    <xf numFmtId="0" fontId="21" fillId="0" borderId="3" xfId="0" applyFont="1" applyBorder="1" applyAlignment="1">
      <alignment horizontal="left" vertical="center"/>
    </xf>
    <xf numFmtId="0" fontId="24" fillId="0" borderId="3" xfId="5" applyFont="1" applyBorder="1" applyAlignment="1">
      <alignment horizontal="left" vertical="center" wrapText="1"/>
    </xf>
    <xf numFmtId="0" fontId="24" fillId="0" borderId="0" xfId="5" applyFont="1" applyBorder="1" applyAlignment="1">
      <alignment horizontal="left" vertical="center" wrapText="1"/>
    </xf>
    <xf numFmtId="0" fontId="0" fillId="0" borderId="0" xfId="0" applyAlignment="1">
      <alignment horizontal="left" vertical="center" wrapText="1"/>
    </xf>
    <xf numFmtId="0" fontId="13" fillId="0" borderId="0" xfId="0" applyFont="1" applyAlignment="1">
      <alignment horizontal="left" vertical="center" wrapText="1"/>
    </xf>
    <xf numFmtId="0" fontId="2" fillId="0" borderId="0" xfId="0" applyFont="1" applyProtection="1"/>
    <xf numFmtId="0" fontId="25" fillId="0" borderId="0" xfId="0" applyFont="1" applyAlignment="1" applyProtection="1">
      <alignment horizontal="centerContinuous" vertical="center"/>
    </xf>
    <xf numFmtId="0" fontId="0" fillId="0" borderId="0" xfId="0" applyAlignment="1" applyProtection="1">
      <alignment vertical="center"/>
    </xf>
    <xf numFmtId="0" fontId="10" fillId="3" borderId="21" xfId="0" applyFont="1" applyFill="1" applyBorder="1" applyAlignment="1">
      <alignment horizontal="center" vertical="center"/>
    </xf>
    <xf numFmtId="0" fontId="2" fillId="3" borderId="21" xfId="0" applyFont="1" applyFill="1" applyBorder="1" applyAlignment="1">
      <alignment horizontal="center" vertical="center"/>
    </xf>
    <xf numFmtId="0" fontId="10" fillId="3" borderId="23" xfId="0" applyFont="1" applyFill="1" applyBorder="1" applyAlignment="1">
      <alignment horizontal="centerContinuous" vertical="center"/>
    </xf>
    <xf numFmtId="0" fontId="10" fillId="3" borderId="24" xfId="0" applyFont="1" applyFill="1" applyBorder="1" applyAlignment="1">
      <alignment horizontal="center" vertical="center"/>
    </xf>
    <xf numFmtId="0" fontId="2" fillId="3" borderId="24" xfId="0" applyFont="1" applyFill="1" applyBorder="1" applyAlignment="1">
      <alignment horizontal="center" vertical="center"/>
    </xf>
    <xf numFmtId="0" fontId="11" fillId="3" borderId="24" xfId="0" applyFont="1" applyFill="1" applyBorder="1" applyAlignment="1">
      <alignment vertical="center"/>
    </xf>
    <xf numFmtId="0" fontId="11" fillId="3" borderId="16" xfId="0" applyFont="1" applyFill="1" applyBorder="1" applyAlignment="1">
      <alignment vertical="center"/>
    </xf>
    <xf numFmtId="14" fontId="2" fillId="0" borderId="0" xfId="0" applyNumberFormat="1" applyFont="1" applyAlignment="1">
      <alignment horizontal="center" vertical="center"/>
    </xf>
    <xf numFmtId="0" fontId="0" fillId="3" borderId="24" xfId="0" applyFill="1" applyBorder="1" applyAlignment="1">
      <alignment vertical="center"/>
    </xf>
    <xf numFmtId="0" fontId="10" fillId="3" borderId="24" xfId="0" applyFont="1" applyFill="1" applyBorder="1" applyAlignment="1" applyProtection="1">
      <alignment vertical="center"/>
      <protection locked="0"/>
    </xf>
    <xf numFmtId="0" fontId="2" fillId="3" borderId="24" xfId="0" applyFont="1" applyFill="1" applyBorder="1" applyAlignment="1" applyProtection="1">
      <alignment horizontal="left" vertical="center"/>
      <protection locked="0"/>
    </xf>
    <xf numFmtId="0" fontId="2" fillId="0" borderId="0" xfId="0" applyFont="1" applyAlignment="1">
      <alignment horizontal="left" vertical="center"/>
    </xf>
    <xf numFmtId="0" fontId="10" fillId="3" borderId="24" xfId="0" applyFont="1" applyFill="1" applyBorder="1" applyAlignment="1" applyProtection="1">
      <alignment horizontal="left" vertical="center"/>
      <protection locked="0"/>
    </xf>
    <xf numFmtId="0" fontId="10" fillId="3" borderId="16" xfId="0" applyFont="1" applyFill="1" applyBorder="1" applyAlignment="1">
      <alignment vertical="center"/>
    </xf>
    <xf numFmtId="0" fontId="11" fillId="3" borderId="24" xfId="0" applyFont="1" applyFill="1" applyBorder="1" applyAlignment="1">
      <alignment horizontal="center" vertical="center"/>
    </xf>
    <xf numFmtId="0" fontId="0" fillId="0" borderId="0" xfId="0" applyAlignment="1">
      <alignment horizontal="center" vertical="center"/>
    </xf>
    <xf numFmtId="0" fontId="0" fillId="3" borderId="25" xfId="0" applyFill="1" applyBorder="1" applyAlignment="1">
      <alignment vertical="center"/>
    </xf>
    <xf numFmtId="0" fontId="11" fillId="3" borderId="25" xfId="0" applyFont="1" applyFill="1" applyBorder="1" applyAlignment="1">
      <alignment horizontal="center" vertical="center"/>
    </xf>
    <xf numFmtId="0" fontId="11" fillId="3" borderId="25" xfId="0" applyFont="1" applyFill="1" applyBorder="1" applyAlignment="1">
      <alignment vertical="center"/>
    </xf>
    <xf numFmtId="49" fontId="4" fillId="0" borderId="6" xfId="0" applyNumberFormat="1" applyFont="1" applyBorder="1" applyAlignment="1" applyProtection="1">
      <alignment vertical="center"/>
      <protection locked="0"/>
    </xf>
    <xf numFmtId="0" fontId="2" fillId="2" borderId="10" xfId="0" applyFont="1" applyFill="1" applyBorder="1" applyAlignment="1" applyProtection="1">
      <alignment horizontal="center" vertical="center"/>
    </xf>
    <xf numFmtId="0" fontId="2" fillId="2" borderId="21" xfId="0" applyFont="1" applyFill="1" applyBorder="1" applyAlignment="1" applyProtection="1">
      <alignment horizontal="center" vertical="center"/>
    </xf>
    <xf numFmtId="49" fontId="4" fillId="0" borderId="0" xfId="0" applyNumberFormat="1" applyFont="1" applyBorder="1" applyProtection="1">
      <protection locked="0"/>
    </xf>
    <xf numFmtId="49" fontId="11" fillId="2" borderId="0" xfId="0" applyNumberFormat="1" applyFont="1" applyFill="1" applyAlignment="1">
      <alignment horizontal="left"/>
    </xf>
    <xf numFmtId="169" fontId="11" fillId="2" borderId="0" xfId="0" applyNumberFormat="1" applyFont="1" applyFill="1" applyAlignment="1" applyProtection="1">
      <alignment horizontal="left"/>
      <protection locked="0"/>
    </xf>
    <xf numFmtId="0" fontId="0" fillId="2" borderId="0" xfId="0" applyFont="1" applyFill="1" applyAlignment="1" applyProtection="1">
      <alignment horizontal="left"/>
      <protection locked="0"/>
    </xf>
    <xf numFmtId="0" fontId="11" fillId="2" borderId="0" xfId="0" applyNumberFormat="1" applyFont="1" applyFill="1" applyAlignment="1">
      <alignment horizontal="left"/>
    </xf>
    <xf numFmtId="170" fontId="11" fillId="2" borderId="0" xfId="0" applyNumberFormat="1" applyFont="1" applyFill="1" applyAlignment="1">
      <alignment horizontal="left"/>
    </xf>
    <xf numFmtId="0" fontId="26" fillId="0" borderId="0" xfId="0" applyFont="1" applyAlignment="1">
      <alignment vertical="center"/>
    </xf>
    <xf numFmtId="0" fontId="0" fillId="0" borderId="24" xfId="0" applyBorder="1"/>
    <xf numFmtId="0" fontId="18" fillId="2" borderId="24" xfId="0" applyFont="1" applyFill="1" applyBorder="1" applyAlignment="1" applyProtection="1">
      <alignment vertical="center"/>
      <protection locked="0"/>
    </xf>
    <xf numFmtId="0" fontId="18" fillId="0" borderId="24" xfId="0" applyFont="1" applyBorder="1"/>
    <xf numFmtId="0" fontId="0" fillId="0" borderId="25" xfId="0" applyBorder="1"/>
    <xf numFmtId="0" fontId="0" fillId="0" borderId="0" xfId="0" applyAlignment="1" applyProtection="1">
      <alignment horizontal="right" vertical="center"/>
    </xf>
    <xf numFmtId="0" fontId="0" fillId="0" borderId="0" xfId="0" applyAlignment="1">
      <alignment vertical="center" wrapText="1"/>
    </xf>
    <xf numFmtId="38" fontId="10" fillId="0" borderId="2" xfId="0" applyNumberFormat="1" applyFont="1" applyBorder="1" applyAlignment="1" applyProtection="1">
      <alignment horizontal="center" vertical="center"/>
    </xf>
    <xf numFmtId="0" fontId="10" fillId="0" borderId="2" xfId="0" applyFont="1" applyBorder="1" applyAlignment="1" applyProtection="1">
      <alignment horizontal="center" vertical="center" wrapText="1"/>
    </xf>
    <xf numFmtId="165" fontId="0" fillId="0" borderId="16" xfId="1" applyNumberFormat="1" applyFont="1" applyBorder="1"/>
    <xf numFmtId="165" fontId="0" fillId="0" borderId="17" xfId="1" applyNumberFormat="1" applyFont="1" applyBorder="1"/>
    <xf numFmtId="0" fontId="0" fillId="0" borderId="29" xfId="0" applyBorder="1"/>
    <xf numFmtId="0" fontId="0" fillId="0" borderId="4" xfId="0" applyBorder="1"/>
    <xf numFmtId="37" fontId="0" fillId="0" borderId="4" xfId="0" applyNumberFormat="1" applyBorder="1" applyAlignment="1">
      <alignment horizontal="left"/>
    </xf>
    <xf numFmtId="37" fontId="0" fillId="0" borderId="11" xfId="0" applyNumberFormat="1" applyBorder="1" applyAlignment="1">
      <alignment horizontal="left" vertical="center"/>
    </xf>
    <xf numFmtId="165" fontId="0" fillId="0" borderId="0" xfId="0" applyNumberFormat="1"/>
    <xf numFmtId="0" fontId="0" fillId="0" borderId="0" xfId="0" applyFill="1" applyBorder="1" applyAlignment="1">
      <alignment horizontal="center" vertical="center" wrapText="1"/>
    </xf>
    <xf numFmtId="165" fontId="4" fillId="0" borderId="5" xfId="1" applyNumberFormat="1" applyFont="1" applyBorder="1" applyAlignment="1" applyProtection="1">
      <alignment horizontal="center" vertical="center"/>
      <protection locked="0"/>
    </xf>
    <xf numFmtId="165" fontId="0" fillId="0" borderId="16" xfId="1" applyNumberFormat="1" applyFont="1" applyBorder="1" applyAlignment="1" applyProtection="1">
      <alignment horizontal="center"/>
    </xf>
    <xf numFmtId="165" fontId="0" fillId="0" borderId="17" xfId="1" applyNumberFormat="1" applyFont="1" applyBorder="1" applyAlignment="1" applyProtection="1">
      <alignment horizontal="center"/>
    </xf>
    <xf numFmtId="0" fontId="0" fillId="0" borderId="13" xfId="0" applyBorder="1" applyAlignment="1" applyProtection="1">
      <alignment horizontal="center" vertical="center"/>
    </xf>
    <xf numFmtId="165" fontId="4" fillId="0" borderId="6" xfId="1" applyNumberFormat="1" applyFont="1" applyBorder="1" applyAlignment="1" applyProtection="1">
      <alignment horizontal="center" vertical="center"/>
      <protection locked="0"/>
    </xf>
    <xf numFmtId="49" fontId="4" fillId="0" borderId="6" xfId="0" applyNumberFormat="1" applyFont="1" applyBorder="1" applyAlignment="1" applyProtection="1">
      <alignment horizontal="left" vertical="center" shrinkToFit="1"/>
      <protection locked="0"/>
    </xf>
    <xf numFmtId="169" fontId="4" fillId="0" borderId="6" xfId="0" applyNumberFormat="1" applyFont="1" applyBorder="1" applyAlignment="1" applyProtection="1">
      <alignment horizontal="center" vertical="center" shrinkToFit="1"/>
      <protection locked="0"/>
    </xf>
    <xf numFmtId="0" fontId="31" fillId="0" borderId="24" xfId="0" applyFont="1" applyBorder="1"/>
    <xf numFmtId="49" fontId="4" fillId="0" borderId="0" xfId="0" applyNumberFormat="1" applyFont="1" applyBorder="1" applyAlignment="1" applyProtection="1">
      <alignment horizontal="left"/>
      <protection locked="0"/>
    </xf>
    <xf numFmtId="0" fontId="11" fillId="3" borderId="0" xfId="0" applyFont="1" applyFill="1" applyBorder="1" applyAlignment="1">
      <alignment vertical="center"/>
    </xf>
    <xf numFmtId="0" fontId="10" fillId="3" borderId="0" xfId="0" applyFont="1" applyFill="1" applyBorder="1" applyAlignment="1" applyProtection="1">
      <alignment horizontal="left" vertical="center"/>
      <protection locked="0"/>
    </xf>
    <xf numFmtId="0" fontId="0" fillId="0" borderId="0" xfId="0" applyNumberFormat="1" applyProtection="1"/>
    <xf numFmtId="0" fontId="16" fillId="0" borderId="0" xfId="0" applyNumberFormat="1" applyFont="1" applyAlignment="1" applyProtection="1">
      <alignment horizontal="centerContinuous"/>
      <protection locked="0"/>
    </xf>
    <xf numFmtId="0" fontId="15" fillId="0" borderId="0" xfId="0" applyNumberFormat="1" applyFont="1" applyAlignment="1" applyProtection="1">
      <alignment horizontal="centerContinuous"/>
    </xf>
    <xf numFmtId="0" fontId="0" fillId="3" borderId="15" xfId="0" applyFill="1" applyBorder="1"/>
    <xf numFmtId="0" fontId="0" fillId="3" borderId="16" xfId="0" applyFill="1" applyBorder="1"/>
    <xf numFmtId="0" fontId="2" fillId="3" borderId="22" xfId="0" applyFont="1" applyFill="1" applyBorder="1" applyAlignment="1">
      <alignment horizontal="centerContinuous"/>
    </xf>
    <xf numFmtId="0" fontId="0" fillId="3" borderId="23" xfId="0" applyFill="1" applyBorder="1" applyAlignment="1">
      <alignment horizontal="centerContinuous"/>
    </xf>
    <xf numFmtId="0" fontId="0" fillId="3" borderId="15" xfId="0" applyFill="1" applyBorder="1" applyAlignment="1">
      <alignment horizontal="centerContinuous"/>
    </xf>
    <xf numFmtId="0" fontId="0" fillId="3" borderId="16" xfId="0" applyFill="1" applyBorder="1" applyAlignment="1">
      <alignment horizontal="centerContinuous"/>
    </xf>
    <xf numFmtId="0" fontId="0" fillId="3" borderId="15" xfId="0" applyFill="1" applyBorder="1" applyAlignment="1">
      <alignment horizontal="center"/>
    </xf>
    <xf numFmtId="0" fontId="0" fillId="3" borderId="8" xfId="0" applyFill="1" applyBorder="1" applyAlignment="1">
      <alignment horizontal="center"/>
    </xf>
    <xf numFmtId="0" fontId="0" fillId="3" borderId="16" xfId="0" applyFill="1" applyBorder="1" applyAlignment="1" applyProtection="1">
      <alignment horizontal="center"/>
      <protection locked="0"/>
    </xf>
    <xf numFmtId="0" fontId="0" fillId="3" borderId="17" xfId="0" applyFill="1" applyBorder="1" applyAlignment="1" applyProtection="1">
      <alignment horizontal="center"/>
      <protection locked="0"/>
    </xf>
    <xf numFmtId="0" fontId="2" fillId="4" borderId="30" xfId="0" applyFont="1" applyFill="1" applyBorder="1" applyAlignment="1">
      <alignment vertical="center"/>
    </xf>
    <xf numFmtId="0" fontId="0" fillId="4" borderId="31" xfId="0" applyFill="1" applyBorder="1" applyAlignment="1">
      <alignment vertical="center"/>
    </xf>
    <xf numFmtId="0" fontId="0" fillId="4" borderId="32" xfId="0" applyFill="1" applyBorder="1" applyAlignment="1">
      <alignment vertical="center"/>
    </xf>
    <xf numFmtId="0" fontId="0" fillId="4" borderId="33" xfId="0" applyFill="1" applyBorder="1" applyAlignment="1" applyProtection="1">
      <alignment vertical="center"/>
      <protection locked="0"/>
    </xf>
    <xf numFmtId="0" fontId="0" fillId="4" borderId="34" xfId="0" applyFill="1" applyBorder="1" applyAlignment="1">
      <alignment vertical="center"/>
    </xf>
    <xf numFmtId="0" fontId="4" fillId="0" borderId="6" xfId="0" applyNumberFormat="1" applyFont="1" applyBorder="1" applyAlignment="1" applyProtection="1">
      <alignment vertical="center"/>
      <protection locked="0" hidden="1"/>
    </xf>
    <xf numFmtId="0" fontId="10" fillId="3" borderId="22" xfId="0" applyFont="1" applyFill="1" applyBorder="1" applyAlignment="1">
      <alignment horizontal="centerContinuous" vertical="center"/>
    </xf>
    <xf numFmtId="0" fontId="11" fillId="3" borderId="15" xfId="0" applyFont="1" applyFill="1" applyBorder="1" applyAlignment="1">
      <alignment vertical="center"/>
    </xf>
    <xf numFmtId="0" fontId="10" fillId="3" borderId="15" xfId="0" applyFont="1" applyFill="1" applyBorder="1" applyAlignment="1" applyProtection="1">
      <alignment horizontal="left" vertical="center"/>
      <protection locked="0"/>
    </xf>
    <xf numFmtId="0" fontId="10" fillId="3" borderId="0" xfId="0" applyFont="1" applyFill="1" applyBorder="1" applyAlignment="1">
      <alignment horizontal="center" vertical="center"/>
    </xf>
    <xf numFmtId="0" fontId="0" fillId="4" borderId="35" xfId="0" applyFill="1" applyBorder="1" applyAlignment="1" applyProtection="1">
      <alignment vertical="center"/>
      <protection locked="0"/>
    </xf>
    <xf numFmtId="49" fontId="9" fillId="0" borderId="0" xfId="0" applyNumberFormat="1" applyFont="1" applyBorder="1" applyAlignment="1" applyProtection="1">
      <alignment horizontal="center" vertical="center"/>
    </xf>
    <xf numFmtId="49" fontId="4" fillId="0" borderId="0" xfId="0" applyNumberFormat="1" applyFont="1" applyBorder="1" applyAlignment="1" applyProtection="1">
      <alignment horizontal="left"/>
    </xf>
    <xf numFmtId="49" fontId="4" fillId="0" borderId="0" xfId="0" applyNumberFormat="1" applyFont="1" applyBorder="1" applyAlignment="1" applyProtection="1"/>
    <xf numFmtId="49" fontId="4" fillId="0" borderId="28" xfId="0" applyNumberFormat="1" applyFont="1" applyBorder="1" applyAlignment="1" applyProtection="1"/>
    <xf numFmtId="169" fontId="9" fillId="0" borderId="0" xfId="0" applyNumberFormat="1" applyFont="1" applyBorder="1" applyAlignment="1" applyProtection="1">
      <alignment horizontal="center" vertical="center"/>
    </xf>
    <xf numFmtId="37" fontId="4" fillId="0" borderId="36" xfId="0" applyNumberFormat="1" applyFont="1" applyBorder="1" applyProtection="1">
      <protection locked="0"/>
    </xf>
    <xf numFmtId="37" fontId="4" fillId="0" borderId="0" xfId="0" applyNumberFormat="1" applyFont="1" applyBorder="1" applyProtection="1">
      <protection locked="0"/>
    </xf>
    <xf numFmtId="164" fontId="11" fillId="0" borderId="7" xfId="0" applyNumberFormat="1" applyFont="1" applyBorder="1" applyProtection="1"/>
    <xf numFmtId="0" fontId="4" fillId="0" borderId="20" xfId="0" applyFont="1" applyBorder="1" applyProtection="1">
      <protection locked="0"/>
    </xf>
    <xf numFmtId="0" fontId="4" fillId="2" borderId="20" xfId="0" applyFont="1" applyFill="1" applyBorder="1" applyAlignment="1" applyProtection="1">
      <alignment horizontal="center"/>
      <protection locked="0"/>
    </xf>
    <xf numFmtId="164" fontId="4" fillId="0" borderId="20" xfId="0" applyNumberFormat="1" applyFont="1" applyBorder="1" applyProtection="1">
      <protection locked="0"/>
    </xf>
    <xf numFmtId="0" fontId="33" fillId="0" borderId="0" xfId="0" applyFont="1" applyAlignment="1" applyProtection="1">
      <alignment horizontal="left"/>
    </xf>
    <xf numFmtId="0" fontId="5" fillId="0" borderId="0" xfId="0" applyFont="1" applyAlignment="1" applyProtection="1">
      <alignment horizontal="centerContinuous"/>
    </xf>
    <xf numFmtId="0" fontId="16" fillId="0" borderId="0" xfId="0" applyFont="1" applyAlignment="1" applyProtection="1">
      <alignment horizontal="centerContinuous" vertical="center"/>
    </xf>
    <xf numFmtId="0" fontId="34" fillId="0" borderId="0" xfId="0" applyFont="1" applyAlignment="1" applyProtection="1">
      <alignment horizontal="centerContinuous"/>
    </xf>
    <xf numFmtId="0" fontId="11" fillId="0" borderId="0" xfId="0" applyFont="1" applyAlignment="1">
      <alignment horizontal="centerContinuous"/>
    </xf>
    <xf numFmtId="0" fontId="32" fillId="0" borderId="0" xfId="0" applyFont="1" applyAlignment="1">
      <alignment vertical="center"/>
    </xf>
    <xf numFmtId="0" fontId="35" fillId="0" borderId="0" xfId="0" applyFont="1"/>
    <xf numFmtId="0" fontId="36" fillId="0" borderId="0" xfId="0" applyFont="1" applyAlignment="1" applyProtection="1">
      <alignment horizontal="centerContinuous" vertical="center"/>
    </xf>
    <xf numFmtId="0" fontId="37" fillId="0" borderId="0" xfId="0" applyFont="1" applyAlignment="1" applyProtection="1">
      <alignment horizontal="centerContinuous"/>
    </xf>
    <xf numFmtId="0" fontId="37" fillId="0" borderId="0" xfId="0" applyFont="1" applyAlignment="1">
      <alignment horizontal="centerContinuous"/>
    </xf>
    <xf numFmtId="0" fontId="37" fillId="0" borderId="0" xfId="0" applyFont="1"/>
    <xf numFmtId="0" fontId="36" fillId="0" borderId="0" xfId="0" applyFont="1" applyAlignment="1" applyProtection="1">
      <alignment horizontal="centerContinuous"/>
    </xf>
    <xf numFmtId="0" fontId="18" fillId="0" borderId="0" xfId="0" applyFont="1" applyAlignment="1">
      <alignment vertical="center"/>
    </xf>
    <xf numFmtId="0" fontId="0" fillId="0" borderId="0" xfId="0" applyFill="1" applyBorder="1" applyAlignment="1">
      <alignment vertical="center"/>
    </xf>
    <xf numFmtId="0" fontId="5" fillId="0" borderId="0" xfId="0" applyFont="1" applyAlignment="1" applyProtection="1">
      <alignment horizontal="centerContinuous" vertical="center"/>
    </xf>
    <xf numFmtId="0" fontId="10" fillId="0" borderId="0" xfId="0" applyFont="1" applyAlignment="1" applyProtection="1"/>
    <xf numFmtId="0" fontId="10" fillId="0" borderId="2" xfId="0" applyFont="1" applyBorder="1" applyAlignment="1" applyProtection="1"/>
    <xf numFmtId="0" fontId="10" fillId="0" borderId="0" xfId="0" applyFont="1" applyAlignment="1" applyProtection="1">
      <alignment horizontal="left" indent="1"/>
    </xf>
    <xf numFmtId="0" fontId="10" fillId="0" borderId="0" xfId="0" applyFont="1" applyBorder="1" applyAlignment="1" applyProtection="1"/>
    <xf numFmtId="0" fontId="0" fillId="0" borderId="16" xfId="0" applyBorder="1"/>
    <xf numFmtId="0" fontId="2" fillId="0" borderId="0" xfId="0" applyFont="1"/>
    <xf numFmtId="37" fontId="0" fillId="0" borderId="0" xfId="0" applyNumberFormat="1" applyAlignment="1">
      <alignment vertical="center"/>
    </xf>
    <xf numFmtId="0" fontId="23" fillId="0" borderId="0" xfId="5"/>
    <xf numFmtId="0" fontId="16" fillId="0" borderId="0" xfId="0" applyFont="1" applyAlignment="1" applyProtection="1">
      <alignment horizontal="center"/>
      <protection locked="0"/>
    </xf>
    <xf numFmtId="0" fontId="23" fillId="0" borderId="0" xfId="5" applyAlignment="1" applyProtection="1"/>
    <xf numFmtId="0" fontId="23" fillId="0" borderId="0" xfId="5" applyAlignment="1" applyProtection="1">
      <alignment vertical="center"/>
    </xf>
    <xf numFmtId="0" fontId="23" fillId="0" borderId="0" xfId="5" applyFill="1"/>
    <xf numFmtId="0" fontId="17" fillId="0" borderId="0" xfId="0" applyFont="1" applyFill="1" applyAlignment="1" applyProtection="1">
      <alignment horizontal="centerContinuous"/>
    </xf>
    <xf numFmtId="37" fontId="0" fillId="0" borderId="0" xfId="0" applyNumberFormat="1" applyFont="1" applyFill="1" applyAlignment="1" applyProtection="1">
      <alignment horizontal="right" vertical="center"/>
    </xf>
    <xf numFmtId="0" fontId="23" fillId="0" borderId="0" xfId="5" applyFill="1" applyAlignment="1" applyProtection="1"/>
    <xf numFmtId="0" fontId="0" fillId="0" borderId="0" xfId="0" applyFill="1" applyAlignment="1">
      <alignment vertical="center"/>
    </xf>
    <xf numFmtId="0" fontId="0" fillId="0" borderId="0" xfId="0" applyFill="1" applyAlignment="1">
      <alignment horizontal="centerContinuous" vertical="center"/>
    </xf>
    <xf numFmtId="0" fontId="33" fillId="0" borderId="0" xfId="0" applyFont="1" applyProtection="1"/>
    <xf numFmtId="0" fontId="38" fillId="0" borderId="0" xfId="0" applyFont="1" applyAlignment="1" applyProtection="1">
      <alignment vertical="center"/>
    </xf>
    <xf numFmtId="0" fontId="33" fillId="0" borderId="0" xfId="0" applyFont="1" applyBorder="1" applyProtection="1"/>
    <xf numFmtId="0" fontId="33" fillId="0" borderId="0" xfId="0" applyFont="1"/>
    <xf numFmtId="0" fontId="39" fillId="0" borderId="0" xfId="0" applyFont="1" applyAlignment="1" applyProtection="1">
      <alignment horizontal="centerContinuous" vertical="center"/>
    </xf>
    <xf numFmtId="0" fontId="40" fillId="0" borderId="0" xfId="0" applyFont="1" applyAlignment="1" applyProtection="1">
      <alignment horizontal="centerContinuous" vertical="center"/>
    </xf>
    <xf numFmtId="0" fontId="33" fillId="0" borderId="0" xfId="0" applyFont="1" applyAlignment="1" applyProtection="1">
      <alignment horizontal="centerContinuous"/>
    </xf>
    <xf numFmtId="0" fontId="33" fillId="0" borderId="0" xfId="0" applyFont="1" applyAlignment="1">
      <alignment horizontal="centerContinuous"/>
    </xf>
    <xf numFmtId="0" fontId="33" fillId="0" borderId="0" xfId="0" applyFont="1" applyAlignment="1">
      <alignment vertical="center"/>
    </xf>
    <xf numFmtId="0" fontId="33" fillId="0" borderId="0" xfId="0" applyFont="1" applyAlignment="1" applyProtection="1">
      <alignment horizontal="left" vertical="center"/>
    </xf>
    <xf numFmtId="0" fontId="33" fillId="0" borderId="0" xfId="0" applyFont="1" applyAlignment="1"/>
    <xf numFmtId="0" fontId="0" fillId="0" borderId="0" xfId="0" applyAlignment="1">
      <alignment horizontal="right"/>
    </xf>
    <xf numFmtId="0" fontId="41" fillId="0" borderId="0" xfId="0" applyFont="1" applyAlignment="1" applyProtection="1">
      <alignment horizontal="center"/>
    </xf>
    <xf numFmtId="0" fontId="18" fillId="0" borderId="0" xfId="0" applyFont="1" applyAlignment="1" applyProtection="1">
      <alignment horizontal="center"/>
    </xf>
    <xf numFmtId="0" fontId="2" fillId="0" borderId="0" xfId="0" applyFont="1"/>
    <xf numFmtId="0" fontId="20" fillId="0" borderId="0" xfId="0" applyFont="1" applyAlignment="1">
      <alignment vertical="top"/>
    </xf>
    <xf numFmtId="0" fontId="0" fillId="0" borderId="0" xfId="0" applyAlignment="1">
      <alignment vertical="top"/>
    </xf>
    <xf numFmtId="0" fontId="0" fillId="0" borderId="24" xfId="0" applyBorder="1" applyAlignment="1">
      <alignment vertical="top"/>
    </xf>
    <xf numFmtId="0" fontId="2" fillId="0" borderId="0" xfId="0" applyFont="1" applyAlignment="1">
      <alignment vertical="top"/>
    </xf>
    <xf numFmtId="0" fontId="2" fillId="0" borderId="0" xfId="0" applyFont="1" applyAlignment="1">
      <alignment wrapText="1"/>
    </xf>
    <xf numFmtId="0" fontId="2" fillId="0" borderId="0" xfId="0" applyFont="1"/>
    <xf numFmtId="49" fontId="4" fillId="0" borderId="9" xfId="0" applyNumberFormat="1" applyFont="1" applyBorder="1" applyAlignment="1" applyProtection="1">
      <alignment horizontal="left"/>
      <protection locked="0"/>
    </xf>
    <xf numFmtId="49" fontId="4" fillId="0" borderId="26" xfId="0" applyNumberFormat="1" applyFont="1" applyBorder="1" applyAlignment="1" applyProtection="1">
      <alignment horizontal="left"/>
      <protection locked="0"/>
    </xf>
    <xf numFmtId="49" fontId="4" fillId="0" borderId="27" xfId="0" applyNumberFormat="1" applyFont="1" applyBorder="1" applyAlignment="1" applyProtection="1">
      <alignment horizontal="left"/>
      <protection locked="0"/>
    </xf>
    <xf numFmtId="37" fontId="9" fillId="0" borderId="9" xfId="0" applyNumberFormat="1" applyFont="1" applyBorder="1" applyAlignment="1" applyProtection="1">
      <alignment horizontal="center" vertical="center" shrinkToFit="1"/>
      <protection locked="0"/>
    </xf>
    <xf numFmtId="37" fontId="9" fillId="0" borderId="27" xfId="0" applyNumberFormat="1" applyFont="1" applyBorder="1" applyAlignment="1" applyProtection="1">
      <alignment horizontal="center" vertical="center" shrinkToFit="1"/>
      <protection locked="0"/>
    </xf>
  </cellXfs>
  <cellStyles count="6">
    <cellStyle name="Comma" xfId="4" builtinId="3"/>
    <cellStyle name="Hyperlink" xfId="5" builtinId="8"/>
    <cellStyle name="Normal" xfId="0" builtinId="0"/>
    <cellStyle name="Normal 2" xfId="2" xr:uid="{00000000-0005-0000-0000-000003000000}"/>
    <cellStyle name="Percent" xfId="1" builtinId="5"/>
    <cellStyle name="Percent 3" xfId="3" xr:uid="{00000000-0005-0000-0000-000005000000}"/>
  </cellStyles>
  <dxfs count="20">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s>
  <tableStyles count="0" defaultTableStyle="TableStyleMedium2" defaultPivotStyle="PivotStyleLight16"/>
  <colors>
    <mruColors>
      <color rgb="FFD9D9D9"/>
      <color rgb="FF9C0006"/>
      <color rgb="FFFFC7CE"/>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Lines="4" dropStyle="combo" dx="16" fmlaLink="References!$L$5" fmlaRange="List_AggMethod" sel="1" val="0"/>
</file>

<file path=xl/ctrlProps/ctrlProp7.xml><?xml version="1.0" encoding="utf-8"?>
<formControlPr xmlns="http://schemas.microsoft.com/office/spreadsheetml/2009/9/main" objectType="Drop" dropLines="4" dropStyle="combo" dx="16" fmlaLink="References!$N$5" fmlaRange="List_PrintExh" sel="4" val="0"/>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Drop" dropLines="25" dropStyle="combo" dx="16" fmlaLink="References!$F$5" fmlaRange="List_GeneralLine" sel="17" val="0"/>
</file>

<file path=xl/ctrlProps/ctrlProp10.xml><?xml version="1.0" encoding="utf-8"?>
<formControlPr xmlns="http://schemas.microsoft.com/office/spreadsheetml/2009/9/main" objectType="Drop" dropLines="3" dropStyle="combo" dx="15" fmlaLink="$C$34" fmlaRange="References!$B$13:$B$15" noThreeD="1" sel="2" val="0"/>
</file>

<file path=xl/ctrlProps/ctrlProp11.xml><?xml version="1.0" encoding="utf-8"?>
<formControlPr xmlns="http://schemas.microsoft.com/office/spreadsheetml/2009/9/main" objectType="Drop" dropLines="3" dropStyle="combo" dx="16" fmlaLink="References!$D$5" fmlaRange="List_LineType" sel="2" val="0"/>
</file>

<file path=xl/ctrlProps/ctrlProp12.xml><?xml version="1.0" encoding="utf-8"?>
<formControlPr xmlns="http://schemas.microsoft.com/office/spreadsheetml/2009/9/main" objectType="Drop" dropLines="34" dropStyle="combo" dx="16" fmlaLink="References!$Q$6" fmlaRange="List_DetailLine" sel="2" val="0"/>
</file>

<file path=xl/ctrlProps/ctrlProp13.xml><?xml version="1.0" encoding="utf-8"?>
<formControlPr xmlns="http://schemas.microsoft.com/office/spreadsheetml/2009/9/main" objectType="Drop" dropLines="34" dropStyle="combo" dx="16" fmlaLink="References!$Q$7" fmlaRange="List_DetailLine" sel="1" val="0"/>
</file>

<file path=xl/ctrlProps/ctrlProp14.xml><?xml version="1.0" encoding="utf-8"?>
<formControlPr xmlns="http://schemas.microsoft.com/office/spreadsheetml/2009/9/main" objectType="Drop" dropLines="34" dropStyle="combo" dx="16" fmlaLink="References!$Q$8" fmlaRange="List_DetailLine" sel="1" val="0"/>
</file>

<file path=xl/ctrlProps/ctrlProp15.xml><?xml version="1.0" encoding="utf-8"?>
<formControlPr xmlns="http://schemas.microsoft.com/office/spreadsheetml/2009/9/main" objectType="Drop" dropLines="34" dropStyle="combo" dx="16" fmlaLink="References!$Q$9" fmlaRange="List_DetailLine" sel="1" val="0"/>
</file>

<file path=xl/ctrlProps/ctrlProp16.xml><?xml version="1.0" encoding="utf-8"?>
<formControlPr xmlns="http://schemas.microsoft.com/office/spreadsheetml/2009/9/main" objectType="Drop" dropLines="34" dropStyle="combo" dx="16" fmlaLink="References!$Q$10" fmlaRange="List_DetailLine" sel="1" val="0"/>
</file>

<file path=xl/ctrlProps/ctrlProp17.xml><?xml version="1.0" encoding="utf-8"?>
<formControlPr xmlns="http://schemas.microsoft.com/office/spreadsheetml/2009/9/main" objectType="Drop" dropLines="34" dropStyle="combo" dx="16" fmlaLink="References!$Q$11" fmlaRange="List_DetailLine" sel="1" val="0"/>
</file>

<file path=xl/ctrlProps/ctrlProp18.xml><?xml version="1.0" encoding="utf-8"?>
<formControlPr xmlns="http://schemas.microsoft.com/office/spreadsheetml/2009/9/main" objectType="Drop" dropLines="34" dropStyle="combo" dx="16" fmlaLink="References!$Q$12" fmlaRange="List_DetailLine" sel="1" val="0"/>
</file>

<file path=xl/ctrlProps/ctrlProp19.xml><?xml version="1.0" encoding="utf-8"?>
<formControlPr xmlns="http://schemas.microsoft.com/office/spreadsheetml/2009/9/main" objectType="Drop" dropLines="34" dropStyle="combo" dx="16" fmlaLink="References!$Q$13" fmlaRange="List_DetailLine" sel="1" val="0"/>
</file>

<file path=xl/ctrlProps/ctrlProp20.xml><?xml version="1.0" encoding="utf-8"?>
<formControlPr xmlns="http://schemas.microsoft.com/office/spreadsheetml/2009/9/main" objectType="Drop" dropLines="34" dropStyle="combo" dx="16" fmlaLink="References!$Q$14" fmlaRange="List_DetailLine" sel="1" val="0"/>
</file>

<file path=xl/ctrlProps/ctrlProp21.xml><?xml version="1.0" encoding="utf-8"?>
<formControlPr xmlns="http://schemas.microsoft.com/office/spreadsheetml/2009/9/main" objectType="Drop" dropLines="34" dropStyle="combo" dx="16" fmlaLink="References!$Q$15" fmlaRange="List_DetailLine" sel="1" val="0"/>
</file>

<file path=xl/drawings/_rels/drawing3.xml.rels><?xml version="1.0" encoding="UTF-8" standalone="yes"?>
<Relationships xmlns="http://schemas.openxmlformats.org/package/2006/relationships"><Relationship Id="rId8" Type="http://schemas.openxmlformats.org/officeDocument/2006/relationships/hyperlink" Target="#'3.Exhibit 7 - Annual'!BU1"/><Relationship Id="rId3" Type="http://schemas.openxmlformats.org/officeDocument/2006/relationships/hyperlink" Target="#'3.Exhibit 7 - Annual'!M1"/><Relationship Id="rId7" Type="http://schemas.openxmlformats.org/officeDocument/2006/relationships/hyperlink" Target="#'3.Exhibit 7 - Annual'!BI1"/><Relationship Id="rId2" Type="http://schemas.openxmlformats.org/officeDocument/2006/relationships/image" Target="../media/image1.png"/><Relationship Id="rId1" Type="http://schemas.openxmlformats.org/officeDocument/2006/relationships/hyperlink" Target="#'3.Exhibit 7 - Annual'!A1"/><Relationship Id="rId6" Type="http://schemas.openxmlformats.org/officeDocument/2006/relationships/hyperlink" Target="#'3.Exhibit 7 - Annual'!AW1"/><Relationship Id="rId11" Type="http://schemas.openxmlformats.org/officeDocument/2006/relationships/hyperlink" Target="#'3.Exhibit 7 - Annual'!DE1"/><Relationship Id="rId5" Type="http://schemas.openxmlformats.org/officeDocument/2006/relationships/hyperlink" Target="#'3.Exhibit 7 - Annual'!AK1"/><Relationship Id="rId10" Type="http://schemas.openxmlformats.org/officeDocument/2006/relationships/hyperlink" Target="#'3.Exhibit 7 - Annual'!CS1"/><Relationship Id="rId4" Type="http://schemas.openxmlformats.org/officeDocument/2006/relationships/hyperlink" Target="#'3.Exhibit 7 - Annual'!Y1"/><Relationship Id="rId9" Type="http://schemas.openxmlformats.org/officeDocument/2006/relationships/hyperlink" Target="#'3.Exhibit 7 - Annual'!CG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7169" name="Update Footers" descr="Update Footers"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30</xdr:row>
          <xdr:rowOff>180975</xdr:rowOff>
        </xdr:from>
        <xdr:to>
          <xdr:col>5</xdr:col>
          <xdr:colOff>400050</xdr:colOff>
          <xdr:row>32</xdr:row>
          <xdr:rowOff>9525</xdr:rowOff>
        </xdr:to>
        <xdr:sp macro="" textlink="">
          <xdr:nvSpPr>
            <xdr:cNvPr id="11269" name="Drop Down 5" hidden="1">
              <a:extLst>
                <a:ext uri="{63B3BB69-23CF-44E3-9099-C40C66FF867C}">
                  <a14:compatExt spid="_x0000_s11269"/>
                </a:ext>
                <a:ext uri="{FF2B5EF4-FFF2-40B4-BE49-F238E27FC236}">
                  <a16:creationId xmlns:a16="http://schemas.microsoft.com/office/drawing/2014/main" id="{00000000-0008-0000-03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61</xdr:row>
          <xdr:rowOff>276225</xdr:rowOff>
        </xdr:from>
        <xdr:to>
          <xdr:col>4</xdr:col>
          <xdr:colOff>9525</xdr:colOff>
          <xdr:row>63</xdr:row>
          <xdr:rowOff>0</xdr:rowOff>
        </xdr:to>
        <xdr:sp macro="" textlink="">
          <xdr:nvSpPr>
            <xdr:cNvPr id="11272" name="Drop Down 8" hidden="1">
              <a:extLst>
                <a:ext uri="{63B3BB69-23CF-44E3-9099-C40C66FF867C}">
                  <a14:compatExt spid="_x0000_s11272"/>
                </a:ext>
                <a:ext uri="{FF2B5EF4-FFF2-40B4-BE49-F238E27FC236}">
                  <a16:creationId xmlns:a16="http://schemas.microsoft.com/office/drawing/2014/main" id="{00000000-0008-0000-03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64</xdr:row>
          <xdr:rowOff>0</xdr:rowOff>
        </xdr:from>
        <xdr:to>
          <xdr:col>3</xdr:col>
          <xdr:colOff>0</xdr:colOff>
          <xdr:row>65</xdr:row>
          <xdr:rowOff>57150</xdr:rowOff>
        </xdr:to>
        <xdr:sp macro="" textlink="">
          <xdr:nvSpPr>
            <xdr:cNvPr id="11274" name="Button 10" hidden="1">
              <a:extLst>
                <a:ext uri="{63B3BB69-23CF-44E3-9099-C40C66FF867C}">
                  <a14:compatExt spid="_x0000_s11274"/>
                </a:ext>
                <a:ext uri="{FF2B5EF4-FFF2-40B4-BE49-F238E27FC236}">
                  <a16:creationId xmlns:a16="http://schemas.microsoft.com/office/drawing/2014/main" id="{00000000-0008-0000-0300-00000A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Print Selected Exhibit(s)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152400</xdr:rowOff>
        </xdr:from>
        <xdr:to>
          <xdr:col>6</xdr:col>
          <xdr:colOff>695325</xdr:colOff>
          <xdr:row>15</xdr:row>
          <xdr:rowOff>161925</xdr:rowOff>
        </xdr:to>
        <xdr:sp macro="" textlink="">
          <xdr:nvSpPr>
            <xdr:cNvPr id="11289" name="Drop Down 25" hidden="1">
              <a:extLst>
                <a:ext uri="{63B3BB69-23CF-44E3-9099-C40C66FF867C}">
                  <a14:compatExt spid="_x0000_s11289"/>
                </a:ext>
                <a:ext uri="{FF2B5EF4-FFF2-40B4-BE49-F238E27FC236}">
                  <a16:creationId xmlns:a16="http://schemas.microsoft.com/office/drawing/2014/main" id="{00000000-0008-0000-0300-00001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33</xdr:row>
          <xdr:rowOff>0</xdr:rowOff>
        </xdr:from>
        <xdr:to>
          <xdr:col>4</xdr:col>
          <xdr:colOff>19050</xdr:colOff>
          <xdr:row>34</xdr:row>
          <xdr:rowOff>9525</xdr:rowOff>
        </xdr:to>
        <xdr:sp macro="" textlink="">
          <xdr:nvSpPr>
            <xdr:cNvPr id="11291" name="MosDevDropDown" hidden="1">
              <a:extLst>
                <a:ext uri="{63B3BB69-23CF-44E3-9099-C40C66FF867C}">
                  <a14:compatExt spid="_x0000_s11291"/>
                </a:ext>
                <a:ext uri="{FF2B5EF4-FFF2-40B4-BE49-F238E27FC236}">
                  <a16:creationId xmlns:a16="http://schemas.microsoft.com/office/drawing/2014/main" id="{00000000-0008-0000-0300-00001B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19050</xdr:rowOff>
        </xdr:from>
        <xdr:to>
          <xdr:col>4</xdr:col>
          <xdr:colOff>38100</xdr:colOff>
          <xdr:row>14</xdr:row>
          <xdr:rowOff>28575</xdr:rowOff>
        </xdr:to>
        <xdr:sp macro="" textlink="">
          <xdr:nvSpPr>
            <xdr:cNvPr id="11292" name="Drop Down 28" hidden="1">
              <a:extLst>
                <a:ext uri="{63B3BB69-23CF-44E3-9099-C40C66FF867C}">
                  <a14:compatExt spid="_x0000_s11292"/>
                </a:ext>
                <a:ext uri="{FF2B5EF4-FFF2-40B4-BE49-F238E27FC236}">
                  <a16:creationId xmlns:a16="http://schemas.microsoft.com/office/drawing/2014/main" id="{00000000-0008-0000-0300-00001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19050</xdr:rowOff>
        </xdr:from>
        <xdr:to>
          <xdr:col>1</xdr:col>
          <xdr:colOff>19050</xdr:colOff>
          <xdr:row>21</xdr:row>
          <xdr:rowOff>0</xdr:rowOff>
        </xdr:to>
        <xdr:sp macro="" textlink="">
          <xdr:nvSpPr>
            <xdr:cNvPr id="11294" name="Drop Down 30" hidden="1">
              <a:extLst>
                <a:ext uri="{63B3BB69-23CF-44E3-9099-C40C66FF867C}">
                  <a14:compatExt spid="_x0000_s11294"/>
                </a:ext>
                <a:ext uri="{FF2B5EF4-FFF2-40B4-BE49-F238E27FC236}">
                  <a16:creationId xmlns:a16="http://schemas.microsoft.com/office/drawing/2014/main" id="{00000000-0008-0000-0300-00001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19050</xdr:rowOff>
        </xdr:from>
        <xdr:to>
          <xdr:col>1</xdr:col>
          <xdr:colOff>19050</xdr:colOff>
          <xdr:row>22</xdr:row>
          <xdr:rowOff>0</xdr:rowOff>
        </xdr:to>
        <xdr:sp macro="" textlink="">
          <xdr:nvSpPr>
            <xdr:cNvPr id="11295" name="Drop Down 31" hidden="1">
              <a:extLst>
                <a:ext uri="{63B3BB69-23CF-44E3-9099-C40C66FF867C}">
                  <a14:compatExt spid="_x0000_s11295"/>
                </a:ext>
                <a:ext uri="{FF2B5EF4-FFF2-40B4-BE49-F238E27FC236}">
                  <a16:creationId xmlns:a16="http://schemas.microsoft.com/office/drawing/2014/main" id="{00000000-0008-0000-0300-00001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xdr:rowOff>
        </xdr:from>
        <xdr:to>
          <xdr:col>1</xdr:col>
          <xdr:colOff>19050</xdr:colOff>
          <xdr:row>23</xdr:row>
          <xdr:rowOff>0</xdr:rowOff>
        </xdr:to>
        <xdr:sp macro="" textlink="">
          <xdr:nvSpPr>
            <xdr:cNvPr id="11296" name="Drop Down 32" hidden="1">
              <a:extLst>
                <a:ext uri="{63B3BB69-23CF-44E3-9099-C40C66FF867C}">
                  <a14:compatExt spid="_x0000_s11296"/>
                </a:ext>
                <a:ext uri="{FF2B5EF4-FFF2-40B4-BE49-F238E27FC236}">
                  <a16:creationId xmlns:a16="http://schemas.microsoft.com/office/drawing/2014/main" id="{00000000-0008-0000-0300-000020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19050</xdr:rowOff>
        </xdr:from>
        <xdr:to>
          <xdr:col>1</xdr:col>
          <xdr:colOff>19050</xdr:colOff>
          <xdr:row>24</xdr:row>
          <xdr:rowOff>0</xdr:rowOff>
        </xdr:to>
        <xdr:sp macro="" textlink="">
          <xdr:nvSpPr>
            <xdr:cNvPr id="11297" name="Drop Down 33" hidden="1">
              <a:extLst>
                <a:ext uri="{63B3BB69-23CF-44E3-9099-C40C66FF867C}">
                  <a14:compatExt spid="_x0000_s11297"/>
                </a:ext>
                <a:ext uri="{FF2B5EF4-FFF2-40B4-BE49-F238E27FC236}">
                  <a16:creationId xmlns:a16="http://schemas.microsoft.com/office/drawing/2014/main" id="{00000000-0008-0000-0300-00002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19050</xdr:rowOff>
        </xdr:from>
        <xdr:to>
          <xdr:col>1</xdr:col>
          <xdr:colOff>19050</xdr:colOff>
          <xdr:row>25</xdr:row>
          <xdr:rowOff>0</xdr:rowOff>
        </xdr:to>
        <xdr:sp macro="" textlink="">
          <xdr:nvSpPr>
            <xdr:cNvPr id="11298" name="Drop Down 34" hidden="1">
              <a:extLst>
                <a:ext uri="{63B3BB69-23CF-44E3-9099-C40C66FF867C}">
                  <a14:compatExt spid="_x0000_s11298"/>
                </a:ext>
                <a:ext uri="{FF2B5EF4-FFF2-40B4-BE49-F238E27FC236}">
                  <a16:creationId xmlns:a16="http://schemas.microsoft.com/office/drawing/2014/main" id="{00000000-0008-0000-0300-00002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9525</xdr:rowOff>
        </xdr:from>
        <xdr:to>
          <xdr:col>1</xdr:col>
          <xdr:colOff>19050</xdr:colOff>
          <xdr:row>26</xdr:row>
          <xdr:rowOff>0</xdr:rowOff>
        </xdr:to>
        <xdr:sp macro="" textlink="">
          <xdr:nvSpPr>
            <xdr:cNvPr id="11299" name="Drop Down 35" hidden="1">
              <a:extLst>
                <a:ext uri="{63B3BB69-23CF-44E3-9099-C40C66FF867C}">
                  <a14:compatExt spid="_x0000_s11299"/>
                </a:ext>
                <a:ext uri="{FF2B5EF4-FFF2-40B4-BE49-F238E27FC236}">
                  <a16:creationId xmlns:a16="http://schemas.microsoft.com/office/drawing/2014/main" id="{00000000-0008-0000-0300-00002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9525</xdr:rowOff>
        </xdr:from>
        <xdr:to>
          <xdr:col>1</xdr:col>
          <xdr:colOff>19050</xdr:colOff>
          <xdr:row>26</xdr:row>
          <xdr:rowOff>219075</xdr:rowOff>
        </xdr:to>
        <xdr:sp macro="" textlink="">
          <xdr:nvSpPr>
            <xdr:cNvPr id="11300" name="Drop Down 36" hidden="1">
              <a:extLst>
                <a:ext uri="{63B3BB69-23CF-44E3-9099-C40C66FF867C}">
                  <a14:compatExt spid="_x0000_s11300"/>
                </a:ext>
                <a:ext uri="{FF2B5EF4-FFF2-40B4-BE49-F238E27FC236}">
                  <a16:creationId xmlns:a16="http://schemas.microsoft.com/office/drawing/2014/main" id="{00000000-0008-0000-0300-00002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19050</xdr:rowOff>
        </xdr:from>
        <xdr:to>
          <xdr:col>1</xdr:col>
          <xdr:colOff>19050</xdr:colOff>
          <xdr:row>28</xdr:row>
          <xdr:rowOff>0</xdr:rowOff>
        </xdr:to>
        <xdr:sp macro="" textlink="">
          <xdr:nvSpPr>
            <xdr:cNvPr id="11301" name="Drop Down 37" hidden="1">
              <a:extLst>
                <a:ext uri="{63B3BB69-23CF-44E3-9099-C40C66FF867C}">
                  <a14:compatExt spid="_x0000_s11301"/>
                </a:ext>
                <a:ext uri="{FF2B5EF4-FFF2-40B4-BE49-F238E27FC236}">
                  <a16:creationId xmlns:a16="http://schemas.microsoft.com/office/drawing/2014/main" id="{00000000-0008-0000-0300-00002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9525</xdr:rowOff>
        </xdr:from>
        <xdr:to>
          <xdr:col>1</xdr:col>
          <xdr:colOff>19050</xdr:colOff>
          <xdr:row>28</xdr:row>
          <xdr:rowOff>219075</xdr:rowOff>
        </xdr:to>
        <xdr:sp macro="" textlink="">
          <xdr:nvSpPr>
            <xdr:cNvPr id="11302" name="Drop Down 38" hidden="1">
              <a:extLst>
                <a:ext uri="{63B3BB69-23CF-44E3-9099-C40C66FF867C}">
                  <a14:compatExt spid="_x0000_s11302"/>
                </a:ext>
                <a:ext uri="{FF2B5EF4-FFF2-40B4-BE49-F238E27FC236}">
                  <a16:creationId xmlns:a16="http://schemas.microsoft.com/office/drawing/2014/main" id="{00000000-0008-0000-0300-00002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9525</xdr:rowOff>
        </xdr:from>
        <xdr:to>
          <xdr:col>1</xdr:col>
          <xdr:colOff>19050</xdr:colOff>
          <xdr:row>29</xdr:row>
          <xdr:rowOff>219075</xdr:rowOff>
        </xdr:to>
        <xdr:sp macro="" textlink="">
          <xdr:nvSpPr>
            <xdr:cNvPr id="11303" name="Drop Down 39" hidden="1">
              <a:extLst>
                <a:ext uri="{63B3BB69-23CF-44E3-9099-C40C66FF867C}">
                  <a14:compatExt spid="_x0000_s11303"/>
                </a:ext>
                <a:ext uri="{FF2B5EF4-FFF2-40B4-BE49-F238E27FC236}">
                  <a16:creationId xmlns:a16="http://schemas.microsoft.com/office/drawing/2014/main" id="{00000000-0008-0000-0300-00002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169333</xdr:colOff>
      <xdr:row>28</xdr:row>
      <xdr:rowOff>0</xdr:rowOff>
    </xdr:from>
    <xdr:to>
      <xdr:col>0</xdr:col>
      <xdr:colOff>1153584</xdr:colOff>
      <xdr:row>28</xdr:row>
      <xdr:rowOff>240394</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a:xfrm>
          <a:off x="169333" y="5823857"/>
          <a:ext cx="984251" cy="24039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editAs="oneCell">
    <xdr:from>
      <xdr:col>0</xdr:col>
      <xdr:colOff>169333</xdr:colOff>
      <xdr:row>62</xdr:row>
      <xdr:rowOff>253999</xdr:rowOff>
    </xdr:from>
    <xdr:to>
      <xdr:col>0</xdr:col>
      <xdr:colOff>1175260</xdr:colOff>
      <xdr:row>63</xdr:row>
      <xdr:rowOff>245470</xdr:rowOff>
    </xdr:to>
    <xdr:pic>
      <xdr:nvPicPr>
        <xdr:cNvPr id="5" name="Picture 4">
          <a:hlinkClick xmlns:r="http://schemas.openxmlformats.org/officeDocument/2006/relationships" r:id="rId1"/>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stretch>
          <a:fillRect/>
        </a:stretch>
      </xdr:blipFill>
      <xdr:spPr>
        <a:xfrm>
          <a:off x="169333" y="13207999"/>
          <a:ext cx="1005927" cy="263614"/>
        </a:xfrm>
        <a:prstGeom prst="rect">
          <a:avLst/>
        </a:prstGeom>
      </xdr:spPr>
    </xdr:pic>
    <xdr:clientData/>
  </xdr:twoCellAnchor>
  <xdr:twoCellAnchor editAs="oneCell">
    <xdr:from>
      <xdr:col>0</xdr:col>
      <xdr:colOff>169333</xdr:colOff>
      <xdr:row>98</xdr:row>
      <xdr:rowOff>10584</xdr:rowOff>
    </xdr:from>
    <xdr:to>
      <xdr:col>0</xdr:col>
      <xdr:colOff>1175260</xdr:colOff>
      <xdr:row>99</xdr:row>
      <xdr:rowOff>2055</xdr:rowOff>
    </xdr:to>
    <xdr:pic>
      <xdr:nvPicPr>
        <xdr:cNvPr id="6" name="Picture 5">
          <a:hlinkClick xmlns:r="http://schemas.openxmlformats.org/officeDocument/2006/relationships" r:id="rId1"/>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2"/>
        <a:stretch>
          <a:fillRect/>
        </a:stretch>
      </xdr:blipFill>
      <xdr:spPr>
        <a:xfrm>
          <a:off x="169333" y="20489334"/>
          <a:ext cx="1005927" cy="253409"/>
        </a:xfrm>
        <a:prstGeom prst="rect">
          <a:avLst/>
        </a:prstGeom>
      </xdr:spPr>
    </xdr:pic>
    <xdr:clientData/>
  </xdr:twoCellAnchor>
  <xdr:twoCellAnchor editAs="oneCell">
    <xdr:from>
      <xdr:col>0</xdr:col>
      <xdr:colOff>169333</xdr:colOff>
      <xdr:row>132</xdr:row>
      <xdr:rowOff>258536</xdr:rowOff>
    </xdr:from>
    <xdr:to>
      <xdr:col>0</xdr:col>
      <xdr:colOff>1175260</xdr:colOff>
      <xdr:row>133</xdr:row>
      <xdr:rowOff>252652</xdr:rowOff>
    </xdr:to>
    <xdr:pic>
      <xdr:nvPicPr>
        <xdr:cNvPr id="7" name="Picture 6">
          <a:hlinkClick xmlns:r="http://schemas.openxmlformats.org/officeDocument/2006/relationships" r:id="rId1"/>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2"/>
        <a:stretch>
          <a:fillRect/>
        </a:stretch>
      </xdr:blipFill>
      <xdr:spPr>
        <a:xfrm>
          <a:off x="169333" y="27833411"/>
          <a:ext cx="1005927" cy="256054"/>
        </a:xfrm>
        <a:prstGeom prst="rect">
          <a:avLst/>
        </a:prstGeom>
      </xdr:spPr>
    </xdr:pic>
    <xdr:clientData/>
  </xdr:twoCellAnchor>
  <xdr:twoCellAnchor editAs="oneCell">
    <xdr:from>
      <xdr:col>0</xdr:col>
      <xdr:colOff>169333</xdr:colOff>
      <xdr:row>171</xdr:row>
      <xdr:rowOff>0</xdr:rowOff>
    </xdr:from>
    <xdr:to>
      <xdr:col>0</xdr:col>
      <xdr:colOff>1175260</xdr:colOff>
      <xdr:row>171</xdr:row>
      <xdr:rowOff>253409</xdr:rowOff>
    </xdr:to>
    <xdr:pic>
      <xdr:nvPicPr>
        <xdr:cNvPr id="8" name="Picture 7">
          <a:hlinkClick xmlns:r="http://schemas.openxmlformats.org/officeDocument/2006/relationships" r:id="rId1"/>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2"/>
        <a:stretch>
          <a:fillRect/>
        </a:stretch>
      </xdr:blipFill>
      <xdr:spPr>
        <a:xfrm>
          <a:off x="169333" y="35766375"/>
          <a:ext cx="1005927" cy="253409"/>
        </a:xfrm>
        <a:prstGeom prst="rect">
          <a:avLst/>
        </a:prstGeom>
      </xdr:spPr>
    </xdr:pic>
    <xdr:clientData/>
  </xdr:twoCellAnchor>
  <xdr:twoCellAnchor editAs="oneCell">
    <xdr:from>
      <xdr:col>0</xdr:col>
      <xdr:colOff>169333</xdr:colOff>
      <xdr:row>206</xdr:row>
      <xdr:rowOff>-1</xdr:rowOff>
    </xdr:from>
    <xdr:to>
      <xdr:col>0</xdr:col>
      <xdr:colOff>1299077</xdr:colOff>
      <xdr:row>207</xdr:row>
      <xdr:rowOff>25633</xdr:rowOff>
    </xdr:to>
    <xdr:pic>
      <xdr:nvPicPr>
        <xdr:cNvPr id="9" name="Picture 8">
          <a:hlinkClick xmlns:r="http://schemas.openxmlformats.org/officeDocument/2006/relationships" r:id="rId1"/>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2"/>
        <a:stretch>
          <a:fillRect/>
        </a:stretch>
      </xdr:blipFill>
      <xdr:spPr>
        <a:xfrm>
          <a:off x="169333" y="43124437"/>
          <a:ext cx="1129744" cy="287571"/>
        </a:xfrm>
        <a:prstGeom prst="rect">
          <a:avLst/>
        </a:prstGeom>
      </xdr:spPr>
    </xdr:pic>
    <xdr:clientData/>
  </xdr:twoCellAnchor>
  <xdr:twoCellAnchor editAs="oneCell">
    <xdr:from>
      <xdr:col>0</xdr:col>
      <xdr:colOff>169333</xdr:colOff>
      <xdr:row>241</xdr:row>
      <xdr:rowOff>0</xdr:rowOff>
    </xdr:from>
    <xdr:to>
      <xdr:col>0</xdr:col>
      <xdr:colOff>1175260</xdr:colOff>
      <xdr:row>241</xdr:row>
      <xdr:rowOff>256054</xdr:rowOff>
    </xdr:to>
    <xdr:pic>
      <xdr:nvPicPr>
        <xdr:cNvPr id="10" name="Picture 9">
          <a:hlinkClick xmlns:r="http://schemas.openxmlformats.org/officeDocument/2006/relationships" r:id="rId1"/>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2"/>
        <a:stretch>
          <a:fillRect/>
        </a:stretch>
      </xdr:blipFill>
      <xdr:spPr>
        <a:xfrm>
          <a:off x="169333" y="50482500"/>
          <a:ext cx="1005927" cy="256054"/>
        </a:xfrm>
        <a:prstGeom prst="rect">
          <a:avLst/>
        </a:prstGeom>
      </xdr:spPr>
    </xdr:pic>
    <xdr:clientData/>
  </xdr:twoCellAnchor>
  <xdr:twoCellAnchor editAs="oneCell">
    <xdr:from>
      <xdr:col>0</xdr:col>
      <xdr:colOff>169333</xdr:colOff>
      <xdr:row>276</xdr:row>
      <xdr:rowOff>0</xdr:rowOff>
    </xdr:from>
    <xdr:to>
      <xdr:col>0</xdr:col>
      <xdr:colOff>1299080</xdr:colOff>
      <xdr:row>277</xdr:row>
      <xdr:rowOff>22663</xdr:rowOff>
    </xdr:to>
    <xdr:pic>
      <xdr:nvPicPr>
        <xdr:cNvPr id="11" name="Picture 10">
          <a:hlinkClick xmlns:r="http://schemas.openxmlformats.org/officeDocument/2006/relationships" r:id="rId1"/>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2"/>
        <a:stretch>
          <a:fillRect/>
        </a:stretch>
      </xdr:blipFill>
      <xdr:spPr>
        <a:xfrm>
          <a:off x="169333" y="57840563"/>
          <a:ext cx="1129747" cy="284600"/>
        </a:xfrm>
        <a:prstGeom prst="rect">
          <a:avLst/>
        </a:prstGeom>
      </xdr:spPr>
    </xdr:pic>
    <xdr:clientData/>
  </xdr:twoCellAnchor>
  <xdr:twoCellAnchor>
    <xdr:from>
      <xdr:col>12</xdr:col>
      <xdr:colOff>149678</xdr:colOff>
      <xdr:row>28</xdr:row>
      <xdr:rowOff>0</xdr:rowOff>
    </xdr:from>
    <xdr:to>
      <xdr:col>12</xdr:col>
      <xdr:colOff>1133929</xdr:colOff>
      <xdr:row>28</xdr:row>
      <xdr:rowOff>232834</xdr:rowOff>
    </xdr:to>
    <xdr:sp macro="" textlink="">
      <xdr:nvSpPr>
        <xdr:cNvPr id="15" name="Rounded Rectangle 14">
          <a:hlinkClick xmlns:r="http://schemas.openxmlformats.org/officeDocument/2006/relationships" r:id="rId3"/>
          <a:extLst>
            <a:ext uri="{FF2B5EF4-FFF2-40B4-BE49-F238E27FC236}">
              <a16:creationId xmlns:a16="http://schemas.microsoft.com/office/drawing/2014/main" id="{00000000-0008-0000-0500-00000F000000}"/>
            </a:ext>
          </a:extLst>
        </xdr:cNvPr>
        <xdr:cNvSpPr/>
      </xdr:nvSpPr>
      <xdr:spPr>
        <a:xfrm>
          <a:off x="1019174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63</xdr:row>
      <xdr:rowOff>0</xdr:rowOff>
    </xdr:from>
    <xdr:to>
      <xdr:col>12</xdr:col>
      <xdr:colOff>1133929</xdr:colOff>
      <xdr:row>63</xdr:row>
      <xdr:rowOff>232834</xdr:rowOff>
    </xdr:to>
    <xdr:sp macro="" textlink="">
      <xdr:nvSpPr>
        <xdr:cNvPr id="16" name="Rounded Rectangle 15">
          <a:hlinkClick xmlns:r="http://schemas.openxmlformats.org/officeDocument/2006/relationships" r:id="rId3"/>
          <a:extLst>
            <a:ext uri="{FF2B5EF4-FFF2-40B4-BE49-F238E27FC236}">
              <a16:creationId xmlns:a16="http://schemas.microsoft.com/office/drawing/2014/main" id="{00000000-0008-0000-0500-000010000000}"/>
            </a:ext>
          </a:extLst>
        </xdr:cNvPr>
        <xdr:cNvSpPr/>
      </xdr:nvSpPr>
      <xdr:spPr>
        <a:xfrm>
          <a:off x="10198553" y="13120688"/>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98</xdr:row>
      <xdr:rowOff>41365</xdr:rowOff>
    </xdr:from>
    <xdr:to>
      <xdr:col>12</xdr:col>
      <xdr:colOff>1133929</xdr:colOff>
      <xdr:row>99</xdr:row>
      <xdr:rowOff>2055</xdr:rowOff>
    </xdr:to>
    <xdr:sp macro="" textlink="">
      <xdr:nvSpPr>
        <xdr:cNvPr id="17" name="Rounded Rectangle 16">
          <a:hlinkClick xmlns:r="http://schemas.openxmlformats.org/officeDocument/2006/relationships" r:id="rId3"/>
          <a:extLst>
            <a:ext uri="{FF2B5EF4-FFF2-40B4-BE49-F238E27FC236}">
              <a16:creationId xmlns:a16="http://schemas.microsoft.com/office/drawing/2014/main" id="{00000000-0008-0000-0500-000011000000}"/>
            </a:ext>
          </a:extLst>
        </xdr:cNvPr>
        <xdr:cNvSpPr/>
      </xdr:nvSpPr>
      <xdr:spPr>
        <a:xfrm>
          <a:off x="10198553" y="20520115"/>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132</xdr:row>
      <xdr:rowOff>258536</xdr:rowOff>
    </xdr:from>
    <xdr:to>
      <xdr:col>12</xdr:col>
      <xdr:colOff>1133929</xdr:colOff>
      <xdr:row>133</xdr:row>
      <xdr:rowOff>229432</xdr:rowOff>
    </xdr:to>
    <xdr:sp macro="" textlink="">
      <xdr:nvSpPr>
        <xdr:cNvPr id="18" name="Rounded Rectangle 17">
          <a:hlinkClick xmlns:r="http://schemas.openxmlformats.org/officeDocument/2006/relationships" r:id="rId3"/>
          <a:extLst>
            <a:ext uri="{FF2B5EF4-FFF2-40B4-BE49-F238E27FC236}">
              <a16:creationId xmlns:a16="http://schemas.microsoft.com/office/drawing/2014/main" id="{00000000-0008-0000-0500-000012000000}"/>
            </a:ext>
          </a:extLst>
        </xdr:cNvPr>
        <xdr:cNvSpPr/>
      </xdr:nvSpPr>
      <xdr:spPr>
        <a:xfrm>
          <a:off x="10198553" y="27833411"/>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171</xdr:row>
      <xdr:rowOff>0</xdr:rowOff>
    </xdr:from>
    <xdr:to>
      <xdr:col>12</xdr:col>
      <xdr:colOff>1133929</xdr:colOff>
      <xdr:row>171</xdr:row>
      <xdr:rowOff>232834</xdr:rowOff>
    </xdr:to>
    <xdr:sp macro="" textlink="">
      <xdr:nvSpPr>
        <xdr:cNvPr id="19" name="Rounded Rectangle 18">
          <a:hlinkClick xmlns:r="http://schemas.openxmlformats.org/officeDocument/2006/relationships" r:id="rId3"/>
          <a:extLst>
            <a:ext uri="{FF2B5EF4-FFF2-40B4-BE49-F238E27FC236}">
              <a16:creationId xmlns:a16="http://schemas.microsoft.com/office/drawing/2014/main" id="{00000000-0008-0000-0500-000013000000}"/>
            </a:ext>
          </a:extLst>
        </xdr:cNvPr>
        <xdr:cNvSpPr/>
      </xdr:nvSpPr>
      <xdr:spPr>
        <a:xfrm>
          <a:off x="10198553" y="35766375"/>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206</xdr:row>
      <xdr:rowOff>-1</xdr:rowOff>
    </xdr:from>
    <xdr:to>
      <xdr:col>12</xdr:col>
      <xdr:colOff>1188924</xdr:colOff>
      <xdr:row>206</xdr:row>
      <xdr:rowOff>261492</xdr:rowOff>
    </xdr:to>
    <xdr:sp macro="" textlink="">
      <xdr:nvSpPr>
        <xdr:cNvPr id="20" name="Rounded Rectangle 19">
          <a:hlinkClick xmlns:r="http://schemas.openxmlformats.org/officeDocument/2006/relationships" r:id="rId3"/>
          <a:extLst>
            <a:ext uri="{FF2B5EF4-FFF2-40B4-BE49-F238E27FC236}">
              <a16:creationId xmlns:a16="http://schemas.microsoft.com/office/drawing/2014/main" id="{00000000-0008-0000-0500-000014000000}"/>
            </a:ext>
          </a:extLst>
        </xdr:cNvPr>
        <xdr:cNvSpPr/>
      </xdr:nvSpPr>
      <xdr:spPr>
        <a:xfrm>
          <a:off x="10198553" y="43124437"/>
          <a:ext cx="1039246"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241</xdr:row>
      <xdr:rowOff>0</xdr:rowOff>
    </xdr:from>
    <xdr:to>
      <xdr:col>12</xdr:col>
      <xdr:colOff>1133929</xdr:colOff>
      <xdr:row>241</xdr:row>
      <xdr:rowOff>232834</xdr:rowOff>
    </xdr:to>
    <xdr:sp macro="" textlink="">
      <xdr:nvSpPr>
        <xdr:cNvPr id="21" name="Rounded Rectangle 20">
          <a:hlinkClick xmlns:r="http://schemas.openxmlformats.org/officeDocument/2006/relationships" r:id="rId3"/>
          <a:extLst>
            <a:ext uri="{FF2B5EF4-FFF2-40B4-BE49-F238E27FC236}">
              <a16:creationId xmlns:a16="http://schemas.microsoft.com/office/drawing/2014/main" id="{00000000-0008-0000-0500-000015000000}"/>
            </a:ext>
          </a:extLst>
        </xdr:cNvPr>
        <xdr:cNvSpPr/>
      </xdr:nvSpPr>
      <xdr:spPr>
        <a:xfrm>
          <a:off x="10198553"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276</xdr:row>
      <xdr:rowOff>-1</xdr:rowOff>
    </xdr:from>
    <xdr:to>
      <xdr:col>12</xdr:col>
      <xdr:colOff>1163411</xdr:colOff>
      <xdr:row>276</xdr:row>
      <xdr:rowOff>261492</xdr:rowOff>
    </xdr:to>
    <xdr:sp macro="" textlink="">
      <xdr:nvSpPr>
        <xdr:cNvPr id="22" name="Rounded Rectangle 21">
          <a:hlinkClick xmlns:r="http://schemas.openxmlformats.org/officeDocument/2006/relationships" r:id="rId3"/>
          <a:extLst>
            <a:ext uri="{FF2B5EF4-FFF2-40B4-BE49-F238E27FC236}">
              <a16:creationId xmlns:a16="http://schemas.microsoft.com/office/drawing/2014/main" id="{00000000-0008-0000-0500-000016000000}"/>
            </a:ext>
          </a:extLst>
        </xdr:cNvPr>
        <xdr:cNvSpPr/>
      </xdr:nvSpPr>
      <xdr:spPr>
        <a:xfrm>
          <a:off x="10198553" y="57840562"/>
          <a:ext cx="1013733"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276</xdr:row>
      <xdr:rowOff>-1</xdr:rowOff>
    </xdr:from>
    <xdr:to>
      <xdr:col>24</xdr:col>
      <xdr:colOff>1177018</xdr:colOff>
      <xdr:row>276</xdr:row>
      <xdr:rowOff>250030</xdr:rowOff>
    </xdr:to>
    <xdr:sp macro="" textlink="">
      <xdr:nvSpPr>
        <xdr:cNvPr id="23" name="Rounded Rectangle 22">
          <a:hlinkClick xmlns:r="http://schemas.openxmlformats.org/officeDocument/2006/relationships" r:id="rId4"/>
          <a:extLst>
            <a:ext uri="{FF2B5EF4-FFF2-40B4-BE49-F238E27FC236}">
              <a16:creationId xmlns:a16="http://schemas.microsoft.com/office/drawing/2014/main" id="{00000000-0008-0000-0500-000017000000}"/>
            </a:ext>
          </a:extLst>
        </xdr:cNvPr>
        <xdr:cNvSpPr/>
      </xdr:nvSpPr>
      <xdr:spPr>
        <a:xfrm>
          <a:off x="20201504"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241</xdr:row>
      <xdr:rowOff>0</xdr:rowOff>
    </xdr:from>
    <xdr:to>
      <xdr:col>24</xdr:col>
      <xdr:colOff>1147536</xdr:colOff>
      <xdr:row>241</xdr:row>
      <xdr:rowOff>232834</xdr:rowOff>
    </xdr:to>
    <xdr:sp macro="" textlink="">
      <xdr:nvSpPr>
        <xdr:cNvPr id="24" name="Rounded Rectangle 23">
          <a:hlinkClick xmlns:r="http://schemas.openxmlformats.org/officeDocument/2006/relationships" r:id="rId4"/>
          <a:extLst>
            <a:ext uri="{FF2B5EF4-FFF2-40B4-BE49-F238E27FC236}">
              <a16:creationId xmlns:a16="http://schemas.microsoft.com/office/drawing/2014/main" id="{00000000-0008-0000-0500-000018000000}"/>
            </a:ext>
          </a:extLst>
        </xdr:cNvPr>
        <xdr:cNvSpPr/>
      </xdr:nvSpPr>
      <xdr:spPr>
        <a:xfrm>
          <a:off x="20201504"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206</xdr:row>
      <xdr:rowOff>-1</xdr:rowOff>
    </xdr:from>
    <xdr:to>
      <xdr:col>24</xdr:col>
      <xdr:colOff>1202531</xdr:colOff>
      <xdr:row>206</xdr:row>
      <xdr:rowOff>250030</xdr:rowOff>
    </xdr:to>
    <xdr:sp macro="" textlink="">
      <xdr:nvSpPr>
        <xdr:cNvPr id="25" name="Rounded Rectangle 24">
          <a:hlinkClick xmlns:r="http://schemas.openxmlformats.org/officeDocument/2006/relationships" r:id="rId4"/>
          <a:extLst>
            <a:ext uri="{FF2B5EF4-FFF2-40B4-BE49-F238E27FC236}">
              <a16:creationId xmlns:a16="http://schemas.microsoft.com/office/drawing/2014/main" id="{00000000-0008-0000-0500-000019000000}"/>
            </a:ext>
          </a:extLst>
        </xdr:cNvPr>
        <xdr:cNvSpPr/>
      </xdr:nvSpPr>
      <xdr:spPr>
        <a:xfrm>
          <a:off x="20511066"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171</xdr:row>
      <xdr:rowOff>0</xdr:rowOff>
    </xdr:from>
    <xdr:to>
      <xdr:col>24</xdr:col>
      <xdr:colOff>1147536</xdr:colOff>
      <xdr:row>171</xdr:row>
      <xdr:rowOff>222629</xdr:rowOff>
    </xdr:to>
    <xdr:sp macro="" textlink="">
      <xdr:nvSpPr>
        <xdr:cNvPr id="26" name="Rounded Rectangle 25">
          <a:hlinkClick xmlns:r="http://schemas.openxmlformats.org/officeDocument/2006/relationships" r:id="rId4"/>
          <a:extLst>
            <a:ext uri="{FF2B5EF4-FFF2-40B4-BE49-F238E27FC236}">
              <a16:creationId xmlns:a16="http://schemas.microsoft.com/office/drawing/2014/main" id="{00000000-0008-0000-0500-00001A000000}"/>
            </a:ext>
          </a:extLst>
        </xdr:cNvPr>
        <xdr:cNvSpPr/>
      </xdr:nvSpPr>
      <xdr:spPr>
        <a:xfrm>
          <a:off x="20201504"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132</xdr:row>
      <xdr:rowOff>258536</xdr:rowOff>
    </xdr:from>
    <xdr:to>
      <xdr:col>24</xdr:col>
      <xdr:colOff>1147536</xdr:colOff>
      <xdr:row>133</xdr:row>
      <xdr:rowOff>219227</xdr:rowOff>
    </xdr:to>
    <xdr:sp macro="" textlink="">
      <xdr:nvSpPr>
        <xdr:cNvPr id="27" name="Rounded Rectangle 26">
          <a:hlinkClick xmlns:r="http://schemas.openxmlformats.org/officeDocument/2006/relationships" r:id="rId4"/>
          <a:extLst>
            <a:ext uri="{FF2B5EF4-FFF2-40B4-BE49-F238E27FC236}">
              <a16:creationId xmlns:a16="http://schemas.microsoft.com/office/drawing/2014/main" id="{00000000-0008-0000-0500-00001B000000}"/>
            </a:ext>
          </a:extLst>
        </xdr:cNvPr>
        <xdr:cNvSpPr/>
      </xdr:nvSpPr>
      <xdr:spPr>
        <a:xfrm>
          <a:off x="20201504" y="27833411"/>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98</xdr:row>
      <xdr:rowOff>31159</xdr:rowOff>
    </xdr:from>
    <xdr:to>
      <xdr:col>24</xdr:col>
      <xdr:colOff>1147536</xdr:colOff>
      <xdr:row>99</xdr:row>
      <xdr:rowOff>2055</xdr:rowOff>
    </xdr:to>
    <xdr:sp macro="" textlink="">
      <xdr:nvSpPr>
        <xdr:cNvPr id="28" name="Rounded Rectangle 27">
          <a:hlinkClick xmlns:r="http://schemas.openxmlformats.org/officeDocument/2006/relationships" r:id="rId4"/>
          <a:extLst>
            <a:ext uri="{FF2B5EF4-FFF2-40B4-BE49-F238E27FC236}">
              <a16:creationId xmlns:a16="http://schemas.microsoft.com/office/drawing/2014/main" id="{00000000-0008-0000-0500-00001C000000}"/>
            </a:ext>
          </a:extLst>
        </xdr:cNvPr>
        <xdr:cNvSpPr/>
      </xdr:nvSpPr>
      <xdr:spPr>
        <a:xfrm>
          <a:off x="20201504" y="20509909"/>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63</xdr:row>
      <xdr:rowOff>0</xdr:rowOff>
    </xdr:from>
    <xdr:to>
      <xdr:col>24</xdr:col>
      <xdr:colOff>1147536</xdr:colOff>
      <xdr:row>63</xdr:row>
      <xdr:rowOff>232834</xdr:rowOff>
    </xdr:to>
    <xdr:sp macro="" textlink="">
      <xdr:nvSpPr>
        <xdr:cNvPr id="29" name="Rounded Rectangle 28">
          <a:hlinkClick xmlns:r="http://schemas.openxmlformats.org/officeDocument/2006/relationships" r:id="rId4"/>
          <a:extLst>
            <a:ext uri="{FF2B5EF4-FFF2-40B4-BE49-F238E27FC236}">
              <a16:creationId xmlns:a16="http://schemas.microsoft.com/office/drawing/2014/main" id="{00000000-0008-0000-0500-00001D000000}"/>
            </a:ext>
          </a:extLst>
        </xdr:cNvPr>
        <xdr:cNvSpPr/>
      </xdr:nvSpPr>
      <xdr:spPr>
        <a:xfrm>
          <a:off x="20201504" y="13120688"/>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28</xdr:row>
      <xdr:rowOff>0</xdr:rowOff>
    </xdr:from>
    <xdr:to>
      <xdr:col>24</xdr:col>
      <xdr:colOff>1147536</xdr:colOff>
      <xdr:row>28</xdr:row>
      <xdr:rowOff>232834</xdr:rowOff>
    </xdr:to>
    <xdr:sp macro="" textlink="">
      <xdr:nvSpPr>
        <xdr:cNvPr id="30" name="Rounded Rectangle 29">
          <a:hlinkClick xmlns:r="http://schemas.openxmlformats.org/officeDocument/2006/relationships" r:id="rId4"/>
          <a:extLst>
            <a:ext uri="{FF2B5EF4-FFF2-40B4-BE49-F238E27FC236}">
              <a16:creationId xmlns:a16="http://schemas.microsoft.com/office/drawing/2014/main" id="{00000000-0008-0000-0500-00001E000000}"/>
            </a:ext>
          </a:extLst>
        </xdr:cNvPr>
        <xdr:cNvSpPr/>
      </xdr:nvSpPr>
      <xdr:spPr>
        <a:xfrm>
          <a:off x="20179392"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28</xdr:row>
      <xdr:rowOff>0</xdr:rowOff>
    </xdr:from>
    <xdr:to>
      <xdr:col>36</xdr:col>
      <xdr:colOff>1147537</xdr:colOff>
      <xdr:row>28</xdr:row>
      <xdr:rowOff>232834</xdr:rowOff>
    </xdr:to>
    <xdr:sp macro="" textlink="">
      <xdr:nvSpPr>
        <xdr:cNvPr id="31" name="Rounded Rectangle 30">
          <a:hlinkClick xmlns:r="http://schemas.openxmlformats.org/officeDocument/2006/relationships" r:id="rId5"/>
          <a:extLst>
            <a:ext uri="{FF2B5EF4-FFF2-40B4-BE49-F238E27FC236}">
              <a16:creationId xmlns:a16="http://schemas.microsoft.com/office/drawing/2014/main" id="{00000000-0008-0000-0500-00001F000000}"/>
            </a:ext>
          </a:extLst>
        </xdr:cNvPr>
        <xdr:cNvSpPr/>
      </xdr:nvSpPr>
      <xdr:spPr>
        <a:xfrm>
          <a:off x="3015342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63</xdr:row>
      <xdr:rowOff>0</xdr:rowOff>
    </xdr:from>
    <xdr:to>
      <xdr:col>36</xdr:col>
      <xdr:colOff>1147537</xdr:colOff>
      <xdr:row>63</xdr:row>
      <xdr:rowOff>222628</xdr:rowOff>
    </xdr:to>
    <xdr:sp macro="" textlink="">
      <xdr:nvSpPr>
        <xdr:cNvPr id="32" name="Rounded Rectangle 31">
          <a:hlinkClick xmlns:r="http://schemas.openxmlformats.org/officeDocument/2006/relationships" r:id="rId5"/>
          <a:extLst>
            <a:ext uri="{FF2B5EF4-FFF2-40B4-BE49-F238E27FC236}">
              <a16:creationId xmlns:a16="http://schemas.microsoft.com/office/drawing/2014/main" id="{00000000-0008-0000-0500-000020000000}"/>
            </a:ext>
          </a:extLst>
        </xdr:cNvPr>
        <xdr:cNvSpPr/>
      </xdr:nvSpPr>
      <xdr:spPr>
        <a:xfrm>
          <a:off x="30190849"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98</xdr:row>
      <xdr:rowOff>41363</xdr:rowOff>
    </xdr:from>
    <xdr:to>
      <xdr:col>36</xdr:col>
      <xdr:colOff>1147537</xdr:colOff>
      <xdr:row>99</xdr:row>
      <xdr:rowOff>2055</xdr:rowOff>
    </xdr:to>
    <xdr:sp macro="" textlink="">
      <xdr:nvSpPr>
        <xdr:cNvPr id="33" name="Rounded Rectangle 32">
          <a:hlinkClick xmlns:r="http://schemas.openxmlformats.org/officeDocument/2006/relationships" r:id="rId5"/>
          <a:extLst>
            <a:ext uri="{FF2B5EF4-FFF2-40B4-BE49-F238E27FC236}">
              <a16:creationId xmlns:a16="http://schemas.microsoft.com/office/drawing/2014/main" id="{00000000-0008-0000-0500-000021000000}"/>
            </a:ext>
          </a:extLst>
        </xdr:cNvPr>
        <xdr:cNvSpPr/>
      </xdr:nvSpPr>
      <xdr:spPr>
        <a:xfrm>
          <a:off x="30190849"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132</xdr:row>
      <xdr:rowOff>258536</xdr:rowOff>
    </xdr:from>
    <xdr:to>
      <xdr:col>36</xdr:col>
      <xdr:colOff>1147537</xdr:colOff>
      <xdr:row>133</xdr:row>
      <xdr:rowOff>219226</xdr:rowOff>
    </xdr:to>
    <xdr:sp macro="" textlink="">
      <xdr:nvSpPr>
        <xdr:cNvPr id="34" name="Rounded Rectangle 33">
          <a:hlinkClick xmlns:r="http://schemas.openxmlformats.org/officeDocument/2006/relationships" r:id="rId5"/>
          <a:extLst>
            <a:ext uri="{FF2B5EF4-FFF2-40B4-BE49-F238E27FC236}">
              <a16:creationId xmlns:a16="http://schemas.microsoft.com/office/drawing/2014/main" id="{00000000-0008-0000-0500-000022000000}"/>
            </a:ext>
          </a:extLst>
        </xdr:cNvPr>
        <xdr:cNvSpPr/>
      </xdr:nvSpPr>
      <xdr:spPr>
        <a:xfrm>
          <a:off x="30190849"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171</xdr:row>
      <xdr:rowOff>0</xdr:rowOff>
    </xdr:from>
    <xdr:to>
      <xdr:col>36</xdr:col>
      <xdr:colOff>1147537</xdr:colOff>
      <xdr:row>171</xdr:row>
      <xdr:rowOff>232834</xdr:rowOff>
    </xdr:to>
    <xdr:sp macro="" textlink="">
      <xdr:nvSpPr>
        <xdr:cNvPr id="35" name="Rounded Rectangle 34">
          <a:hlinkClick xmlns:r="http://schemas.openxmlformats.org/officeDocument/2006/relationships" r:id="rId5"/>
          <a:extLst>
            <a:ext uri="{FF2B5EF4-FFF2-40B4-BE49-F238E27FC236}">
              <a16:creationId xmlns:a16="http://schemas.microsoft.com/office/drawing/2014/main" id="{00000000-0008-0000-0500-000023000000}"/>
            </a:ext>
          </a:extLst>
        </xdr:cNvPr>
        <xdr:cNvSpPr/>
      </xdr:nvSpPr>
      <xdr:spPr>
        <a:xfrm>
          <a:off x="30190849" y="35766375"/>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206</xdr:row>
      <xdr:rowOff>-1</xdr:rowOff>
    </xdr:from>
    <xdr:to>
      <xdr:col>36</xdr:col>
      <xdr:colOff>1202532</xdr:colOff>
      <xdr:row>206</xdr:row>
      <xdr:rowOff>261492</xdr:rowOff>
    </xdr:to>
    <xdr:sp macro="" textlink="">
      <xdr:nvSpPr>
        <xdr:cNvPr id="36" name="Rounded Rectangle 35">
          <a:hlinkClick xmlns:r="http://schemas.openxmlformats.org/officeDocument/2006/relationships" r:id="rId5"/>
          <a:extLst>
            <a:ext uri="{FF2B5EF4-FFF2-40B4-BE49-F238E27FC236}">
              <a16:creationId xmlns:a16="http://schemas.microsoft.com/office/drawing/2014/main" id="{00000000-0008-0000-0500-000024000000}"/>
            </a:ext>
          </a:extLst>
        </xdr:cNvPr>
        <xdr:cNvSpPr/>
      </xdr:nvSpPr>
      <xdr:spPr>
        <a:xfrm>
          <a:off x="30190849" y="43124437"/>
          <a:ext cx="1039246"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241</xdr:row>
      <xdr:rowOff>0</xdr:rowOff>
    </xdr:from>
    <xdr:to>
      <xdr:col>36</xdr:col>
      <xdr:colOff>1147537</xdr:colOff>
      <xdr:row>241</xdr:row>
      <xdr:rowOff>232834</xdr:rowOff>
    </xdr:to>
    <xdr:sp macro="" textlink="">
      <xdr:nvSpPr>
        <xdr:cNvPr id="37" name="Rounded Rectangle 36">
          <a:hlinkClick xmlns:r="http://schemas.openxmlformats.org/officeDocument/2006/relationships" r:id="rId5"/>
          <a:extLst>
            <a:ext uri="{FF2B5EF4-FFF2-40B4-BE49-F238E27FC236}">
              <a16:creationId xmlns:a16="http://schemas.microsoft.com/office/drawing/2014/main" id="{00000000-0008-0000-0500-000025000000}"/>
            </a:ext>
          </a:extLst>
        </xdr:cNvPr>
        <xdr:cNvSpPr/>
      </xdr:nvSpPr>
      <xdr:spPr>
        <a:xfrm>
          <a:off x="30190849"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276</xdr:row>
      <xdr:rowOff>-1</xdr:rowOff>
    </xdr:from>
    <xdr:to>
      <xdr:col>36</xdr:col>
      <xdr:colOff>1177019</xdr:colOff>
      <xdr:row>276</xdr:row>
      <xdr:rowOff>250030</xdr:rowOff>
    </xdr:to>
    <xdr:sp macro="" textlink="">
      <xdr:nvSpPr>
        <xdr:cNvPr id="38" name="Rounded Rectangle 37">
          <a:hlinkClick xmlns:r="http://schemas.openxmlformats.org/officeDocument/2006/relationships" r:id="rId5"/>
          <a:extLst>
            <a:ext uri="{FF2B5EF4-FFF2-40B4-BE49-F238E27FC236}">
              <a16:creationId xmlns:a16="http://schemas.microsoft.com/office/drawing/2014/main" id="{00000000-0008-0000-0500-000026000000}"/>
            </a:ext>
          </a:extLst>
        </xdr:cNvPr>
        <xdr:cNvSpPr/>
      </xdr:nvSpPr>
      <xdr:spPr>
        <a:xfrm>
          <a:off x="30190849"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276</xdr:row>
      <xdr:rowOff>-1</xdr:rowOff>
    </xdr:from>
    <xdr:to>
      <xdr:col>48</xdr:col>
      <xdr:colOff>1177019</xdr:colOff>
      <xdr:row>276</xdr:row>
      <xdr:rowOff>250030</xdr:rowOff>
    </xdr:to>
    <xdr:sp macro="" textlink="">
      <xdr:nvSpPr>
        <xdr:cNvPr id="39" name="Rounded Rectangle 38">
          <a:hlinkClick xmlns:r="http://schemas.openxmlformats.org/officeDocument/2006/relationships" r:id="rId6"/>
          <a:extLst>
            <a:ext uri="{FF2B5EF4-FFF2-40B4-BE49-F238E27FC236}">
              <a16:creationId xmlns:a16="http://schemas.microsoft.com/office/drawing/2014/main" id="{00000000-0008-0000-0500-000027000000}"/>
            </a:ext>
          </a:extLst>
        </xdr:cNvPr>
        <xdr:cNvSpPr/>
      </xdr:nvSpPr>
      <xdr:spPr>
        <a:xfrm>
          <a:off x="40180192"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241</xdr:row>
      <xdr:rowOff>0</xdr:rowOff>
    </xdr:from>
    <xdr:to>
      <xdr:col>48</xdr:col>
      <xdr:colOff>1147537</xdr:colOff>
      <xdr:row>241</xdr:row>
      <xdr:rowOff>222629</xdr:rowOff>
    </xdr:to>
    <xdr:sp macro="" textlink="">
      <xdr:nvSpPr>
        <xdr:cNvPr id="40" name="Rounded Rectangle 39">
          <a:hlinkClick xmlns:r="http://schemas.openxmlformats.org/officeDocument/2006/relationships" r:id="rId6"/>
          <a:extLst>
            <a:ext uri="{FF2B5EF4-FFF2-40B4-BE49-F238E27FC236}">
              <a16:creationId xmlns:a16="http://schemas.microsoft.com/office/drawing/2014/main" id="{00000000-0008-0000-0500-000028000000}"/>
            </a:ext>
          </a:extLst>
        </xdr:cNvPr>
        <xdr:cNvSpPr/>
      </xdr:nvSpPr>
      <xdr:spPr>
        <a:xfrm>
          <a:off x="40180192"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206</xdr:row>
      <xdr:rowOff>-1</xdr:rowOff>
    </xdr:from>
    <xdr:to>
      <xdr:col>48</xdr:col>
      <xdr:colOff>1202532</xdr:colOff>
      <xdr:row>206</xdr:row>
      <xdr:rowOff>250030</xdr:rowOff>
    </xdr:to>
    <xdr:sp macro="" textlink="">
      <xdr:nvSpPr>
        <xdr:cNvPr id="41" name="Rounded Rectangle 40">
          <a:hlinkClick xmlns:r="http://schemas.openxmlformats.org/officeDocument/2006/relationships" r:id="rId6"/>
          <a:extLst>
            <a:ext uri="{FF2B5EF4-FFF2-40B4-BE49-F238E27FC236}">
              <a16:creationId xmlns:a16="http://schemas.microsoft.com/office/drawing/2014/main" id="{00000000-0008-0000-0500-000029000000}"/>
            </a:ext>
          </a:extLst>
        </xdr:cNvPr>
        <xdr:cNvSpPr/>
      </xdr:nvSpPr>
      <xdr:spPr>
        <a:xfrm>
          <a:off x="40180192"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171</xdr:row>
      <xdr:rowOff>0</xdr:rowOff>
    </xdr:from>
    <xdr:to>
      <xdr:col>48</xdr:col>
      <xdr:colOff>1147537</xdr:colOff>
      <xdr:row>171</xdr:row>
      <xdr:rowOff>222629</xdr:rowOff>
    </xdr:to>
    <xdr:sp macro="" textlink="">
      <xdr:nvSpPr>
        <xdr:cNvPr id="42" name="Rounded Rectangle 41">
          <a:hlinkClick xmlns:r="http://schemas.openxmlformats.org/officeDocument/2006/relationships" r:id="rId6"/>
          <a:extLst>
            <a:ext uri="{FF2B5EF4-FFF2-40B4-BE49-F238E27FC236}">
              <a16:creationId xmlns:a16="http://schemas.microsoft.com/office/drawing/2014/main" id="{00000000-0008-0000-0500-00002A000000}"/>
            </a:ext>
          </a:extLst>
        </xdr:cNvPr>
        <xdr:cNvSpPr/>
      </xdr:nvSpPr>
      <xdr:spPr>
        <a:xfrm>
          <a:off x="40180192"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132</xdr:row>
      <xdr:rowOff>258536</xdr:rowOff>
    </xdr:from>
    <xdr:to>
      <xdr:col>48</xdr:col>
      <xdr:colOff>1147537</xdr:colOff>
      <xdr:row>133</xdr:row>
      <xdr:rowOff>219226</xdr:rowOff>
    </xdr:to>
    <xdr:sp macro="" textlink="">
      <xdr:nvSpPr>
        <xdr:cNvPr id="43" name="Rounded Rectangle 42">
          <a:hlinkClick xmlns:r="http://schemas.openxmlformats.org/officeDocument/2006/relationships" r:id="rId6"/>
          <a:extLst>
            <a:ext uri="{FF2B5EF4-FFF2-40B4-BE49-F238E27FC236}">
              <a16:creationId xmlns:a16="http://schemas.microsoft.com/office/drawing/2014/main" id="{00000000-0008-0000-0500-00002B000000}"/>
            </a:ext>
          </a:extLst>
        </xdr:cNvPr>
        <xdr:cNvSpPr/>
      </xdr:nvSpPr>
      <xdr:spPr>
        <a:xfrm>
          <a:off x="40180192"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98</xdr:row>
      <xdr:rowOff>41363</xdr:rowOff>
    </xdr:from>
    <xdr:to>
      <xdr:col>48</xdr:col>
      <xdr:colOff>1147537</xdr:colOff>
      <xdr:row>99</xdr:row>
      <xdr:rowOff>2055</xdr:rowOff>
    </xdr:to>
    <xdr:sp macro="" textlink="">
      <xdr:nvSpPr>
        <xdr:cNvPr id="44" name="Rounded Rectangle 43">
          <a:hlinkClick xmlns:r="http://schemas.openxmlformats.org/officeDocument/2006/relationships" r:id="rId6"/>
          <a:extLst>
            <a:ext uri="{FF2B5EF4-FFF2-40B4-BE49-F238E27FC236}">
              <a16:creationId xmlns:a16="http://schemas.microsoft.com/office/drawing/2014/main" id="{00000000-0008-0000-0500-00002C000000}"/>
            </a:ext>
          </a:extLst>
        </xdr:cNvPr>
        <xdr:cNvSpPr/>
      </xdr:nvSpPr>
      <xdr:spPr>
        <a:xfrm>
          <a:off x="40180192"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63</xdr:row>
      <xdr:rowOff>0</xdr:rowOff>
    </xdr:from>
    <xdr:to>
      <xdr:col>48</xdr:col>
      <xdr:colOff>1147537</xdr:colOff>
      <xdr:row>63</xdr:row>
      <xdr:rowOff>222628</xdr:rowOff>
    </xdr:to>
    <xdr:sp macro="" textlink="">
      <xdr:nvSpPr>
        <xdr:cNvPr id="45" name="Rounded Rectangle 44">
          <a:hlinkClick xmlns:r="http://schemas.openxmlformats.org/officeDocument/2006/relationships" r:id="rId6"/>
          <a:extLst>
            <a:ext uri="{FF2B5EF4-FFF2-40B4-BE49-F238E27FC236}">
              <a16:creationId xmlns:a16="http://schemas.microsoft.com/office/drawing/2014/main" id="{00000000-0008-0000-0500-00002D000000}"/>
            </a:ext>
          </a:extLst>
        </xdr:cNvPr>
        <xdr:cNvSpPr/>
      </xdr:nvSpPr>
      <xdr:spPr>
        <a:xfrm>
          <a:off x="40180192"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28</xdr:row>
      <xdr:rowOff>0</xdr:rowOff>
    </xdr:from>
    <xdr:to>
      <xdr:col>48</xdr:col>
      <xdr:colOff>1147537</xdr:colOff>
      <xdr:row>28</xdr:row>
      <xdr:rowOff>232834</xdr:rowOff>
    </xdr:to>
    <xdr:sp macro="" textlink="">
      <xdr:nvSpPr>
        <xdr:cNvPr id="46" name="Rounded Rectangle 45">
          <a:hlinkClick xmlns:r="http://schemas.openxmlformats.org/officeDocument/2006/relationships" r:id="rId6"/>
          <a:extLst>
            <a:ext uri="{FF2B5EF4-FFF2-40B4-BE49-F238E27FC236}">
              <a16:creationId xmlns:a16="http://schemas.microsoft.com/office/drawing/2014/main" id="{00000000-0008-0000-0500-00002E000000}"/>
            </a:ext>
          </a:extLst>
        </xdr:cNvPr>
        <xdr:cNvSpPr/>
      </xdr:nvSpPr>
      <xdr:spPr>
        <a:xfrm>
          <a:off x="40127465"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28</xdr:row>
      <xdr:rowOff>0</xdr:rowOff>
    </xdr:from>
    <xdr:to>
      <xdr:col>60</xdr:col>
      <xdr:colOff>1147536</xdr:colOff>
      <xdr:row>28</xdr:row>
      <xdr:rowOff>232834</xdr:rowOff>
    </xdr:to>
    <xdr:sp macro="" textlink="">
      <xdr:nvSpPr>
        <xdr:cNvPr id="47" name="Rounded Rectangle 46">
          <a:hlinkClick xmlns:r="http://schemas.openxmlformats.org/officeDocument/2006/relationships" r:id="rId7"/>
          <a:extLst>
            <a:ext uri="{FF2B5EF4-FFF2-40B4-BE49-F238E27FC236}">
              <a16:creationId xmlns:a16="http://schemas.microsoft.com/office/drawing/2014/main" id="{00000000-0008-0000-0500-00002F000000}"/>
            </a:ext>
          </a:extLst>
        </xdr:cNvPr>
        <xdr:cNvSpPr/>
      </xdr:nvSpPr>
      <xdr:spPr>
        <a:xfrm>
          <a:off x="5010149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63</xdr:row>
      <xdr:rowOff>0</xdr:rowOff>
    </xdr:from>
    <xdr:to>
      <xdr:col>60</xdr:col>
      <xdr:colOff>1147536</xdr:colOff>
      <xdr:row>63</xdr:row>
      <xdr:rowOff>222628</xdr:rowOff>
    </xdr:to>
    <xdr:sp macro="" textlink="">
      <xdr:nvSpPr>
        <xdr:cNvPr id="48" name="Rounded Rectangle 47">
          <a:hlinkClick xmlns:r="http://schemas.openxmlformats.org/officeDocument/2006/relationships" r:id="rId7"/>
          <a:extLst>
            <a:ext uri="{FF2B5EF4-FFF2-40B4-BE49-F238E27FC236}">
              <a16:creationId xmlns:a16="http://schemas.microsoft.com/office/drawing/2014/main" id="{00000000-0008-0000-0500-000030000000}"/>
            </a:ext>
          </a:extLst>
        </xdr:cNvPr>
        <xdr:cNvSpPr/>
      </xdr:nvSpPr>
      <xdr:spPr>
        <a:xfrm>
          <a:off x="50169535"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98</xdr:row>
      <xdr:rowOff>41363</xdr:rowOff>
    </xdr:from>
    <xdr:to>
      <xdr:col>60</xdr:col>
      <xdr:colOff>1147536</xdr:colOff>
      <xdr:row>99</xdr:row>
      <xdr:rowOff>2055</xdr:rowOff>
    </xdr:to>
    <xdr:sp macro="" textlink="">
      <xdr:nvSpPr>
        <xdr:cNvPr id="49" name="Rounded Rectangle 48">
          <a:hlinkClick xmlns:r="http://schemas.openxmlformats.org/officeDocument/2006/relationships" r:id="rId7"/>
          <a:extLst>
            <a:ext uri="{FF2B5EF4-FFF2-40B4-BE49-F238E27FC236}">
              <a16:creationId xmlns:a16="http://schemas.microsoft.com/office/drawing/2014/main" id="{00000000-0008-0000-0500-000031000000}"/>
            </a:ext>
          </a:extLst>
        </xdr:cNvPr>
        <xdr:cNvSpPr/>
      </xdr:nvSpPr>
      <xdr:spPr>
        <a:xfrm>
          <a:off x="50169535"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132</xdr:row>
      <xdr:rowOff>258536</xdr:rowOff>
    </xdr:from>
    <xdr:to>
      <xdr:col>60</xdr:col>
      <xdr:colOff>1147536</xdr:colOff>
      <xdr:row>133</xdr:row>
      <xdr:rowOff>219226</xdr:rowOff>
    </xdr:to>
    <xdr:sp macro="" textlink="">
      <xdr:nvSpPr>
        <xdr:cNvPr id="50" name="Rounded Rectangle 49">
          <a:hlinkClick xmlns:r="http://schemas.openxmlformats.org/officeDocument/2006/relationships" r:id="rId7"/>
          <a:extLst>
            <a:ext uri="{FF2B5EF4-FFF2-40B4-BE49-F238E27FC236}">
              <a16:creationId xmlns:a16="http://schemas.microsoft.com/office/drawing/2014/main" id="{00000000-0008-0000-0500-000032000000}"/>
            </a:ext>
          </a:extLst>
        </xdr:cNvPr>
        <xdr:cNvSpPr/>
      </xdr:nvSpPr>
      <xdr:spPr>
        <a:xfrm>
          <a:off x="50169535"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171</xdr:row>
      <xdr:rowOff>0</xdr:rowOff>
    </xdr:from>
    <xdr:to>
      <xdr:col>60</xdr:col>
      <xdr:colOff>1147536</xdr:colOff>
      <xdr:row>171</xdr:row>
      <xdr:rowOff>222629</xdr:rowOff>
    </xdr:to>
    <xdr:sp macro="" textlink="">
      <xdr:nvSpPr>
        <xdr:cNvPr id="51" name="Rounded Rectangle 50">
          <a:hlinkClick xmlns:r="http://schemas.openxmlformats.org/officeDocument/2006/relationships" r:id="rId7"/>
          <a:extLst>
            <a:ext uri="{FF2B5EF4-FFF2-40B4-BE49-F238E27FC236}">
              <a16:creationId xmlns:a16="http://schemas.microsoft.com/office/drawing/2014/main" id="{00000000-0008-0000-0500-000033000000}"/>
            </a:ext>
          </a:extLst>
        </xdr:cNvPr>
        <xdr:cNvSpPr/>
      </xdr:nvSpPr>
      <xdr:spPr>
        <a:xfrm>
          <a:off x="50169535"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206</xdr:row>
      <xdr:rowOff>-1</xdr:rowOff>
    </xdr:from>
    <xdr:to>
      <xdr:col>60</xdr:col>
      <xdr:colOff>1202531</xdr:colOff>
      <xdr:row>206</xdr:row>
      <xdr:rowOff>250030</xdr:rowOff>
    </xdr:to>
    <xdr:sp macro="" textlink="">
      <xdr:nvSpPr>
        <xdr:cNvPr id="52" name="Rounded Rectangle 51">
          <a:hlinkClick xmlns:r="http://schemas.openxmlformats.org/officeDocument/2006/relationships" r:id="rId7"/>
          <a:extLst>
            <a:ext uri="{FF2B5EF4-FFF2-40B4-BE49-F238E27FC236}">
              <a16:creationId xmlns:a16="http://schemas.microsoft.com/office/drawing/2014/main" id="{00000000-0008-0000-0500-000034000000}"/>
            </a:ext>
          </a:extLst>
        </xdr:cNvPr>
        <xdr:cNvSpPr/>
      </xdr:nvSpPr>
      <xdr:spPr>
        <a:xfrm>
          <a:off x="50169535"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241</xdr:row>
      <xdr:rowOff>0</xdr:rowOff>
    </xdr:from>
    <xdr:to>
      <xdr:col>60</xdr:col>
      <xdr:colOff>1147536</xdr:colOff>
      <xdr:row>241</xdr:row>
      <xdr:rowOff>222629</xdr:rowOff>
    </xdr:to>
    <xdr:sp macro="" textlink="">
      <xdr:nvSpPr>
        <xdr:cNvPr id="53" name="Rounded Rectangle 52">
          <a:hlinkClick xmlns:r="http://schemas.openxmlformats.org/officeDocument/2006/relationships" r:id="rId7"/>
          <a:extLst>
            <a:ext uri="{FF2B5EF4-FFF2-40B4-BE49-F238E27FC236}">
              <a16:creationId xmlns:a16="http://schemas.microsoft.com/office/drawing/2014/main" id="{00000000-0008-0000-0500-000035000000}"/>
            </a:ext>
          </a:extLst>
        </xdr:cNvPr>
        <xdr:cNvSpPr/>
      </xdr:nvSpPr>
      <xdr:spPr>
        <a:xfrm>
          <a:off x="50169535"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276</xdr:row>
      <xdr:rowOff>-1</xdr:rowOff>
    </xdr:from>
    <xdr:to>
      <xdr:col>60</xdr:col>
      <xdr:colOff>1177018</xdr:colOff>
      <xdr:row>276</xdr:row>
      <xdr:rowOff>250030</xdr:rowOff>
    </xdr:to>
    <xdr:sp macro="" textlink="">
      <xdr:nvSpPr>
        <xdr:cNvPr id="54" name="Rounded Rectangle 53">
          <a:hlinkClick xmlns:r="http://schemas.openxmlformats.org/officeDocument/2006/relationships" r:id="rId7"/>
          <a:extLst>
            <a:ext uri="{FF2B5EF4-FFF2-40B4-BE49-F238E27FC236}">
              <a16:creationId xmlns:a16="http://schemas.microsoft.com/office/drawing/2014/main" id="{00000000-0008-0000-0500-000036000000}"/>
            </a:ext>
          </a:extLst>
        </xdr:cNvPr>
        <xdr:cNvSpPr/>
      </xdr:nvSpPr>
      <xdr:spPr>
        <a:xfrm>
          <a:off x="50169535"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276</xdr:row>
      <xdr:rowOff>-1</xdr:rowOff>
    </xdr:from>
    <xdr:to>
      <xdr:col>72</xdr:col>
      <xdr:colOff>1190625</xdr:colOff>
      <xdr:row>276</xdr:row>
      <xdr:rowOff>250030</xdr:rowOff>
    </xdr:to>
    <xdr:sp macro="" textlink="">
      <xdr:nvSpPr>
        <xdr:cNvPr id="55" name="Rounded Rectangle 54">
          <a:hlinkClick xmlns:r="http://schemas.openxmlformats.org/officeDocument/2006/relationships" r:id="rId8"/>
          <a:extLst>
            <a:ext uri="{FF2B5EF4-FFF2-40B4-BE49-F238E27FC236}">
              <a16:creationId xmlns:a16="http://schemas.microsoft.com/office/drawing/2014/main" id="{00000000-0008-0000-0500-000037000000}"/>
            </a:ext>
          </a:extLst>
        </xdr:cNvPr>
        <xdr:cNvSpPr/>
      </xdr:nvSpPr>
      <xdr:spPr>
        <a:xfrm>
          <a:off x="60172486"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241</xdr:row>
      <xdr:rowOff>0</xdr:rowOff>
    </xdr:from>
    <xdr:to>
      <xdr:col>72</xdr:col>
      <xdr:colOff>1161143</xdr:colOff>
      <xdr:row>241</xdr:row>
      <xdr:rowOff>222629</xdr:rowOff>
    </xdr:to>
    <xdr:sp macro="" textlink="">
      <xdr:nvSpPr>
        <xdr:cNvPr id="56" name="Rounded Rectangle 55">
          <a:hlinkClick xmlns:r="http://schemas.openxmlformats.org/officeDocument/2006/relationships" r:id="rId8"/>
          <a:extLst>
            <a:ext uri="{FF2B5EF4-FFF2-40B4-BE49-F238E27FC236}">
              <a16:creationId xmlns:a16="http://schemas.microsoft.com/office/drawing/2014/main" id="{00000000-0008-0000-0500-000038000000}"/>
            </a:ext>
          </a:extLst>
        </xdr:cNvPr>
        <xdr:cNvSpPr/>
      </xdr:nvSpPr>
      <xdr:spPr>
        <a:xfrm>
          <a:off x="60172486"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206</xdr:row>
      <xdr:rowOff>-1</xdr:rowOff>
    </xdr:from>
    <xdr:to>
      <xdr:col>72</xdr:col>
      <xdr:colOff>1216138</xdr:colOff>
      <xdr:row>206</xdr:row>
      <xdr:rowOff>250030</xdr:rowOff>
    </xdr:to>
    <xdr:sp macro="" textlink="">
      <xdr:nvSpPr>
        <xdr:cNvPr id="57" name="Rounded Rectangle 56">
          <a:hlinkClick xmlns:r="http://schemas.openxmlformats.org/officeDocument/2006/relationships" r:id="rId8"/>
          <a:extLst>
            <a:ext uri="{FF2B5EF4-FFF2-40B4-BE49-F238E27FC236}">
              <a16:creationId xmlns:a16="http://schemas.microsoft.com/office/drawing/2014/main" id="{00000000-0008-0000-0500-000039000000}"/>
            </a:ext>
          </a:extLst>
        </xdr:cNvPr>
        <xdr:cNvSpPr/>
      </xdr:nvSpPr>
      <xdr:spPr>
        <a:xfrm>
          <a:off x="60172486"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171</xdr:row>
      <xdr:rowOff>0</xdr:rowOff>
    </xdr:from>
    <xdr:to>
      <xdr:col>72</xdr:col>
      <xdr:colOff>1161143</xdr:colOff>
      <xdr:row>171</xdr:row>
      <xdr:rowOff>222629</xdr:rowOff>
    </xdr:to>
    <xdr:sp macro="" textlink="">
      <xdr:nvSpPr>
        <xdr:cNvPr id="58" name="Rounded Rectangle 57">
          <a:hlinkClick xmlns:r="http://schemas.openxmlformats.org/officeDocument/2006/relationships" r:id="rId8"/>
          <a:extLst>
            <a:ext uri="{FF2B5EF4-FFF2-40B4-BE49-F238E27FC236}">
              <a16:creationId xmlns:a16="http://schemas.microsoft.com/office/drawing/2014/main" id="{00000000-0008-0000-0500-00003A000000}"/>
            </a:ext>
          </a:extLst>
        </xdr:cNvPr>
        <xdr:cNvSpPr/>
      </xdr:nvSpPr>
      <xdr:spPr>
        <a:xfrm>
          <a:off x="60172486"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132</xdr:row>
      <xdr:rowOff>258536</xdr:rowOff>
    </xdr:from>
    <xdr:to>
      <xdr:col>72</xdr:col>
      <xdr:colOff>1161143</xdr:colOff>
      <xdr:row>133</xdr:row>
      <xdr:rowOff>219226</xdr:rowOff>
    </xdr:to>
    <xdr:sp macro="" textlink="">
      <xdr:nvSpPr>
        <xdr:cNvPr id="59" name="Rounded Rectangle 58">
          <a:hlinkClick xmlns:r="http://schemas.openxmlformats.org/officeDocument/2006/relationships" r:id="rId8"/>
          <a:extLst>
            <a:ext uri="{FF2B5EF4-FFF2-40B4-BE49-F238E27FC236}">
              <a16:creationId xmlns:a16="http://schemas.microsoft.com/office/drawing/2014/main" id="{00000000-0008-0000-0500-00003B000000}"/>
            </a:ext>
          </a:extLst>
        </xdr:cNvPr>
        <xdr:cNvSpPr/>
      </xdr:nvSpPr>
      <xdr:spPr>
        <a:xfrm>
          <a:off x="60172486"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98</xdr:row>
      <xdr:rowOff>41363</xdr:rowOff>
    </xdr:from>
    <xdr:to>
      <xdr:col>72</xdr:col>
      <xdr:colOff>1161143</xdr:colOff>
      <xdr:row>99</xdr:row>
      <xdr:rowOff>2055</xdr:rowOff>
    </xdr:to>
    <xdr:sp macro="" textlink="">
      <xdr:nvSpPr>
        <xdr:cNvPr id="60" name="Rounded Rectangle 59">
          <a:hlinkClick xmlns:r="http://schemas.openxmlformats.org/officeDocument/2006/relationships" r:id="rId8"/>
          <a:extLst>
            <a:ext uri="{FF2B5EF4-FFF2-40B4-BE49-F238E27FC236}">
              <a16:creationId xmlns:a16="http://schemas.microsoft.com/office/drawing/2014/main" id="{00000000-0008-0000-0500-00003C000000}"/>
            </a:ext>
          </a:extLst>
        </xdr:cNvPr>
        <xdr:cNvSpPr/>
      </xdr:nvSpPr>
      <xdr:spPr>
        <a:xfrm>
          <a:off x="60172486"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63</xdr:row>
      <xdr:rowOff>0</xdr:rowOff>
    </xdr:from>
    <xdr:to>
      <xdr:col>72</xdr:col>
      <xdr:colOff>1161143</xdr:colOff>
      <xdr:row>63</xdr:row>
      <xdr:rowOff>222628</xdr:rowOff>
    </xdr:to>
    <xdr:sp macro="" textlink="">
      <xdr:nvSpPr>
        <xdr:cNvPr id="61" name="Rounded Rectangle 60">
          <a:hlinkClick xmlns:r="http://schemas.openxmlformats.org/officeDocument/2006/relationships" r:id="rId8"/>
          <a:extLst>
            <a:ext uri="{FF2B5EF4-FFF2-40B4-BE49-F238E27FC236}">
              <a16:creationId xmlns:a16="http://schemas.microsoft.com/office/drawing/2014/main" id="{00000000-0008-0000-0500-00003D000000}"/>
            </a:ext>
          </a:extLst>
        </xdr:cNvPr>
        <xdr:cNvSpPr/>
      </xdr:nvSpPr>
      <xdr:spPr>
        <a:xfrm>
          <a:off x="60172486"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28</xdr:row>
      <xdr:rowOff>0</xdr:rowOff>
    </xdr:from>
    <xdr:to>
      <xdr:col>72</xdr:col>
      <xdr:colOff>1161143</xdr:colOff>
      <xdr:row>28</xdr:row>
      <xdr:rowOff>232834</xdr:rowOff>
    </xdr:to>
    <xdr:sp macro="" textlink="">
      <xdr:nvSpPr>
        <xdr:cNvPr id="62" name="Rounded Rectangle 61">
          <a:hlinkClick xmlns:r="http://schemas.openxmlformats.org/officeDocument/2006/relationships" r:id="rId8"/>
          <a:extLst>
            <a:ext uri="{FF2B5EF4-FFF2-40B4-BE49-F238E27FC236}">
              <a16:creationId xmlns:a16="http://schemas.microsoft.com/office/drawing/2014/main" id="{00000000-0008-0000-0500-00003E000000}"/>
            </a:ext>
          </a:extLst>
        </xdr:cNvPr>
        <xdr:cNvSpPr/>
      </xdr:nvSpPr>
      <xdr:spPr>
        <a:xfrm>
          <a:off x="60089142"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28</xdr:row>
      <xdr:rowOff>0</xdr:rowOff>
    </xdr:from>
    <xdr:to>
      <xdr:col>84</xdr:col>
      <xdr:colOff>1161144</xdr:colOff>
      <xdr:row>28</xdr:row>
      <xdr:rowOff>232834</xdr:rowOff>
    </xdr:to>
    <xdr:sp macro="" textlink="">
      <xdr:nvSpPr>
        <xdr:cNvPr id="63" name="Rounded Rectangle 62">
          <a:hlinkClick xmlns:r="http://schemas.openxmlformats.org/officeDocument/2006/relationships" r:id="rId9"/>
          <a:extLst>
            <a:ext uri="{FF2B5EF4-FFF2-40B4-BE49-F238E27FC236}">
              <a16:creationId xmlns:a16="http://schemas.microsoft.com/office/drawing/2014/main" id="{00000000-0008-0000-0500-00003F000000}"/>
            </a:ext>
          </a:extLst>
        </xdr:cNvPr>
        <xdr:cNvSpPr/>
      </xdr:nvSpPr>
      <xdr:spPr>
        <a:xfrm>
          <a:off x="7006317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63</xdr:row>
      <xdr:rowOff>0</xdr:rowOff>
    </xdr:from>
    <xdr:to>
      <xdr:col>84</xdr:col>
      <xdr:colOff>1161144</xdr:colOff>
      <xdr:row>63</xdr:row>
      <xdr:rowOff>222628</xdr:rowOff>
    </xdr:to>
    <xdr:sp macro="" textlink="">
      <xdr:nvSpPr>
        <xdr:cNvPr id="64" name="Rounded Rectangle 63">
          <a:hlinkClick xmlns:r="http://schemas.openxmlformats.org/officeDocument/2006/relationships" r:id="rId9"/>
          <a:extLst>
            <a:ext uri="{FF2B5EF4-FFF2-40B4-BE49-F238E27FC236}">
              <a16:creationId xmlns:a16="http://schemas.microsoft.com/office/drawing/2014/main" id="{00000000-0008-0000-0500-000040000000}"/>
            </a:ext>
          </a:extLst>
        </xdr:cNvPr>
        <xdr:cNvSpPr/>
      </xdr:nvSpPr>
      <xdr:spPr>
        <a:xfrm>
          <a:off x="70161831"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98</xdr:row>
      <xdr:rowOff>41363</xdr:rowOff>
    </xdr:from>
    <xdr:to>
      <xdr:col>84</xdr:col>
      <xdr:colOff>1161144</xdr:colOff>
      <xdr:row>99</xdr:row>
      <xdr:rowOff>2055</xdr:rowOff>
    </xdr:to>
    <xdr:sp macro="" textlink="">
      <xdr:nvSpPr>
        <xdr:cNvPr id="65" name="Rounded Rectangle 64">
          <a:hlinkClick xmlns:r="http://schemas.openxmlformats.org/officeDocument/2006/relationships" r:id="rId9"/>
          <a:extLst>
            <a:ext uri="{FF2B5EF4-FFF2-40B4-BE49-F238E27FC236}">
              <a16:creationId xmlns:a16="http://schemas.microsoft.com/office/drawing/2014/main" id="{00000000-0008-0000-0500-000041000000}"/>
            </a:ext>
          </a:extLst>
        </xdr:cNvPr>
        <xdr:cNvSpPr/>
      </xdr:nvSpPr>
      <xdr:spPr>
        <a:xfrm>
          <a:off x="70161831"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132</xdr:row>
      <xdr:rowOff>258536</xdr:rowOff>
    </xdr:from>
    <xdr:to>
      <xdr:col>84</xdr:col>
      <xdr:colOff>1161144</xdr:colOff>
      <xdr:row>133</xdr:row>
      <xdr:rowOff>219226</xdr:rowOff>
    </xdr:to>
    <xdr:sp macro="" textlink="">
      <xdr:nvSpPr>
        <xdr:cNvPr id="66" name="Rounded Rectangle 65">
          <a:hlinkClick xmlns:r="http://schemas.openxmlformats.org/officeDocument/2006/relationships" r:id="rId9"/>
          <a:extLst>
            <a:ext uri="{FF2B5EF4-FFF2-40B4-BE49-F238E27FC236}">
              <a16:creationId xmlns:a16="http://schemas.microsoft.com/office/drawing/2014/main" id="{00000000-0008-0000-0500-000042000000}"/>
            </a:ext>
          </a:extLst>
        </xdr:cNvPr>
        <xdr:cNvSpPr/>
      </xdr:nvSpPr>
      <xdr:spPr>
        <a:xfrm>
          <a:off x="70161831"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171</xdr:row>
      <xdr:rowOff>0</xdr:rowOff>
    </xdr:from>
    <xdr:to>
      <xdr:col>84</xdr:col>
      <xdr:colOff>1161144</xdr:colOff>
      <xdr:row>171</xdr:row>
      <xdr:rowOff>222629</xdr:rowOff>
    </xdr:to>
    <xdr:sp macro="" textlink="">
      <xdr:nvSpPr>
        <xdr:cNvPr id="67" name="Rounded Rectangle 66">
          <a:hlinkClick xmlns:r="http://schemas.openxmlformats.org/officeDocument/2006/relationships" r:id="rId9"/>
          <a:extLst>
            <a:ext uri="{FF2B5EF4-FFF2-40B4-BE49-F238E27FC236}">
              <a16:creationId xmlns:a16="http://schemas.microsoft.com/office/drawing/2014/main" id="{00000000-0008-0000-0500-000043000000}"/>
            </a:ext>
          </a:extLst>
        </xdr:cNvPr>
        <xdr:cNvSpPr/>
      </xdr:nvSpPr>
      <xdr:spPr>
        <a:xfrm>
          <a:off x="70161831"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206</xdr:row>
      <xdr:rowOff>-1</xdr:rowOff>
    </xdr:from>
    <xdr:to>
      <xdr:col>84</xdr:col>
      <xdr:colOff>1216139</xdr:colOff>
      <xdr:row>206</xdr:row>
      <xdr:rowOff>250030</xdr:rowOff>
    </xdr:to>
    <xdr:sp macro="" textlink="">
      <xdr:nvSpPr>
        <xdr:cNvPr id="68" name="Rounded Rectangle 67">
          <a:hlinkClick xmlns:r="http://schemas.openxmlformats.org/officeDocument/2006/relationships" r:id="rId9"/>
          <a:extLst>
            <a:ext uri="{FF2B5EF4-FFF2-40B4-BE49-F238E27FC236}">
              <a16:creationId xmlns:a16="http://schemas.microsoft.com/office/drawing/2014/main" id="{00000000-0008-0000-0500-000044000000}"/>
            </a:ext>
          </a:extLst>
        </xdr:cNvPr>
        <xdr:cNvSpPr/>
      </xdr:nvSpPr>
      <xdr:spPr>
        <a:xfrm>
          <a:off x="70161831"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241</xdr:row>
      <xdr:rowOff>0</xdr:rowOff>
    </xdr:from>
    <xdr:to>
      <xdr:col>84</xdr:col>
      <xdr:colOff>1161144</xdr:colOff>
      <xdr:row>241</xdr:row>
      <xdr:rowOff>222629</xdr:rowOff>
    </xdr:to>
    <xdr:sp macro="" textlink="">
      <xdr:nvSpPr>
        <xdr:cNvPr id="69" name="Rounded Rectangle 68">
          <a:hlinkClick xmlns:r="http://schemas.openxmlformats.org/officeDocument/2006/relationships" r:id="rId9"/>
          <a:extLst>
            <a:ext uri="{FF2B5EF4-FFF2-40B4-BE49-F238E27FC236}">
              <a16:creationId xmlns:a16="http://schemas.microsoft.com/office/drawing/2014/main" id="{00000000-0008-0000-0500-000045000000}"/>
            </a:ext>
          </a:extLst>
        </xdr:cNvPr>
        <xdr:cNvSpPr/>
      </xdr:nvSpPr>
      <xdr:spPr>
        <a:xfrm>
          <a:off x="70161831"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276</xdr:row>
      <xdr:rowOff>-1</xdr:rowOff>
    </xdr:from>
    <xdr:to>
      <xdr:col>84</xdr:col>
      <xdr:colOff>1190626</xdr:colOff>
      <xdr:row>276</xdr:row>
      <xdr:rowOff>250030</xdr:rowOff>
    </xdr:to>
    <xdr:sp macro="" textlink="">
      <xdr:nvSpPr>
        <xdr:cNvPr id="70" name="Rounded Rectangle 69">
          <a:hlinkClick xmlns:r="http://schemas.openxmlformats.org/officeDocument/2006/relationships" r:id="rId9"/>
          <a:extLst>
            <a:ext uri="{FF2B5EF4-FFF2-40B4-BE49-F238E27FC236}">
              <a16:creationId xmlns:a16="http://schemas.microsoft.com/office/drawing/2014/main" id="{00000000-0008-0000-0500-000046000000}"/>
            </a:ext>
          </a:extLst>
        </xdr:cNvPr>
        <xdr:cNvSpPr/>
      </xdr:nvSpPr>
      <xdr:spPr>
        <a:xfrm>
          <a:off x="70161831"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276</xdr:row>
      <xdr:rowOff>-1</xdr:rowOff>
    </xdr:from>
    <xdr:to>
      <xdr:col>96</xdr:col>
      <xdr:colOff>1190625</xdr:colOff>
      <xdr:row>276</xdr:row>
      <xdr:rowOff>250030</xdr:rowOff>
    </xdr:to>
    <xdr:sp macro="" textlink="">
      <xdr:nvSpPr>
        <xdr:cNvPr id="71" name="Rounded Rectangle 70">
          <a:hlinkClick xmlns:r="http://schemas.openxmlformats.org/officeDocument/2006/relationships" r:id="rId10"/>
          <a:extLst>
            <a:ext uri="{FF2B5EF4-FFF2-40B4-BE49-F238E27FC236}">
              <a16:creationId xmlns:a16="http://schemas.microsoft.com/office/drawing/2014/main" id="{00000000-0008-0000-0500-000047000000}"/>
            </a:ext>
          </a:extLst>
        </xdr:cNvPr>
        <xdr:cNvSpPr/>
      </xdr:nvSpPr>
      <xdr:spPr>
        <a:xfrm>
          <a:off x="80151173"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241</xdr:row>
      <xdr:rowOff>0</xdr:rowOff>
    </xdr:from>
    <xdr:to>
      <xdr:col>96</xdr:col>
      <xdr:colOff>1161143</xdr:colOff>
      <xdr:row>241</xdr:row>
      <xdr:rowOff>222629</xdr:rowOff>
    </xdr:to>
    <xdr:sp macro="" textlink="">
      <xdr:nvSpPr>
        <xdr:cNvPr id="72" name="Rounded Rectangle 71">
          <a:hlinkClick xmlns:r="http://schemas.openxmlformats.org/officeDocument/2006/relationships" r:id="rId10"/>
          <a:extLst>
            <a:ext uri="{FF2B5EF4-FFF2-40B4-BE49-F238E27FC236}">
              <a16:creationId xmlns:a16="http://schemas.microsoft.com/office/drawing/2014/main" id="{00000000-0008-0000-0500-000048000000}"/>
            </a:ext>
          </a:extLst>
        </xdr:cNvPr>
        <xdr:cNvSpPr/>
      </xdr:nvSpPr>
      <xdr:spPr>
        <a:xfrm>
          <a:off x="80151173"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206</xdr:row>
      <xdr:rowOff>-1</xdr:rowOff>
    </xdr:from>
    <xdr:to>
      <xdr:col>96</xdr:col>
      <xdr:colOff>1216138</xdr:colOff>
      <xdr:row>206</xdr:row>
      <xdr:rowOff>250030</xdr:rowOff>
    </xdr:to>
    <xdr:sp macro="" textlink="">
      <xdr:nvSpPr>
        <xdr:cNvPr id="73" name="Rounded Rectangle 72">
          <a:hlinkClick xmlns:r="http://schemas.openxmlformats.org/officeDocument/2006/relationships" r:id="rId10"/>
          <a:extLst>
            <a:ext uri="{FF2B5EF4-FFF2-40B4-BE49-F238E27FC236}">
              <a16:creationId xmlns:a16="http://schemas.microsoft.com/office/drawing/2014/main" id="{00000000-0008-0000-0500-000049000000}"/>
            </a:ext>
          </a:extLst>
        </xdr:cNvPr>
        <xdr:cNvSpPr/>
      </xdr:nvSpPr>
      <xdr:spPr>
        <a:xfrm>
          <a:off x="80151173"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171</xdr:row>
      <xdr:rowOff>0</xdr:rowOff>
    </xdr:from>
    <xdr:to>
      <xdr:col>96</xdr:col>
      <xdr:colOff>1161143</xdr:colOff>
      <xdr:row>171</xdr:row>
      <xdr:rowOff>222629</xdr:rowOff>
    </xdr:to>
    <xdr:sp macro="" textlink="">
      <xdr:nvSpPr>
        <xdr:cNvPr id="74" name="Rounded Rectangle 73">
          <a:hlinkClick xmlns:r="http://schemas.openxmlformats.org/officeDocument/2006/relationships" r:id="rId10"/>
          <a:extLst>
            <a:ext uri="{FF2B5EF4-FFF2-40B4-BE49-F238E27FC236}">
              <a16:creationId xmlns:a16="http://schemas.microsoft.com/office/drawing/2014/main" id="{00000000-0008-0000-0500-00004A000000}"/>
            </a:ext>
          </a:extLst>
        </xdr:cNvPr>
        <xdr:cNvSpPr/>
      </xdr:nvSpPr>
      <xdr:spPr>
        <a:xfrm>
          <a:off x="80151173"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132</xdr:row>
      <xdr:rowOff>258536</xdr:rowOff>
    </xdr:from>
    <xdr:to>
      <xdr:col>96</xdr:col>
      <xdr:colOff>1161143</xdr:colOff>
      <xdr:row>133</xdr:row>
      <xdr:rowOff>219226</xdr:rowOff>
    </xdr:to>
    <xdr:sp macro="" textlink="">
      <xdr:nvSpPr>
        <xdr:cNvPr id="75" name="Rounded Rectangle 74">
          <a:hlinkClick xmlns:r="http://schemas.openxmlformats.org/officeDocument/2006/relationships" r:id="rId10"/>
          <a:extLst>
            <a:ext uri="{FF2B5EF4-FFF2-40B4-BE49-F238E27FC236}">
              <a16:creationId xmlns:a16="http://schemas.microsoft.com/office/drawing/2014/main" id="{00000000-0008-0000-0500-00004B000000}"/>
            </a:ext>
          </a:extLst>
        </xdr:cNvPr>
        <xdr:cNvSpPr/>
      </xdr:nvSpPr>
      <xdr:spPr>
        <a:xfrm>
          <a:off x="80151173"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98</xdr:row>
      <xdr:rowOff>41363</xdr:rowOff>
    </xdr:from>
    <xdr:to>
      <xdr:col>96</xdr:col>
      <xdr:colOff>1161143</xdr:colOff>
      <xdr:row>99</xdr:row>
      <xdr:rowOff>2055</xdr:rowOff>
    </xdr:to>
    <xdr:sp macro="" textlink="">
      <xdr:nvSpPr>
        <xdr:cNvPr id="76" name="Rounded Rectangle 75">
          <a:hlinkClick xmlns:r="http://schemas.openxmlformats.org/officeDocument/2006/relationships" r:id="rId10"/>
          <a:extLst>
            <a:ext uri="{FF2B5EF4-FFF2-40B4-BE49-F238E27FC236}">
              <a16:creationId xmlns:a16="http://schemas.microsoft.com/office/drawing/2014/main" id="{00000000-0008-0000-0500-00004C000000}"/>
            </a:ext>
          </a:extLst>
        </xdr:cNvPr>
        <xdr:cNvSpPr/>
      </xdr:nvSpPr>
      <xdr:spPr>
        <a:xfrm>
          <a:off x="80151173"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63</xdr:row>
      <xdr:rowOff>0</xdr:rowOff>
    </xdr:from>
    <xdr:to>
      <xdr:col>96</xdr:col>
      <xdr:colOff>1161143</xdr:colOff>
      <xdr:row>63</xdr:row>
      <xdr:rowOff>222628</xdr:rowOff>
    </xdr:to>
    <xdr:sp macro="" textlink="">
      <xdr:nvSpPr>
        <xdr:cNvPr id="77" name="Rounded Rectangle 76">
          <a:hlinkClick xmlns:r="http://schemas.openxmlformats.org/officeDocument/2006/relationships" r:id="rId10"/>
          <a:extLst>
            <a:ext uri="{FF2B5EF4-FFF2-40B4-BE49-F238E27FC236}">
              <a16:creationId xmlns:a16="http://schemas.microsoft.com/office/drawing/2014/main" id="{00000000-0008-0000-0500-00004D000000}"/>
            </a:ext>
          </a:extLst>
        </xdr:cNvPr>
        <xdr:cNvSpPr/>
      </xdr:nvSpPr>
      <xdr:spPr>
        <a:xfrm>
          <a:off x="80151173"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28</xdr:row>
      <xdr:rowOff>0</xdr:rowOff>
    </xdr:from>
    <xdr:to>
      <xdr:col>96</xdr:col>
      <xdr:colOff>1161143</xdr:colOff>
      <xdr:row>28</xdr:row>
      <xdr:rowOff>232834</xdr:rowOff>
    </xdr:to>
    <xdr:sp macro="" textlink="">
      <xdr:nvSpPr>
        <xdr:cNvPr id="78" name="Rounded Rectangle 77">
          <a:hlinkClick xmlns:r="http://schemas.openxmlformats.org/officeDocument/2006/relationships" r:id="rId10"/>
          <a:extLst>
            <a:ext uri="{FF2B5EF4-FFF2-40B4-BE49-F238E27FC236}">
              <a16:creationId xmlns:a16="http://schemas.microsoft.com/office/drawing/2014/main" id="{00000000-0008-0000-0500-00004E000000}"/>
            </a:ext>
          </a:extLst>
        </xdr:cNvPr>
        <xdr:cNvSpPr/>
      </xdr:nvSpPr>
      <xdr:spPr>
        <a:xfrm>
          <a:off x="80037213"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63</xdr:row>
      <xdr:rowOff>0</xdr:rowOff>
    </xdr:from>
    <xdr:to>
      <xdr:col>108</xdr:col>
      <xdr:colOff>1147537</xdr:colOff>
      <xdr:row>63</xdr:row>
      <xdr:rowOff>232834</xdr:rowOff>
    </xdr:to>
    <xdr:sp macro="" textlink="">
      <xdr:nvSpPr>
        <xdr:cNvPr id="115" name="Rounded Rectangle 114">
          <a:hlinkClick xmlns:r="http://schemas.openxmlformats.org/officeDocument/2006/relationships" r:id="rId11"/>
          <a:extLst>
            <a:ext uri="{FF2B5EF4-FFF2-40B4-BE49-F238E27FC236}">
              <a16:creationId xmlns:a16="http://schemas.microsoft.com/office/drawing/2014/main" id="{00000000-0008-0000-0500-000073000000}"/>
            </a:ext>
          </a:extLst>
        </xdr:cNvPr>
        <xdr:cNvSpPr/>
      </xdr:nvSpPr>
      <xdr:spPr>
        <a:xfrm>
          <a:off x="90126911" y="13120688"/>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98</xdr:row>
      <xdr:rowOff>31159</xdr:rowOff>
    </xdr:from>
    <xdr:to>
      <xdr:col>108</xdr:col>
      <xdr:colOff>1147537</xdr:colOff>
      <xdr:row>99</xdr:row>
      <xdr:rowOff>2055</xdr:rowOff>
    </xdr:to>
    <xdr:sp macro="" textlink="">
      <xdr:nvSpPr>
        <xdr:cNvPr id="116" name="Rounded Rectangle 115">
          <a:hlinkClick xmlns:r="http://schemas.openxmlformats.org/officeDocument/2006/relationships" r:id="rId11"/>
          <a:extLst>
            <a:ext uri="{FF2B5EF4-FFF2-40B4-BE49-F238E27FC236}">
              <a16:creationId xmlns:a16="http://schemas.microsoft.com/office/drawing/2014/main" id="{00000000-0008-0000-0500-000074000000}"/>
            </a:ext>
          </a:extLst>
        </xdr:cNvPr>
        <xdr:cNvSpPr/>
      </xdr:nvSpPr>
      <xdr:spPr>
        <a:xfrm>
          <a:off x="90126911" y="20509909"/>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132</xdr:row>
      <xdr:rowOff>258536</xdr:rowOff>
    </xdr:from>
    <xdr:to>
      <xdr:col>108</xdr:col>
      <xdr:colOff>1147537</xdr:colOff>
      <xdr:row>133</xdr:row>
      <xdr:rowOff>229432</xdr:rowOff>
    </xdr:to>
    <xdr:sp macro="" textlink="">
      <xdr:nvSpPr>
        <xdr:cNvPr id="117" name="Rounded Rectangle 116">
          <a:hlinkClick xmlns:r="http://schemas.openxmlformats.org/officeDocument/2006/relationships" r:id="rId11"/>
          <a:extLst>
            <a:ext uri="{FF2B5EF4-FFF2-40B4-BE49-F238E27FC236}">
              <a16:creationId xmlns:a16="http://schemas.microsoft.com/office/drawing/2014/main" id="{00000000-0008-0000-0500-000075000000}"/>
            </a:ext>
          </a:extLst>
        </xdr:cNvPr>
        <xdr:cNvSpPr/>
      </xdr:nvSpPr>
      <xdr:spPr>
        <a:xfrm>
          <a:off x="90126911" y="27833411"/>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171</xdr:row>
      <xdr:rowOff>0</xdr:rowOff>
    </xdr:from>
    <xdr:to>
      <xdr:col>108</xdr:col>
      <xdr:colOff>1147537</xdr:colOff>
      <xdr:row>171</xdr:row>
      <xdr:rowOff>232834</xdr:rowOff>
    </xdr:to>
    <xdr:sp macro="" textlink="">
      <xdr:nvSpPr>
        <xdr:cNvPr id="118" name="Rounded Rectangle 117">
          <a:hlinkClick xmlns:r="http://schemas.openxmlformats.org/officeDocument/2006/relationships" r:id="rId11"/>
          <a:extLst>
            <a:ext uri="{FF2B5EF4-FFF2-40B4-BE49-F238E27FC236}">
              <a16:creationId xmlns:a16="http://schemas.microsoft.com/office/drawing/2014/main" id="{00000000-0008-0000-0500-000076000000}"/>
            </a:ext>
          </a:extLst>
        </xdr:cNvPr>
        <xdr:cNvSpPr/>
      </xdr:nvSpPr>
      <xdr:spPr>
        <a:xfrm>
          <a:off x="90126911" y="35766375"/>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206</xdr:row>
      <xdr:rowOff>-1</xdr:rowOff>
    </xdr:from>
    <xdr:to>
      <xdr:col>108</xdr:col>
      <xdr:colOff>1202532</xdr:colOff>
      <xdr:row>206</xdr:row>
      <xdr:rowOff>261492</xdr:rowOff>
    </xdr:to>
    <xdr:sp macro="" textlink="">
      <xdr:nvSpPr>
        <xdr:cNvPr id="119" name="Rounded Rectangle 118">
          <a:hlinkClick xmlns:r="http://schemas.openxmlformats.org/officeDocument/2006/relationships" r:id="rId11"/>
          <a:extLst>
            <a:ext uri="{FF2B5EF4-FFF2-40B4-BE49-F238E27FC236}">
              <a16:creationId xmlns:a16="http://schemas.microsoft.com/office/drawing/2014/main" id="{00000000-0008-0000-0500-000077000000}"/>
            </a:ext>
          </a:extLst>
        </xdr:cNvPr>
        <xdr:cNvSpPr/>
      </xdr:nvSpPr>
      <xdr:spPr>
        <a:xfrm>
          <a:off x="90126911" y="43124437"/>
          <a:ext cx="1039246"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241</xdr:row>
      <xdr:rowOff>0</xdr:rowOff>
    </xdr:from>
    <xdr:to>
      <xdr:col>108</xdr:col>
      <xdr:colOff>1147537</xdr:colOff>
      <xdr:row>241</xdr:row>
      <xdr:rowOff>232834</xdr:rowOff>
    </xdr:to>
    <xdr:sp macro="" textlink="">
      <xdr:nvSpPr>
        <xdr:cNvPr id="120" name="Rounded Rectangle 119">
          <a:hlinkClick xmlns:r="http://schemas.openxmlformats.org/officeDocument/2006/relationships" r:id="rId11"/>
          <a:extLst>
            <a:ext uri="{FF2B5EF4-FFF2-40B4-BE49-F238E27FC236}">
              <a16:creationId xmlns:a16="http://schemas.microsoft.com/office/drawing/2014/main" id="{00000000-0008-0000-0500-000078000000}"/>
            </a:ext>
          </a:extLst>
        </xdr:cNvPr>
        <xdr:cNvSpPr/>
      </xdr:nvSpPr>
      <xdr:spPr>
        <a:xfrm>
          <a:off x="90126911"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276</xdr:row>
      <xdr:rowOff>-1</xdr:rowOff>
    </xdr:from>
    <xdr:to>
      <xdr:col>108</xdr:col>
      <xdr:colOff>1177019</xdr:colOff>
      <xdr:row>276</xdr:row>
      <xdr:rowOff>261492</xdr:rowOff>
    </xdr:to>
    <xdr:sp macro="" textlink="">
      <xdr:nvSpPr>
        <xdr:cNvPr id="121" name="Rounded Rectangle 120">
          <a:hlinkClick xmlns:r="http://schemas.openxmlformats.org/officeDocument/2006/relationships" r:id="rId11"/>
          <a:extLst>
            <a:ext uri="{FF2B5EF4-FFF2-40B4-BE49-F238E27FC236}">
              <a16:creationId xmlns:a16="http://schemas.microsoft.com/office/drawing/2014/main" id="{00000000-0008-0000-0500-000079000000}"/>
            </a:ext>
          </a:extLst>
        </xdr:cNvPr>
        <xdr:cNvSpPr/>
      </xdr:nvSpPr>
      <xdr:spPr>
        <a:xfrm>
          <a:off x="90126911" y="57840562"/>
          <a:ext cx="1013733"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28</xdr:row>
      <xdr:rowOff>27214</xdr:rowOff>
    </xdr:from>
    <xdr:to>
      <xdr:col>108</xdr:col>
      <xdr:colOff>1147537</xdr:colOff>
      <xdr:row>28</xdr:row>
      <xdr:rowOff>260048</xdr:rowOff>
    </xdr:to>
    <xdr:sp macro="" textlink="">
      <xdr:nvSpPr>
        <xdr:cNvPr id="123" name="Rounded Rectangle 122">
          <a:hlinkClick xmlns:r="http://schemas.openxmlformats.org/officeDocument/2006/relationships" r:id="rId11"/>
          <a:extLst>
            <a:ext uri="{FF2B5EF4-FFF2-40B4-BE49-F238E27FC236}">
              <a16:creationId xmlns:a16="http://schemas.microsoft.com/office/drawing/2014/main" id="{00000000-0008-0000-0500-00007B000000}"/>
            </a:ext>
          </a:extLst>
        </xdr:cNvPr>
        <xdr:cNvSpPr/>
      </xdr:nvSpPr>
      <xdr:spPr>
        <a:xfrm>
          <a:off x="89997643" y="5851071"/>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vertOverflow="clip" horzOverflow="clip" rtlCol="0" anchor="ctr"/>
      <a:lstStyle>
        <a:defPPr algn="l">
          <a:defRPr sz="1200" b="1"/>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1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9.xml"/><Relationship Id="rId12" Type="http://schemas.openxmlformats.org/officeDocument/2006/relationships/ctrlProp" Target="../ctrlProps/ctrlProp14.xml"/><Relationship Id="rId17" Type="http://schemas.openxmlformats.org/officeDocument/2006/relationships/ctrlProp" Target="../ctrlProps/ctrlProp19.xml"/><Relationship Id="rId2" Type="http://schemas.openxmlformats.org/officeDocument/2006/relationships/drawing" Target="../drawings/drawing2.xml"/><Relationship Id="rId16" Type="http://schemas.openxmlformats.org/officeDocument/2006/relationships/ctrlProp" Target="../ctrlProps/ctrlProp18.xml"/><Relationship Id="rId1" Type="http://schemas.openxmlformats.org/officeDocument/2006/relationships/printerSettings" Target="../printerSettings/printerSettings4.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5" Type="http://schemas.openxmlformats.org/officeDocument/2006/relationships/ctrlProp" Target="../ctrlProps/ctrlProp17.xml"/><Relationship Id="rId10" Type="http://schemas.openxmlformats.org/officeDocument/2006/relationships/ctrlProp" Target="../ctrlProps/ctrlProp12.xml"/><Relationship Id="rId19" Type="http://schemas.openxmlformats.org/officeDocument/2006/relationships/ctrlProp" Target="../ctrlProps/ctrlProp21.xml"/><Relationship Id="rId4" Type="http://schemas.openxmlformats.org/officeDocument/2006/relationships/ctrlProp" Target="../ctrlProps/ctrlProp6.xml"/><Relationship Id="rId9" Type="http://schemas.openxmlformats.org/officeDocument/2006/relationships/ctrlProp" Target="../ctrlProps/ctrlProp11.xml"/><Relationship Id="rId1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B26"/>
  <sheetViews>
    <sheetView showGridLines="0" view="pageBreakPreview" zoomScaleNormal="100" zoomScaleSheetLayoutView="100" workbookViewId="0">
      <selection activeCell="B10" sqref="B10"/>
    </sheetView>
  </sheetViews>
  <sheetFormatPr defaultRowHeight="15" x14ac:dyDescent="0.25"/>
  <cols>
    <col min="1" max="1" width="24" bestFit="1" customWidth="1"/>
    <col min="2" max="2" width="71.42578125" customWidth="1"/>
    <col min="5" max="5" width="33.28515625" bestFit="1" customWidth="1"/>
  </cols>
  <sheetData>
    <row r="1" spans="1:2" x14ac:dyDescent="0.25">
      <c r="A1" s="118" t="s">
        <v>44</v>
      </c>
      <c r="B1" s="119"/>
    </row>
    <row r="2" spans="1:2" x14ac:dyDescent="0.25">
      <c r="A2" s="119"/>
      <c r="B2" s="119"/>
    </row>
    <row r="3" spans="1:2" x14ac:dyDescent="0.25">
      <c r="A3" s="119" t="s">
        <v>45</v>
      </c>
      <c r="B3" s="119"/>
    </row>
    <row r="4" spans="1:2" x14ac:dyDescent="0.25">
      <c r="A4" s="120"/>
      <c r="B4" s="119"/>
    </row>
    <row r="5" spans="1:2" x14ac:dyDescent="0.25">
      <c r="A5" s="120" t="s">
        <v>148</v>
      </c>
      <c r="B5" s="119" t="s">
        <v>241</v>
      </c>
    </row>
    <row r="6" spans="1:2" x14ac:dyDescent="0.25">
      <c r="A6" s="120"/>
      <c r="B6" s="119"/>
    </row>
    <row r="7" spans="1:2" x14ac:dyDescent="0.25">
      <c r="A7" s="119" t="s">
        <v>46</v>
      </c>
      <c r="B7" s="119"/>
    </row>
    <row r="8" spans="1:2" x14ac:dyDescent="0.25">
      <c r="A8" s="120"/>
      <c r="B8" s="119"/>
    </row>
    <row r="9" spans="1:2" x14ac:dyDescent="0.25">
      <c r="A9" s="120"/>
      <c r="B9" s="119"/>
    </row>
    <row r="10" spans="1:2" x14ac:dyDescent="0.25">
      <c r="A10" s="119" t="s">
        <v>47</v>
      </c>
      <c r="B10" s="121" t="s">
        <v>232</v>
      </c>
    </row>
    <row r="11" spans="1:2" x14ac:dyDescent="0.25">
      <c r="A11" s="119" t="s">
        <v>48</v>
      </c>
      <c r="B11" s="122"/>
    </row>
    <row r="12" spans="1:2" x14ac:dyDescent="0.25">
      <c r="A12" s="119"/>
      <c r="B12" s="122"/>
    </row>
    <row r="13" spans="1:2" x14ac:dyDescent="0.25">
      <c r="A13" s="119" t="s">
        <v>49</v>
      </c>
      <c r="B13" s="122"/>
    </row>
    <row r="14" spans="1:2" x14ac:dyDescent="0.25">
      <c r="A14" s="119"/>
      <c r="B14" s="122"/>
    </row>
    <row r="15" spans="1:2" x14ac:dyDescent="0.25">
      <c r="A15" s="119" t="s">
        <v>50</v>
      </c>
      <c r="B15" s="122"/>
    </row>
    <row r="16" spans="1:2" x14ac:dyDescent="0.25">
      <c r="A16" s="119" t="s">
        <v>51</v>
      </c>
      <c r="B16" s="122"/>
    </row>
    <row r="17" spans="1:2" x14ac:dyDescent="0.25">
      <c r="A17" s="119"/>
      <c r="B17" s="122"/>
    </row>
    <row r="18" spans="1:2" x14ac:dyDescent="0.25">
      <c r="A18" s="119"/>
      <c r="B18" s="122"/>
    </row>
    <row r="19" spans="1:2" x14ac:dyDescent="0.25">
      <c r="A19" s="107" t="s">
        <v>141</v>
      </c>
      <c r="B19" s="122"/>
    </row>
    <row r="20" spans="1:2" x14ac:dyDescent="0.25">
      <c r="A20" s="119" t="s">
        <v>142</v>
      </c>
      <c r="B20" s="198" t="str">
        <f>B10&amp;" Edition"</f>
        <v>1/3/2023 Edition</v>
      </c>
    </row>
    <row r="21" spans="1:2" x14ac:dyDescent="0.25">
      <c r="A21" s="119" t="s">
        <v>143</v>
      </c>
      <c r="B21" s="199" t="str">
        <f>IF(ISBLANK('1.General'!$C$12),"",'1.General'!$C$12)</f>
        <v>State Farm General Insurance Company</v>
      </c>
    </row>
    <row r="22" spans="1:2" x14ac:dyDescent="0.25">
      <c r="A22" s="119" t="s">
        <v>144</v>
      </c>
      <c r="B22" s="200" t="str">
        <f>INDEX(List_GeneralLine,References!$F$5,1)</f>
        <v>Homeowners</v>
      </c>
    </row>
    <row r="23" spans="1:2" x14ac:dyDescent="0.25">
      <c r="A23" s="119" t="s">
        <v>145</v>
      </c>
      <c r="B23" s="200">
        <f>IF(ISBLANK('1.General'!$B$10),"",'1.General'!$B$10)</f>
        <v>45170</v>
      </c>
    </row>
    <row r="24" spans="1:2" x14ac:dyDescent="0.25">
      <c r="A24" s="119" t="s">
        <v>146</v>
      </c>
      <c r="B24" s="200" t="str">
        <f>IF(ISBLANK('1.General'!$B$8),"",'1.General'!$B$8)</f>
        <v>Nicole Pettis</v>
      </c>
    </row>
    <row r="25" spans="1:2" x14ac:dyDescent="0.25">
      <c r="A25" s="119" t="s">
        <v>147</v>
      </c>
      <c r="B25" s="201">
        <f>IF(ISBLANK('1.General'!$F$8),"",'1.General'!$F$8)</f>
        <v>44981</v>
      </c>
    </row>
    <row r="26" spans="1:2" x14ac:dyDescent="0.25">
      <c r="A26" s="119" t="s">
        <v>65</v>
      </c>
      <c r="B26" s="197" t="str">
        <f>INDEX(List_AggMethod,References!$L$5,1)</f>
        <v>Accident Year Data</v>
      </c>
    </row>
  </sheetData>
  <sheetProtection formatColumns="0" formatRows="0" sort="0"/>
  <pageMargins left="0.7" right="0.7" top="0.75" bottom="0.75" header="0.3" footer="0.3"/>
  <pageSetup scale="83" orientation="portrait" r:id="rId1"/>
  <headerFooter>
    <oddFooter>&amp;L1/3/2023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Update Footers">
              <controlPr defaultSize="0" print="0" autoFill="0" autoPict="0" macro="[0]!Protection.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7170" r:id="rId5" name="Button 2">
              <controlPr defaultSize="0" print="0" autoFill="0" autoPict="0" macro="[0]!Protection.Unprotect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7171"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7172" r:id="rId7" name="Button 4">
              <controlPr defaultSize="0" print="0" autoFill="0" autoPict="0" macro="[0]!Protection.HideSheets">
                <anchor moveWithCells="1">
                  <from>
                    <xdr:col>0</xdr:col>
                    <xdr:colOff>9525</xdr:colOff>
                    <xdr:row>16</xdr:row>
                    <xdr:rowOff>9525</xdr:rowOff>
                  </from>
                  <to>
                    <xdr:col>0</xdr:col>
                    <xdr:colOff>1590675</xdr:colOff>
                    <xdr:row>17</xdr:row>
                    <xdr:rowOff>9525</xdr:rowOff>
                  </to>
                </anchor>
              </controlPr>
            </control>
          </mc:Choice>
        </mc:AlternateContent>
        <mc:AlternateContent xmlns:mc="http://schemas.openxmlformats.org/markup-compatibility/2006">
          <mc:Choice Requires="x14">
            <control shapeId="7173" r:id="rId8" name="Button 5">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sheetPr>
  <dimension ref="A1:Q50"/>
  <sheetViews>
    <sheetView topLeftCell="A4" zoomScaleNormal="100" workbookViewId="0">
      <selection activeCell="A4" sqref="A4"/>
    </sheetView>
  </sheetViews>
  <sheetFormatPr defaultRowHeight="15" x14ac:dyDescent="0.25"/>
  <cols>
    <col min="1" max="1" width="29" customWidth="1"/>
    <col min="2" max="2" width="15.85546875" style="17" bestFit="1" customWidth="1"/>
    <col min="3" max="3" width="5.7109375" style="17" customWidth="1"/>
    <col min="4" max="4" width="11.5703125" style="17" bestFit="1" customWidth="1"/>
    <col min="5" max="5" width="5.7109375" style="17" customWidth="1"/>
    <col min="6" max="6" width="32.28515625" style="17" customWidth="1"/>
    <col min="7" max="7" width="32.28515625" style="17" hidden="1" customWidth="1"/>
    <col min="8" max="8" width="5.7109375" style="17" customWidth="1"/>
    <col min="9" max="9" width="54.7109375" style="17" bestFit="1" customWidth="1"/>
    <col min="10" max="10" width="5.7109375" style="17" bestFit="1" customWidth="1"/>
    <col min="11" max="11" width="5.7109375" customWidth="1"/>
    <col min="12" max="12" width="41.42578125" style="17" customWidth="1"/>
    <col min="13" max="13" width="5.7109375" customWidth="1"/>
    <col min="14" max="14" width="41.42578125" style="17" customWidth="1"/>
    <col min="16" max="16" width="18.5703125" customWidth="1"/>
    <col min="17" max="17" width="17.85546875" customWidth="1"/>
  </cols>
  <sheetData>
    <row r="1" spans="1:17" ht="15.75" thickBot="1" x14ac:dyDescent="0.3">
      <c r="A1" s="118" t="s">
        <v>44</v>
      </c>
      <c r="D1" s="202"/>
    </row>
    <row r="2" spans="1:17" x14ac:dyDescent="0.25">
      <c r="A2" s="17"/>
      <c r="B2" s="174" t="s">
        <v>82</v>
      </c>
      <c r="C2" s="15"/>
      <c r="D2" s="175" t="s">
        <v>83</v>
      </c>
      <c r="E2" s="15"/>
      <c r="F2" s="174" t="s">
        <v>84</v>
      </c>
      <c r="G2" s="252"/>
      <c r="H2" s="15"/>
      <c r="I2" s="249" t="s">
        <v>133</v>
      </c>
      <c r="J2" s="176"/>
      <c r="L2" s="175" t="s">
        <v>134</v>
      </c>
      <c r="N2" s="175" t="s">
        <v>140</v>
      </c>
      <c r="P2" s="235" t="s">
        <v>183</v>
      </c>
      <c r="Q2" s="236"/>
    </row>
    <row r="3" spans="1:17" x14ac:dyDescent="0.25">
      <c r="A3" s="17"/>
      <c r="B3" s="177" t="s">
        <v>85</v>
      </c>
      <c r="C3" s="15"/>
      <c r="D3" s="178"/>
      <c r="F3" s="179"/>
      <c r="G3" s="228"/>
      <c r="I3" s="250"/>
      <c r="J3" s="180"/>
      <c r="L3" s="182"/>
      <c r="N3" s="182"/>
      <c r="P3" s="237" t="s">
        <v>184</v>
      </c>
      <c r="Q3" s="238"/>
    </row>
    <row r="4" spans="1:17" x14ac:dyDescent="0.25">
      <c r="A4" s="17"/>
      <c r="B4" s="177" t="s">
        <v>154</v>
      </c>
      <c r="C4" s="181"/>
      <c r="D4" s="182"/>
      <c r="F4" s="179"/>
      <c r="G4" s="228"/>
      <c r="I4" s="250"/>
      <c r="J4" s="180"/>
      <c r="L4" s="182"/>
      <c r="N4" s="182"/>
      <c r="P4" s="233"/>
      <c r="Q4" s="234"/>
    </row>
    <row r="5" spans="1:17" ht="45" x14ac:dyDescent="0.25">
      <c r="A5" s="170" t="s">
        <v>135</v>
      </c>
      <c r="B5" s="183"/>
      <c r="C5" s="95"/>
      <c r="D5" s="184">
        <v>2</v>
      </c>
      <c r="E5" s="185"/>
      <c r="F5" s="186">
        <v>17</v>
      </c>
      <c r="G5" s="229"/>
      <c r="H5" s="185"/>
      <c r="I5" s="251"/>
      <c r="J5" s="187"/>
      <c r="L5" s="186">
        <v>1</v>
      </c>
      <c r="N5" s="186">
        <v>4</v>
      </c>
      <c r="P5" s="233"/>
      <c r="Q5" s="234"/>
    </row>
    <row r="6" spans="1:17" x14ac:dyDescent="0.25">
      <c r="B6" s="188" t="s">
        <v>86</v>
      </c>
      <c r="C6" s="189"/>
      <c r="D6" s="182" t="s">
        <v>87</v>
      </c>
      <c r="F6" s="179"/>
      <c r="G6" s="228"/>
      <c r="I6" s="250"/>
      <c r="J6" s="180"/>
      <c r="L6" s="182" t="s">
        <v>224</v>
      </c>
      <c r="N6" s="182" t="s">
        <v>66</v>
      </c>
      <c r="P6" s="239">
        <v>1</v>
      </c>
      <c r="Q6" s="241">
        <v>2</v>
      </c>
    </row>
    <row r="7" spans="1:17" x14ac:dyDescent="0.25">
      <c r="B7" s="188" t="s">
        <v>88</v>
      </c>
      <c r="C7" s="189"/>
      <c r="D7" s="182" t="s">
        <v>89</v>
      </c>
      <c r="F7" s="179" t="s">
        <v>90</v>
      </c>
      <c r="G7" s="228"/>
      <c r="I7" s="250" t="s">
        <v>90</v>
      </c>
      <c r="J7" s="180">
        <v>22</v>
      </c>
      <c r="L7" s="182" t="s">
        <v>225</v>
      </c>
      <c r="N7" s="182" t="s">
        <v>68</v>
      </c>
      <c r="P7" s="239">
        <v>2</v>
      </c>
      <c r="Q7" s="241">
        <v>1</v>
      </c>
    </row>
    <row r="8" spans="1:17" ht="15.75" thickBot="1" x14ac:dyDescent="0.3">
      <c r="B8" s="191" t="s">
        <v>91</v>
      </c>
      <c r="C8" s="189"/>
      <c r="D8" s="190"/>
      <c r="F8" s="179" t="s">
        <v>92</v>
      </c>
      <c r="G8" s="228"/>
      <c r="I8" s="250" t="s">
        <v>92</v>
      </c>
      <c r="J8" s="180">
        <v>2.1</v>
      </c>
      <c r="L8" s="182" t="s">
        <v>226</v>
      </c>
      <c r="N8" s="182" t="s">
        <v>67</v>
      </c>
      <c r="P8" s="239">
        <v>3</v>
      </c>
      <c r="Q8" s="241">
        <v>1</v>
      </c>
    </row>
    <row r="9" spans="1:17" ht="15.75" thickBot="1" x14ac:dyDescent="0.3">
      <c r="F9" s="179" t="s">
        <v>223</v>
      </c>
      <c r="G9" s="228"/>
      <c r="I9" s="250" t="s">
        <v>94</v>
      </c>
      <c r="J9" s="180">
        <v>17</v>
      </c>
      <c r="L9" s="190"/>
      <c r="N9" s="190" t="s">
        <v>69</v>
      </c>
      <c r="P9" s="239">
        <v>4</v>
      </c>
      <c r="Q9" s="241">
        <v>1</v>
      </c>
    </row>
    <row r="10" spans="1:17" x14ac:dyDescent="0.25">
      <c r="B10" s="175" t="s">
        <v>163</v>
      </c>
      <c r="F10" s="179" t="s">
        <v>93</v>
      </c>
      <c r="G10" s="228"/>
      <c r="I10" s="250" t="s">
        <v>95</v>
      </c>
      <c r="J10" s="180">
        <v>27</v>
      </c>
      <c r="L10" s="278"/>
      <c r="P10" s="239">
        <v>5</v>
      </c>
      <c r="Q10" s="241">
        <v>1</v>
      </c>
    </row>
    <row r="11" spans="1:17" x14ac:dyDescent="0.25">
      <c r="B11" s="178" t="s">
        <v>164</v>
      </c>
      <c r="F11" s="179" t="s">
        <v>94</v>
      </c>
      <c r="G11" s="228"/>
      <c r="I11" s="250" t="s">
        <v>96</v>
      </c>
      <c r="J11" s="180">
        <v>26</v>
      </c>
      <c r="L11" s="278"/>
      <c r="P11" s="239">
        <v>6</v>
      </c>
      <c r="Q11" s="241">
        <v>1</v>
      </c>
    </row>
    <row r="12" spans="1:17" x14ac:dyDescent="0.25">
      <c r="B12" s="182"/>
      <c r="F12" s="179" t="s">
        <v>95</v>
      </c>
      <c r="G12" s="228"/>
      <c r="I12" s="250" t="s">
        <v>97</v>
      </c>
      <c r="J12" s="180">
        <v>19.399999999999999</v>
      </c>
      <c r="P12" s="239">
        <v>7</v>
      </c>
      <c r="Q12" s="241">
        <v>1</v>
      </c>
    </row>
    <row r="13" spans="1:17" x14ac:dyDescent="0.25">
      <c r="B13" s="184"/>
      <c r="F13" s="179" t="s">
        <v>96</v>
      </c>
      <c r="G13" s="228"/>
      <c r="I13" s="250" t="s">
        <v>99</v>
      </c>
      <c r="J13" s="180">
        <v>21.2</v>
      </c>
      <c r="P13" s="239">
        <v>8</v>
      </c>
      <c r="Q13" s="241">
        <v>1</v>
      </c>
    </row>
    <row r="14" spans="1:17" x14ac:dyDescent="0.25">
      <c r="B14" s="182">
        <v>12</v>
      </c>
      <c r="F14" s="179" t="s">
        <v>98</v>
      </c>
      <c r="G14" s="228"/>
      <c r="I14" s="250" t="s">
        <v>101</v>
      </c>
      <c r="J14" s="180">
        <v>5</v>
      </c>
      <c r="P14" s="239">
        <v>9</v>
      </c>
      <c r="Q14" s="241">
        <v>1</v>
      </c>
    </row>
    <row r="15" spans="1:17" ht="15.75" thickBot="1" x14ac:dyDescent="0.3">
      <c r="B15" s="190">
        <v>15</v>
      </c>
      <c r="F15" s="179" t="s">
        <v>100</v>
      </c>
      <c r="G15" s="228"/>
      <c r="I15" s="250" t="s">
        <v>103</v>
      </c>
      <c r="J15" s="180">
        <v>5.2</v>
      </c>
      <c r="P15" s="240">
        <v>10</v>
      </c>
      <c r="Q15" s="242">
        <v>1</v>
      </c>
    </row>
    <row r="16" spans="1:17" ht="15.75" thickBot="1" x14ac:dyDescent="0.3">
      <c r="F16" s="179" t="s">
        <v>102</v>
      </c>
      <c r="G16" s="228"/>
      <c r="I16" s="250" t="s">
        <v>105</v>
      </c>
      <c r="J16" s="180">
        <v>5.0999999999999996</v>
      </c>
    </row>
    <row r="17" spans="2:10" x14ac:dyDescent="0.25">
      <c r="B17" s="175" t="s">
        <v>167</v>
      </c>
      <c r="F17" s="179" t="s">
        <v>104</v>
      </c>
      <c r="G17" s="228"/>
      <c r="I17" s="250" t="s">
        <v>98</v>
      </c>
      <c r="J17" s="180">
        <v>12</v>
      </c>
    </row>
    <row r="18" spans="2:10" x14ac:dyDescent="0.25">
      <c r="B18" s="178" t="s">
        <v>164</v>
      </c>
      <c r="F18" s="179" t="s">
        <v>182</v>
      </c>
      <c r="G18" s="228"/>
      <c r="I18" s="250" t="s">
        <v>108</v>
      </c>
      <c r="J18" s="180" t="s">
        <v>109</v>
      </c>
    </row>
    <row r="19" spans="2:10" x14ac:dyDescent="0.25">
      <c r="B19" s="182"/>
      <c r="F19" s="179" t="s">
        <v>221</v>
      </c>
      <c r="G19" s="228"/>
      <c r="I19" s="250" t="s">
        <v>111</v>
      </c>
      <c r="J19" s="180">
        <v>3</v>
      </c>
    </row>
    <row r="20" spans="2:10" x14ac:dyDescent="0.25">
      <c r="B20" s="184"/>
      <c r="F20" s="179" t="s">
        <v>222</v>
      </c>
      <c r="G20" s="228"/>
      <c r="I20" s="250" t="s">
        <v>102</v>
      </c>
      <c r="J20" s="180">
        <v>23</v>
      </c>
    </row>
    <row r="21" spans="2:10" x14ac:dyDescent="0.25">
      <c r="B21" s="182" t="s">
        <v>165</v>
      </c>
      <c r="F21" s="179" t="s">
        <v>106</v>
      </c>
      <c r="G21" s="228"/>
      <c r="I21" s="250" t="s">
        <v>104</v>
      </c>
      <c r="J21" s="180">
        <v>1</v>
      </c>
    </row>
    <row r="22" spans="2:10" ht="15.75" thickBot="1" x14ac:dyDescent="0.3">
      <c r="B22" s="190" t="s">
        <v>166</v>
      </c>
      <c r="F22" s="179" t="s">
        <v>107</v>
      </c>
      <c r="G22" s="228"/>
      <c r="I22" s="250" t="s">
        <v>110</v>
      </c>
      <c r="J22" s="180">
        <v>9</v>
      </c>
    </row>
    <row r="23" spans="2:10" x14ac:dyDescent="0.25">
      <c r="F23" s="179" t="s">
        <v>110</v>
      </c>
      <c r="G23" s="228"/>
      <c r="I23" s="250" t="s">
        <v>116</v>
      </c>
      <c r="J23" s="180">
        <v>4</v>
      </c>
    </row>
    <row r="24" spans="2:10" x14ac:dyDescent="0.25">
      <c r="F24" s="179" t="s">
        <v>112</v>
      </c>
      <c r="G24" s="228"/>
      <c r="I24" s="250" t="s">
        <v>112</v>
      </c>
      <c r="J24" s="180">
        <v>9</v>
      </c>
    </row>
    <row r="25" spans="2:10" x14ac:dyDescent="0.25">
      <c r="F25" s="179" t="s">
        <v>113</v>
      </c>
      <c r="G25" s="228"/>
      <c r="I25" s="250" t="s">
        <v>113</v>
      </c>
      <c r="J25" s="180">
        <v>11</v>
      </c>
    </row>
    <row r="26" spans="2:10" x14ac:dyDescent="0.25">
      <c r="F26" s="179" t="s">
        <v>114</v>
      </c>
      <c r="G26" s="228"/>
      <c r="I26" s="250" t="s">
        <v>119</v>
      </c>
      <c r="J26" s="180">
        <v>11.2</v>
      </c>
    </row>
    <row r="27" spans="2:10" x14ac:dyDescent="0.25">
      <c r="F27" s="179" t="s">
        <v>115</v>
      </c>
      <c r="I27" s="250" t="s">
        <v>120</v>
      </c>
      <c r="J27" s="180">
        <v>11.1</v>
      </c>
    </row>
    <row r="28" spans="2:10" x14ac:dyDescent="0.25">
      <c r="F28" s="179" t="s">
        <v>117</v>
      </c>
      <c r="I28" s="250" t="s">
        <v>121</v>
      </c>
      <c r="J28" s="180" t="s">
        <v>122</v>
      </c>
    </row>
    <row r="29" spans="2:10" x14ac:dyDescent="0.25">
      <c r="F29" s="179" t="s">
        <v>227</v>
      </c>
      <c r="I29" s="250" t="s">
        <v>123</v>
      </c>
      <c r="J29" s="180" t="s">
        <v>124</v>
      </c>
    </row>
    <row r="30" spans="2:10" ht="15.75" thickBot="1" x14ac:dyDescent="0.3">
      <c r="F30" s="192" t="s">
        <v>118</v>
      </c>
      <c r="I30" s="250" t="s">
        <v>125</v>
      </c>
      <c r="J30" s="180" t="s">
        <v>126</v>
      </c>
    </row>
    <row r="31" spans="2:10" x14ac:dyDescent="0.25">
      <c r="I31" s="250" t="s">
        <v>115</v>
      </c>
      <c r="J31" s="180">
        <v>17</v>
      </c>
    </row>
    <row r="32" spans="2:10" x14ac:dyDescent="0.25">
      <c r="I32" s="250" t="s">
        <v>127</v>
      </c>
      <c r="J32" s="180">
        <v>17.2</v>
      </c>
    </row>
    <row r="33" spans="9:10" x14ac:dyDescent="0.25">
      <c r="I33" s="250" t="s">
        <v>128</v>
      </c>
      <c r="J33" s="180">
        <v>17.100000000000001</v>
      </c>
    </row>
    <row r="34" spans="9:10" x14ac:dyDescent="0.25">
      <c r="I34" s="250" t="s">
        <v>129</v>
      </c>
      <c r="J34" s="180">
        <v>19.2</v>
      </c>
    </row>
    <row r="35" spans="9:10" x14ac:dyDescent="0.25">
      <c r="I35" s="250" t="s">
        <v>130</v>
      </c>
      <c r="J35" s="180">
        <v>21.1</v>
      </c>
    </row>
    <row r="36" spans="9:10" x14ac:dyDescent="0.25">
      <c r="I36" s="250" t="s">
        <v>117</v>
      </c>
      <c r="J36" s="180">
        <v>18</v>
      </c>
    </row>
    <row r="37" spans="9:10" x14ac:dyDescent="0.25">
      <c r="I37" s="250" t="s">
        <v>131</v>
      </c>
      <c r="J37" s="180">
        <v>18.2</v>
      </c>
    </row>
    <row r="38" spans="9:10" x14ac:dyDescent="0.25">
      <c r="I38" s="250" t="s">
        <v>132</v>
      </c>
      <c r="J38" s="180">
        <v>18.100000000000001</v>
      </c>
    </row>
    <row r="39" spans="9:10" x14ac:dyDescent="0.25">
      <c r="I39" s="250" t="s">
        <v>118</v>
      </c>
      <c r="J39" s="180">
        <v>24</v>
      </c>
    </row>
    <row r="40" spans="9:10" x14ac:dyDescent="0.25">
      <c r="I40" s="243" t="s">
        <v>185</v>
      </c>
      <c r="J40" s="244"/>
    </row>
    <row r="41" spans="9:10" x14ac:dyDescent="0.25">
      <c r="I41" s="245"/>
      <c r="J41" s="246"/>
    </row>
    <row r="42" spans="9:10" x14ac:dyDescent="0.25">
      <c r="I42" s="245" t="s">
        <v>116</v>
      </c>
      <c r="J42" s="246"/>
    </row>
    <row r="43" spans="9:10" x14ac:dyDescent="0.25">
      <c r="I43" s="245"/>
      <c r="J43" s="246"/>
    </row>
    <row r="44" spans="9:10" x14ac:dyDescent="0.25">
      <c r="I44" s="245"/>
      <c r="J44" s="246"/>
    </row>
    <row r="45" spans="9:10" x14ac:dyDescent="0.25">
      <c r="I45" s="245"/>
      <c r="J45" s="246"/>
    </row>
    <row r="46" spans="9:10" x14ac:dyDescent="0.25">
      <c r="I46" s="245"/>
      <c r="J46" s="246"/>
    </row>
    <row r="47" spans="9:10" x14ac:dyDescent="0.25">
      <c r="I47" s="245"/>
      <c r="J47" s="246"/>
    </row>
    <row r="48" spans="9:10" x14ac:dyDescent="0.25">
      <c r="I48" s="245"/>
      <c r="J48" s="246"/>
    </row>
    <row r="49" spans="9:10" x14ac:dyDescent="0.25">
      <c r="I49" s="245"/>
      <c r="J49" s="246"/>
    </row>
    <row r="50" spans="9:10" x14ac:dyDescent="0.25">
      <c r="I50" s="247"/>
      <c r="J50" s="253"/>
    </row>
  </sheetData>
  <sheetProtection algorithmName="SHA-512" hashValue="N/WAKpvralRCnHv8OaAVZWXJUuG9QAoWuhWSvNoA7/EkslGPbR5KIWe1oYL/g7a38x0tE1tpWj2oXj4d+pgBNQ==" saltValue="qteIHKpEtxJr7MPJA/B1tQ==" spinCount="100000" sheet="1" objects="1" scenarios="1" formatColumns="0" formatRows="0" sort="0"/>
  <pageMargins left="0.7" right="0.7" top="0.75" bottom="0.75" header="0.3" footer="0.3"/>
  <pageSetup orientation="portrait" r:id="rId1"/>
  <headerFooter>
    <oddFooter>&amp;L1/3/2023 Edition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15"/>
  <sheetViews>
    <sheetView showGridLines="0" view="pageBreakPreview" zoomScaleNormal="100" zoomScaleSheetLayoutView="100" workbookViewId="0">
      <selection activeCell="B7" sqref="B7"/>
    </sheetView>
  </sheetViews>
  <sheetFormatPr defaultRowHeight="15" x14ac:dyDescent="0.25"/>
  <cols>
    <col min="1" max="1" width="2.28515625" customWidth="1"/>
    <col min="2" max="2" width="100.7109375" customWidth="1"/>
  </cols>
  <sheetData>
    <row r="1" spans="1:2" ht="26.25" x14ac:dyDescent="0.25">
      <c r="A1" s="163" t="s">
        <v>73</v>
      </c>
      <c r="B1" s="19"/>
    </row>
    <row r="2" spans="1:2" ht="26.25" x14ac:dyDescent="0.25">
      <c r="A2" s="163" t="s">
        <v>72</v>
      </c>
      <c r="B2" s="18"/>
    </row>
    <row r="3" spans="1:2" ht="26.25" x14ac:dyDescent="0.25">
      <c r="A3" s="163"/>
      <c r="B3" s="18"/>
    </row>
    <row r="4" spans="1:2" ht="47.25" x14ac:dyDescent="0.25">
      <c r="A4" s="164"/>
      <c r="B4" s="165" t="s">
        <v>153</v>
      </c>
    </row>
    <row r="5" spans="1:2" ht="27" thickBot="1" x14ac:dyDescent="0.3">
      <c r="A5" s="166"/>
      <c r="B5" s="167" t="s">
        <v>71</v>
      </c>
    </row>
    <row r="6" spans="1:2" ht="26.25" x14ac:dyDescent="0.25">
      <c r="A6" s="164"/>
      <c r="B6" s="168"/>
    </row>
    <row r="7" spans="1:2" ht="68.25" customHeight="1" x14ac:dyDescent="0.25">
      <c r="A7" s="95" t="s">
        <v>149</v>
      </c>
      <c r="B7" s="169" t="s">
        <v>155</v>
      </c>
    </row>
    <row r="8" spans="1:2" ht="21.75" customHeight="1" x14ac:dyDescent="0.25">
      <c r="A8" s="95" t="s">
        <v>150</v>
      </c>
      <c r="B8" s="169" t="s">
        <v>156</v>
      </c>
    </row>
    <row r="9" spans="1:2" ht="69" customHeight="1" x14ac:dyDescent="0.25">
      <c r="A9" s="95" t="s">
        <v>151</v>
      </c>
      <c r="B9" s="169" t="s">
        <v>216</v>
      </c>
    </row>
    <row r="10" spans="1:2" ht="51" customHeight="1" x14ac:dyDescent="0.25">
      <c r="A10" s="95" t="s">
        <v>152</v>
      </c>
      <c r="B10" s="169" t="s">
        <v>161</v>
      </c>
    </row>
    <row r="11" spans="1:2" ht="127.5" customHeight="1" x14ac:dyDescent="0.25">
      <c r="A11" s="95" t="s">
        <v>157</v>
      </c>
      <c r="B11" s="169" t="s">
        <v>217</v>
      </c>
    </row>
    <row r="12" spans="1:2" ht="83.25" customHeight="1" x14ac:dyDescent="0.25">
      <c r="A12" s="95" t="s">
        <v>158</v>
      </c>
      <c r="B12" s="169" t="s">
        <v>186</v>
      </c>
    </row>
    <row r="13" spans="1:2" ht="22.5" customHeight="1" x14ac:dyDescent="0.25">
      <c r="A13" s="95" t="s">
        <v>159</v>
      </c>
      <c r="B13" s="208" t="s">
        <v>160</v>
      </c>
    </row>
    <row r="15" spans="1:2" x14ac:dyDescent="0.25">
      <c r="B15" s="308" t="str">
        <f>Edition_Date</f>
        <v>1/3/2023 Edition</v>
      </c>
    </row>
  </sheetData>
  <sheetProtection algorithmName="SHA-512" hashValue="hheEjDXoACv1CS7TLursGWVNI6KPYlpr+rXo3GjfqIYTYxMzm34DHgRapMkzAIy8AaoWKQUP6yc4HJRH/XnD6Q==" saltValue="FfqMoOo50NsRNk76lyWOwA==" spinCount="100000" sheet="1" objects="1" scenarios="1" formatColumns="0" formatRows="0" sort="0"/>
  <hyperlinks>
    <hyperlink ref="B5" r:id="rId1" xr:uid="{00000000-0004-0000-0200-000000000000}"/>
  </hyperlinks>
  <pageMargins left="0.7" right="0.7" top="0.75" bottom="0.75" header="0.3" footer="0.3"/>
  <pageSetup scale="87" orientation="portrait" r:id="rId2"/>
  <headerFooter>
    <oddFooter>&amp;L1/3/2023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0000FF"/>
    <pageSetUpPr fitToPage="1"/>
  </sheetPr>
  <dimension ref="A1:I66"/>
  <sheetViews>
    <sheetView showGridLines="0" tabSelected="1" view="pageBreakPreview" zoomScaleNormal="100" zoomScaleSheetLayoutView="100" workbookViewId="0">
      <selection activeCell="E9" sqref="E9"/>
    </sheetView>
  </sheetViews>
  <sheetFormatPr defaultRowHeight="15" x14ac:dyDescent="0.25"/>
  <cols>
    <col min="1" max="1" width="61.5703125" customWidth="1"/>
    <col min="2" max="2" width="12.7109375" customWidth="1"/>
    <col min="3" max="3" width="28.140625" customWidth="1"/>
    <col min="4" max="4" width="2.85546875" hidden="1" customWidth="1"/>
    <col min="5" max="5" width="2.85546875" customWidth="1"/>
    <col min="6" max="6" width="10" customWidth="1"/>
    <col min="7" max="7" width="40.85546875" customWidth="1"/>
    <col min="8" max="8" width="1.140625" customWidth="1"/>
    <col min="9" max="9" width="113.42578125" bestFit="1" customWidth="1"/>
    <col min="10" max="10" width="11" customWidth="1"/>
    <col min="14" max="14" width="12.7109375" customWidth="1"/>
    <col min="26" max="26" width="12.7109375" customWidth="1"/>
    <col min="38" max="38" width="12.7109375" customWidth="1"/>
    <col min="50" max="50" width="12.7109375" customWidth="1"/>
    <col min="62" max="62" width="12.7109375" customWidth="1"/>
    <col min="74" max="74" width="12.7109375" customWidth="1"/>
    <col min="86" max="86" width="12.7109375" customWidth="1"/>
    <col min="98" max="98" width="12.7109375" customWidth="1"/>
    <col min="110" max="110" width="12.7109375" customWidth="1"/>
  </cols>
  <sheetData>
    <row r="1" spans="1:9" ht="15.75" thickBot="1" x14ac:dyDescent="0.3">
      <c r="A1" s="171" t="s">
        <v>74</v>
      </c>
      <c r="F1" s="171" t="s">
        <v>77</v>
      </c>
      <c r="G1" s="53" t="str">
        <f>Co_Name</f>
        <v>State Farm General Insurance Company</v>
      </c>
      <c r="H1" s="53"/>
      <c r="I1" s="194" t="s">
        <v>139</v>
      </c>
    </row>
    <row r="2" spans="1:9" x14ac:dyDescent="0.25">
      <c r="A2" s="171" t="s">
        <v>75</v>
      </c>
      <c r="F2" s="171" t="s">
        <v>78</v>
      </c>
      <c r="G2" s="37" t="str">
        <f>General_Line</f>
        <v>Homeowners</v>
      </c>
      <c r="I2" s="195" t="s">
        <v>138</v>
      </c>
    </row>
    <row r="3" spans="1:9" x14ac:dyDescent="0.25">
      <c r="A3" s="171"/>
      <c r="G3" s="25"/>
      <c r="I3" s="203"/>
    </row>
    <row r="4" spans="1:9" ht="18" customHeight="1" x14ac:dyDescent="0.25">
      <c r="A4" s="171"/>
      <c r="G4" s="25"/>
      <c r="I4" s="203"/>
    </row>
    <row r="5" spans="1:9" ht="23.25" customHeight="1" x14ac:dyDescent="0.25">
      <c r="A5" s="172" t="s">
        <v>79</v>
      </c>
      <c r="B5" s="2"/>
      <c r="C5" s="2"/>
      <c r="D5" s="2"/>
      <c r="E5" s="2"/>
      <c r="F5" s="2"/>
      <c r="G5" s="26"/>
      <c r="H5" s="2"/>
      <c r="I5" s="203"/>
    </row>
    <row r="6" spans="1:9" ht="23.25" customHeight="1" x14ac:dyDescent="0.25">
      <c r="A6" s="172" t="s">
        <v>162</v>
      </c>
      <c r="B6" s="2"/>
      <c r="C6" s="2"/>
      <c r="D6" s="2"/>
      <c r="E6" s="2"/>
      <c r="F6" s="2"/>
      <c r="G6" s="26"/>
      <c r="H6" s="2"/>
      <c r="I6" s="203"/>
    </row>
    <row r="7" spans="1:9" ht="18" customHeight="1" x14ac:dyDescent="0.25">
      <c r="G7" s="25"/>
      <c r="I7" s="203"/>
    </row>
    <row r="8" spans="1:9" x14ac:dyDescent="0.25">
      <c r="A8" s="104" t="s">
        <v>80</v>
      </c>
      <c r="B8" s="224" t="s">
        <v>233</v>
      </c>
      <c r="C8" s="207" t="s">
        <v>81</v>
      </c>
      <c r="F8" s="225">
        <v>44981</v>
      </c>
      <c r="G8" s="25"/>
      <c r="I8" s="205"/>
    </row>
    <row r="9" spans="1:9" x14ac:dyDescent="0.25">
      <c r="A9" s="104"/>
      <c r="B9" s="254"/>
      <c r="C9" s="25"/>
      <c r="D9" s="25"/>
      <c r="E9" s="25"/>
      <c r="F9" s="25"/>
      <c r="G9" s="173"/>
      <c r="H9" s="258"/>
      <c r="I9" s="203"/>
    </row>
    <row r="10" spans="1:9" x14ac:dyDescent="0.25">
      <c r="A10" s="104" t="s">
        <v>228</v>
      </c>
      <c r="B10" s="225">
        <v>45170</v>
      </c>
      <c r="C10" s="25"/>
      <c r="D10" s="25"/>
      <c r="E10" s="25"/>
      <c r="F10" s="25"/>
      <c r="G10" s="25"/>
      <c r="I10" s="203"/>
    </row>
    <row r="11" spans="1:9" x14ac:dyDescent="0.25">
      <c r="A11" s="104"/>
      <c r="B11" s="254"/>
      <c r="C11" s="25"/>
      <c r="D11" s="25"/>
      <c r="E11" s="25"/>
      <c r="F11" s="25"/>
      <c r="G11" s="25"/>
      <c r="I11" s="203"/>
    </row>
    <row r="12" spans="1:9" x14ac:dyDescent="0.25">
      <c r="A12" s="11" t="s">
        <v>136</v>
      </c>
      <c r="B12" s="11"/>
      <c r="C12" s="318" t="s">
        <v>234</v>
      </c>
      <c r="D12" s="319"/>
      <c r="E12" s="319"/>
      <c r="F12" s="320"/>
      <c r="G12" s="257"/>
      <c r="I12" s="203"/>
    </row>
    <row r="13" spans="1:9" x14ac:dyDescent="0.25">
      <c r="A13" s="171"/>
      <c r="B13" s="171"/>
      <c r="C13" s="255"/>
      <c r="D13" s="255"/>
      <c r="E13" s="255"/>
      <c r="F13" s="255"/>
      <c r="G13" s="256"/>
      <c r="H13" s="25"/>
      <c r="I13" s="203"/>
    </row>
    <row r="14" spans="1:9" x14ac:dyDescent="0.25">
      <c r="A14" s="11" t="s">
        <v>179</v>
      </c>
      <c r="B14" s="11"/>
      <c r="C14" s="227"/>
      <c r="D14" s="227"/>
      <c r="E14" s="255"/>
      <c r="F14" s="255"/>
      <c r="G14" s="256"/>
      <c r="H14" s="25"/>
      <c r="I14" s="203"/>
    </row>
    <row r="15" spans="1:9" x14ac:dyDescent="0.25">
      <c r="A15" s="25"/>
      <c r="B15" s="25"/>
      <c r="C15" s="25"/>
      <c r="D15" s="25"/>
      <c r="E15" s="25"/>
      <c r="F15" s="25"/>
      <c r="G15" s="25"/>
      <c r="H15" s="25"/>
      <c r="I15" s="203"/>
    </row>
    <row r="16" spans="1:9" x14ac:dyDescent="0.25">
      <c r="A16" s="104" t="s">
        <v>137</v>
      </c>
      <c r="B16" s="171"/>
      <c r="C16" s="196"/>
      <c r="G16" s="25"/>
      <c r="I16" s="204" t="str">
        <f>IF(INDEX(List_GeneralLine,References!$F$5,1)="","← ERROR! Select a General Line from the pull-down menu.","")</f>
        <v/>
      </c>
    </row>
    <row r="17" spans="1:9" x14ac:dyDescent="0.25">
      <c r="A17" s="25"/>
      <c r="B17" s="25"/>
      <c r="C17" s="25"/>
      <c r="D17" s="25"/>
      <c r="E17" s="25"/>
      <c r="F17" s="25"/>
      <c r="G17" s="25"/>
      <c r="I17" s="203"/>
    </row>
    <row r="18" spans="1:9" ht="18" customHeight="1" x14ac:dyDescent="0.25">
      <c r="A18" s="11" t="s">
        <v>181</v>
      </c>
      <c r="B18" s="11"/>
      <c r="C18" s="11" t="s">
        <v>180</v>
      </c>
      <c r="G18" s="316" t="s">
        <v>214</v>
      </c>
      <c r="I18" s="203"/>
    </row>
    <row r="19" spans="1:9" ht="18" customHeight="1" x14ac:dyDescent="0.25">
      <c r="A19" s="154" t="s">
        <v>175</v>
      </c>
      <c r="B19" s="154"/>
      <c r="G19" s="317"/>
      <c r="I19" s="203"/>
    </row>
    <row r="20" spans="1:9" ht="18" customHeight="1" x14ac:dyDescent="0.25">
      <c r="A20" s="154"/>
      <c r="B20" s="154"/>
      <c r="G20" s="25"/>
      <c r="I20" s="203"/>
    </row>
    <row r="21" spans="1:9" ht="18" customHeight="1" x14ac:dyDescent="0.25">
      <c r="A21" s="248" t="str">
        <f>IF(INDEX(List_DetailLine,References!Q6,1)="","",INDEX(List_DetailLine,References!Q6,1))</f>
        <v>Homeowners Multiple Peril</v>
      </c>
      <c r="B21" s="25"/>
      <c r="C21" s="193" t="s">
        <v>239</v>
      </c>
      <c r="D21" s="162">
        <f>IF(OR(Covg01="NA",Covg01="N/A",Covg01=""),"",1)</f>
        <v>1</v>
      </c>
      <c r="G21" s="193"/>
      <c r="I21" s="205" t="str">
        <f>IF(AND(Covg01&lt;&gt;"",$A21=""),"← ERROR! Select a Detailed Line Description.",IF(AND($A21&lt;&gt;"",Covg01=""),"← ERROR! Select a Coverage/Form/Program.",IF(AND(ISBLANK(CompSrc1),OR(COUNTBLANK('4.Exhibit 8'!D66:H92)&lt;&gt;135,NOT(ISBLANK('4.Exhibit 8'!E100)))), "← ERROR! Enter the source of your loss trend complement.", "")))</f>
        <v/>
      </c>
    </row>
    <row r="22" spans="1:9" ht="18" customHeight="1" x14ac:dyDescent="0.25">
      <c r="A22" s="248" t="str">
        <f>IF(INDEX(List_DetailLine,References!Q7,1)="","",INDEX(List_DetailLine,References!Q7,1))</f>
        <v/>
      </c>
      <c r="B22" s="25"/>
      <c r="C22" s="193"/>
      <c r="D22" s="162" t="str">
        <f>IF(OR(Covg02="NA",Covg02="N/A",Covg02=""),"",1)</f>
        <v/>
      </c>
      <c r="G22" s="193"/>
      <c r="I22" s="205" t="str">
        <f>IF(AND(Covg02&lt;&gt;"",$A22=""),"← ERROR! Select a Detailed Line Description.",IF(AND($A22&lt;&gt;"",Covg02=""),"← ERROR! Select a Coverage/Form/Program.",IF(AND(ISBLANK(CompSrc2),OR(COUNTBLANK('4.Exhibit 8'!V66:Z92)&lt;&gt;135,NOT(ISBLANK('4.Exhibit 8'!W100)))), "← ERROR! Enter the source of your loss trend complement.", "")))</f>
        <v/>
      </c>
    </row>
    <row r="23" spans="1:9" ht="18" customHeight="1" x14ac:dyDescent="0.25">
      <c r="A23" s="248" t="str">
        <f>IF(INDEX(List_DetailLine,References!Q8,1)="","",INDEX(List_DetailLine,References!Q8,1))</f>
        <v/>
      </c>
      <c r="B23" s="25"/>
      <c r="C23" s="193"/>
      <c r="D23" s="162" t="str">
        <f>IF(OR(Covg03="NA",Covg03="N/A",Covg03=""),"",1)</f>
        <v/>
      </c>
      <c r="G23" s="193"/>
      <c r="I23" s="205" t="str">
        <f>IF(AND(Covg03&lt;&gt;"",$A23=""),"← ERROR! Select a Detailed Line Description.",IF(AND($A23&lt;&gt;"",Covg03=""),"← ERROR! Select a Coverage/Form/Program.",IF(AND(ISBLANK(CompSrc3),OR(COUNTBLANK('4.Exhibit 8'!AN66:AR92)&lt;&gt;135,NOT(ISBLANK('4.Exhibit 8'!AO100)))), "← ERROR! Enter the source of your loss trend complement.", "")))</f>
        <v/>
      </c>
    </row>
    <row r="24" spans="1:9" ht="18" customHeight="1" x14ac:dyDescent="0.25">
      <c r="A24" s="248" t="str">
        <f>IF(INDEX(List_DetailLine,References!Q9,1)="","",INDEX(List_DetailLine,References!Q9,1))</f>
        <v/>
      </c>
      <c r="B24" s="25"/>
      <c r="C24" s="193"/>
      <c r="D24" s="162" t="str">
        <f>IF(OR(Covg04="NA",Covg04="N/A",Covg04=""),"",1)</f>
        <v/>
      </c>
      <c r="G24" s="193"/>
      <c r="I24" s="205" t="str">
        <f>IF(AND(Covg04&lt;&gt;"",$A24=""),"← ERROR! Select a Detailed Line Description.",IF(AND($A24&lt;&gt;"",Covg04=""),"← ERROR! Select a Coverage/Form/Program.", IF(AND(ISBLANK(CompSrc4),OR(COUNTBLANK('4.Exhibit 8'!BF66:BJ92)&lt;&gt;135,NOT(ISBLANK('4.Exhibit 8'!BG100)))), "← ERROR! Enter the source of your loss trend complement.", "")))</f>
        <v/>
      </c>
    </row>
    <row r="25" spans="1:9" ht="18" customHeight="1" x14ac:dyDescent="0.25">
      <c r="A25" s="248" t="str">
        <f>IF(INDEX(List_DetailLine,References!Q10,1)="","",INDEX(List_DetailLine,References!Q10,1))</f>
        <v/>
      </c>
      <c r="B25" s="25"/>
      <c r="C25" s="193"/>
      <c r="D25" s="162" t="str">
        <f>IF(OR(Covg05="NA",Covg05="N/A",Covg05=""),"",1)</f>
        <v/>
      </c>
      <c r="G25" s="193"/>
      <c r="I25" s="205" t="str">
        <f>IF(AND(Covg05&lt;&gt;"",$A25=""),"← ERROR! Select a Detailed Line Description.",IF(AND($A25&lt;&gt;"",Covg05=""),"← ERROR! Select a Coverage/Form/Program.",IF(AND(ISBLANK(CompSrc5),OR(COUNTBLANK('4.Exhibit 8'!BX66:CB92)&lt;&gt;135,NOT(ISBLANK('4.Exhibit 8'!BY100)))), "← ERROR! Enter the source of your loss trend complement.", "")))</f>
        <v/>
      </c>
    </row>
    <row r="26" spans="1:9" ht="18" customHeight="1" x14ac:dyDescent="0.25">
      <c r="A26" s="248" t="str">
        <f>IF(INDEX(List_DetailLine,References!Q11,1)="","",INDEX(List_DetailLine,References!Q11,1))</f>
        <v/>
      </c>
      <c r="B26" s="25"/>
      <c r="C26" s="193"/>
      <c r="D26" s="162" t="str">
        <f>IF(OR(Covg06="NA",Covg06="N/A",Covg06=""),"",1)</f>
        <v/>
      </c>
      <c r="G26" s="193"/>
      <c r="I26" s="205" t="str">
        <f>IF(AND(Covg06&lt;&gt;"",$A26=""),"← ERROR! Select a Detailed Line Description.",IF(AND($A26&lt;&gt;"",Covg06=""),"← ERROR! Select a Coverage/Form/Program.",IF(AND(ISBLANK(CompSrc6),OR(COUNTBLANK('4.Exhibit 8'!CP66:CT92)&lt;&gt;135,NOT(ISBLANK('4.Exhibit 8'!CQ100)))), "← ERROR! Enter the source of your loss trend complement.", "")))</f>
        <v/>
      </c>
    </row>
    <row r="27" spans="1:9" ht="18" customHeight="1" x14ac:dyDescent="0.25">
      <c r="A27" s="248" t="str">
        <f>IF(INDEX(List_DetailLine,References!Q12,1)="","",INDEX(List_DetailLine,References!Q12,1))</f>
        <v/>
      </c>
      <c r="B27" s="25"/>
      <c r="C27" s="193"/>
      <c r="D27" s="162" t="str">
        <f>IF(OR(Covg07="NA",Covg07="N/A",Covg07=""),"",1)</f>
        <v/>
      </c>
      <c r="G27" s="193"/>
      <c r="I27" s="205" t="str">
        <f>IF(AND(Covg07&lt;&gt;"",$A27=""),"← ERROR! Select a Detailed Line Description.",IF(AND($A27&lt;&gt;"",Covg07=""),"← ERROR! Select a Coverage/Form/Program.",IF(AND(ISBLANK(CompSrc7),OR(COUNTBLANK('4.Exhibit 8'!DH66:DL92)&lt;&gt;135,NOT(ISBLANK('4.Exhibit 8'!DI100)))), "← ERROR! Enter the source of your loss trend complement.", "")))</f>
        <v/>
      </c>
    </row>
    <row r="28" spans="1:9" ht="18" customHeight="1" x14ac:dyDescent="0.25">
      <c r="A28" s="248" t="str">
        <f>IF(INDEX(List_DetailLine,References!Q13,1)="","",INDEX(List_DetailLine,References!Q13,1))</f>
        <v/>
      </c>
      <c r="B28" s="25"/>
      <c r="C28" s="193"/>
      <c r="D28" s="162" t="str">
        <f>IF(OR(Covg08="NA",Covg08="N/A",Covg08=""),"",1)</f>
        <v/>
      </c>
      <c r="G28" s="193"/>
      <c r="I28" s="205" t="str">
        <f>IF(AND(Covg08&lt;&gt;"",$A28=""),"← ERROR! Select a Detailed Line Description.",IF(AND($A28&lt;&gt;"",Covg08=""),"← ERROR! Select a Coverage/Form/Program.",IF(AND(ISBLANK(CompSrc8),OR(COUNTBLANK('4.Exhibit 8'!DZ66:ED92)&lt;&gt;135,NOT(ISBLANK('4.Exhibit 8'!EA100)))), "← ERROR! Enter the source of your loss trend complement.", "")))</f>
        <v/>
      </c>
    </row>
    <row r="29" spans="1:9" ht="18" customHeight="1" x14ac:dyDescent="0.25">
      <c r="A29" s="248" t="str">
        <f>IF(INDEX(List_DetailLine,References!Q14,1)="","",INDEX(List_DetailLine,References!Q14,1))</f>
        <v/>
      </c>
      <c r="B29" s="25"/>
      <c r="C29" s="193"/>
      <c r="D29" s="162" t="str">
        <f>IF(OR(Covg09="NA",Covg09="N/A",Covg09=""),"",1)</f>
        <v/>
      </c>
      <c r="G29" s="193"/>
      <c r="I29" s="205" t="str">
        <f>IF(AND(Covg09&lt;&gt;"",$A29=""),"← ERROR! Select a Detailed Line Description.",IF(AND($A29&lt;&gt;"",Covg09=""),"← ERROR! Select a Coverage/Form/Program.",IF(AND(ISBLANK(CompSrc9),OR(COUNTBLANK('4.Exhibit 8'!ER66:EV92)&lt;&gt;135,NOT(ISBLANK('4.Exhibit 8'!ES100)))), "← ERROR! Enter the source of your loss trend complement.", "")))</f>
        <v/>
      </c>
    </row>
    <row r="30" spans="1:9" ht="18" customHeight="1" x14ac:dyDescent="0.25">
      <c r="A30" s="248" t="str">
        <f>IF(INDEX(List_DetailLine,References!Q15,1)="","",INDEX(List_DetailLine,References!Q15,1))</f>
        <v/>
      </c>
      <c r="B30" s="25"/>
      <c r="C30" s="193"/>
      <c r="D30" s="162" t="str">
        <f>IF(OR(Covg10="NA",Covg10="N/A",Covg10=""),"",1)</f>
        <v/>
      </c>
      <c r="G30" s="193"/>
      <c r="I30" s="205" t="str">
        <f>IF(AND(Covg10&lt;&gt;"",$A30=""),"← ERROR! Select a Detailed Line Description.",IF(AND($A30&lt;&gt;"",Covg10=""),"← ERROR! Select a Coverage/Form/Program.",IF(AND(ISBLANK(CompSrc10),OR(COUNTBLANK('4.Exhibit 8'!FJ66:FN92)&lt;&gt;135,NOT(ISBLANK('4.Exhibit 8'!FK100)))), "← ERROR! Enter the source of your loss trend complement.", "")))</f>
        <v/>
      </c>
    </row>
    <row r="31" spans="1:9" x14ac:dyDescent="0.25">
      <c r="A31" s="152"/>
      <c r="B31" s="152"/>
      <c r="D31" s="162">
        <f>SUM(D21:D30)</f>
        <v>1</v>
      </c>
      <c r="E31" s="162"/>
      <c r="F31" s="162"/>
      <c r="G31" s="25"/>
      <c r="I31" s="203"/>
    </row>
    <row r="32" spans="1:9" x14ac:dyDescent="0.25">
      <c r="A32" s="11" t="s">
        <v>59</v>
      </c>
      <c r="B32" s="11"/>
      <c r="C32" s="156" t="s">
        <v>64</v>
      </c>
      <c r="F32" s="161"/>
      <c r="G32" s="25"/>
      <c r="H32" s="161"/>
      <c r="I32" s="203"/>
    </row>
    <row r="33" spans="1:9" x14ac:dyDescent="0.25">
      <c r="A33" s="154"/>
      <c r="B33" s="154"/>
      <c r="G33" s="25"/>
      <c r="I33" s="203"/>
    </row>
    <row r="34" spans="1:9" x14ac:dyDescent="0.25">
      <c r="A34" s="11" t="s">
        <v>60</v>
      </c>
      <c r="B34" s="11"/>
      <c r="C34" s="157">
        <v>2</v>
      </c>
      <c r="G34" s="25"/>
      <c r="I34" s="203"/>
    </row>
    <row r="35" spans="1:9" x14ac:dyDescent="0.25">
      <c r="A35" s="154" t="s">
        <v>191</v>
      </c>
      <c r="B35" s="154"/>
      <c r="C35" s="160"/>
      <c r="D35" s="160"/>
      <c r="E35" s="160"/>
      <c r="F35" s="160"/>
      <c r="G35" s="25"/>
      <c r="I35" s="203"/>
    </row>
    <row r="36" spans="1:9" x14ac:dyDescent="0.25">
      <c r="G36" s="25"/>
      <c r="I36" s="203"/>
    </row>
    <row r="37" spans="1:9" x14ac:dyDescent="0.25">
      <c r="A37" s="11" t="s">
        <v>176</v>
      </c>
      <c r="B37" s="11"/>
      <c r="C37" s="155">
        <v>20222</v>
      </c>
      <c r="G37" s="25"/>
      <c r="I37" s="205" t="str">
        <f>IF(OR(AND(RIGHT(FYQtr,1)&lt;&gt;"1",RIGHT(FYQtr,1)&lt;&gt;"2",RIGHT(FYQtr,1)&lt;&gt;"3",RIGHT(FYQtr,1)&lt;&gt;"4"),LEFT(FYQtr,4)&lt;"2013",LEFT(FYQtr,4)&gt;"2025",LEN(FYQtr)&lt;&gt;5),"← ERROR! Enter the most recent fiscal period in YYYYQ format.",IF(NOT(OR(FYQtr=FYQtr_LDF,AND(RIGHT(FYQtr_LDF,1)&lt;&gt;"4",FYQtr=SUM(FYQtr_LDF,1)),AND(RIGHT(FYQtr_LDF,1)="4",FYQtr=SUM(FYQtr_LDF,7)))),"← ERROR! Input must be the same as, or only one quarter more than, the most recent fiscal period of the development data.",""))</f>
        <v/>
      </c>
    </row>
    <row r="38" spans="1:9" x14ac:dyDescent="0.25">
      <c r="A38" s="11" t="s">
        <v>177</v>
      </c>
      <c r="B38" s="11"/>
      <c r="C38" s="155">
        <v>20222</v>
      </c>
      <c r="G38" s="25"/>
      <c r="I38" s="205" t="str">
        <f>IF(OR(AND(RIGHT(FYQtr_LDF,1)&lt;&gt;"1",RIGHT(FYQtr_LDF,1)&lt;&gt;"2",RIGHT(FYQtr_LDF,1)&lt;&gt;"3",RIGHT(FYQtr_LDF,1)&lt;&gt;"4"),LEFT(FYQtr_LDF,4)&lt;"2013",LEFT(FYQtr_LDF,4)&gt;"2025",LEN(FYQtr_LDF)&lt;&gt;5),"← ERROR! Enter the most recent fiscal period in YYYYQ format.","")</f>
        <v/>
      </c>
    </row>
    <row r="39" spans="1:9" x14ac:dyDescent="0.25">
      <c r="A39" s="11" t="s">
        <v>178</v>
      </c>
      <c r="B39" s="11"/>
      <c r="C39" s="155">
        <v>20222</v>
      </c>
      <c r="I39" s="226" t="str">
        <f>IF(OR(AND(RIGHT(FYQtr_Comp,1)&lt;&gt;"1",RIGHT(FYQtr_Comp,1)&lt;&gt;"2",RIGHT(FYQtr_Comp,1)&lt;&gt;"3",RIGHT(FYQtr_Comp,1)&lt;&gt;"4"),LEFT(FYQtr_Comp,4)&lt;"2010",LEFT(FYQtr_Comp,4)&gt;"2025",LEN(FYQtr_Comp)&lt;&gt;5),"← WARNING!!! Input is not in expected YYYYQ format.  Provide explanation of alternate date range in Filing Memorandum.","")</f>
        <v/>
      </c>
    </row>
    <row r="40" spans="1:9" x14ac:dyDescent="0.25">
      <c r="A40" s="154"/>
      <c r="B40" s="154"/>
      <c r="I40" s="203"/>
    </row>
    <row r="41" spans="1:9" x14ac:dyDescent="0.25">
      <c r="A41" s="11" t="s">
        <v>63</v>
      </c>
      <c r="B41" s="11"/>
      <c r="C41" s="159" t="s">
        <v>235</v>
      </c>
      <c r="I41" s="203"/>
    </row>
    <row r="42" spans="1:9" x14ac:dyDescent="0.25">
      <c r="I42" s="203"/>
    </row>
    <row r="43" spans="1:9" x14ac:dyDescent="0.25">
      <c r="A43" s="11" t="s">
        <v>61</v>
      </c>
      <c r="B43" s="11"/>
      <c r="C43" s="153" t="s">
        <v>236</v>
      </c>
      <c r="I43" s="203"/>
    </row>
    <row r="44" spans="1:9" x14ac:dyDescent="0.25">
      <c r="C44" s="158"/>
      <c r="I44" s="203"/>
    </row>
    <row r="45" spans="1:9" x14ac:dyDescent="0.25">
      <c r="A45" s="11" t="s">
        <v>62</v>
      </c>
      <c r="B45" s="11"/>
      <c r="C45" s="153" t="s">
        <v>236</v>
      </c>
      <c r="I45" s="203"/>
    </row>
    <row r="46" spans="1:9" x14ac:dyDescent="0.25">
      <c r="C46" s="158"/>
      <c r="I46" s="203"/>
    </row>
    <row r="47" spans="1:9" x14ac:dyDescent="0.25">
      <c r="A47" s="11" t="s">
        <v>188</v>
      </c>
      <c r="B47" s="11"/>
      <c r="C47" s="259" t="s">
        <v>237</v>
      </c>
      <c r="I47" s="205" t="str">
        <f>IF(C47="No","← ERROR! Exhibit 7 Reported Claim Counts need to include claims Closed Without Payment.","")</f>
        <v/>
      </c>
    </row>
    <row r="48" spans="1:9" x14ac:dyDescent="0.25">
      <c r="I48" s="203"/>
    </row>
    <row r="49" spans="1:9" x14ac:dyDescent="0.25">
      <c r="A49" s="11" t="s">
        <v>199</v>
      </c>
      <c r="B49" s="11"/>
      <c r="C49" s="259" t="s">
        <v>237</v>
      </c>
      <c r="I49" s="205" t="str">
        <f>IF(C49="No","← ERROR! Exhibit 7 Paid Claim Counts need to include both open and closed claim counts.","")</f>
        <v/>
      </c>
    </row>
    <row r="50" spans="1:9" x14ac:dyDescent="0.25">
      <c r="A50" s="11"/>
      <c r="B50" s="11"/>
      <c r="C50" s="260"/>
      <c r="I50" s="203"/>
    </row>
    <row r="51" spans="1:9" x14ac:dyDescent="0.25">
      <c r="A51" s="11" t="s">
        <v>209</v>
      </c>
      <c r="B51" s="11"/>
      <c r="C51" s="259" t="s">
        <v>238</v>
      </c>
      <c r="I51" s="284"/>
    </row>
    <row r="52" spans="1:9" x14ac:dyDescent="0.25">
      <c r="A52" s="11"/>
      <c r="B52" s="11"/>
      <c r="C52" s="260"/>
      <c r="I52" s="203"/>
    </row>
    <row r="53" spans="1:9" x14ac:dyDescent="0.25">
      <c r="A53" s="11" t="s">
        <v>210</v>
      </c>
      <c r="B53" s="11"/>
      <c r="C53" s="259" t="s">
        <v>238</v>
      </c>
      <c r="I53" s="203"/>
    </row>
    <row r="54" spans="1:9" x14ac:dyDescent="0.25">
      <c r="A54" s="11"/>
      <c r="B54" s="11"/>
      <c r="C54" s="260"/>
      <c r="I54" s="203"/>
    </row>
    <row r="55" spans="1:9" x14ac:dyDescent="0.25">
      <c r="A55" s="11" t="s">
        <v>187</v>
      </c>
      <c r="B55" s="11"/>
      <c r="C55" s="259" t="s">
        <v>237</v>
      </c>
      <c r="I55" s="205" t="str">
        <f>IF(C55="No","← ERROR! Exhibit 8 Reported Claim Counts need to include claims Closed Without Payment.","")</f>
        <v/>
      </c>
    </row>
    <row r="56" spans="1:9" x14ac:dyDescent="0.25">
      <c r="I56" s="203"/>
    </row>
    <row r="57" spans="1:9" x14ac:dyDescent="0.25">
      <c r="A57" s="11" t="s">
        <v>213</v>
      </c>
      <c r="B57" s="11"/>
      <c r="C57" s="159" t="s">
        <v>238</v>
      </c>
      <c r="I57" s="226" t="str">
        <f>IF(DCCEDevtBasis="No",IF(
SUMPRODUCT(--('3.Exhibit 7 - Annual'!C249:L258&lt;&gt;""))+SUMPRODUCT(--('3.Exhibit 7 - Annual'!O249:X258&lt;&gt;""))+SUMPRODUCT(--('3.Exhibit 7 - Annual'!AA249:AJ258&lt;&gt;""))+SUMPRODUCT(--('3.Exhibit 7 - Annual'!AM249:AV258&lt;&gt;""))+SUMPRODUCT(--('3.Exhibit 7 - Annual'!AY249:BH258&lt;&gt;""))+SUMPRODUCT(--('3.Exhibit 7 - Annual'!BK249:BT258&lt;&gt;""))+SUMPRODUCT(--('3.Exhibit 7 - Annual'!BW249:CF258&lt;&gt;""))+SUMPRODUCT(--('3.Exhibit 7 - Annual'!CI249:CR258&lt;&gt;""))+SUMPRODUCT(--('3.Exhibit 7 - Annual'!CU249:DD258&lt;&gt;""))+SUMPRODUCT(--('3.Exhibit 7 - Annual'!DG249:DP258&lt;&gt;""))=0,"","← Warning! You indicated you do not track Incurred DCCE, but there are non-empty Incurred DCCE development triangles."),"")</f>
        <v/>
      </c>
    </row>
    <row r="58" spans="1:9" x14ac:dyDescent="0.25">
      <c r="I58" s="203"/>
    </row>
    <row r="59" spans="1:9" x14ac:dyDescent="0.25">
      <c r="A59" s="11" t="s">
        <v>70</v>
      </c>
      <c r="B59" s="11"/>
      <c r="C59" s="159" t="s">
        <v>237</v>
      </c>
      <c r="I59" s="203"/>
    </row>
    <row r="60" spans="1:9" s="313" customFormat="1" ht="20.100000000000001" customHeight="1" x14ac:dyDescent="0.25">
      <c r="A60" s="312" t="s">
        <v>229</v>
      </c>
      <c r="B60" s="312"/>
      <c r="I60" s="314"/>
    </row>
    <row r="61" spans="1:9" x14ac:dyDescent="0.25">
      <c r="A61" s="311" t="s">
        <v>230</v>
      </c>
      <c r="B61" s="154"/>
      <c r="C61" s="155">
        <v>12</v>
      </c>
      <c r="I61" s="203"/>
    </row>
    <row r="62" spans="1:9" s="313" customFormat="1" ht="24.95" customHeight="1" x14ac:dyDescent="0.25">
      <c r="A62" s="315" t="s">
        <v>231</v>
      </c>
      <c r="I62" s="314"/>
    </row>
    <row r="63" spans="1:9" x14ac:dyDescent="0.25">
      <c r="A63" s="11" t="s">
        <v>76</v>
      </c>
      <c r="B63" s="11"/>
      <c r="C63" s="156"/>
      <c r="I63" s="203"/>
    </row>
    <row r="64" spans="1:9" ht="5.0999999999999996" customHeight="1" x14ac:dyDescent="0.25">
      <c r="I64" s="203"/>
    </row>
    <row r="65" spans="9:9" x14ac:dyDescent="0.25">
      <c r="I65" s="203"/>
    </row>
    <row r="66" spans="9:9" ht="15.75" thickBot="1" x14ac:dyDescent="0.3">
      <c r="I66" s="206"/>
    </row>
  </sheetData>
  <sheetProtection algorithmName="SHA-512" hashValue="IwcCsM/qluJb5hTFCA+cZiGw0bZ/GGVsbsPXVEcR+JwqlDYBoj7qDamTZxysiLu4rqXxcLRhodHE7CUR9xCWzw==" saltValue="bctHFhsiDSTUw4qvwyxA4g==" spinCount="100000" sheet="1" objects="1" scenarios="1" formatColumns="0" formatRows="0" sort="0"/>
  <mergeCells count="2">
    <mergeCell ref="G18:G19"/>
    <mergeCell ref="C12:F12"/>
  </mergeCells>
  <dataValidations count="5">
    <dataValidation type="list" allowBlank="1" showInputMessage="1" showErrorMessage="1" sqref="C43 C45" xr:uid="{00000000-0002-0000-0300-000000000000}">
      <formula1>"Includes DCCE,Excludes DCCE"</formula1>
    </dataValidation>
    <dataValidation type="list" allowBlank="1" showInputMessage="1" showErrorMessage="1" sqref="C41" xr:uid="{00000000-0002-0000-0300-000001000000}">
      <formula1>"Written,Earned"</formula1>
    </dataValidation>
    <dataValidation type="list" allowBlank="1" showInputMessage="1" showErrorMessage="1" sqref="C57 C59 C55 C47 C49 C51 C53" xr:uid="{00000000-0002-0000-0300-000002000000}">
      <formula1>"Yes,No"</formula1>
    </dataValidation>
    <dataValidation type="custom" allowBlank="1" showInputMessage="1" showErrorMessage="1" error="Enter the most recent fiscal period used in YYYYQ format." sqref="C37:C38" xr:uid="{00000000-0002-0000-0300-000003000000}">
      <formula1>AND(OR(RIGHT(C37,1)="1",RIGHT(C37,1)="2",RIGHT(C37,1)="3",RIGHT(C37,1)="4"),C37&gt;=20131,C37&lt;=20254,LEN(C37)=5)</formula1>
    </dataValidation>
    <dataValidation type="whole" operator="greaterThan" allowBlank="1" showInputMessage="1" showErrorMessage="1" sqref="C61" xr:uid="{ED166A86-65BF-4EA7-8774-9CEDBB6B407A}">
      <formula1>0</formula1>
    </dataValidation>
  </dataValidations>
  <printOptions horizontalCentered="1"/>
  <pageMargins left="0.5" right="0.5" top="0.5" bottom="0.5" header="0.3" footer="0.05"/>
  <pageSetup scale="61" orientation="portrait" useFirstPageNumber="1" r:id="rId1"/>
  <headerFooter>
    <oddFooter xml:space="preserve">&amp;L1/3/2023 Edition
&amp;CStandard Exhibits Template
Portions of the material contained in this document are protected by copyright owned by the State Farm Mutual Automobile Insurance Company, 2023&amp;RPage 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9" r:id="rId4" name="Drop Down 5">
              <controlPr defaultSize="0" autoLine="0" autoPict="0">
                <anchor moveWithCells="1">
                  <from>
                    <xdr:col>2</xdr:col>
                    <xdr:colOff>0</xdr:colOff>
                    <xdr:row>30</xdr:row>
                    <xdr:rowOff>180975</xdr:rowOff>
                  </from>
                  <to>
                    <xdr:col>5</xdr:col>
                    <xdr:colOff>400050</xdr:colOff>
                    <xdr:row>32</xdr:row>
                    <xdr:rowOff>9525</xdr:rowOff>
                  </to>
                </anchor>
              </controlPr>
            </control>
          </mc:Choice>
        </mc:AlternateContent>
        <mc:AlternateContent xmlns:mc="http://schemas.openxmlformats.org/markup-compatibility/2006">
          <mc:Choice Requires="x14">
            <control shapeId="11272" r:id="rId5" name="Drop Down 8">
              <controlPr defaultSize="0" autoLine="0" autoPict="0">
                <anchor moveWithCells="1">
                  <from>
                    <xdr:col>2</xdr:col>
                    <xdr:colOff>0</xdr:colOff>
                    <xdr:row>61</xdr:row>
                    <xdr:rowOff>276225</xdr:rowOff>
                  </from>
                  <to>
                    <xdr:col>4</xdr:col>
                    <xdr:colOff>9525</xdr:colOff>
                    <xdr:row>63</xdr:row>
                    <xdr:rowOff>0</xdr:rowOff>
                  </to>
                </anchor>
              </controlPr>
            </control>
          </mc:Choice>
        </mc:AlternateContent>
        <mc:AlternateContent xmlns:mc="http://schemas.openxmlformats.org/markup-compatibility/2006">
          <mc:Choice Requires="x14">
            <control shapeId="11274" r:id="rId6" name="Button 10">
              <controlPr defaultSize="0" print="0" autoFill="0" autoPict="0" macro="[0]!PrintSelection">
                <anchor moveWithCells="1" sizeWithCells="1">
                  <from>
                    <xdr:col>2</xdr:col>
                    <xdr:colOff>0</xdr:colOff>
                    <xdr:row>64</xdr:row>
                    <xdr:rowOff>0</xdr:rowOff>
                  </from>
                  <to>
                    <xdr:col>3</xdr:col>
                    <xdr:colOff>0</xdr:colOff>
                    <xdr:row>65</xdr:row>
                    <xdr:rowOff>57150</xdr:rowOff>
                  </to>
                </anchor>
              </controlPr>
            </control>
          </mc:Choice>
        </mc:AlternateContent>
        <mc:AlternateContent xmlns:mc="http://schemas.openxmlformats.org/markup-compatibility/2006">
          <mc:Choice Requires="x14">
            <control shapeId="11289" r:id="rId7" name="Drop Down 25">
              <controlPr defaultSize="0" autoLine="0" autoPict="0" macro="[0]!LineMapping">
                <anchor moveWithCells="1">
                  <from>
                    <xdr:col>2</xdr:col>
                    <xdr:colOff>0</xdr:colOff>
                    <xdr:row>14</xdr:row>
                    <xdr:rowOff>152400</xdr:rowOff>
                  </from>
                  <to>
                    <xdr:col>6</xdr:col>
                    <xdr:colOff>695325</xdr:colOff>
                    <xdr:row>15</xdr:row>
                    <xdr:rowOff>161925</xdr:rowOff>
                  </to>
                </anchor>
              </controlPr>
            </control>
          </mc:Choice>
        </mc:AlternateContent>
        <mc:AlternateContent xmlns:mc="http://schemas.openxmlformats.org/markup-compatibility/2006">
          <mc:Choice Requires="x14">
            <control shapeId="11291" r:id="rId8" name="MosDevDropDown">
              <controlPr locked="0" defaultSize="0" autoLine="0" autoPict="0" macro="[0]!MosDevDropDown_Change">
                <anchor moveWithCells="1">
                  <from>
                    <xdr:col>2</xdr:col>
                    <xdr:colOff>9525</xdr:colOff>
                    <xdr:row>33</xdr:row>
                    <xdr:rowOff>0</xdr:rowOff>
                  </from>
                  <to>
                    <xdr:col>4</xdr:col>
                    <xdr:colOff>19050</xdr:colOff>
                    <xdr:row>34</xdr:row>
                    <xdr:rowOff>9525</xdr:rowOff>
                  </to>
                </anchor>
              </controlPr>
            </control>
          </mc:Choice>
        </mc:AlternateContent>
        <mc:AlternateContent xmlns:mc="http://schemas.openxmlformats.org/markup-compatibility/2006">
          <mc:Choice Requires="x14">
            <control shapeId="11292" r:id="rId9" name="Drop Down 28">
              <controlPr defaultSize="0" autoLine="0" autoPict="0">
                <anchor moveWithCells="1">
                  <from>
                    <xdr:col>2</xdr:col>
                    <xdr:colOff>19050</xdr:colOff>
                    <xdr:row>13</xdr:row>
                    <xdr:rowOff>19050</xdr:rowOff>
                  </from>
                  <to>
                    <xdr:col>4</xdr:col>
                    <xdr:colOff>38100</xdr:colOff>
                    <xdr:row>14</xdr:row>
                    <xdr:rowOff>28575</xdr:rowOff>
                  </to>
                </anchor>
              </controlPr>
            </control>
          </mc:Choice>
        </mc:AlternateContent>
        <mc:AlternateContent xmlns:mc="http://schemas.openxmlformats.org/markup-compatibility/2006">
          <mc:Choice Requires="x14">
            <control shapeId="11294" r:id="rId10" name="Drop Down 30">
              <controlPr defaultSize="0" autoLine="0" autoPict="0">
                <anchor moveWithCells="1">
                  <from>
                    <xdr:col>0</xdr:col>
                    <xdr:colOff>0</xdr:colOff>
                    <xdr:row>20</xdr:row>
                    <xdr:rowOff>19050</xdr:rowOff>
                  </from>
                  <to>
                    <xdr:col>1</xdr:col>
                    <xdr:colOff>19050</xdr:colOff>
                    <xdr:row>21</xdr:row>
                    <xdr:rowOff>0</xdr:rowOff>
                  </to>
                </anchor>
              </controlPr>
            </control>
          </mc:Choice>
        </mc:AlternateContent>
        <mc:AlternateContent xmlns:mc="http://schemas.openxmlformats.org/markup-compatibility/2006">
          <mc:Choice Requires="x14">
            <control shapeId="11295" r:id="rId11" name="Drop Down 31">
              <controlPr defaultSize="0" autoLine="0" autoPict="0">
                <anchor moveWithCells="1">
                  <from>
                    <xdr:col>0</xdr:col>
                    <xdr:colOff>0</xdr:colOff>
                    <xdr:row>21</xdr:row>
                    <xdr:rowOff>19050</xdr:rowOff>
                  </from>
                  <to>
                    <xdr:col>1</xdr:col>
                    <xdr:colOff>19050</xdr:colOff>
                    <xdr:row>22</xdr:row>
                    <xdr:rowOff>0</xdr:rowOff>
                  </to>
                </anchor>
              </controlPr>
            </control>
          </mc:Choice>
        </mc:AlternateContent>
        <mc:AlternateContent xmlns:mc="http://schemas.openxmlformats.org/markup-compatibility/2006">
          <mc:Choice Requires="x14">
            <control shapeId="11296" r:id="rId12" name="Drop Down 32">
              <controlPr defaultSize="0" autoLine="0" autoPict="0">
                <anchor moveWithCells="1">
                  <from>
                    <xdr:col>0</xdr:col>
                    <xdr:colOff>0</xdr:colOff>
                    <xdr:row>22</xdr:row>
                    <xdr:rowOff>19050</xdr:rowOff>
                  </from>
                  <to>
                    <xdr:col>1</xdr:col>
                    <xdr:colOff>19050</xdr:colOff>
                    <xdr:row>23</xdr:row>
                    <xdr:rowOff>0</xdr:rowOff>
                  </to>
                </anchor>
              </controlPr>
            </control>
          </mc:Choice>
        </mc:AlternateContent>
        <mc:AlternateContent xmlns:mc="http://schemas.openxmlformats.org/markup-compatibility/2006">
          <mc:Choice Requires="x14">
            <control shapeId="11297" r:id="rId13" name="Drop Down 33">
              <controlPr defaultSize="0" autoLine="0" autoPict="0">
                <anchor moveWithCells="1">
                  <from>
                    <xdr:col>0</xdr:col>
                    <xdr:colOff>0</xdr:colOff>
                    <xdr:row>23</xdr:row>
                    <xdr:rowOff>19050</xdr:rowOff>
                  </from>
                  <to>
                    <xdr:col>1</xdr:col>
                    <xdr:colOff>19050</xdr:colOff>
                    <xdr:row>24</xdr:row>
                    <xdr:rowOff>0</xdr:rowOff>
                  </to>
                </anchor>
              </controlPr>
            </control>
          </mc:Choice>
        </mc:AlternateContent>
        <mc:AlternateContent xmlns:mc="http://schemas.openxmlformats.org/markup-compatibility/2006">
          <mc:Choice Requires="x14">
            <control shapeId="11298" r:id="rId14" name="Drop Down 34">
              <controlPr defaultSize="0" autoLine="0" autoPict="0">
                <anchor moveWithCells="1">
                  <from>
                    <xdr:col>0</xdr:col>
                    <xdr:colOff>0</xdr:colOff>
                    <xdr:row>24</xdr:row>
                    <xdr:rowOff>19050</xdr:rowOff>
                  </from>
                  <to>
                    <xdr:col>1</xdr:col>
                    <xdr:colOff>19050</xdr:colOff>
                    <xdr:row>25</xdr:row>
                    <xdr:rowOff>0</xdr:rowOff>
                  </to>
                </anchor>
              </controlPr>
            </control>
          </mc:Choice>
        </mc:AlternateContent>
        <mc:AlternateContent xmlns:mc="http://schemas.openxmlformats.org/markup-compatibility/2006">
          <mc:Choice Requires="x14">
            <control shapeId="11299" r:id="rId15" name="Drop Down 35">
              <controlPr defaultSize="0" autoLine="0" autoPict="0">
                <anchor moveWithCells="1">
                  <from>
                    <xdr:col>0</xdr:col>
                    <xdr:colOff>0</xdr:colOff>
                    <xdr:row>25</xdr:row>
                    <xdr:rowOff>9525</xdr:rowOff>
                  </from>
                  <to>
                    <xdr:col>1</xdr:col>
                    <xdr:colOff>19050</xdr:colOff>
                    <xdr:row>26</xdr:row>
                    <xdr:rowOff>0</xdr:rowOff>
                  </to>
                </anchor>
              </controlPr>
            </control>
          </mc:Choice>
        </mc:AlternateContent>
        <mc:AlternateContent xmlns:mc="http://schemas.openxmlformats.org/markup-compatibility/2006">
          <mc:Choice Requires="x14">
            <control shapeId="11300" r:id="rId16" name="Drop Down 36">
              <controlPr defaultSize="0" autoLine="0" autoPict="0">
                <anchor moveWithCells="1">
                  <from>
                    <xdr:col>0</xdr:col>
                    <xdr:colOff>0</xdr:colOff>
                    <xdr:row>26</xdr:row>
                    <xdr:rowOff>9525</xdr:rowOff>
                  </from>
                  <to>
                    <xdr:col>1</xdr:col>
                    <xdr:colOff>19050</xdr:colOff>
                    <xdr:row>26</xdr:row>
                    <xdr:rowOff>219075</xdr:rowOff>
                  </to>
                </anchor>
              </controlPr>
            </control>
          </mc:Choice>
        </mc:AlternateContent>
        <mc:AlternateContent xmlns:mc="http://schemas.openxmlformats.org/markup-compatibility/2006">
          <mc:Choice Requires="x14">
            <control shapeId="11301" r:id="rId17" name="Drop Down 37">
              <controlPr defaultSize="0" autoLine="0" autoPict="0">
                <anchor moveWithCells="1">
                  <from>
                    <xdr:col>0</xdr:col>
                    <xdr:colOff>0</xdr:colOff>
                    <xdr:row>27</xdr:row>
                    <xdr:rowOff>19050</xdr:rowOff>
                  </from>
                  <to>
                    <xdr:col>1</xdr:col>
                    <xdr:colOff>19050</xdr:colOff>
                    <xdr:row>28</xdr:row>
                    <xdr:rowOff>0</xdr:rowOff>
                  </to>
                </anchor>
              </controlPr>
            </control>
          </mc:Choice>
        </mc:AlternateContent>
        <mc:AlternateContent xmlns:mc="http://schemas.openxmlformats.org/markup-compatibility/2006">
          <mc:Choice Requires="x14">
            <control shapeId="11302" r:id="rId18" name="Drop Down 38">
              <controlPr defaultSize="0" autoLine="0" autoPict="0">
                <anchor moveWithCells="1">
                  <from>
                    <xdr:col>0</xdr:col>
                    <xdr:colOff>0</xdr:colOff>
                    <xdr:row>28</xdr:row>
                    <xdr:rowOff>9525</xdr:rowOff>
                  </from>
                  <to>
                    <xdr:col>1</xdr:col>
                    <xdr:colOff>19050</xdr:colOff>
                    <xdr:row>28</xdr:row>
                    <xdr:rowOff>219075</xdr:rowOff>
                  </to>
                </anchor>
              </controlPr>
            </control>
          </mc:Choice>
        </mc:AlternateContent>
        <mc:AlternateContent xmlns:mc="http://schemas.openxmlformats.org/markup-compatibility/2006">
          <mc:Choice Requires="x14">
            <control shapeId="11303" r:id="rId19" name="Drop Down 39">
              <controlPr defaultSize="0" autoLine="0" autoPict="0">
                <anchor moveWithCells="1">
                  <from>
                    <xdr:col>0</xdr:col>
                    <xdr:colOff>0</xdr:colOff>
                    <xdr:row>29</xdr:row>
                    <xdr:rowOff>9525</xdr:rowOff>
                  </from>
                  <to>
                    <xdr:col>1</xdr:col>
                    <xdr:colOff>19050</xdr:colOff>
                    <xdr:row>29</xdr:row>
                    <xdr:rowOff>219075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tabColor rgb="FF0000FF"/>
  </sheetPr>
  <dimension ref="A1:DG51"/>
  <sheetViews>
    <sheetView showGridLines="0" view="pageBreakPreview" topLeftCell="B1" zoomScale="85" zoomScaleNormal="100" zoomScaleSheetLayoutView="85" workbookViewId="0">
      <selection activeCell="E9" sqref="E9"/>
    </sheetView>
  </sheetViews>
  <sheetFormatPr defaultColWidth="9.140625" defaultRowHeight="15" x14ac:dyDescent="0.25"/>
  <cols>
    <col min="1" max="1" width="3" style="25" hidden="1" customWidth="1"/>
    <col min="2" max="2" width="12.5703125" style="25" customWidth="1"/>
    <col min="3" max="3" width="5.7109375" style="25" customWidth="1"/>
    <col min="4" max="7" width="15.7109375" style="25" customWidth="1"/>
    <col min="8" max="8" width="2.7109375" style="25" customWidth="1"/>
    <col min="9" max="12" width="15.7109375" style="25" customWidth="1"/>
    <col min="13" max="13" width="12.5703125" style="25" customWidth="1"/>
    <col min="14" max="14" width="5.7109375" style="25" customWidth="1"/>
    <col min="15" max="18" width="15.7109375" style="25" customWidth="1"/>
    <col min="19" max="19" width="2.7109375" style="25" customWidth="1"/>
    <col min="20" max="23" width="15.7109375" style="25" customWidth="1"/>
    <col min="24" max="24" width="12.5703125" style="25" customWidth="1"/>
    <col min="25" max="25" width="5.7109375" style="25" customWidth="1"/>
    <col min="26" max="29" width="15.7109375" style="25" customWidth="1"/>
    <col min="30" max="30" width="2.7109375" style="25" customWidth="1"/>
    <col min="31" max="34" width="15.7109375" style="25" customWidth="1"/>
    <col min="35" max="35" width="12.5703125" style="25" customWidth="1"/>
    <col min="36" max="36" width="5.7109375" style="25" customWidth="1"/>
    <col min="37" max="40" width="15.7109375" style="25" customWidth="1"/>
    <col min="41" max="41" width="2.7109375" style="25" customWidth="1"/>
    <col min="42" max="45" width="15.7109375" style="25" customWidth="1"/>
    <col min="46" max="46" width="12.5703125" style="25" customWidth="1"/>
    <col min="47" max="47" width="5.7109375" style="25" customWidth="1"/>
    <col min="48" max="51" width="15.7109375" style="25" customWidth="1"/>
    <col min="52" max="52" width="2.7109375" style="25" customWidth="1"/>
    <col min="53" max="56" width="15.7109375" style="25" customWidth="1"/>
    <col min="57" max="57" width="12.5703125" style="25" customWidth="1"/>
    <col min="58" max="58" width="5.7109375" style="25" customWidth="1"/>
    <col min="59" max="62" width="15.7109375" style="25" customWidth="1"/>
    <col min="63" max="63" width="2.7109375" style="25" customWidth="1"/>
    <col min="64" max="67" width="15.7109375" style="25" customWidth="1"/>
    <col min="68" max="68" width="12.5703125" style="25" customWidth="1"/>
    <col min="69" max="69" width="5.7109375" style="25" customWidth="1"/>
    <col min="70" max="73" width="15.7109375" style="25" customWidth="1"/>
    <col min="74" max="74" width="2.7109375" style="25" customWidth="1"/>
    <col min="75" max="78" width="15.7109375" style="25" customWidth="1"/>
    <col min="79" max="79" width="12.5703125" style="25" customWidth="1"/>
    <col min="80" max="80" width="5.7109375" style="25" customWidth="1"/>
    <col min="81" max="84" width="15.7109375" style="25" customWidth="1"/>
    <col min="85" max="85" width="2.7109375" style="25" customWidth="1"/>
    <col min="86" max="89" width="15.7109375" style="25" customWidth="1"/>
    <col min="90" max="90" width="12.5703125" style="25" customWidth="1"/>
    <col min="91" max="91" width="5.7109375" style="25" customWidth="1"/>
    <col min="92" max="95" width="15.7109375" style="25" customWidth="1"/>
    <col min="96" max="96" width="2.7109375" style="25" customWidth="1"/>
    <col min="97" max="100" width="15.7109375" style="25" customWidth="1"/>
    <col min="101" max="101" width="12.5703125" style="25" customWidth="1"/>
    <col min="102" max="102" width="5.7109375" style="25" customWidth="1"/>
    <col min="103" max="106" width="15.7109375" style="25" customWidth="1"/>
    <col min="107" max="107" width="2.7109375" style="25" customWidth="1"/>
    <col min="108" max="111" width="15.7109375" style="25" customWidth="1"/>
    <col min="112" max="16384" width="9.140625" style="25"/>
  </cols>
  <sheetData>
    <row r="1" spans="1:111" ht="21" x14ac:dyDescent="0.35">
      <c r="B1" s="137" t="str">
        <f>Co_Name</f>
        <v>State Farm General Insurance Company</v>
      </c>
      <c r="C1" s="47"/>
      <c r="D1" s="47"/>
      <c r="E1" s="47"/>
      <c r="F1" s="47"/>
      <c r="G1" s="47"/>
      <c r="H1" s="47"/>
      <c r="I1" s="47"/>
      <c r="J1" s="47"/>
      <c r="K1" s="47"/>
      <c r="L1" s="47"/>
      <c r="M1" s="137" t="str">
        <f>Co_Name</f>
        <v>State Farm General Insurance Company</v>
      </c>
      <c r="N1" s="47"/>
      <c r="O1" s="47"/>
      <c r="P1" s="47"/>
      <c r="Q1" s="47"/>
      <c r="R1" s="47"/>
      <c r="S1" s="47"/>
      <c r="T1" s="47"/>
      <c r="U1" s="47"/>
      <c r="V1" s="47"/>
      <c r="W1" s="47"/>
      <c r="X1" s="137" t="str">
        <f>Co_Name</f>
        <v>State Farm General Insurance Company</v>
      </c>
      <c r="Y1" s="47"/>
      <c r="Z1" s="47"/>
      <c r="AA1" s="47"/>
      <c r="AB1" s="47"/>
      <c r="AC1" s="47"/>
      <c r="AD1" s="47"/>
      <c r="AE1" s="47"/>
      <c r="AF1" s="47"/>
      <c r="AG1" s="47"/>
      <c r="AH1" s="47"/>
      <c r="AI1" s="137" t="str">
        <f>Co_Name</f>
        <v>State Farm General Insurance Company</v>
      </c>
      <c r="AJ1" s="47"/>
      <c r="AK1" s="47"/>
      <c r="AL1" s="47"/>
      <c r="AM1" s="47"/>
      <c r="AN1" s="47"/>
      <c r="AO1" s="47"/>
      <c r="AP1" s="47"/>
      <c r="AQ1" s="47"/>
      <c r="AR1" s="47"/>
      <c r="AS1" s="47"/>
      <c r="AT1" s="137" t="str">
        <f>Co_Name</f>
        <v>State Farm General Insurance Company</v>
      </c>
      <c r="AU1" s="47"/>
      <c r="AV1" s="47"/>
      <c r="AW1" s="47"/>
      <c r="AX1" s="47"/>
      <c r="AY1" s="47"/>
      <c r="AZ1" s="47"/>
      <c r="BA1" s="47"/>
      <c r="BB1" s="47"/>
      <c r="BC1" s="47"/>
      <c r="BD1" s="47"/>
      <c r="BE1" s="137" t="str">
        <f>Co_Name</f>
        <v>State Farm General Insurance Company</v>
      </c>
      <c r="BF1" s="47"/>
      <c r="BG1" s="47"/>
      <c r="BH1" s="47"/>
      <c r="BI1" s="47"/>
      <c r="BJ1" s="47"/>
      <c r="BK1" s="47"/>
      <c r="BL1" s="47"/>
      <c r="BM1" s="47"/>
      <c r="BN1" s="47"/>
      <c r="BO1" s="47"/>
      <c r="BP1" s="137" t="str">
        <f>Co_Name</f>
        <v>State Farm General Insurance Company</v>
      </c>
      <c r="BQ1" s="47"/>
      <c r="BR1" s="47"/>
      <c r="BS1" s="47"/>
      <c r="BT1" s="47"/>
      <c r="BU1" s="47"/>
      <c r="BV1" s="47"/>
      <c r="BW1" s="47"/>
      <c r="BX1" s="47"/>
      <c r="BY1" s="47"/>
      <c r="BZ1" s="47"/>
      <c r="CA1" s="137" t="str">
        <f>Co_Name</f>
        <v>State Farm General Insurance Company</v>
      </c>
      <c r="CB1" s="47"/>
      <c r="CC1" s="47"/>
      <c r="CD1" s="47"/>
      <c r="CE1" s="47"/>
      <c r="CF1" s="47"/>
      <c r="CG1" s="47"/>
      <c r="CH1" s="47"/>
      <c r="CI1" s="47"/>
      <c r="CJ1" s="47"/>
      <c r="CK1" s="47"/>
      <c r="CL1" s="137" t="str">
        <f>Co_Name</f>
        <v>State Farm General Insurance Company</v>
      </c>
      <c r="CM1" s="47"/>
      <c r="CN1" s="47"/>
      <c r="CO1" s="47"/>
      <c r="CP1" s="47"/>
      <c r="CQ1" s="47"/>
      <c r="CR1" s="47"/>
      <c r="CS1" s="47"/>
      <c r="CT1" s="47"/>
      <c r="CU1" s="47"/>
      <c r="CV1" s="47"/>
      <c r="CW1" s="137" t="str">
        <f>Co_Name</f>
        <v>State Farm General Insurance Company</v>
      </c>
      <c r="CX1" s="47"/>
      <c r="CY1" s="47"/>
      <c r="CZ1" s="47"/>
      <c r="DA1" s="47"/>
      <c r="DB1" s="47"/>
      <c r="DC1" s="47"/>
      <c r="DD1" s="47"/>
      <c r="DE1" s="47"/>
      <c r="DF1" s="47"/>
      <c r="DG1" s="47"/>
    </row>
    <row r="2" spans="1:111" s="230" customFormat="1" ht="21" x14ac:dyDescent="0.35">
      <c r="B2" s="231" t="str">
        <f>Detailed_LineDesc01</f>
        <v>Homeowners Multiple Peril</v>
      </c>
      <c r="C2" s="232"/>
      <c r="D2" s="232"/>
      <c r="E2" s="232"/>
      <c r="F2" s="232"/>
      <c r="G2" s="232"/>
      <c r="H2" s="232"/>
      <c r="I2" s="232"/>
      <c r="J2" s="232"/>
      <c r="K2" s="232"/>
      <c r="L2" s="232"/>
      <c r="M2" s="231" t="str">
        <f>Detailed_LineDesc02</f>
        <v/>
      </c>
      <c r="N2" s="232"/>
      <c r="O2" s="232"/>
      <c r="P2" s="232"/>
      <c r="Q2" s="232"/>
      <c r="R2" s="232"/>
      <c r="S2" s="232"/>
      <c r="T2" s="232"/>
      <c r="U2" s="232"/>
      <c r="V2" s="232"/>
      <c r="W2" s="232"/>
      <c r="X2" s="231" t="str">
        <f>Detailed_LineDesc03</f>
        <v/>
      </c>
      <c r="Y2" s="232"/>
      <c r="Z2" s="232"/>
      <c r="AA2" s="232"/>
      <c r="AB2" s="232"/>
      <c r="AC2" s="232"/>
      <c r="AD2" s="232"/>
      <c r="AE2" s="232"/>
      <c r="AF2" s="232"/>
      <c r="AG2" s="232"/>
      <c r="AH2" s="232"/>
      <c r="AI2" s="231" t="str">
        <f>Detailed_LineDesc04</f>
        <v/>
      </c>
      <c r="AJ2" s="232"/>
      <c r="AK2" s="232"/>
      <c r="AL2" s="232"/>
      <c r="AM2" s="232"/>
      <c r="AN2" s="232"/>
      <c r="AO2" s="232"/>
      <c r="AP2" s="232"/>
      <c r="AQ2" s="232"/>
      <c r="AR2" s="232"/>
      <c r="AS2" s="232"/>
      <c r="AT2" s="231" t="str">
        <f>Detailed_LineDesc05</f>
        <v/>
      </c>
      <c r="AU2" s="232"/>
      <c r="AV2" s="232"/>
      <c r="AW2" s="232"/>
      <c r="AX2" s="232"/>
      <c r="AY2" s="232"/>
      <c r="AZ2" s="232"/>
      <c r="BA2" s="232"/>
      <c r="BB2" s="232"/>
      <c r="BC2" s="232"/>
      <c r="BD2" s="232"/>
      <c r="BE2" s="231" t="str">
        <f>Detailed_LineDesc06</f>
        <v/>
      </c>
      <c r="BF2" s="232"/>
      <c r="BG2" s="232"/>
      <c r="BH2" s="232"/>
      <c r="BI2" s="232"/>
      <c r="BJ2" s="232"/>
      <c r="BK2" s="232"/>
      <c r="BL2" s="232"/>
      <c r="BM2" s="232"/>
      <c r="BN2" s="232"/>
      <c r="BO2" s="232"/>
      <c r="BP2" s="231" t="str">
        <f>Detailed_LineDesc07</f>
        <v/>
      </c>
      <c r="BQ2" s="232"/>
      <c r="BR2" s="232"/>
      <c r="BS2" s="232"/>
      <c r="BT2" s="232"/>
      <c r="BU2" s="232"/>
      <c r="BV2" s="232"/>
      <c r="BW2" s="232"/>
      <c r="BX2" s="232"/>
      <c r="BY2" s="232"/>
      <c r="BZ2" s="232"/>
      <c r="CA2" s="231" t="str">
        <f>Detailed_LineDesc08</f>
        <v/>
      </c>
      <c r="CB2" s="232"/>
      <c r="CC2" s="232"/>
      <c r="CD2" s="232"/>
      <c r="CE2" s="232"/>
      <c r="CF2" s="232"/>
      <c r="CG2" s="232"/>
      <c r="CH2" s="232"/>
      <c r="CI2" s="232"/>
      <c r="CJ2" s="232"/>
      <c r="CK2" s="232"/>
      <c r="CL2" s="231" t="str">
        <f>Detailed_LineDesc09</f>
        <v/>
      </c>
      <c r="CM2" s="232"/>
      <c r="CN2" s="232"/>
      <c r="CO2" s="232"/>
      <c r="CP2" s="232"/>
      <c r="CQ2" s="232"/>
      <c r="CR2" s="232"/>
      <c r="CS2" s="232"/>
      <c r="CT2" s="232"/>
      <c r="CU2" s="232"/>
      <c r="CV2" s="232"/>
      <c r="CW2" s="231" t="str">
        <f>Detailed_LineDesc10</f>
        <v/>
      </c>
      <c r="CX2" s="232"/>
      <c r="CY2" s="232"/>
      <c r="CZ2" s="232"/>
      <c r="DA2" s="232"/>
      <c r="DB2" s="232"/>
      <c r="DC2" s="232"/>
      <c r="DD2" s="232"/>
      <c r="DE2" s="232"/>
      <c r="DF2" s="232"/>
      <c r="DG2" s="232"/>
    </row>
    <row r="3" spans="1:111" s="49" customFormat="1" x14ac:dyDescent="0.25">
      <c r="A3" s="25"/>
      <c r="L3" s="1"/>
      <c r="W3" s="1"/>
      <c r="AH3" s="1"/>
      <c r="AS3" s="1"/>
      <c r="BD3" s="1"/>
      <c r="BO3" s="1"/>
      <c r="BZ3" s="1"/>
      <c r="CK3" s="1"/>
      <c r="CV3" s="1"/>
      <c r="DG3" s="1"/>
    </row>
    <row r="4" spans="1:111" ht="21" x14ac:dyDescent="0.35">
      <c r="B4" s="48" t="s">
        <v>5</v>
      </c>
      <c r="C4" s="48"/>
      <c r="D4" s="47"/>
      <c r="E4" s="47"/>
      <c r="F4" s="47"/>
      <c r="G4" s="47"/>
      <c r="H4" s="47"/>
      <c r="I4" s="47"/>
      <c r="J4" s="47"/>
      <c r="K4" s="47"/>
      <c r="L4" s="47"/>
      <c r="M4" s="48" t="s">
        <v>5</v>
      </c>
      <c r="N4" s="48"/>
      <c r="O4" s="47"/>
      <c r="P4" s="47"/>
      <c r="Q4" s="47"/>
      <c r="R4" s="47"/>
      <c r="S4" s="47"/>
      <c r="T4" s="47"/>
      <c r="U4" s="47"/>
      <c r="V4" s="47"/>
      <c r="W4" s="47"/>
      <c r="X4" s="48" t="s">
        <v>5</v>
      </c>
      <c r="Y4" s="48"/>
      <c r="Z4" s="47"/>
      <c r="AA4" s="47"/>
      <c r="AB4" s="47"/>
      <c r="AC4" s="47"/>
      <c r="AD4" s="47"/>
      <c r="AE4" s="47"/>
      <c r="AF4" s="47"/>
      <c r="AG4" s="47"/>
      <c r="AH4" s="47"/>
      <c r="AI4" s="48" t="s">
        <v>5</v>
      </c>
      <c r="AJ4" s="48"/>
      <c r="AK4" s="47"/>
      <c r="AL4" s="47"/>
      <c r="AM4" s="47"/>
      <c r="AN4" s="47"/>
      <c r="AO4" s="47"/>
      <c r="AP4" s="47"/>
      <c r="AQ4" s="47"/>
      <c r="AR4" s="47"/>
      <c r="AS4" s="47"/>
      <c r="AT4" s="48" t="s">
        <v>5</v>
      </c>
      <c r="AU4" s="48"/>
      <c r="AV4" s="47"/>
      <c r="AW4" s="47"/>
      <c r="AX4" s="47"/>
      <c r="AY4" s="47"/>
      <c r="AZ4" s="47"/>
      <c r="BA4" s="47"/>
      <c r="BB4" s="47"/>
      <c r="BC4" s="47"/>
      <c r="BD4" s="47"/>
      <c r="BE4" s="48" t="s">
        <v>5</v>
      </c>
      <c r="BF4" s="48"/>
      <c r="BG4" s="47"/>
      <c r="BH4" s="47"/>
      <c r="BI4" s="47"/>
      <c r="BJ4" s="47"/>
      <c r="BK4" s="47"/>
      <c r="BL4" s="47"/>
      <c r="BM4" s="47"/>
      <c r="BN4" s="47"/>
      <c r="BO4" s="47"/>
      <c r="BP4" s="48" t="s">
        <v>5</v>
      </c>
      <c r="BQ4" s="48"/>
      <c r="BR4" s="47"/>
      <c r="BS4" s="47"/>
      <c r="BT4" s="47"/>
      <c r="BU4" s="47"/>
      <c r="BV4" s="47"/>
      <c r="BW4" s="47"/>
      <c r="BX4" s="47"/>
      <c r="BY4" s="47"/>
      <c r="BZ4" s="47"/>
      <c r="CA4" s="48" t="s">
        <v>5</v>
      </c>
      <c r="CB4" s="48"/>
      <c r="CC4" s="47"/>
      <c r="CD4" s="47"/>
      <c r="CE4" s="47"/>
      <c r="CF4" s="47"/>
      <c r="CG4" s="47"/>
      <c r="CH4" s="47"/>
      <c r="CI4" s="47"/>
      <c r="CJ4" s="47"/>
      <c r="CK4" s="47"/>
      <c r="CL4" s="48" t="s">
        <v>5</v>
      </c>
      <c r="CM4" s="48"/>
      <c r="CN4" s="47"/>
      <c r="CO4" s="47"/>
      <c r="CP4" s="47"/>
      <c r="CQ4" s="47"/>
      <c r="CR4" s="47"/>
      <c r="CS4" s="47"/>
      <c r="CT4" s="47"/>
      <c r="CU4" s="47"/>
      <c r="CV4" s="47"/>
      <c r="CW4" s="48" t="s">
        <v>5</v>
      </c>
      <c r="CX4" s="48"/>
      <c r="CY4" s="47"/>
      <c r="CZ4" s="47"/>
      <c r="DA4" s="47"/>
      <c r="DB4" s="47"/>
      <c r="DC4" s="47"/>
      <c r="DD4" s="47"/>
      <c r="DE4" s="47"/>
      <c r="DF4" s="47"/>
      <c r="DG4" s="47"/>
    </row>
    <row r="5" spans="1:111" x14ac:dyDescent="0.25">
      <c r="B5" s="39" t="s">
        <v>23</v>
      </c>
      <c r="C5" s="40"/>
      <c r="D5" s="41"/>
      <c r="E5" s="41"/>
      <c r="F5" s="41"/>
      <c r="G5" s="41"/>
      <c r="H5" s="41"/>
      <c r="I5" s="41"/>
      <c r="J5" s="41"/>
      <c r="K5" s="41"/>
      <c r="L5" s="41"/>
      <c r="M5" s="39" t="s">
        <v>23</v>
      </c>
      <c r="N5" s="40"/>
      <c r="O5" s="41"/>
      <c r="P5" s="41"/>
      <c r="Q5" s="41"/>
      <c r="R5" s="41"/>
      <c r="S5" s="41"/>
      <c r="T5" s="41"/>
      <c r="U5" s="41"/>
      <c r="V5" s="41"/>
      <c r="W5" s="41"/>
      <c r="X5" s="39" t="s">
        <v>23</v>
      </c>
      <c r="Y5" s="40"/>
      <c r="Z5" s="41"/>
      <c r="AA5" s="41"/>
      <c r="AB5" s="41"/>
      <c r="AC5" s="41"/>
      <c r="AD5" s="41"/>
      <c r="AE5" s="41"/>
      <c r="AF5" s="41"/>
      <c r="AG5" s="41"/>
      <c r="AH5" s="41"/>
      <c r="AI5" s="39" t="s">
        <v>23</v>
      </c>
      <c r="AJ5" s="40"/>
      <c r="AK5" s="41"/>
      <c r="AL5" s="41"/>
      <c r="AM5" s="41"/>
      <c r="AN5" s="41"/>
      <c r="AO5" s="41"/>
      <c r="AP5" s="41"/>
      <c r="AQ5" s="41"/>
      <c r="AR5" s="41"/>
      <c r="AS5" s="41"/>
      <c r="AT5" s="39" t="s">
        <v>23</v>
      </c>
      <c r="AU5" s="40"/>
      <c r="AV5" s="41"/>
      <c r="AW5" s="41"/>
      <c r="AX5" s="41"/>
      <c r="AY5" s="41"/>
      <c r="AZ5" s="41"/>
      <c r="BA5" s="41"/>
      <c r="BB5" s="41"/>
      <c r="BC5" s="41"/>
      <c r="BD5" s="41"/>
      <c r="BE5" s="39" t="s">
        <v>23</v>
      </c>
      <c r="BF5" s="40"/>
      <c r="BG5" s="41"/>
      <c r="BH5" s="41"/>
      <c r="BI5" s="41"/>
      <c r="BJ5" s="41"/>
      <c r="BK5" s="41"/>
      <c r="BL5" s="41"/>
      <c r="BM5" s="41"/>
      <c r="BN5" s="41"/>
      <c r="BO5" s="41"/>
      <c r="BP5" s="39" t="s">
        <v>23</v>
      </c>
      <c r="BQ5" s="40"/>
      <c r="BR5" s="41"/>
      <c r="BS5" s="41"/>
      <c r="BT5" s="41"/>
      <c r="BU5" s="41"/>
      <c r="BV5" s="41"/>
      <c r="BW5" s="41"/>
      <c r="BX5" s="41"/>
      <c r="BY5" s="41"/>
      <c r="BZ5" s="41"/>
      <c r="CA5" s="39" t="s">
        <v>23</v>
      </c>
      <c r="CB5" s="40"/>
      <c r="CC5" s="41"/>
      <c r="CD5" s="41"/>
      <c r="CE5" s="41"/>
      <c r="CF5" s="41"/>
      <c r="CG5" s="41"/>
      <c r="CH5" s="41"/>
      <c r="CI5" s="41"/>
      <c r="CJ5" s="41"/>
      <c r="CK5" s="41"/>
      <c r="CL5" s="39" t="s">
        <v>23</v>
      </c>
      <c r="CM5" s="40"/>
      <c r="CN5" s="41"/>
      <c r="CO5" s="41"/>
      <c r="CP5" s="41"/>
      <c r="CQ5" s="41"/>
      <c r="CR5" s="41"/>
      <c r="CS5" s="41"/>
      <c r="CT5" s="41"/>
      <c r="CU5" s="41"/>
      <c r="CV5" s="41"/>
      <c r="CW5" s="39" t="s">
        <v>23</v>
      </c>
      <c r="CX5" s="40"/>
      <c r="CY5" s="41"/>
      <c r="CZ5" s="41"/>
      <c r="DA5" s="41"/>
      <c r="DB5" s="41"/>
      <c r="DC5" s="41"/>
      <c r="DD5" s="41"/>
      <c r="DE5" s="41"/>
      <c r="DF5" s="41"/>
      <c r="DG5" s="41"/>
    </row>
    <row r="6" spans="1:111" x14ac:dyDescent="0.25">
      <c r="B6" s="138" t="str">
        <f>Covg01</f>
        <v>Rental Dwelling</v>
      </c>
      <c r="C6" s="40"/>
      <c r="D6" s="41"/>
      <c r="E6" s="41"/>
      <c r="F6" s="41"/>
      <c r="G6" s="41"/>
      <c r="H6" s="41"/>
      <c r="I6" s="41"/>
      <c r="J6" s="41"/>
      <c r="K6" s="41"/>
      <c r="L6" s="41"/>
      <c r="M6" s="138">
        <f>Covg02</f>
        <v>0</v>
      </c>
      <c r="N6" s="40"/>
      <c r="O6" s="41"/>
      <c r="P6" s="41"/>
      <c r="Q6" s="41"/>
      <c r="R6" s="41"/>
      <c r="S6" s="41"/>
      <c r="T6" s="41"/>
      <c r="U6" s="41"/>
      <c r="V6" s="41"/>
      <c r="W6" s="41"/>
      <c r="X6" s="138">
        <f>Covg03</f>
        <v>0</v>
      </c>
      <c r="Y6" s="40"/>
      <c r="Z6" s="41"/>
      <c r="AA6" s="41"/>
      <c r="AB6" s="41"/>
      <c r="AC6" s="41"/>
      <c r="AD6" s="41"/>
      <c r="AE6" s="41"/>
      <c r="AF6" s="41"/>
      <c r="AG6" s="41"/>
      <c r="AH6" s="41"/>
      <c r="AI6" s="138">
        <f>Covg04</f>
        <v>0</v>
      </c>
      <c r="AJ6" s="40"/>
      <c r="AK6" s="41"/>
      <c r="AL6" s="41"/>
      <c r="AM6" s="41"/>
      <c r="AN6" s="41"/>
      <c r="AO6" s="41"/>
      <c r="AP6" s="41"/>
      <c r="AQ6" s="41"/>
      <c r="AR6" s="41"/>
      <c r="AS6" s="41"/>
      <c r="AT6" s="138">
        <f>Covg05</f>
        <v>0</v>
      </c>
      <c r="AU6" s="40"/>
      <c r="AV6" s="41"/>
      <c r="AW6" s="41"/>
      <c r="AX6" s="41"/>
      <c r="AY6" s="41"/>
      <c r="AZ6" s="41"/>
      <c r="BA6" s="41"/>
      <c r="BB6" s="41"/>
      <c r="BC6" s="41"/>
      <c r="BD6" s="41"/>
      <c r="BE6" s="138">
        <f>Covg06</f>
        <v>0</v>
      </c>
      <c r="BF6" s="40"/>
      <c r="BG6" s="41"/>
      <c r="BH6" s="41"/>
      <c r="BI6" s="41"/>
      <c r="BJ6" s="41"/>
      <c r="BK6" s="41"/>
      <c r="BL6" s="41"/>
      <c r="BM6" s="41"/>
      <c r="BN6" s="41"/>
      <c r="BO6" s="41"/>
      <c r="BP6" s="138">
        <f>Covg07</f>
        <v>0</v>
      </c>
      <c r="BQ6" s="40"/>
      <c r="BR6" s="41"/>
      <c r="BS6" s="41"/>
      <c r="BT6" s="41"/>
      <c r="BU6" s="41"/>
      <c r="BV6" s="41"/>
      <c r="BW6" s="41"/>
      <c r="BX6" s="41"/>
      <c r="BY6" s="41"/>
      <c r="BZ6" s="41"/>
      <c r="CA6" s="138">
        <f>Covg08</f>
        <v>0</v>
      </c>
      <c r="CB6" s="40"/>
      <c r="CC6" s="41"/>
      <c r="CD6" s="41"/>
      <c r="CE6" s="41"/>
      <c r="CF6" s="41"/>
      <c r="CG6" s="41"/>
      <c r="CH6" s="41"/>
      <c r="CI6" s="41"/>
      <c r="CJ6" s="41"/>
      <c r="CK6" s="41"/>
      <c r="CL6" s="138">
        <f>Covg09</f>
        <v>0</v>
      </c>
      <c r="CM6" s="40"/>
      <c r="CN6" s="41"/>
      <c r="CO6" s="41"/>
      <c r="CP6" s="41"/>
      <c r="CQ6" s="41"/>
      <c r="CR6" s="41"/>
      <c r="CS6" s="41"/>
      <c r="CT6" s="41"/>
      <c r="CU6" s="41"/>
      <c r="CV6" s="41"/>
      <c r="CW6" s="138">
        <f>Covg10</f>
        <v>0</v>
      </c>
      <c r="CX6" s="40"/>
      <c r="CY6" s="41"/>
      <c r="CZ6" s="41"/>
      <c r="DA6" s="41"/>
      <c r="DB6" s="41"/>
      <c r="DC6" s="41"/>
      <c r="DD6" s="41"/>
      <c r="DE6" s="41"/>
      <c r="DF6" s="41"/>
      <c r="DG6" s="41"/>
    </row>
    <row r="7" spans="1:111" x14ac:dyDescent="0.25">
      <c r="B7" s="42"/>
      <c r="D7" s="265" t="str">
        <f>IF(COUNTIF(D11:D37,0)=0,"","For calendar quarters where business was not being written and there are no exposures, enter blank cells rather than cells containing zero.")</f>
        <v/>
      </c>
      <c r="M7" s="42"/>
      <c r="O7" s="265" t="str">
        <f>IF(COUNTIF(O11:O37,0)=0,"","For calendar quarters where business was not being written and there are no exposures, enter blank cells rather than cells containing zero.")</f>
        <v/>
      </c>
      <c r="X7" s="42"/>
      <c r="Z7" s="265" t="str">
        <f>IF(COUNTIF(Z11:Z37,0)=0,"","For calendar quarters where business was not being written and there are no exposures, enter blank cells rather than cells containing zero.")</f>
        <v/>
      </c>
      <c r="AI7" s="42"/>
      <c r="AK7" s="265" t="str">
        <f>IF(COUNTIF(AK11:AK37,0)=0,"","For calendar quarters where business was not being written and there are no exposures, enter blank cells rather than cells containing zero.")</f>
        <v/>
      </c>
      <c r="AT7" s="42"/>
      <c r="AV7" s="265" t="str">
        <f>IF(COUNTIF(AV11:AV37,0)=0,"","For calendar quarters where business was not being written and there are no exposures, enter blank cells rather than cells containing zero.")</f>
        <v/>
      </c>
      <c r="BE7" s="42"/>
      <c r="BG7" s="265" t="str">
        <f>IF(COUNTIF(BG11:BG37,0)=0,"","For calendar quarters where business was not being written and there are no exposures, enter blank cells rather than cells containing zero.")</f>
        <v/>
      </c>
      <c r="BP7" s="42"/>
      <c r="BR7" s="265" t="str">
        <f>IF(COUNTIF(BR11:BR37,0)=0,"","For calendar quarters where business was not being written and there are no exposures, enter blank cells rather than cells containing zero.")</f>
        <v/>
      </c>
      <c r="CA7" s="42"/>
      <c r="CC7" s="265" t="str">
        <f>IF(COUNTIF(CC11:CC37,0)=0,"","For calendar quarters where business was not being written and there are no exposures, enter blank cells rather than cells containing zero.")</f>
        <v/>
      </c>
      <c r="CL7" s="42"/>
      <c r="CN7" s="265" t="str">
        <f>IF(COUNTIF(CN11:CN37,0)=0,"","For calendar quarters where business was not being written and there are no exposures, enter blank cells rather than cells containing zero.")</f>
        <v/>
      </c>
      <c r="CW7" s="42"/>
      <c r="CY7" s="265" t="str">
        <f>IF(COUNTIF(CY11:CY37,0)=0,"","For calendar quarters where business was not being written and there are no exposures, enter blank cells rather than cells containing zero.")</f>
        <v/>
      </c>
    </row>
    <row r="8" spans="1:111" s="297" customFormat="1" ht="15.75" customHeight="1" x14ac:dyDescent="0.25">
      <c r="B8" s="298"/>
      <c r="D8" s="297" t="str">
        <f>IF(COUNTBLANK(D11:F37)=81,"",IF(COUNTBLANK(D11:F37)=0,"","It appears as though you have blank cells/ no data for some years and a variance may be required."))</f>
        <v/>
      </c>
      <c r="H8" s="299"/>
      <c r="L8" s="299"/>
      <c r="M8" s="298"/>
      <c r="O8" s="297" t="str">
        <f>IF(COUNTBLANK(O11:Q37)=81,"",IF(COUNTBLANK(O11:Q37)=0,"","It appears as though you have blank cells/ no data for some years and a variance may be required."))</f>
        <v/>
      </c>
      <c r="S8" s="299"/>
      <c r="W8" s="299"/>
      <c r="X8" s="298"/>
      <c r="Z8" s="297" t="str">
        <f>IF(COUNTBLANK(Z11:AB37)=81,"",IF(COUNTBLANK(Z11:AB37)=0,"","It appears as though you have blank cells/ no data for some years and a variance may be required."))</f>
        <v/>
      </c>
      <c r="AD8" s="299"/>
      <c r="AH8" s="299"/>
      <c r="AI8" s="298"/>
      <c r="AK8" s="297" t="str">
        <f>IF(COUNTBLANK(AK11:AM37)=81,"",IF(COUNTBLANK(AK11:AM37)=0,"","It appears as though you have blank cells/ no data for some years and a variance may be required."))</f>
        <v/>
      </c>
      <c r="AO8" s="299"/>
      <c r="AS8" s="299"/>
      <c r="AT8" s="298"/>
      <c r="AV8" s="297" t="str">
        <f>IF(COUNTBLANK(AV11:AX37)=81,"",IF(COUNTBLANK(AV11:AX37)=0,"","It appears as though you have blank cells/ no data for some years and a variance may be required."))</f>
        <v/>
      </c>
      <c r="AZ8" s="299"/>
      <c r="BD8" s="299"/>
      <c r="BE8" s="298"/>
      <c r="BG8" s="297" t="str">
        <f>IF(COUNTBLANK(BG11:BI37)=81,"",IF(COUNTBLANK(BG11:BI37)=0,"","It appears as though you have blank cells/ no data for some years and a variance may be required."))</f>
        <v/>
      </c>
      <c r="BK8" s="299"/>
      <c r="BO8" s="299"/>
      <c r="BP8" s="298"/>
      <c r="BR8" s="297" t="str">
        <f>IF(COUNTBLANK(BR11:BT37)=81,"",IF(COUNTBLANK(BR11:BT37)=0,"","It appears as though you have blank cells/ no data for some years and a variance may be required."))</f>
        <v/>
      </c>
      <c r="BV8" s="299"/>
      <c r="BZ8" s="299"/>
      <c r="CA8" s="298"/>
      <c r="CC8" s="297" t="str">
        <f>IF(COUNTBLANK(CC11:CE37)=81,"",IF(COUNTBLANK(CC11:CE37)=0,"","It appears as though you have blank cells/ no data for some years and a variance may be required."))</f>
        <v/>
      </c>
      <c r="CG8" s="299"/>
      <c r="CK8" s="299"/>
      <c r="CL8" s="298"/>
      <c r="CN8" s="297" t="str">
        <f>IF(COUNTBLANK(CN11:CP37)=81,"",IF(COUNTBLANK(CN11:CP37)=0,"","It appears as though you have blank cells/ no data for some years and a variance may be required."))</f>
        <v/>
      </c>
      <c r="CR8" s="299"/>
      <c r="CV8" s="299"/>
      <c r="CW8" s="298"/>
      <c r="CY8" s="297" t="str">
        <f>IF(COUNTBLANK(CY11:DA37)=81,"",IF(COUNTBLANK(CY11:DA37)=0,"","It appears as though you have blank cells/ no data for some years and a variance may be required."))</f>
        <v/>
      </c>
      <c r="DC8" s="299"/>
      <c r="DG8" s="299"/>
    </row>
    <row r="9" spans="1:111" ht="15" customHeight="1" thickBot="1" x14ac:dyDescent="0.3">
      <c r="B9" s="28"/>
      <c r="C9" s="29"/>
      <c r="D9" s="43" t="s">
        <v>21</v>
      </c>
      <c r="E9" s="43"/>
      <c r="F9" s="44"/>
      <c r="G9" s="44"/>
      <c r="I9" s="45" t="s">
        <v>22</v>
      </c>
      <c r="J9" s="45"/>
      <c r="K9" s="26"/>
      <c r="L9" s="26"/>
      <c r="M9" s="28"/>
      <c r="N9" s="29"/>
      <c r="O9" s="43" t="s">
        <v>21</v>
      </c>
      <c r="P9" s="43"/>
      <c r="Q9" s="44"/>
      <c r="R9" s="44"/>
      <c r="T9" s="45" t="s">
        <v>22</v>
      </c>
      <c r="U9" s="45"/>
      <c r="V9" s="26"/>
      <c r="W9" s="26"/>
      <c r="X9" s="28"/>
      <c r="Y9" s="29"/>
      <c r="Z9" s="43" t="s">
        <v>21</v>
      </c>
      <c r="AA9" s="43"/>
      <c r="AB9" s="44"/>
      <c r="AC9" s="44"/>
      <c r="AE9" s="45" t="s">
        <v>22</v>
      </c>
      <c r="AF9" s="45"/>
      <c r="AG9" s="26"/>
      <c r="AH9" s="26"/>
      <c r="AI9" s="28"/>
      <c r="AJ9" s="29"/>
      <c r="AK9" s="43" t="s">
        <v>21</v>
      </c>
      <c r="AL9" s="43"/>
      <c r="AM9" s="44"/>
      <c r="AN9" s="44"/>
      <c r="AP9" s="45" t="s">
        <v>22</v>
      </c>
      <c r="AQ9" s="45"/>
      <c r="AR9" s="26"/>
      <c r="AS9" s="26"/>
      <c r="AT9" s="28"/>
      <c r="AU9" s="29"/>
      <c r="AV9" s="43" t="s">
        <v>21</v>
      </c>
      <c r="AW9" s="43"/>
      <c r="AX9" s="44"/>
      <c r="AY9" s="44"/>
      <c r="BA9" s="45" t="s">
        <v>22</v>
      </c>
      <c r="BB9" s="45"/>
      <c r="BC9" s="26"/>
      <c r="BD9" s="26"/>
      <c r="BE9" s="28"/>
      <c r="BF9" s="29"/>
      <c r="BG9" s="43" t="s">
        <v>21</v>
      </c>
      <c r="BH9" s="43"/>
      <c r="BI9" s="44"/>
      <c r="BJ9" s="44"/>
      <c r="BL9" s="45" t="s">
        <v>22</v>
      </c>
      <c r="BM9" s="45"/>
      <c r="BN9" s="26"/>
      <c r="BO9" s="26"/>
      <c r="BP9" s="28"/>
      <c r="BQ9" s="29"/>
      <c r="BR9" s="43" t="s">
        <v>21</v>
      </c>
      <c r="BS9" s="43"/>
      <c r="BT9" s="44"/>
      <c r="BU9" s="44"/>
      <c r="BW9" s="45" t="s">
        <v>22</v>
      </c>
      <c r="BX9" s="45"/>
      <c r="BY9" s="26"/>
      <c r="BZ9" s="26"/>
      <c r="CA9" s="28"/>
      <c r="CB9" s="29"/>
      <c r="CC9" s="43" t="s">
        <v>21</v>
      </c>
      <c r="CD9" s="43"/>
      <c r="CE9" s="44"/>
      <c r="CF9" s="44"/>
      <c r="CH9" s="45" t="s">
        <v>22</v>
      </c>
      <c r="CI9" s="45"/>
      <c r="CJ9" s="26"/>
      <c r="CK9" s="26"/>
      <c r="CL9" s="28"/>
      <c r="CM9" s="29"/>
      <c r="CN9" s="43" t="s">
        <v>21</v>
      </c>
      <c r="CO9" s="43"/>
      <c r="CP9" s="44"/>
      <c r="CQ9" s="44"/>
      <c r="CS9" s="45" t="s">
        <v>22</v>
      </c>
      <c r="CT9" s="45"/>
      <c r="CU9" s="26"/>
      <c r="CV9" s="26"/>
      <c r="CW9" s="28"/>
      <c r="CX9" s="29"/>
      <c r="CY9" s="43" t="s">
        <v>21</v>
      </c>
      <c r="CZ9" s="43"/>
      <c r="DA9" s="44"/>
      <c r="DB9" s="44"/>
      <c r="DD9" s="45" t="s">
        <v>22</v>
      </c>
      <c r="DE9" s="45"/>
      <c r="DF9" s="26"/>
      <c r="DG9" s="26"/>
    </row>
    <row r="10" spans="1:111" ht="45.75" thickBot="1" x14ac:dyDescent="0.3">
      <c r="B10" s="30" t="s">
        <v>0</v>
      </c>
      <c r="D10" s="30" t="str">
        <f>PTrndBasis&amp;" Exposures"</f>
        <v>Earned Exposures</v>
      </c>
      <c r="E10" s="30" t="str">
        <f>PTrndBasis&amp;" Premium"</f>
        <v>Earned Premium</v>
      </c>
      <c r="F10" s="30" t="str">
        <f>"On-Level "&amp;PTrndBasis&amp;" Premium"</f>
        <v>On-Level Earned Premium</v>
      </c>
      <c r="G10" s="30" t="str">
        <f>"On-Level "&amp;PTrndBasis&amp;" Premium per Exposure"</f>
        <v>On-Level Earned Premium per Exposure</v>
      </c>
      <c r="I10" s="30" t="str">
        <f>D10</f>
        <v>Earned Exposures</v>
      </c>
      <c r="J10" s="30" t="str">
        <f>E10</f>
        <v>Earned Premium</v>
      </c>
      <c r="K10" s="30" t="str">
        <f>F10</f>
        <v>On-Level Earned Premium</v>
      </c>
      <c r="L10" s="30" t="str">
        <f>G10</f>
        <v>On-Level Earned Premium per Exposure</v>
      </c>
      <c r="M10" s="30" t="s">
        <v>0</v>
      </c>
      <c r="O10" s="30" t="str">
        <f>PTrndBasis&amp;" Exposures"</f>
        <v>Earned Exposures</v>
      </c>
      <c r="P10" s="30" t="str">
        <f>PTrndBasis&amp;" Premium"</f>
        <v>Earned Premium</v>
      </c>
      <c r="Q10" s="30" t="str">
        <f>"On-Level "&amp;PTrndBasis&amp;" Premium"</f>
        <v>On-Level Earned Premium</v>
      </c>
      <c r="R10" s="30" t="str">
        <f>"On-Level "&amp;PTrndBasis&amp;" Premium per Exposure"</f>
        <v>On-Level Earned Premium per Exposure</v>
      </c>
      <c r="T10" s="30" t="str">
        <f>O10</f>
        <v>Earned Exposures</v>
      </c>
      <c r="U10" s="30" t="str">
        <f>P10</f>
        <v>Earned Premium</v>
      </c>
      <c r="V10" s="30" t="str">
        <f>Q10</f>
        <v>On-Level Earned Premium</v>
      </c>
      <c r="W10" s="30" t="str">
        <f>R10</f>
        <v>On-Level Earned Premium per Exposure</v>
      </c>
      <c r="X10" s="30" t="s">
        <v>0</v>
      </c>
      <c r="Z10" s="30" t="str">
        <f>PTrndBasis&amp;" Exposures"</f>
        <v>Earned Exposures</v>
      </c>
      <c r="AA10" s="30" t="str">
        <f>PTrndBasis&amp;" Premium"</f>
        <v>Earned Premium</v>
      </c>
      <c r="AB10" s="30" t="str">
        <f>"On-Level "&amp;PTrndBasis&amp;" Premium"</f>
        <v>On-Level Earned Premium</v>
      </c>
      <c r="AC10" s="30" t="str">
        <f>"On-Level "&amp;PTrndBasis&amp;" Premium per Exposure"</f>
        <v>On-Level Earned Premium per Exposure</v>
      </c>
      <c r="AE10" s="30" t="str">
        <f>Z10</f>
        <v>Earned Exposures</v>
      </c>
      <c r="AF10" s="30" t="str">
        <f>AA10</f>
        <v>Earned Premium</v>
      </c>
      <c r="AG10" s="30" t="str">
        <f>AB10</f>
        <v>On-Level Earned Premium</v>
      </c>
      <c r="AH10" s="30" t="str">
        <f>AC10</f>
        <v>On-Level Earned Premium per Exposure</v>
      </c>
      <c r="AI10" s="30" t="s">
        <v>0</v>
      </c>
      <c r="AK10" s="30" t="str">
        <f>PTrndBasis&amp;" Exposures"</f>
        <v>Earned Exposures</v>
      </c>
      <c r="AL10" s="30" t="str">
        <f>PTrndBasis&amp;" Premium"</f>
        <v>Earned Premium</v>
      </c>
      <c r="AM10" s="30" t="str">
        <f>"On-Level "&amp;PTrndBasis&amp;" Premium"</f>
        <v>On-Level Earned Premium</v>
      </c>
      <c r="AN10" s="30" t="str">
        <f>"On-Level "&amp;PTrndBasis&amp;" Premium per Exposure"</f>
        <v>On-Level Earned Premium per Exposure</v>
      </c>
      <c r="AP10" s="30" t="str">
        <f>AK10</f>
        <v>Earned Exposures</v>
      </c>
      <c r="AQ10" s="30" t="str">
        <f>AL10</f>
        <v>Earned Premium</v>
      </c>
      <c r="AR10" s="30" t="str">
        <f>AM10</f>
        <v>On-Level Earned Premium</v>
      </c>
      <c r="AS10" s="30" t="str">
        <f>AN10</f>
        <v>On-Level Earned Premium per Exposure</v>
      </c>
      <c r="AT10" s="30" t="s">
        <v>0</v>
      </c>
      <c r="AV10" s="30" t="str">
        <f>PTrndBasis&amp;" Exposures"</f>
        <v>Earned Exposures</v>
      </c>
      <c r="AW10" s="30" t="str">
        <f>PTrndBasis&amp;" Premium"</f>
        <v>Earned Premium</v>
      </c>
      <c r="AX10" s="30" t="str">
        <f>"On-Level "&amp;PTrndBasis&amp;" Premium"</f>
        <v>On-Level Earned Premium</v>
      </c>
      <c r="AY10" s="30" t="str">
        <f>"On-Level "&amp;PTrndBasis&amp;" Premium per Exposure"</f>
        <v>On-Level Earned Premium per Exposure</v>
      </c>
      <c r="BA10" s="30" t="str">
        <f>AV10</f>
        <v>Earned Exposures</v>
      </c>
      <c r="BB10" s="30" t="str">
        <f>AW10</f>
        <v>Earned Premium</v>
      </c>
      <c r="BC10" s="30" t="str">
        <f>AX10</f>
        <v>On-Level Earned Premium</v>
      </c>
      <c r="BD10" s="30" t="str">
        <f>AY10</f>
        <v>On-Level Earned Premium per Exposure</v>
      </c>
      <c r="BE10" s="30" t="s">
        <v>0</v>
      </c>
      <c r="BG10" s="30" t="str">
        <f>PTrndBasis&amp;" Exposures"</f>
        <v>Earned Exposures</v>
      </c>
      <c r="BH10" s="30" t="str">
        <f>PTrndBasis&amp;" Premium"</f>
        <v>Earned Premium</v>
      </c>
      <c r="BI10" s="30" t="str">
        <f>"On-Level "&amp;PTrndBasis&amp;" Premium"</f>
        <v>On-Level Earned Premium</v>
      </c>
      <c r="BJ10" s="30" t="str">
        <f>"On-Level "&amp;PTrndBasis&amp;" Premium per Exposure"</f>
        <v>On-Level Earned Premium per Exposure</v>
      </c>
      <c r="BL10" s="30" t="str">
        <f>BG10</f>
        <v>Earned Exposures</v>
      </c>
      <c r="BM10" s="30" t="str">
        <f>BH10</f>
        <v>Earned Premium</v>
      </c>
      <c r="BN10" s="30" t="str">
        <f>BI10</f>
        <v>On-Level Earned Premium</v>
      </c>
      <c r="BO10" s="30" t="str">
        <f>BJ10</f>
        <v>On-Level Earned Premium per Exposure</v>
      </c>
      <c r="BP10" s="30" t="s">
        <v>0</v>
      </c>
      <c r="BR10" s="30" t="str">
        <f>PTrndBasis&amp;" Exposures"</f>
        <v>Earned Exposures</v>
      </c>
      <c r="BS10" s="30" t="str">
        <f>PTrndBasis&amp;" Premium"</f>
        <v>Earned Premium</v>
      </c>
      <c r="BT10" s="30" t="str">
        <f>"On-Level "&amp;PTrndBasis&amp;" Premium"</f>
        <v>On-Level Earned Premium</v>
      </c>
      <c r="BU10" s="30" t="str">
        <f>"On-Level "&amp;PTrndBasis&amp;" Premium per Exposure"</f>
        <v>On-Level Earned Premium per Exposure</v>
      </c>
      <c r="BW10" s="30" t="str">
        <f>BR10</f>
        <v>Earned Exposures</v>
      </c>
      <c r="BX10" s="30" t="str">
        <f>BS10</f>
        <v>Earned Premium</v>
      </c>
      <c r="BY10" s="30" t="str">
        <f>BT10</f>
        <v>On-Level Earned Premium</v>
      </c>
      <c r="BZ10" s="30" t="str">
        <f>BU10</f>
        <v>On-Level Earned Premium per Exposure</v>
      </c>
      <c r="CA10" s="30" t="s">
        <v>0</v>
      </c>
      <c r="CC10" s="30" t="str">
        <f>PTrndBasis&amp;" Exposures"</f>
        <v>Earned Exposures</v>
      </c>
      <c r="CD10" s="30" t="str">
        <f>PTrndBasis&amp;" Premium"</f>
        <v>Earned Premium</v>
      </c>
      <c r="CE10" s="30" t="str">
        <f>"On-Level "&amp;PTrndBasis&amp;" Premium"</f>
        <v>On-Level Earned Premium</v>
      </c>
      <c r="CF10" s="30" t="str">
        <f>"On-Level "&amp;PTrndBasis&amp;" Premium per Exposure"</f>
        <v>On-Level Earned Premium per Exposure</v>
      </c>
      <c r="CH10" s="30" t="str">
        <f>CC10</f>
        <v>Earned Exposures</v>
      </c>
      <c r="CI10" s="30" t="str">
        <f>CD10</f>
        <v>Earned Premium</v>
      </c>
      <c r="CJ10" s="30" t="str">
        <f>CE10</f>
        <v>On-Level Earned Premium</v>
      </c>
      <c r="CK10" s="30" t="str">
        <f>CF10</f>
        <v>On-Level Earned Premium per Exposure</v>
      </c>
      <c r="CL10" s="30" t="s">
        <v>0</v>
      </c>
      <c r="CN10" s="30" t="str">
        <f>PTrndBasis&amp;" Exposures"</f>
        <v>Earned Exposures</v>
      </c>
      <c r="CO10" s="30" t="str">
        <f>PTrndBasis&amp;" Premium"</f>
        <v>Earned Premium</v>
      </c>
      <c r="CP10" s="30" t="str">
        <f>"On-Level "&amp;PTrndBasis&amp;" Premium"</f>
        <v>On-Level Earned Premium</v>
      </c>
      <c r="CQ10" s="30" t="str">
        <f>"On-Level "&amp;PTrndBasis&amp;" Premium per Exposure"</f>
        <v>On-Level Earned Premium per Exposure</v>
      </c>
      <c r="CS10" s="30" t="str">
        <f>CN10</f>
        <v>Earned Exposures</v>
      </c>
      <c r="CT10" s="30" t="str">
        <f>CO10</f>
        <v>Earned Premium</v>
      </c>
      <c r="CU10" s="30" t="str">
        <f>CP10</f>
        <v>On-Level Earned Premium</v>
      </c>
      <c r="CV10" s="30" t="str">
        <f>CQ10</f>
        <v>On-Level Earned Premium per Exposure</v>
      </c>
      <c r="CW10" s="30" t="s">
        <v>0</v>
      </c>
      <c r="CY10" s="30" t="str">
        <f>PTrndBasis&amp;" Exposures"</f>
        <v>Earned Exposures</v>
      </c>
      <c r="CZ10" s="30" t="str">
        <f>PTrndBasis&amp;" Premium"</f>
        <v>Earned Premium</v>
      </c>
      <c r="DA10" s="30" t="str">
        <f>"On-Level "&amp;PTrndBasis&amp;" Premium"</f>
        <v>On-Level Earned Premium</v>
      </c>
      <c r="DB10" s="30" t="str">
        <f>"On-Level "&amp;PTrndBasis&amp;" Premium per Exposure"</f>
        <v>On-Level Earned Premium per Exposure</v>
      </c>
      <c r="DD10" s="30" t="str">
        <f>CY10</f>
        <v>Earned Exposures</v>
      </c>
      <c r="DE10" s="30" t="str">
        <f>CZ10</f>
        <v>Earned Premium</v>
      </c>
      <c r="DF10" s="30" t="str">
        <f>DA10</f>
        <v>On-Level Earned Premium</v>
      </c>
      <c r="DG10" s="30" t="str">
        <f>DB10</f>
        <v>On-Level Earned Premium per Exposure</v>
      </c>
    </row>
    <row r="11" spans="1:111" x14ac:dyDescent="0.25">
      <c r="A11" s="25">
        <v>1</v>
      </c>
      <c r="B11" s="31">
        <f t="shared" ref="B11:B35" si="0">IF(RIGHT(B12,1)="1",B12-7,B12-1)</f>
        <v>20154</v>
      </c>
      <c r="C11" s="32"/>
      <c r="D11" s="14">
        <v>69870.48</v>
      </c>
      <c r="E11" s="14">
        <v>61484230.509999998</v>
      </c>
      <c r="F11" s="14">
        <v>42147440.020000003</v>
      </c>
      <c r="G11" s="33">
        <f>F11/D11</f>
        <v>603.22241982594085</v>
      </c>
      <c r="H11" s="32"/>
      <c r="I11" s="34"/>
      <c r="J11" s="34"/>
      <c r="K11" s="34"/>
      <c r="L11" s="34"/>
      <c r="M11" s="31">
        <f t="shared" ref="M11:M35" si="1">IF(RIGHT(M12,1)="1",M12-7,M12-1)</f>
        <v>20154</v>
      </c>
      <c r="N11" s="32"/>
      <c r="O11" s="14"/>
      <c r="P11" s="14"/>
      <c r="Q11" s="14"/>
      <c r="R11" s="33" t="e">
        <f>Q11/O11</f>
        <v>#DIV/0!</v>
      </c>
      <c r="S11" s="32"/>
      <c r="T11" s="34"/>
      <c r="U11" s="34"/>
      <c r="V11" s="34"/>
      <c r="W11" s="34"/>
      <c r="X11" s="31">
        <f t="shared" ref="X11:X35" si="2">IF(RIGHT(X12,1)="1",X12-7,X12-1)</f>
        <v>20154</v>
      </c>
      <c r="Y11" s="32"/>
      <c r="Z11" s="14"/>
      <c r="AA11" s="14"/>
      <c r="AB11" s="14"/>
      <c r="AC11" s="33" t="e">
        <f>AB11/Z11</f>
        <v>#DIV/0!</v>
      </c>
      <c r="AD11" s="32"/>
      <c r="AE11" s="34"/>
      <c r="AF11" s="34"/>
      <c r="AG11" s="34"/>
      <c r="AH11" s="34"/>
      <c r="AI11" s="31">
        <f t="shared" ref="AI11:AI35" si="3">IF(RIGHT(AI12,1)="1",AI12-7,AI12-1)</f>
        <v>20154</v>
      </c>
      <c r="AJ11" s="32"/>
      <c r="AK11" s="14"/>
      <c r="AL11" s="14"/>
      <c r="AM11" s="14"/>
      <c r="AN11" s="33" t="e">
        <f>AM11/AK11</f>
        <v>#DIV/0!</v>
      </c>
      <c r="AO11" s="32"/>
      <c r="AP11" s="34"/>
      <c r="AQ11" s="34"/>
      <c r="AR11" s="34"/>
      <c r="AS11" s="34"/>
      <c r="AT11" s="31">
        <f t="shared" ref="AT11:AT35" si="4">IF(RIGHT(AT12,1)="1",AT12-7,AT12-1)</f>
        <v>20154</v>
      </c>
      <c r="AU11" s="32"/>
      <c r="AV11" s="14"/>
      <c r="AW11" s="14"/>
      <c r="AX11" s="14"/>
      <c r="AY11" s="33" t="e">
        <f>AX11/AV11</f>
        <v>#DIV/0!</v>
      </c>
      <c r="AZ11" s="32"/>
      <c r="BA11" s="34"/>
      <c r="BB11" s="34"/>
      <c r="BC11" s="34"/>
      <c r="BD11" s="34"/>
      <c r="BE11" s="31">
        <f t="shared" ref="BE11:BE35" si="5">IF(RIGHT(BE12,1)="1",BE12-7,BE12-1)</f>
        <v>20154</v>
      </c>
      <c r="BF11" s="32"/>
      <c r="BG11" s="14"/>
      <c r="BH11" s="14"/>
      <c r="BI11" s="14"/>
      <c r="BJ11" s="33" t="e">
        <f>BI11/BG11</f>
        <v>#DIV/0!</v>
      </c>
      <c r="BK11" s="32"/>
      <c r="BL11" s="34"/>
      <c r="BM11" s="34"/>
      <c r="BN11" s="34"/>
      <c r="BO11" s="34"/>
      <c r="BP11" s="31">
        <f t="shared" ref="BP11:BP35" si="6">IF(RIGHT(BP12,1)="1",BP12-7,BP12-1)</f>
        <v>20154</v>
      </c>
      <c r="BQ11" s="32"/>
      <c r="BR11" s="14"/>
      <c r="BS11" s="14"/>
      <c r="BT11" s="14"/>
      <c r="BU11" s="33" t="e">
        <f>BT11/BR11</f>
        <v>#DIV/0!</v>
      </c>
      <c r="BV11" s="32"/>
      <c r="BW11" s="34"/>
      <c r="BX11" s="34"/>
      <c r="BY11" s="34"/>
      <c r="BZ11" s="34"/>
      <c r="CA11" s="31">
        <f t="shared" ref="CA11:CA35" si="7">IF(RIGHT(CA12,1)="1",CA12-7,CA12-1)</f>
        <v>20154</v>
      </c>
      <c r="CB11" s="32"/>
      <c r="CC11" s="14"/>
      <c r="CD11" s="14"/>
      <c r="CE11" s="14"/>
      <c r="CF11" s="33" t="e">
        <f>CE11/CC11</f>
        <v>#DIV/0!</v>
      </c>
      <c r="CG11" s="32"/>
      <c r="CH11" s="34"/>
      <c r="CI11" s="34"/>
      <c r="CJ11" s="34"/>
      <c r="CK11" s="34"/>
      <c r="CL11" s="31">
        <f t="shared" ref="CL11:CL35" si="8">IF(RIGHT(CL12,1)="1",CL12-7,CL12-1)</f>
        <v>20154</v>
      </c>
      <c r="CM11" s="32"/>
      <c r="CN11" s="14"/>
      <c r="CO11" s="14"/>
      <c r="CP11" s="14"/>
      <c r="CQ11" s="33" t="e">
        <f>CP11/CN11</f>
        <v>#DIV/0!</v>
      </c>
      <c r="CR11" s="32"/>
      <c r="CS11" s="34"/>
      <c r="CT11" s="34"/>
      <c r="CU11" s="34"/>
      <c r="CV11" s="34"/>
      <c r="CW11" s="31">
        <f t="shared" ref="CW11:CW35" si="9">IF(RIGHT(CW12,1)="1",CW12-7,CW12-1)</f>
        <v>20154</v>
      </c>
      <c r="CX11" s="32"/>
      <c r="CY11" s="14"/>
      <c r="CZ11" s="14"/>
      <c r="DA11" s="14"/>
      <c r="DB11" s="33" t="e">
        <f>DA11/CY11</f>
        <v>#DIV/0!</v>
      </c>
      <c r="DC11" s="32"/>
      <c r="DD11" s="34"/>
      <c r="DE11" s="34"/>
      <c r="DF11" s="34"/>
      <c r="DG11" s="34"/>
    </row>
    <row r="12" spans="1:111" x14ac:dyDescent="0.25">
      <c r="A12" s="25">
        <v>2</v>
      </c>
      <c r="B12" s="31">
        <f t="shared" si="0"/>
        <v>20161</v>
      </c>
      <c r="C12" s="31"/>
      <c r="D12" s="14">
        <v>69739.520000000004</v>
      </c>
      <c r="E12" s="14">
        <v>61707481.489999987</v>
      </c>
      <c r="F12" s="14">
        <v>42300478.539999999</v>
      </c>
      <c r="G12" s="33">
        <f t="shared" ref="G12:G36" si="10">F12/D12</f>
        <v>606.54960831390861</v>
      </c>
      <c r="H12" s="32"/>
      <c r="I12" s="35"/>
      <c r="J12" s="35"/>
      <c r="K12" s="35"/>
      <c r="L12" s="35"/>
      <c r="M12" s="31">
        <f t="shared" si="1"/>
        <v>20161</v>
      </c>
      <c r="N12" s="31"/>
      <c r="O12" s="16"/>
      <c r="P12" s="16"/>
      <c r="Q12" s="16"/>
      <c r="R12" s="33" t="e">
        <f t="shared" ref="R12:R36" si="11">Q12/O12</f>
        <v>#DIV/0!</v>
      </c>
      <c r="S12" s="32"/>
      <c r="T12" s="35"/>
      <c r="U12" s="35"/>
      <c r="V12" s="35"/>
      <c r="W12" s="35"/>
      <c r="X12" s="31">
        <f t="shared" si="2"/>
        <v>20161</v>
      </c>
      <c r="Y12" s="31"/>
      <c r="Z12" s="16"/>
      <c r="AA12" s="16"/>
      <c r="AB12" s="16"/>
      <c r="AC12" s="33" t="e">
        <f t="shared" ref="AC12:AC36" si="12">AB12/Z12</f>
        <v>#DIV/0!</v>
      </c>
      <c r="AD12" s="32"/>
      <c r="AE12" s="35"/>
      <c r="AF12" s="35"/>
      <c r="AG12" s="35"/>
      <c r="AH12" s="35"/>
      <c r="AI12" s="31">
        <f t="shared" si="3"/>
        <v>20161</v>
      </c>
      <c r="AJ12" s="31"/>
      <c r="AK12" s="16"/>
      <c r="AL12" s="16"/>
      <c r="AM12" s="16"/>
      <c r="AN12" s="33" t="e">
        <f t="shared" ref="AN12:AN36" si="13">AM12/AK12</f>
        <v>#DIV/0!</v>
      </c>
      <c r="AO12" s="32"/>
      <c r="AP12" s="35"/>
      <c r="AQ12" s="35"/>
      <c r="AR12" s="35"/>
      <c r="AS12" s="35"/>
      <c r="AT12" s="31">
        <f t="shared" si="4"/>
        <v>20161</v>
      </c>
      <c r="AU12" s="31"/>
      <c r="AV12" s="16"/>
      <c r="AW12" s="16"/>
      <c r="AX12" s="16"/>
      <c r="AY12" s="33" t="e">
        <f t="shared" ref="AY12:AY36" si="14">AX12/AV12</f>
        <v>#DIV/0!</v>
      </c>
      <c r="AZ12" s="32"/>
      <c r="BA12" s="35"/>
      <c r="BB12" s="35"/>
      <c r="BC12" s="35"/>
      <c r="BD12" s="35"/>
      <c r="BE12" s="31">
        <f t="shared" si="5"/>
        <v>20161</v>
      </c>
      <c r="BF12" s="31"/>
      <c r="BG12" s="16"/>
      <c r="BH12" s="16"/>
      <c r="BI12" s="16"/>
      <c r="BJ12" s="33" t="e">
        <f t="shared" ref="BJ12:BJ36" si="15">BI12/BG12</f>
        <v>#DIV/0!</v>
      </c>
      <c r="BK12" s="32"/>
      <c r="BL12" s="35"/>
      <c r="BM12" s="35"/>
      <c r="BN12" s="35"/>
      <c r="BO12" s="35"/>
      <c r="BP12" s="31">
        <f t="shared" si="6"/>
        <v>20161</v>
      </c>
      <c r="BQ12" s="31"/>
      <c r="BR12" s="16"/>
      <c r="BS12" s="16"/>
      <c r="BT12" s="16"/>
      <c r="BU12" s="33" t="e">
        <f t="shared" ref="BU12:BU36" si="16">BT12/BR12</f>
        <v>#DIV/0!</v>
      </c>
      <c r="BV12" s="32"/>
      <c r="BW12" s="35"/>
      <c r="BX12" s="35"/>
      <c r="BY12" s="35"/>
      <c r="BZ12" s="35"/>
      <c r="CA12" s="31">
        <f t="shared" si="7"/>
        <v>20161</v>
      </c>
      <c r="CB12" s="31"/>
      <c r="CC12" s="16"/>
      <c r="CD12" s="16"/>
      <c r="CE12" s="16"/>
      <c r="CF12" s="33" t="e">
        <f t="shared" ref="CF12:CF36" si="17">CE12/CC12</f>
        <v>#DIV/0!</v>
      </c>
      <c r="CG12" s="32"/>
      <c r="CH12" s="35"/>
      <c r="CI12" s="35"/>
      <c r="CJ12" s="35"/>
      <c r="CK12" s="35"/>
      <c r="CL12" s="31">
        <f t="shared" si="8"/>
        <v>20161</v>
      </c>
      <c r="CM12" s="31"/>
      <c r="CN12" s="16"/>
      <c r="CO12" s="16"/>
      <c r="CP12" s="16"/>
      <c r="CQ12" s="33" t="e">
        <f t="shared" ref="CQ12:CQ36" si="18">CP12/CN12</f>
        <v>#DIV/0!</v>
      </c>
      <c r="CR12" s="32"/>
      <c r="CS12" s="35"/>
      <c r="CT12" s="35"/>
      <c r="CU12" s="35"/>
      <c r="CV12" s="35"/>
      <c r="CW12" s="31">
        <f t="shared" si="9"/>
        <v>20161</v>
      </c>
      <c r="CX12" s="31"/>
      <c r="CY12" s="16"/>
      <c r="CZ12" s="16"/>
      <c r="DA12" s="16"/>
      <c r="DB12" s="33" t="e">
        <f t="shared" ref="DB12:DB36" si="19">DA12/CY12</f>
        <v>#DIV/0!</v>
      </c>
      <c r="DC12" s="32"/>
      <c r="DD12" s="35"/>
      <c r="DE12" s="35"/>
      <c r="DF12" s="35"/>
      <c r="DG12" s="35"/>
    </row>
    <row r="13" spans="1:111" x14ac:dyDescent="0.25">
      <c r="A13" s="25">
        <v>3</v>
      </c>
      <c r="B13" s="31">
        <f t="shared" si="0"/>
        <v>20162</v>
      </c>
      <c r="C13" s="31"/>
      <c r="D13" s="14">
        <v>69733.5</v>
      </c>
      <c r="E13" s="14">
        <v>61926331.920000002</v>
      </c>
      <c r="F13" s="14">
        <v>42450500.479999997</v>
      </c>
      <c r="G13" s="33">
        <f t="shared" si="10"/>
        <v>608.75333204270544</v>
      </c>
      <c r="H13" s="32"/>
      <c r="I13" s="35"/>
      <c r="J13" s="35"/>
      <c r="K13" s="35"/>
      <c r="L13" s="35"/>
      <c r="M13" s="31">
        <f t="shared" si="1"/>
        <v>20162</v>
      </c>
      <c r="N13" s="31"/>
      <c r="O13" s="16"/>
      <c r="P13" s="16"/>
      <c r="Q13" s="16"/>
      <c r="R13" s="33" t="e">
        <f t="shared" si="11"/>
        <v>#DIV/0!</v>
      </c>
      <c r="S13" s="32"/>
      <c r="T13" s="35"/>
      <c r="U13" s="35"/>
      <c r="V13" s="35"/>
      <c r="W13" s="35"/>
      <c r="X13" s="31">
        <f t="shared" si="2"/>
        <v>20162</v>
      </c>
      <c r="Y13" s="31"/>
      <c r="Z13" s="16"/>
      <c r="AA13" s="16"/>
      <c r="AB13" s="16"/>
      <c r="AC13" s="33" t="e">
        <f t="shared" si="12"/>
        <v>#DIV/0!</v>
      </c>
      <c r="AD13" s="32"/>
      <c r="AE13" s="35"/>
      <c r="AF13" s="35"/>
      <c r="AG13" s="35"/>
      <c r="AH13" s="35"/>
      <c r="AI13" s="31">
        <f t="shared" si="3"/>
        <v>20162</v>
      </c>
      <c r="AJ13" s="31"/>
      <c r="AK13" s="16"/>
      <c r="AL13" s="16"/>
      <c r="AM13" s="16"/>
      <c r="AN13" s="33" t="e">
        <f t="shared" si="13"/>
        <v>#DIV/0!</v>
      </c>
      <c r="AO13" s="32"/>
      <c r="AP13" s="35"/>
      <c r="AQ13" s="35"/>
      <c r="AR13" s="35"/>
      <c r="AS13" s="35"/>
      <c r="AT13" s="31">
        <f t="shared" si="4"/>
        <v>20162</v>
      </c>
      <c r="AU13" s="31"/>
      <c r="AV13" s="16"/>
      <c r="AW13" s="16"/>
      <c r="AX13" s="16"/>
      <c r="AY13" s="33" t="e">
        <f t="shared" si="14"/>
        <v>#DIV/0!</v>
      </c>
      <c r="AZ13" s="32"/>
      <c r="BA13" s="35"/>
      <c r="BB13" s="35"/>
      <c r="BC13" s="35"/>
      <c r="BD13" s="35"/>
      <c r="BE13" s="31">
        <f t="shared" si="5"/>
        <v>20162</v>
      </c>
      <c r="BF13" s="31"/>
      <c r="BG13" s="16"/>
      <c r="BH13" s="16"/>
      <c r="BI13" s="16"/>
      <c r="BJ13" s="33" t="e">
        <f t="shared" si="15"/>
        <v>#DIV/0!</v>
      </c>
      <c r="BK13" s="32"/>
      <c r="BL13" s="35"/>
      <c r="BM13" s="35"/>
      <c r="BN13" s="35"/>
      <c r="BO13" s="35"/>
      <c r="BP13" s="31">
        <f t="shared" si="6"/>
        <v>20162</v>
      </c>
      <c r="BQ13" s="31"/>
      <c r="BR13" s="16"/>
      <c r="BS13" s="16"/>
      <c r="BT13" s="16"/>
      <c r="BU13" s="33" t="e">
        <f t="shared" si="16"/>
        <v>#DIV/0!</v>
      </c>
      <c r="BV13" s="32"/>
      <c r="BW13" s="35"/>
      <c r="BX13" s="35"/>
      <c r="BY13" s="35"/>
      <c r="BZ13" s="35"/>
      <c r="CA13" s="31">
        <f t="shared" si="7"/>
        <v>20162</v>
      </c>
      <c r="CB13" s="31"/>
      <c r="CC13" s="16"/>
      <c r="CD13" s="16"/>
      <c r="CE13" s="16"/>
      <c r="CF13" s="33" t="e">
        <f t="shared" si="17"/>
        <v>#DIV/0!</v>
      </c>
      <c r="CG13" s="32"/>
      <c r="CH13" s="35"/>
      <c r="CI13" s="35"/>
      <c r="CJ13" s="35"/>
      <c r="CK13" s="35"/>
      <c r="CL13" s="31">
        <f t="shared" si="8"/>
        <v>20162</v>
      </c>
      <c r="CM13" s="31"/>
      <c r="CN13" s="16"/>
      <c r="CO13" s="16"/>
      <c r="CP13" s="16"/>
      <c r="CQ13" s="33" t="e">
        <f t="shared" si="18"/>
        <v>#DIV/0!</v>
      </c>
      <c r="CR13" s="32"/>
      <c r="CS13" s="35"/>
      <c r="CT13" s="35"/>
      <c r="CU13" s="35"/>
      <c r="CV13" s="35"/>
      <c r="CW13" s="31">
        <f t="shared" si="9"/>
        <v>20162</v>
      </c>
      <c r="CX13" s="31"/>
      <c r="CY13" s="16"/>
      <c r="CZ13" s="16"/>
      <c r="DA13" s="16"/>
      <c r="DB13" s="33" t="e">
        <f t="shared" si="19"/>
        <v>#DIV/0!</v>
      </c>
      <c r="DC13" s="32"/>
      <c r="DD13" s="35"/>
      <c r="DE13" s="35"/>
      <c r="DF13" s="35"/>
      <c r="DG13" s="35"/>
    </row>
    <row r="14" spans="1:111" x14ac:dyDescent="0.25">
      <c r="A14" s="25">
        <v>4</v>
      </c>
      <c r="B14" s="31">
        <f t="shared" si="0"/>
        <v>20163</v>
      </c>
      <c r="C14" s="31"/>
      <c r="D14" s="14">
        <v>69570.61</v>
      </c>
      <c r="E14" s="14">
        <v>61904725.57</v>
      </c>
      <c r="F14" s="14">
        <v>42435689.380000003</v>
      </c>
      <c r="G14" s="33">
        <f t="shared" si="10"/>
        <v>609.96575105493548</v>
      </c>
      <c r="H14" s="32"/>
      <c r="I14" s="33">
        <f>IF(COUNT(D11:D14)&lt;4,"",SUM(D11:D14))</f>
        <v>278914.11</v>
      </c>
      <c r="J14" s="33">
        <f>IF(COUNT(D11:D14)&lt;4,"",SUM(E11:E14))</f>
        <v>247022769.48999998</v>
      </c>
      <c r="K14" s="33">
        <f>IF(COUNT(D11:D14)&lt;4,"",SUM(F11:F14))</f>
        <v>169334108.41999999</v>
      </c>
      <c r="L14" s="33">
        <f>IFERROR(K14/I14,0)</f>
        <v>607.11918955982537</v>
      </c>
      <c r="M14" s="31">
        <f t="shared" si="1"/>
        <v>20163</v>
      </c>
      <c r="N14" s="31"/>
      <c r="O14" s="16"/>
      <c r="P14" s="16"/>
      <c r="Q14" s="16"/>
      <c r="R14" s="33" t="e">
        <f t="shared" si="11"/>
        <v>#DIV/0!</v>
      </c>
      <c r="S14" s="32"/>
      <c r="T14" s="33" t="str">
        <f>IF(COUNT(O11:O14)&lt;4,"",SUM(O11:O14))</f>
        <v/>
      </c>
      <c r="U14" s="33" t="str">
        <f>IF(COUNT(O11:O14)&lt;4,"",SUM(P11:P14))</f>
        <v/>
      </c>
      <c r="V14" s="33" t="str">
        <f>IF(COUNT(O11:O14)&lt;4,"",SUM(Q11:Q14))</f>
        <v/>
      </c>
      <c r="W14" s="33">
        <f>IFERROR(V14/T14,0)</f>
        <v>0</v>
      </c>
      <c r="X14" s="31">
        <f t="shared" si="2"/>
        <v>20163</v>
      </c>
      <c r="Y14" s="31"/>
      <c r="Z14" s="16"/>
      <c r="AA14" s="16"/>
      <c r="AB14" s="16"/>
      <c r="AC14" s="33" t="e">
        <f t="shared" si="12"/>
        <v>#DIV/0!</v>
      </c>
      <c r="AD14" s="32"/>
      <c r="AE14" s="33" t="str">
        <f>IF(COUNT(Z11:Z14)&lt;4,"",SUM(Z11:Z14))</f>
        <v/>
      </c>
      <c r="AF14" s="33" t="str">
        <f>IF(COUNT(Z11:Z14)&lt;4,"",SUM(AA11:AA14))</f>
        <v/>
      </c>
      <c r="AG14" s="33" t="str">
        <f>IF(COUNT(Z11:Z14)&lt;4,"",SUM(AB11:AB14))</f>
        <v/>
      </c>
      <c r="AH14" s="33">
        <f>IFERROR(AG14/AE14,0)</f>
        <v>0</v>
      </c>
      <c r="AI14" s="31">
        <f t="shared" si="3"/>
        <v>20163</v>
      </c>
      <c r="AJ14" s="31"/>
      <c r="AK14" s="16"/>
      <c r="AL14" s="16"/>
      <c r="AM14" s="16"/>
      <c r="AN14" s="33" t="e">
        <f t="shared" si="13"/>
        <v>#DIV/0!</v>
      </c>
      <c r="AO14" s="32"/>
      <c r="AP14" s="33" t="str">
        <f>IF(COUNT(AK11:AK14)&lt;4,"",SUM(AK11:AK14))</f>
        <v/>
      </c>
      <c r="AQ14" s="33" t="str">
        <f>IF(COUNT(AK11:AK14)&lt;4,"",SUM(AL11:AL14))</f>
        <v/>
      </c>
      <c r="AR14" s="33" t="str">
        <f>IF(COUNT(AK11:AK14)&lt;4,"",SUM(AM11:AM14))</f>
        <v/>
      </c>
      <c r="AS14" s="33">
        <f>IFERROR(AR14/AP14,0)</f>
        <v>0</v>
      </c>
      <c r="AT14" s="31">
        <f t="shared" si="4"/>
        <v>20163</v>
      </c>
      <c r="AU14" s="31"/>
      <c r="AV14" s="16"/>
      <c r="AW14" s="16"/>
      <c r="AX14" s="16"/>
      <c r="AY14" s="33" t="e">
        <f t="shared" si="14"/>
        <v>#DIV/0!</v>
      </c>
      <c r="AZ14" s="32"/>
      <c r="BA14" s="33" t="str">
        <f>IF(COUNT(AV11:AV14)&lt;4,"",SUM(AV11:AV14))</f>
        <v/>
      </c>
      <c r="BB14" s="33" t="str">
        <f>IF(COUNT(AV11:AV14)&lt;4,"",SUM(AW11:AW14))</f>
        <v/>
      </c>
      <c r="BC14" s="33" t="str">
        <f>IF(COUNT(AV11:AV14)&lt;4,"",SUM(AX11:AX14))</f>
        <v/>
      </c>
      <c r="BD14" s="33">
        <f>IFERROR(BC14/BA14,0)</f>
        <v>0</v>
      </c>
      <c r="BE14" s="31">
        <f t="shared" si="5"/>
        <v>20163</v>
      </c>
      <c r="BF14" s="31"/>
      <c r="BG14" s="16"/>
      <c r="BH14" s="16"/>
      <c r="BI14" s="16"/>
      <c r="BJ14" s="33" t="e">
        <f t="shared" si="15"/>
        <v>#DIV/0!</v>
      </c>
      <c r="BK14" s="32"/>
      <c r="BL14" s="33" t="str">
        <f>IF(COUNT(BG11:BG14)&lt;4,"",SUM(BG11:BG14))</f>
        <v/>
      </c>
      <c r="BM14" s="33" t="str">
        <f>IF(COUNT(BG11:BG14)&lt;4,"",SUM(BH11:BH14))</f>
        <v/>
      </c>
      <c r="BN14" s="33" t="str">
        <f>IF(COUNT(BG11:BG14)&lt;4,"",SUM(BI11:BI14))</f>
        <v/>
      </c>
      <c r="BO14" s="33">
        <f>IFERROR(BN14/BL14,0)</f>
        <v>0</v>
      </c>
      <c r="BP14" s="31">
        <f t="shared" si="6"/>
        <v>20163</v>
      </c>
      <c r="BQ14" s="31"/>
      <c r="BR14" s="16"/>
      <c r="BS14" s="16"/>
      <c r="BT14" s="16"/>
      <c r="BU14" s="33" t="e">
        <f t="shared" si="16"/>
        <v>#DIV/0!</v>
      </c>
      <c r="BV14" s="32"/>
      <c r="BW14" s="33" t="str">
        <f>IF(COUNT(BR11:BR14)&lt;4,"",SUM(BR11:BR14))</f>
        <v/>
      </c>
      <c r="BX14" s="33" t="str">
        <f>IF(COUNT(BR11:BR14)&lt;4,"",SUM(BS11:BS14))</f>
        <v/>
      </c>
      <c r="BY14" s="33" t="str">
        <f>IF(COUNT(BR11:BR14)&lt;4,"",SUM(BT11:BT14))</f>
        <v/>
      </c>
      <c r="BZ14" s="33">
        <f>IFERROR(BY14/BW14,0)</f>
        <v>0</v>
      </c>
      <c r="CA14" s="31">
        <f t="shared" si="7"/>
        <v>20163</v>
      </c>
      <c r="CB14" s="31"/>
      <c r="CC14" s="16"/>
      <c r="CD14" s="16"/>
      <c r="CE14" s="16"/>
      <c r="CF14" s="33" t="e">
        <f t="shared" si="17"/>
        <v>#DIV/0!</v>
      </c>
      <c r="CG14" s="32"/>
      <c r="CH14" s="33" t="str">
        <f>IF(COUNT(CC11:CC14)&lt;4,"",SUM(CC11:CC14))</f>
        <v/>
      </c>
      <c r="CI14" s="33" t="str">
        <f>IF(COUNT(CC11:CC14)&lt;4,"",SUM(CD11:CD14))</f>
        <v/>
      </c>
      <c r="CJ14" s="33" t="str">
        <f>IF(COUNT(CC11:CC14)&lt;4,"",SUM(CE11:CE14))</f>
        <v/>
      </c>
      <c r="CK14" s="33">
        <f>IFERROR(CJ14/CH14,0)</f>
        <v>0</v>
      </c>
      <c r="CL14" s="31">
        <f t="shared" si="8"/>
        <v>20163</v>
      </c>
      <c r="CM14" s="31"/>
      <c r="CN14" s="16"/>
      <c r="CO14" s="16"/>
      <c r="CP14" s="16"/>
      <c r="CQ14" s="33" t="e">
        <f t="shared" si="18"/>
        <v>#DIV/0!</v>
      </c>
      <c r="CR14" s="32"/>
      <c r="CS14" s="33" t="str">
        <f>IF(COUNT(CN11:CN14)&lt;4,"",SUM(CN11:CN14))</f>
        <v/>
      </c>
      <c r="CT14" s="33" t="str">
        <f>IF(COUNT(CN11:CN14)&lt;4,"",SUM(CO11:CO14))</f>
        <v/>
      </c>
      <c r="CU14" s="33" t="str">
        <f>IF(COUNT(CN11:CN14)&lt;4,"",SUM(CP11:CP14))</f>
        <v/>
      </c>
      <c r="CV14" s="33">
        <f>IFERROR(CU14/CS14,0)</f>
        <v>0</v>
      </c>
      <c r="CW14" s="31">
        <f t="shared" si="9"/>
        <v>20163</v>
      </c>
      <c r="CX14" s="31"/>
      <c r="CY14" s="16"/>
      <c r="CZ14" s="16"/>
      <c r="DA14" s="16"/>
      <c r="DB14" s="33" t="e">
        <f t="shared" si="19"/>
        <v>#DIV/0!</v>
      </c>
      <c r="DC14" s="32"/>
      <c r="DD14" s="33" t="str">
        <f>IF(COUNT(CY11:CY14)&lt;4,"",SUM(CY11:CY14))</f>
        <v/>
      </c>
      <c r="DE14" s="33" t="str">
        <f>IF(COUNT(CY11:CY14)&lt;4,"",SUM(CZ11:CZ14))</f>
        <v/>
      </c>
      <c r="DF14" s="33" t="str">
        <f>IF(COUNT(CY11:CY14)&lt;4,"",SUM(DA11:DA14))</f>
        <v/>
      </c>
      <c r="DG14" s="33">
        <f>IFERROR(DF14/DD14,0)</f>
        <v>0</v>
      </c>
    </row>
    <row r="15" spans="1:111" x14ac:dyDescent="0.25">
      <c r="A15" s="25">
        <v>5</v>
      </c>
      <c r="B15" s="31">
        <f t="shared" si="0"/>
        <v>20164</v>
      </c>
      <c r="C15" s="31"/>
      <c r="D15" s="14">
        <v>69380.759999999995</v>
      </c>
      <c r="E15" s="14">
        <v>61967662.25</v>
      </c>
      <c r="F15" s="14">
        <v>42478832.43</v>
      </c>
      <c r="G15" s="33">
        <f t="shared" si="10"/>
        <v>612.25666063617643</v>
      </c>
      <c r="H15" s="32"/>
      <c r="I15" s="33">
        <f t="shared" ref="I15:I37" si="20">IF(COUNT(D12:D15)&lt;4,"",SUM(D12:D15))</f>
        <v>278424.39</v>
      </c>
      <c r="J15" s="33">
        <f t="shared" ref="J15:J37" si="21">IF(COUNT(D12:D15)&lt;4,"",SUM(E12:E15))</f>
        <v>247506201.22999999</v>
      </c>
      <c r="K15" s="33">
        <f t="shared" ref="K15:K37" si="22">IF(COUNT(D12:D15)&lt;4,"",SUM(F12:F15))</f>
        <v>169665500.83000001</v>
      </c>
      <c r="L15" s="33">
        <f t="shared" ref="L15:L37" si="23">IFERROR(K15/I15,0)</f>
        <v>609.37729208996382</v>
      </c>
      <c r="M15" s="31">
        <f t="shared" si="1"/>
        <v>20164</v>
      </c>
      <c r="N15" s="31"/>
      <c r="O15" s="16"/>
      <c r="P15" s="16"/>
      <c r="Q15" s="16"/>
      <c r="R15" s="33" t="e">
        <f t="shared" si="11"/>
        <v>#DIV/0!</v>
      </c>
      <c r="S15" s="32"/>
      <c r="T15" s="33" t="str">
        <f t="shared" ref="T15:T37" si="24">IF(COUNT(O12:O15)&lt;4,"",SUM(O12:O15))</f>
        <v/>
      </c>
      <c r="U15" s="33" t="str">
        <f t="shared" ref="U15:U37" si="25">IF(COUNT(O12:O15)&lt;4,"",SUM(P12:P15))</f>
        <v/>
      </c>
      <c r="V15" s="33" t="str">
        <f t="shared" ref="V15:V37" si="26">IF(COUNT(O12:O15)&lt;4,"",SUM(Q12:Q15))</f>
        <v/>
      </c>
      <c r="W15" s="33">
        <f t="shared" ref="W15:W37" si="27">IFERROR(V15/T15,0)</f>
        <v>0</v>
      </c>
      <c r="X15" s="31">
        <f t="shared" si="2"/>
        <v>20164</v>
      </c>
      <c r="Y15" s="31"/>
      <c r="Z15" s="16"/>
      <c r="AA15" s="16"/>
      <c r="AB15" s="16"/>
      <c r="AC15" s="33" t="e">
        <f t="shared" si="12"/>
        <v>#DIV/0!</v>
      </c>
      <c r="AD15" s="32"/>
      <c r="AE15" s="33" t="str">
        <f t="shared" ref="AE15:AE37" si="28">IF(COUNT(Z12:Z15)&lt;4,"",SUM(Z12:Z15))</f>
        <v/>
      </c>
      <c r="AF15" s="33" t="str">
        <f t="shared" ref="AF15:AF37" si="29">IF(COUNT(Z12:Z15)&lt;4,"",SUM(AA12:AA15))</f>
        <v/>
      </c>
      <c r="AG15" s="33" t="str">
        <f t="shared" ref="AG15:AG37" si="30">IF(COUNT(Z12:Z15)&lt;4,"",SUM(AB12:AB15))</f>
        <v/>
      </c>
      <c r="AH15" s="33">
        <f t="shared" ref="AH15:AH37" si="31">IFERROR(AG15/AE15,0)</f>
        <v>0</v>
      </c>
      <c r="AI15" s="31">
        <f t="shared" si="3"/>
        <v>20164</v>
      </c>
      <c r="AJ15" s="31"/>
      <c r="AK15" s="16"/>
      <c r="AL15" s="16"/>
      <c r="AM15" s="16"/>
      <c r="AN15" s="33" t="e">
        <f t="shared" si="13"/>
        <v>#DIV/0!</v>
      </c>
      <c r="AO15" s="32"/>
      <c r="AP15" s="33" t="str">
        <f t="shared" ref="AP15:AP37" si="32">IF(COUNT(AK12:AK15)&lt;4,"",SUM(AK12:AK15))</f>
        <v/>
      </c>
      <c r="AQ15" s="33" t="str">
        <f t="shared" ref="AQ15:AQ37" si="33">IF(COUNT(AK12:AK15)&lt;4,"",SUM(AL12:AL15))</f>
        <v/>
      </c>
      <c r="AR15" s="33" t="str">
        <f t="shared" ref="AR15:AR37" si="34">IF(COUNT(AK12:AK15)&lt;4,"",SUM(AM12:AM15))</f>
        <v/>
      </c>
      <c r="AS15" s="33">
        <f t="shared" ref="AS15:AS37" si="35">IFERROR(AR15/AP15,0)</f>
        <v>0</v>
      </c>
      <c r="AT15" s="31">
        <f t="shared" si="4"/>
        <v>20164</v>
      </c>
      <c r="AU15" s="31"/>
      <c r="AV15" s="16"/>
      <c r="AW15" s="16"/>
      <c r="AX15" s="16"/>
      <c r="AY15" s="33" t="e">
        <f t="shared" si="14"/>
        <v>#DIV/0!</v>
      </c>
      <c r="AZ15" s="32"/>
      <c r="BA15" s="33" t="str">
        <f t="shared" ref="BA15:BA37" si="36">IF(COUNT(AV12:AV15)&lt;4,"",SUM(AV12:AV15))</f>
        <v/>
      </c>
      <c r="BB15" s="33" t="str">
        <f t="shared" ref="BB15:BB37" si="37">IF(COUNT(AV12:AV15)&lt;4,"",SUM(AW12:AW15))</f>
        <v/>
      </c>
      <c r="BC15" s="33" t="str">
        <f t="shared" ref="BC15:BC37" si="38">IF(COUNT(AV12:AV15)&lt;4,"",SUM(AX12:AX15))</f>
        <v/>
      </c>
      <c r="BD15" s="33">
        <f t="shared" ref="BD15:BD37" si="39">IFERROR(BC15/BA15,0)</f>
        <v>0</v>
      </c>
      <c r="BE15" s="31">
        <f t="shared" si="5"/>
        <v>20164</v>
      </c>
      <c r="BF15" s="31"/>
      <c r="BG15" s="16"/>
      <c r="BH15" s="16"/>
      <c r="BI15" s="16"/>
      <c r="BJ15" s="33" t="e">
        <f t="shared" si="15"/>
        <v>#DIV/0!</v>
      </c>
      <c r="BK15" s="32"/>
      <c r="BL15" s="33" t="str">
        <f t="shared" ref="BL15:BL37" si="40">IF(COUNT(BG12:BG15)&lt;4,"",SUM(BG12:BG15))</f>
        <v/>
      </c>
      <c r="BM15" s="33" t="str">
        <f t="shared" ref="BM15:BM37" si="41">IF(COUNT(BG12:BG15)&lt;4,"",SUM(BH12:BH15))</f>
        <v/>
      </c>
      <c r="BN15" s="33" t="str">
        <f t="shared" ref="BN15:BN37" si="42">IF(COUNT(BG12:BG15)&lt;4,"",SUM(BI12:BI15))</f>
        <v/>
      </c>
      <c r="BO15" s="33">
        <f t="shared" ref="BO15:BO37" si="43">IFERROR(BN15/BL15,0)</f>
        <v>0</v>
      </c>
      <c r="BP15" s="31">
        <f t="shared" si="6"/>
        <v>20164</v>
      </c>
      <c r="BQ15" s="31"/>
      <c r="BR15" s="16"/>
      <c r="BS15" s="16"/>
      <c r="BT15" s="16"/>
      <c r="BU15" s="33" t="e">
        <f t="shared" si="16"/>
        <v>#DIV/0!</v>
      </c>
      <c r="BV15" s="32"/>
      <c r="BW15" s="33" t="str">
        <f t="shared" ref="BW15:BW37" si="44">IF(COUNT(BR12:BR15)&lt;4,"",SUM(BR12:BR15))</f>
        <v/>
      </c>
      <c r="BX15" s="33" t="str">
        <f t="shared" ref="BX15:BX37" si="45">IF(COUNT(BR12:BR15)&lt;4,"",SUM(BS12:BS15))</f>
        <v/>
      </c>
      <c r="BY15" s="33" t="str">
        <f t="shared" ref="BY15:BY37" si="46">IF(COUNT(BR12:BR15)&lt;4,"",SUM(BT12:BT15))</f>
        <v/>
      </c>
      <c r="BZ15" s="33">
        <f t="shared" ref="BZ15:BZ37" si="47">IFERROR(BY15/BW15,0)</f>
        <v>0</v>
      </c>
      <c r="CA15" s="31">
        <f t="shared" si="7"/>
        <v>20164</v>
      </c>
      <c r="CB15" s="31"/>
      <c r="CC15" s="16"/>
      <c r="CD15" s="16"/>
      <c r="CE15" s="16"/>
      <c r="CF15" s="33" t="e">
        <f t="shared" si="17"/>
        <v>#DIV/0!</v>
      </c>
      <c r="CG15" s="32"/>
      <c r="CH15" s="33" t="str">
        <f t="shared" ref="CH15:CH37" si="48">IF(COUNT(CC12:CC15)&lt;4,"",SUM(CC12:CC15))</f>
        <v/>
      </c>
      <c r="CI15" s="33" t="str">
        <f t="shared" ref="CI15:CI37" si="49">IF(COUNT(CC12:CC15)&lt;4,"",SUM(CD12:CD15))</f>
        <v/>
      </c>
      <c r="CJ15" s="33" t="str">
        <f t="shared" ref="CJ15:CJ37" si="50">IF(COUNT(CC12:CC15)&lt;4,"",SUM(CE12:CE15))</f>
        <v/>
      </c>
      <c r="CK15" s="33">
        <f t="shared" ref="CK15:CK37" si="51">IFERROR(CJ15/CH15,0)</f>
        <v>0</v>
      </c>
      <c r="CL15" s="31">
        <f t="shared" si="8"/>
        <v>20164</v>
      </c>
      <c r="CM15" s="31"/>
      <c r="CN15" s="16"/>
      <c r="CO15" s="16"/>
      <c r="CP15" s="16"/>
      <c r="CQ15" s="33" t="e">
        <f t="shared" si="18"/>
        <v>#DIV/0!</v>
      </c>
      <c r="CR15" s="32"/>
      <c r="CS15" s="33" t="str">
        <f t="shared" ref="CS15:CS37" si="52">IF(COUNT(CN12:CN15)&lt;4,"",SUM(CN12:CN15))</f>
        <v/>
      </c>
      <c r="CT15" s="33" t="str">
        <f t="shared" ref="CT15:CT37" si="53">IF(COUNT(CN12:CN15)&lt;4,"",SUM(CO12:CO15))</f>
        <v/>
      </c>
      <c r="CU15" s="33" t="str">
        <f t="shared" ref="CU15:CU37" si="54">IF(COUNT(CN12:CN15)&lt;4,"",SUM(CP12:CP15))</f>
        <v/>
      </c>
      <c r="CV15" s="33">
        <f t="shared" ref="CV15:CV37" si="55">IFERROR(CU15/CS15,0)</f>
        <v>0</v>
      </c>
      <c r="CW15" s="31">
        <f t="shared" si="9"/>
        <v>20164</v>
      </c>
      <c r="CX15" s="31"/>
      <c r="CY15" s="16"/>
      <c r="CZ15" s="16"/>
      <c r="DA15" s="16"/>
      <c r="DB15" s="33" t="e">
        <f t="shared" si="19"/>
        <v>#DIV/0!</v>
      </c>
      <c r="DC15" s="32"/>
      <c r="DD15" s="33" t="str">
        <f t="shared" ref="DD15:DD37" si="56">IF(COUNT(CY12:CY15)&lt;4,"",SUM(CY12:CY15))</f>
        <v/>
      </c>
      <c r="DE15" s="33" t="str">
        <f t="shared" ref="DE15:DE37" si="57">IF(COUNT(CY12:CY15)&lt;4,"",SUM(CZ12:CZ15))</f>
        <v/>
      </c>
      <c r="DF15" s="33" t="str">
        <f t="shared" ref="DF15:DF37" si="58">IF(COUNT(CY12:CY15)&lt;4,"",SUM(DA12:DA15))</f>
        <v/>
      </c>
      <c r="DG15" s="33">
        <f t="shared" ref="DG15:DG37" si="59">IFERROR(DF15/DD15,0)</f>
        <v>0</v>
      </c>
    </row>
    <row r="16" spans="1:111" x14ac:dyDescent="0.25">
      <c r="A16" s="25">
        <v>6</v>
      </c>
      <c r="B16" s="31">
        <f t="shared" si="0"/>
        <v>20171</v>
      </c>
      <c r="C16" s="31"/>
      <c r="D16" s="14">
        <v>69155.25</v>
      </c>
      <c r="E16" s="14">
        <v>60696195.060000002</v>
      </c>
      <c r="F16" s="14">
        <v>42511966</v>
      </c>
      <c r="G16" s="33">
        <f t="shared" si="10"/>
        <v>614.73230159676962</v>
      </c>
      <c r="H16" s="32"/>
      <c r="I16" s="33">
        <f t="shared" si="20"/>
        <v>277840.12</v>
      </c>
      <c r="J16" s="33">
        <f t="shared" si="21"/>
        <v>246494914.80000001</v>
      </c>
      <c r="K16" s="33">
        <f t="shared" si="22"/>
        <v>169876988.28999999</v>
      </c>
      <c r="L16" s="33">
        <f t="shared" si="23"/>
        <v>611.41993564500331</v>
      </c>
      <c r="M16" s="31">
        <f t="shared" si="1"/>
        <v>20171</v>
      </c>
      <c r="N16" s="31"/>
      <c r="O16" s="16"/>
      <c r="P16" s="16"/>
      <c r="Q16" s="16"/>
      <c r="R16" s="33" t="e">
        <f t="shared" si="11"/>
        <v>#DIV/0!</v>
      </c>
      <c r="S16" s="32"/>
      <c r="T16" s="33" t="str">
        <f t="shared" si="24"/>
        <v/>
      </c>
      <c r="U16" s="33" t="str">
        <f t="shared" si="25"/>
        <v/>
      </c>
      <c r="V16" s="33" t="str">
        <f t="shared" si="26"/>
        <v/>
      </c>
      <c r="W16" s="33">
        <f t="shared" si="27"/>
        <v>0</v>
      </c>
      <c r="X16" s="31">
        <f t="shared" si="2"/>
        <v>20171</v>
      </c>
      <c r="Y16" s="31"/>
      <c r="Z16" s="16"/>
      <c r="AA16" s="16"/>
      <c r="AB16" s="16"/>
      <c r="AC16" s="33" t="e">
        <f t="shared" si="12"/>
        <v>#DIV/0!</v>
      </c>
      <c r="AD16" s="32"/>
      <c r="AE16" s="33" t="str">
        <f t="shared" si="28"/>
        <v/>
      </c>
      <c r="AF16" s="33" t="str">
        <f t="shared" si="29"/>
        <v/>
      </c>
      <c r="AG16" s="33" t="str">
        <f t="shared" si="30"/>
        <v/>
      </c>
      <c r="AH16" s="33">
        <f t="shared" si="31"/>
        <v>0</v>
      </c>
      <c r="AI16" s="31">
        <f t="shared" si="3"/>
        <v>20171</v>
      </c>
      <c r="AJ16" s="31"/>
      <c r="AK16" s="16"/>
      <c r="AL16" s="16"/>
      <c r="AM16" s="16"/>
      <c r="AN16" s="33" t="e">
        <f t="shared" si="13"/>
        <v>#DIV/0!</v>
      </c>
      <c r="AO16" s="32"/>
      <c r="AP16" s="33" t="str">
        <f t="shared" si="32"/>
        <v/>
      </c>
      <c r="AQ16" s="33" t="str">
        <f t="shared" si="33"/>
        <v/>
      </c>
      <c r="AR16" s="33" t="str">
        <f t="shared" si="34"/>
        <v/>
      </c>
      <c r="AS16" s="33">
        <f t="shared" si="35"/>
        <v>0</v>
      </c>
      <c r="AT16" s="31">
        <f t="shared" si="4"/>
        <v>20171</v>
      </c>
      <c r="AU16" s="31"/>
      <c r="AV16" s="16"/>
      <c r="AW16" s="16"/>
      <c r="AX16" s="16"/>
      <c r="AY16" s="33" t="e">
        <f t="shared" si="14"/>
        <v>#DIV/0!</v>
      </c>
      <c r="AZ16" s="32"/>
      <c r="BA16" s="33" t="str">
        <f t="shared" si="36"/>
        <v/>
      </c>
      <c r="BB16" s="33" t="str">
        <f t="shared" si="37"/>
        <v/>
      </c>
      <c r="BC16" s="33" t="str">
        <f t="shared" si="38"/>
        <v/>
      </c>
      <c r="BD16" s="33">
        <f t="shared" si="39"/>
        <v>0</v>
      </c>
      <c r="BE16" s="31">
        <f t="shared" si="5"/>
        <v>20171</v>
      </c>
      <c r="BF16" s="31"/>
      <c r="BG16" s="16"/>
      <c r="BH16" s="16"/>
      <c r="BI16" s="16"/>
      <c r="BJ16" s="33" t="e">
        <f t="shared" si="15"/>
        <v>#DIV/0!</v>
      </c>
      <c r="BK16" s="32"/>
      <c r="BL16" s="33" t="str">
        <f t="shared" si="40"/>
        <v/>
      </c>
      <c r="BM16" s="33" t="str">
        <f t="shared" si="41"/>
        <v/>
      </c>
      <c r="BN16" s="33" t="str">
        <f t="shared" si="42"/>
        <v/>
      </c>
      <c r="BO16" s="33">
        <f t="shared" si="43"/>
        <v>0</v>
      </c>
      <c r="BP16" s="31">
        <f t="shared" si="6"/>
        <v>20171</v>
      </c>
      <c r="BQ16" s="31"/>
      <c r="BR16" s="16"/>
      <c r="BS16" s="16"/>
      <c r="BT16" s="16"/>
      <c r="BU16" s="33" t="e">
        <f t="shared" si="16"/>
        <v>#DIV/0!</v>
      </c>
      <c r="BV16" s="32"/>
      <c r="BW16" s="33" t="str">
        <f t="shared" si="44"/>
        <v/>
      </c>
      <c r="BX16" s="33" t="str">
        <f t="shared" si="45"/>
        <v/>
      </c>
      <c r="BY16" s="33" t="str">
        <f t="shared" si="46"/>
        <v/>
      </c>
      <c r="BZ16" s="33">
        <f t="shared" si="47"/>
        <v>0</v>
      </c>
      <c r="CA16" s="31">
        <f t="shared" si="7"/>
        <v>20171</v>
      </c>
      <c r="CB16" s="31"/>
      <c r="CC16" s="16"/>
      <c r="CD16" s="16"/>
      <c r="CE16" s="16"/>
      <c r="CF16" s="33" t="e">
        <f t="shared" si="17"/>
        <v>#DIV/0!</v>
      </c>
      <c r="CG16" s="32"/>
      <c r="CH16" s="33" t="str">
        <f t="shared" si="48"/>
        <v/>
      </c>
      <c r="CI16" s="33" t="str">
        <f t="shared" si="49"/>
        <v/>
      </c>
      <c r="CJ16" s="33" t="str">
        <f t="shared" si="50"/>
        <v/>
      </c>
      <c r="CK16" s="33">
        <f t="shared" si="51"/>
        <v>0</v>
      </c>
      <c r="CL16" s="31">
        <f t="shared" si="8"/>
        <v>20171</v>
      </c>
      <c r="CM16" s="31"/>
      <c r="CN16" s="16"/>
      <c r="CO16" s="16"/>
      <c r="CP16" s="16"/>
      <c r="CQ16" s="33" t="e">
        <f t="shared" si="18"/>
        <v>#DIV/0!</v>
      </c>
      <c r="CR16" s="32"/>
      <c r="CS16" s="33" t="str">
        <f t="shared" si="52"/>
        <v/>
      </c>
      <c r="CT16" s="33" t="str">
        <f t="shared" si="53"/>
        <v/>
      </c>
      <c r="CU16" s="33" t="str">
        <f t="shared" si="54"/>
        <v/>
      </c>
      <c r="CV16" s="33">
        <f t="shared" si="55"/>
        <v>0</v>
      </c>
      <c r="CW16" s="31">
        <f t="shared" si="9"/>
        <v>20171</v>
      </c>
      <c r="CX16" s="31"/>
      <c r="CY16" s="16"/>
      <c r="CZ16" s="16"/>
      <c r="DA16" s="16"/>
      <c r="DB16" s="33" t="e">
        <f t="shared" si="19"/>
        <v>#DIV/0!</v>
      </c>
      <c r="DC16" s="32"/>
      <c r="DD16" s="33" t="str">
        <f t="shared" si="56"/>
        <v/>
      </c>
      <c r="DE16" s="33" t="str">
        <f t="shared" si="57"/>
        <v/>
      </c>
      <c r="DF16" s="33" t="str">
        <f t="shared" si="58"/>
        <v/>
      </c>
      <c r="DG16" s="33">
        <f t="shared" si="59"/>
        <v>0</v>
      </c>
    </row>
    <row r="17" spans="1:111" x14ac:dyDescent="0.25">
      <c r="A17" s="25">
        <v>7</v>
      </c>
      <c r="B17" s="31">
        <f t="shared" si="0"/>
        <v>20172</v>
      </c>
      <c r="C17" s="31"/>
      <c r="D17" s="14">
        <v>69794.97</v>
      </c>
      <c r="E17" s="14">
        <v>54995467.82</v>
      </c>
      <c r="F17" s="14">
        <v>42793624.75</v>
      </c>
      <c r="G17" s="33">
        <f t="shared" si="10"/>
        <v>613.13336405187943</v>
      </c>
      <c r="H17" s="32"/>
      <c r="I17" s="33">
        <f t="shared" si="20"/>
        <v>277901.58999999997</v>
      </c>
      <c r="J17" s="33">
        <f t="shared" si="21"/>
        <v>239564050.69999999</v>
      </c>
      <c r="K17" s="33">
        <f t="shared" si="22"/>
        <v>170220112.56</v>
      </c>
      <c r="L17" s="33">
        <f t="shared" si="23"/>
        <v>612.51939062313397</v>
      </c>
      <c r="M17" s="31">
        <f t="shared" si="1"/>
        <v>20172</v>
      </c>
      <c r="N17" s="31"/>
      <c r="O17" s="16"/>
      <c r="P17" s="16"/>
      <c r="Q17" s="16"/>
      <c r="R17" s="33" t="e">
        <f t="shared" si="11"/>
        <v>#DIV/0!</v>
      </c>
      <c r="S17" s="32"/>
      <c r="T17" s="33" t="str">
        <f t="shared" si="24"/>
        <v/>
      </c>
      <c r="U17" s="33" t="str">
        <f t="shared" si="25"/>
        <v/>
      </c>
      <c r="V17" s="33" t="str">
        <f t="shared" si="26"/>
        <v/>
      </c>
      <c r="W17" s="33">
        <f t="shared" si="27"/>
        <v>0</v>
      </c>
      <c r="X17" s="31">
        <f t="shared" si="2"/>
        <v>20172</v>
      </c>
      <c r="Y17" s="31"/>
      <c r="Z17" s="16"/>
      <c r="AA17" s="16"/>
      <c r="AB17" s="16"/>
      <c r="AC17" s="33" t="e">
        <f t="shared" si="12"/>
        <v>#DIV/0!</v>
      </c>
      <c r="AD17" s="32"/>
      <c r="AE17" s="33" t="str">
        <f t="shared" si="28"/>
        <v/>
      </c>
      <c r="AF17" s="33" t="str">
        <f t="shared" si="29"/>
        <v/>
      </c>
      <c r="AG17" s="33" t="str">
        <f t="shared" si="30"/>
        <v/>
      </c>
      <c r="AH17" s="33">
        <f t="shared" si="31"/>
        <v>0</v>
      </c>
      <c r="AI17" s="31">
        <f t="shared" si="3"/>
        <v>20172</v>
      </c>
      <c r="AJ17" s="31"/>
      <c r="AK17" s="16"/>
      <c r="AL17" s="16"/>
      <c r="AM17" s="16"/>
      <c r="AN17" s="33" t="e">
        <f t="shared" si="13"/>
        <v>#DIV/0!</v>
      </c>
      <c r="AO17" s="32"/>
      <c r="AP17" s="33" t="str">
        <f t="shared" si="32"/>
        <v/>
      </c>
      <c r="AQ17" s="33" t="str">
        <f t="shared" si="33"/>
        <v/>
      </c>
      <c r="AR17" s="33" t="str">
        <f t="shared" si="34"/>
        <v/>
      </c>
      <c r="AS17" s="33">
        <f t="shared" si="35"/>
        <v>0</v>
      </c>
      <c r="AT17" s="31">
        <f t="shared" si="4"/>
        <v>20172</v>
      </c>
      <c r="AU17" s="31"/>
      <c r="AV17" s="16"/>
      <c r="AW17" s="16"/>
      <c r="AX17" s="16"/>
      <c r="AY17" s="33" t="e">
        <f t="shared" si="14"/>
        <v>#DIV/0!</v>
      </c>
      <c r="AZ17" s="32"/>
      <c r="BA17" s="33" t="str">
        <f t="shared" si="36"/>
        <v/>
      </c>
      <c r="BB17" s="33" t="str">
        <f t="shared" si="37"/>
        <v/>
      </c>
      <c r="BC17" s="33" t="str">
        <f t="shared" si="38"/>
        <v/>
      </c>
      <c r="BD17" s="33">
        <f t="shared" si="39"/>
        <v>0</v>
      </c>
      <c r="BE17" s="31">
        <f t="shared" si="5"/>
        <v>20172</v>
      </c>
      <c r="BF17" s="31"/>
      <c r="BG17" s="16"/>
      <c r="BH17" s="16"/>
      <c r="BI17" s="16"/>
      <c r="BJ17" s="33" t="e">
        <f t="shared" si="15"/>
        <v>#DIV/0!</v>
      </c>
      <c r="BK17" s="32"/>
      <c r="BL17" s="33" t="str">
        <f t="shared" si="40"/>
        <v/>
      </c>
      <c r="BM17" s="33" t="str">
        <f t="shared" si="41"/>
        <v/>
      </c>
      <c r="BN17" s="33" t="str">
        <f t="shared" si="42"/>
        <v/>
      </c>
      <c r="BO17" s="33">
        <f t="shared" si="43"/>
        <v>0</v>
      </c>
      <c r="BP17" s="31">
        <f t="shared" si="6"/>
        <v>20172</v>
      </c>
      <c r="BQ17" s="31"/>
      <c r="BR17" s="16"/>
      <c r="BS17" s="16"/>
      <c r="BT17" s="16"/>
      <c r="BU17" s="33" t="e">
        <f t="shared" si="16"/>
        <v>#DIV/0!</v>
      </c>
      <c r="BV17" s="32"/>
      <c r="BW17" s="33" t="str">
        <f t="shared" si="44"/>
        <v/>
      </c>
      <c r="BX17" s="33" t="str">
        <f t="shared" si="45"/>
        <v/>
      </c>
      <c r="BY17" s="33" t="str">
        <f t="shared" si="46"/>
        <v/>
      </c>
      <c r="BZ17" s="33">
        <f t="shared" si="47"/>
        <v>0</v>
      </c>
      <c r="CA17" s="31">
        <f t="shared" si="7"/>
        <v>20172</v>
      </c>
      <c r="CB17" s="31"/>
      <c r="CC17" s="16"/>
      <c r="CD17" s="16"/>
      <c r="CE17" s="16"/>
      <c r="CF17" s="33" t="e">
        <f t="shared" si="17"/>
        <v>#DIV/0!</v>
      </c>
      <c r="CG17" s="32"/>
      <c r="CH17" s="33" t="str">
        <f t="shared" si="48"/>
        <v/>
      </c>
      <c r="CI17" s="33" t="str">
        <f t="shared" si="49"/>
        <v/>
      </c>
      <c r="CJ17" s="33" t="str">
        <f t="shared" si="50"/>
        <v/>
      </c>
      <c r="CK17" s="33">
        <f t="shared" si="51"/>
        <v>0</v>
      </c>
      <c r="CL17" s="31">
        <f t="shared" si="8"/>
        <v>20172</v>
      </c>
      <c r="CM17" s="31"/>
      <c r="CN17" s="16"/>
      <c r="CO17" s="16"/>
      <c r="CP17" s="16"/>
      <c r="CQ17" s="33" t="e">
        <f t="shared" si="18"/>
        <v>#DIV/0!</v>
      </c>
      <c r="CR17" s="32"/>
      <c r="CS17" s="33" t="str">
        <f t="shared" si="52"/>
        <v/>
      </c>
      <c r="CT17" s="33" t="str">
        <f t="shared" si="53"/>
        <v/>
      </c>
      <c r="CU17" s="33" t="str">
        <f t="shared" si="54"/>
        <v/>
      </c>
      <c r="CV17" s="33">
        <f t="shared" si="55"/>
        <v>0</v>
      </c>
      <c r="CW17" s="31">
        <f t="shared" si="9"/>
        <v>20172</v>
      </c>
      <c r="CX17" s="31"/>
      <c r="CY17" s="16"/>
      <c r="CZ17" s="16"/>
      <c r="DA17" s="16"/>
      <c r="DB17" s="33" t="e">
        <f t="shared" si="19"/>
        <v>#DIV/0!</v>
      </c>
      <c r="DC17" s="32"/>
      <c r="DD17" s="33" t="str">
        <f t="shared" si="56"/>
        <v/>
      </c>
      <c r="DE17" s="33" t="str">
        <f t="shared" si="57"/>
        <v/>
      </c>
      <c r="DF17" s="33" t="str">
        <f t="shared" si="58"/>
        <v/>
      </c>
      <c r="DG17" s="33">
        <f t="shared" si="59"/>
        <v>0</v>
      </c>
    </row>
    <row r="18" spans="1:111" x14ac:dyDescent="0.25">
      <c r="A18" s="25">
        <v>8</v>
      </c>
      <c r="B18" s="31">
        <f t="shared" si="0"/>
        <v>20173</v>
      </c>
      <c r="C18" s="31"/>
      <c r="D18" s="14">
        <v>69574.12</v>
      </c>
      <c r="E18" s="14">
        <v>48447302.689999998</v>
      </c>
      <c r="F18" s="14">
        <v>42822026.489999987</v>
      </c>
      <c r="G18" s="33">
        <f t="shared" si="10"/>
        <v>615.4878637343885</v>
      </c>
      <c r="H18" s="32"/>
      <c r="I18" s="33">
        <f t="shared" si="20"/>
        <v>277905.09999999998</v>
      </c>
      <c r="J18" s="33">
        <f t="shared" si="21"/>
        <v>226106627.81999999</v>
      </c>
      <c r="K18" s="33">
        <f t="shared" si="22"/>
        <v>170606449.66999999</v>
      </c>
      <c r="L18" s="33">
        <f t="shared" si="23"/>
        <v>613.90183076884875</v>
      </c>
      <c r="M18" s="31">
        <f t="shared" si="1"/>
        <v>20173</v>
      </c>
      <c r="N18" s="31"/>
      <c r="O18" s="16"/>
      <c r="P18" s="16"/>
      <c r="Q18" s="16"/>
      <c r="R18" s="33" t="e">
        <f t="shared" si="11"/>
        <v>#DIV/0!</v>
      </c>
      <c r="S18" s="32"/>
      <c r="T18" s="33" t="str">
        <f t="shared" si="24"/>
        <v/>
      </c>
      <c r="U18" s="33" t="str">
        <f t="shared" si="25"/>
        <v/>
      </c>
      <c r="V18" s="33" t="str">
        <f t="shared" si="26"/>
        <v/>
      </c>
      <c r="W18" s="33">
        <f t="shared" si="27"/>
        <v>0</v>
      </c>
      <c r="X18" s="31">
        <f t="shared" si="2"/>
        <v>20173</v>
      </c>
      <c r="Y18" s="31"/>
      <c r="Z18" s="16"/>
      <c r="AA18" s="16"/>
      <c r="AB18" s="16"/>
      <c r="AC18" s="33" t="e">
        <f t="shared" si="12"/>
        <v>#DIV/0!</v>
      </c>
      <c r="AD18" s="32"/>
      <c r="AE18" s="33" t="str">
        <f t="shared" si="28"/>
        <v/>
      </c>
      <c r="AF18" s="33" t="str">
        <f t="shared" si="29"/>
        <v/>
      </c>
      <c r="AG18" s="33" t="str">
        <f t="shared" si="30"/>
        <v/>
      </c>
      <c r="AH18" s="33">
        <f t="shared" si="31"/>
        <v>0</v>
      </c>
      <c r="AI18" s="31">
        <f t="shared" si="3"/>
        <v>20173</v>
      </c>
      <c r="AJ18" s="31"/>
      <c r="AK18" s="16"/>
      <c r="AL18" s="16"/>
      <c r="AM18" s="16"/>
      <c r="AN18" s="33" t="e">
        <f t="shared" si="13"/>
        <v>#DIV/0!</v>
      </c>
      <c r="AO18" s="32"/>
      <c r="AP18" s="33" t="str">
        <f t="shared" si="32"/>
        <v/>
      </c>
      <c r="AQ18" s="33" t="str">
        <f t="shared" si="33"/>
        <v/>
      </c>
      <c r="AR18" s="33" t="str">
        <f t="shared" si="34"/>
        <v/>
      </c>
      <c r="AS18" s="33">
        <f t="shared" si="35"/>
        <v>0</v>
      </c>
      <c r="AT18" s="31">
        <f t="shared" si="4"/>
        <v>20173</v>
      </c>
      <c r="AU18" s="31"/>
      <c r="AV18" s="16"/>
      <c r="AW18" s="16"/>
      <c r="AX18" s="16"/>
      <c r="AY18" s="33" t="e">
        <f t="shared" si="14"/>
        <v>#DIV/0!</v>
      </c>
      <c r="AZ18" s="32"/>
      <c r="BA18" s="33" t="str">
        <f t="shared" si="36"/>
        <v/>
      </c>
      <c r="BB18" s="33" t="str">
        <f t="shared" si="37"/>
        <v/>
      </c>
      <c r="BC18" s="33" t="str">
        <f t="shared" si="38"/>
        <v/>
      </c>
      <c r="BD18" s="33">
        <f t="shared" si="39"/>
        <v>0</v>
      </c>
      <c r="BE18" s="31">
        <f t="shared" si="5"/>
        <v>20173</v>
      </c>
      <c r="BF18" s="31"/>
      <c r="BG18" s="16"/>
      <c r="BH18" s="16"/>
      <c r="BI18" s="16"/>
      <c r="BJ18" s="33" t="e">
        <f t="shared" si="15"/>
        <v>#DIV/0!</v>
      </c>
      <c r="BK18" s="32"/>
      <c r="BL18" s="33" t="str">
        <f t="shared" si="40"/>
        <v/>
      </c>
      <c r="BM18" s="33" t="str">
        <f t="shared" si="41"/>
        <v/>
      </c>
      <c r="BN18" s="33" t="str">
        <f t="shared" si="42"/>
        <v/>
      </c>
      <c r="BO18" s="33">
        <f t="shared" si="43"/>
        <v>0</v>
      </c>
      <c r="BP18" s="31">
        <f t="shared" si="6"/>
        <v>20173</v>
      </c>
      <c r="BQ18" s="31"/>
      <c r="BR18" s="16"/>
      <c r="BS18" s="16"/>
      <c r="BT18" s="16"/>
      <c r="BU18" s="33" t="e">
        <f t="shared" si="16"/>
        <v>#DIV/0!</v>
      </c>
      <c r="BV18" s="32"/>
      <c r="BW18" s="33" t="str">
        <f t="shared" si="44"/>
        <v/>
      </c>
      <c r="BX18" s="33" t="str">
        <f t="shared" si="45"/>
        <v/>
      </c>
      <c r="BY18" s="33" t="str">
        <f t="shared" si="46"/>
        <v/>
      </c>
      <c r="BZ18" s="33">
        <f t="shared" si="47"/>
        <v>0</v>
      </c>
      <c r="CA18" s="31">
        <f t="shared" si="7"/>
        <v>20173</v>
      </c>
      <c r="CB18" s="31"/>
      <c r="CC18" s="16"/>
      <c r="CD18" s="16"/>
      <c r="CE18" s="16"/>
      <c r="CF18" s="33" t="e">
        <f t="shared" si="17"/>
        <v>#DIV/0!</v>
      </c>
      <c r="CG18" s="32"/>
      <c r="CH18" s="33" t="str">
        <f t="shared" si="48"/>
        <v/>
      </c>
      <c r="CI18" s="33" t="str">
        <f t="shared" si="49"/>
        <v/>
      </c>
      <c r="CJ18" s="33" t="str">
        <f t="shared" si="50"/>
        <v/>
      </c>
      <c r="CK18" s="33">
        <f t="shared" si="51"/>
        <v>0</v>
      </c>
      <c r="CL18" s="31">
        <f t="shared" si="8"/>
        <v>20173</v>
      </c>
      <c r="CM18" s="31"/>
      <c r="CN18" s="16"/>
      <c r="CO18" s="16"/>
      <c r="CP18" s="16"/>
      <c r="CQ18" s="33" t="e">
        <f t="shared" si="18"/>
        <v>#DIV/0!</v>
      </c>
      <c r="CR18" s="32"/>
      <c r="CS18" s="33" t="str">
        <f t="shared" si="52"/>
        <v/>
      </c>
      <c r="CT18" s="33" t="str">
        <f t="shared" si="53"/>
        <v/>
      </c>
      <c r="CU18" s="33" t="str">
        <f t="shared" si="54"/>
        <v/>
      </c>
      <c r="CV18" s="33">
        <f t="shared" si="55"/>
        <v>0</v>
      </c>
      <c r="CW18" s="31">
        <f t="shared" si="9"/>
        <v>20173</v>
      </c>
      <c r="CX18" s="31"/>
      <c r="CY18" s="16"/>
      <c r="CZ18" s="16"/>
      <c r="DA18" s="16"/>
      <c r="DB18" s="33" t="e">
        <f t="shared" si="19"/>
        <v>#DIV/0!</v>
      </c>
      <c r="DC18" s="32"/>
      <c r="DD18" s="33" t="str">
        <f t="shared" si="56"/>
        <v/>
      </c>
      <c r="DE18" s="33" t="str">
        <f t="shared" si="57"/>
        <v/>
      </c>
      <c r="DF18" s="33" t="str">
        <f t="shared" si="58"/>
        <v/>
      </c>
      <c r="DG18" s="33">
        <f t="shared" si="59"/>
        <v>0</v>
      </c>
    </row>
    <row r="19" spans="1:111" x14ac:dyDescent="0.25">
      <c r="A19" s="25">
        <v>9</v>
      </c>
      <c r="B19" s="31">
        <f t="shared" si="0"/>
        <v>20174</v>
      </c>
      <c r="C19" s="31"/>
      <c r="D19" s="14">
        <v>69176.320000000007</v>
      </c>
      <c r="E19" s="14">
        <v>42459053.780000001</v>
      </c>
      <c r="F19" s="14">
        <v>43018550.359999999</v>
      </c>
      <c r="G19" s="33">
        <f t="shared" si="10"/>
        <v>621.86815314836053</v>
      </c>
      <c r="H19" s="32"/>
      <c r="I19" s="33">
        <f t="shared" si="20"/>
        <v>277700.66000000003</v>
      </c>
      <c r="J19" s="33">
        <f t="shared" si="21"/>
        <v>206598019.34999999</v>
      </c>
      <c r="K19" s="33">
        <f t="shared" si="22"/>
        <v>171146167.59999996</v>
      </c>
      <c r="L19" s="33">
        <f t="shared" si="23"/>
        <v>616.29730228224855</v>
      </c>
      <c r="M19" s="31">
        <f t="shared" si="1"/>
        <v>20174</v>
      </c>
      <c r="N19" s="31"/>
      <c r="O19" s="16"/>
      <c r="P19" s="16"/>
      <c r="Q19" s="16"/>
      <c r="R19" s="33" t="e">
        <f t="shared" si="11"/>
        <v>#DIV/0!</v>
      </c>
      <c r="S19" s="32"/>
      <c r="T19" s="33" t="str">
        <f t="shared" si="24"/>
        <v/>
      </c>
      <c r="U19" s="33" t="str">
        <f t="shared" si="25"/>
        <v/>
      </c>
      <c r="V19" s="33" t="str">
        <f t="shared" si="26"/>
        <v/>
      </c>
      <c r="W19" s="33">
        <f t="shared" si="27"/>
        <v>0</v>
      </c>
      <c r="X19" s="31">
        <f t="shared" si="2"/>
        <v>20174</v>
      </c>
      <c r="Y19" s="31"/>
      <c r="Z19" s="16"/>
      <c r="AA19" s="16"/>
      <c r="AB19" s="16"/>
      <c r="AC19" s="33" t="e">
        <f t="shared" si="12"/>
        <v>#DIV/0!</v>
      </c>
      <c r="AD19" s="32"/>
      <c r="AE19" s="33" t="str">
        <f t="shared" si="28"/>
        <v/>
      </c>
      <c r="AF19" s="33" t="str">
        <f t="shared" si="29"/>
        <v/>
      </c>
      <c r="AG19" s="33" t="str">
        <f t="shared" si="30"/>
        <v/>
      </c>
      <c r="AH19" s="33">
        <f t="shared" si="31"/>
        <v>0</v>
      </c>
      <c r="AI19" s="31">
        <f t="shared" si="3"/>
        <v>20174</v>
      </c>
      <c r="AJ19" s="31"/>
      <c r="AK19" s="16"/>
      <c r="AL19" s="16"/>
      <c r="AM19" s="16"/>
      <c r="AN19" s="33" t="e">
        <f t="shared" si="13"/>
        <v>#DIV/0!</v>
      </c>
      <c r="AO19" s="32"/>
      <c r="AP19" s="33" t="str">
        <f t="shared" si="32"/>
        <v/>
      </c>
      <c r="AQ19" s="33" t="str">
        <f t="shared" si="33"/>
        <v/>
      </c>
      <c r="AR19" s="33" t="str">
        <f t="shared" si="34"/>
        <v/>
      </c>
      <c r="AS19" s="33">
        <f t="shared" si="35"/>
        <v>0</v>
      </c>
      <c r="AT19" s="31">
        <f t="shared" si="4"/>
        <v>20174</v>
      </c>
      <c r="AU19" s="31"/>
      <c r="AV19" s="16"/>
      <c r="AW19" s="16"/>
      <c r="AX19" s="16"/>
      <c r="AY19" s="33" t="e">
        <f t="shared" si="14"/>
        <v>#DIV/0!</v>
      </c>
      <c r="AZ19" s="32"/>
      <c r="BA19" s="33" t="str">
        <f t="shared" si="36"/>
        <v/>
      </c>
      <c r="BB19" s="33" t="str">
        <f t="shared" si="37"/>
        <v/>
      </c>
      <c r="BC19" s="33" t="str">
        <f t="shared" si="38"/>
        <v/>
      </c>
      <c r="BD19" s="33">
        <f t="shared" si="39"/>
        <v>0</v>
      </c>
      <c r="BE19" s="31">
        <f t="shared" si="5"/>
        <v>20174</v>
      </c>
      <c r="BF19" s="31"/>
      <c r="BG19" s="16"/>
      <c r="BH19" s="16"/>
      <c r="BI19" s="16"/>
      <c r="BJ19" s="33" t="e">
        <f t="shared" si="15"/>
        <v>#DIV/0!</v>
      </c>
      <c r="BK19" s="32"/>
      <c r="BL19" s="33" t="str">
        <f t="shared" si="40"/>
        <v/>
      </c>
      <c r="BM19" s="33" t="str">
        <f t="shared" si="41"/>
        <v/>
      </c>
      <c r="BN19" s="33" t="str">
        <f t="shared" si="42"/>
        <v/>
      </c>
      <c r="BO19" s="33">
        <f t="shared" si="43"/>
        <v>0</v>
      </c>
      <c r="BP19" s="31">
        <f t="shared" si="6"/>
        <v>20174</v>
      </c>
      <c r="BQ19" s="31"/>
      <c r="BR19" s="16"/>
      <c r="BS19" s="16"/>
      <c r="BT19" s="16"/>
      <c r="BU19" s="33" t="e">
        <f t="shared" si="16"/>
        <v>#DIV/0!</v>
      </c>
      <c r="BV19" s="32"/>
      <c r="BW19" s="33" t="str">
        <f t="shared" si="44"/>
        <v/>
      </c>
      <c r="BX19" s="33" t="str">
        <f t="shared" si="45"/>
        <v/>
      </c>
      <c r="BY19" s="33" t="str">
        <f t="shared" si="46"/>
        <v/>
      </c>
      <c r="BZ19" s="33">
        <f t="shared" si="47"/>
        <v>0</v>
      </c>
      <c r="CA19" s="31">
        <f t="shared" si="7"/>
        <v>20174</v>
      </c>
      <c r="CB19" s="31"/>
      <c r="CC19" s="16"/>
      <c r="CD19" s="16"/>
      <c r="CE19" s="16"/>
      <c r="CF19" s="33" t="e">
        <f t="shared" si="17"/>
        <v>#DIV/0!</v>
      </c>
      <c r="CG19" s="32"/>
      <c r="CH19" s="33" t="str">
        <f t="shared" si="48"/>
        <v/>
      </c>
      <c r="CI19" s="33" t="str">
        <f t="shared" si="49"/>
        <v/>
      </c>
      <c r="CJ19" s="33" t="str">
        <f t="shared" si="50"/>
        <v/>
      </c>
      <c r="CK19" s="33">
        <f t="shared" si="51"/>
        <v>0</v>
      </c>
      <c r="CL19" s="31">
        <f t="shared" si="8"/>
        <v>20174</v>
      </c>
      <c r="CM19" s="31"/>
      <c r="CN19" s="16"/>
      <c r="CO19" s="16"/>
      <c r="CP19" s="16"/>
      <c r="CQ19" s="33" t="e">
        <f t="shared" si="18"/>
        <v>#DIV/0!</v>
      </c>
      <c r="CR19" s="32"/>
      <c r="CS19" s="33" t="str">
        <f t="shared" si="52"/>
        <v/>
      </c>
      <c r="CT19" s="33" t="str">
        <f t="shared" si="53"/>
        <v/>
      </c>
      <c r="CU19" s="33" t="str">
        <f t="shared" si="54"/>
        <v/>
      </c>
      <c r="CV19" s="33">
        <f t="shared" si="55"/>
        <v>0</v>
      </c>
      <c r="CW19" s="31">
        <f t="shared" si="9"/>
        <v>20174</v>
      </c>
      <c r="CX19" s="31"/>
      <c r="CY19" s="16"/>
      <c r="CZ19" s="16"/>
      <c r="DA19" s="16"/>
      <c r="DB19" s="33" t="e">
        <f t="shared" si="19"/>
        <v>#DIV/0!</v>
      </c>
      <c r="DC19" s="32"/>
      <c r="DD19" s="33" t="str">
        <f t="shared" si="56"/>
        <v/>
      </c>
      <c r="DE19" s="33" t="str">
        <f t="shared" si="57"/>
        <v/>
      </c>
      <c r="DF19" s="33" t="str">
        <f t="shared" si="58"/>
        <v/>
      </c>
      <c r="DG19" s="33">
        <f t="shared" si="59"/>
        <v>0</v>
      </c>
    </row>
    <row r="20" spans="1:111" x14ac:dyDescent="0.25">
      <c r="A20" s="25">
        <v>10</v>
      </c>
      <c r="B20" s="31">
        <f t="shared" si="0"/>
        <v>20181</v>
      </c>
      <c r="C20" s="31"/>
      <c r="D20" s="14">
        <v>68784.89</v>
      </c>
      <c r="E20" s="14">
        <v>38367120.899999999</v>
      </c>
      <c r="F20" s="14">
        <v>43462986.340000004</v>
      </c>
      <c r="G20" s="33">
        <f t="shared" si="10"/>
        <v>631.86822483833305</v>
      </c>
      <c r="H20" s="32"/>
      <c r="I20" s="33">
        <f t="shared" si="20"/>
        <v>277330.3</v>
      </c>
      <c r="J20" s="33">
        <f t="shared" si="21"/>
        <v>184268945.19</v>
      </c>
      <c r="K20" s="33">
        <f t="shared" si="22"/>
        <v>172097187.94</v>
      </c>
      <c r="L20" s="33">
        <f t="shared" si="23"/>
        <v>620.54953223647044</v>
      </c>
      <c r="M20" s="31">
        <f t="shared" si="1"/>
        <v>20181</v>
      </c>
      <c r="N20" s="31"/>
      <c r="O20" s="16"/>
      <c r="P20" s="16"/>
      <c r="Q20" s="16"/>
      <c r="R20" s="33" t="e">
        <f t="shared" si="11"/>
        <v>#DIV/0!</v>
      </c>
      <c r="S20" s="32"/>
      <c r="T20" s="33" t="str">
        <f t="shared" si="24"/>
        <v/>
      </c>
      <c r="U20" s="33" t="str">
        <f t="shared" si="25"/>
        <v/>
      </c>
      <c r="V20" s="33" t="str">
        <f t="shared" si="26"/>
        <v/>
      </c>
      <c r="W20" s="33">
        <f t="shared" si="27"/>
        <v>0</v>
      </c>
      <c r="X20" s="31">
        <f t="shared" si="2"/>
        <v>20181</v>
      </c>
      <c r="Y20" s="31"/>
      <c r="Z20" s="16"/>
      <c r="AA20" s="16"/>
      <c r="AB20" s="16"/>
      <c r="AC20" s="33" t="e">
        <f t="shared" si="12"/>
        <v>#DIV/0!</v>
      </c>
      <c r="AD20" s="32"/>
      <c r="AE20" s="33" t="str">
        <f t="shared" si="28"/>
        <v/>
      </c>
      <c r="AF20" s="33" t="str">
        <f t="shared" si="29"/>
        <v/>
      </c>
      <c r="AG20" s="33" t="str">
        <f t="shared" si="30"/>
        <v/>
      </c>
      <c r="AH20" s="33">
        <f t="shared" si="31"/>
        <v>0</v>
      </c>
      <c r="AI20" s="31">
        <f t="shared" si="3"/>
        <v>20181</v>
      </c>
      <c r="AJ20" s="31"/>
      <c r="AK20" s="16"/>
      <c r="AL20" s="16"/>
      <c r="AM20" s="16"/>
      <c r="AN20" s="33" t="e">
        <f t="shared" si="13"/>
        <v>#DIV/0!</v>
      </c>
      <c r="AO20" s="32"/>
      <c r="AP20" s="33" t="str">
        <f t="shared" si="32"/>
        <v/>
      </c>
      <c r="AQ20" s="33" t="str">
        <f t="shared" si="33"/>
        <v/>
      </c>
      <c r="AR20" s="33" t="str">
        <f t="shared" si="34"/>
        <v/>
      </c>
      <c r="AS20" s="33">
        <f t="shared" si="35"/>
        <v>0</v>
      </c>
      <c r="AT20" s="31">
        <f t="shared" si="4"/>
        <v>20181</v>
      </c>
      <c r="AU20" s="31"/>
      <c r="AV20" s="16"/>
      <c r="AW20" s="16"/>
      <c r="AX20" s="16"/>
      <c r="AY20" s="33" t="e">
        <f t="shared" si="14"/>
        <v>#DIV/0!</v>
      </c>
      <c r="AZ20" s="32"/>
      <c r="BA20" s="33" t="str">
        <f t="shared" si="36"/>
        <v/>
      </c>
      <c r="BB20" s="33" t="str">
        <f t="shared" si="37"/>
        <v/>
      </c>
      <c r="BC20" s="33" t="str">
        <f t="shared" si="38"/>
        <v/>
      </c>
      <c r="BD20" s="33">
        <f t="shared" si="39"/>
        <v>0</v>
      </c>
      <c r="BE20" s="31">
        <f t="shared" si="5"/>
        <v>20181</v>
      </c>
      <c r="BF20" s="31"/>
      <c r="BG20" s="16"/>
      <c r="BH20" s="16"/>
      <c r="BI20" s="16"/>
      <c r="BJ20" s="33" t="e">
        <f t="shared" si="15"/>
        <v>#DIV/0!</v>
      </c>
      <c r="BK20" s="32"/>
      <c r="BL20" s="33" t="str">
        <f t="shared" si="40"/>
        <v/>
      </c>
      <c r="BM20" s="33" t="str">
        <f t="shared" si="41"/>
        <v/>
      </c>
      <c r="BN20" s="33" t="str">
        <f t="shared" si="42"/>
        <v/>
      </c>
      <c r="BO20" s="33">
        <f t="shared" si="43"/>
        <v>0</v>
      </c>
      <c r="BP20" s="31">
        <f t="shared" si="6"/>
        <v>20181</v>
      </c>
      <c r="BQ20" s="31"/>
      <c r="BR20" s="16"/>
      <c r="BS20" s="16"/>
      <c r="BT20" s="16"/>
      <c r="BU20" s="33" t="e">
        <f t="shared" si="16"/>
        <v>#DIV/0!</v>
      </c>
      <c r="BV20" s="32"/>
      <c r="BW20" s="33" t="str">
        <f t="shared" si="44"/>
        <v/>
      </c>
      <c r="BX20" s="33" t="str">
        <f t="shared" si="45"/>
        <v/>
      </c>
      <c r="BY20" s="33" t="str">
        <f t="shared" si="46"/>
        <v/>
      </c>
      <c r="BZ20" s="33">
        <f t="shared" si="47"/>
        <v>0</v>
      </c>
      <c r="CA20" s="31">
        <f t="shared" si="7"/>
        <v>20181</v>
      </c>
      <c r="CB20" s="31"/>
      <c r="CC20" s="16"/>
      <c r="CD20" s="16"/>
      <c r="CE20" s="16"/>
      <c r="CF20" s="33" t="e">
        <f t="shared" si="17"/>
        <v>#DIV/0!</v>
      </c>
      <c r="CG20" s="32"/>
      <c r="CH20" s="33" t="str">
        <f t="shared" si="48"/>
        <v/>
      </c>
      <c r="CI20" s="33" t="str">
        <f t="shared" si="49"/>
        <v/>
      </c>
      <c r="CJ20" s="33" t="str">
        <f t="shared" si="50"/>
        <v/>
      </c>
      <c r="CK20" s="33">
        <f t="shared" si="51"/>
        <v>0</v>
      </c>
      <c r="CL20" s="31">
        <f t="shared" si="8"/>
        <v>20181</v>
      </c>
      <c r="CM20" s="31"/>
      <c r="CN20" s="16"/>
      <c r="CO20" s="16"/>
      <c r="CP20" s="16"/>
      <c r="CQ20" s="33" t="e">
        <f t="shared" si="18"/>
        <v>#DIV/0!</v>
      </c>
      <c r="CR20" s="32"/>
      <c r="CS20" s="33" t="str">
        <f t="shared" si="52"/>
        <v/>
      </c>
      <c r="CT20" s="33" t="str">
        <f t="shared" si="53"/>
        <v/>
      </c>
      <c r="CU20" s="33" t="str">
        <f t="shared" si="54"/>
        <v/>
      </c>
      <c r="CV20" s="33">
        <f t="shared" si="55"/>
        <v>0</v>
      </c>
      <c r="CW20" s="31">
        <f t="shared" si="9"/>
        <v>20181</v>
      </c>
      <c r="CX20" s="31"/>
      <c r="CY20" s="16"/>
      <c r="CZ20" s="16"/>
      <c r="DA20" s="16"/>
      <c r="DB20" s="33" t="e">
        <f t="shared" si="19"/>
        <v>#DIV/0!</v>
      </c>
      <c r="DC20" s="32"/>
      <c r="DD20" s="33" t="str">
        <f t="shared" si="56"/>
        <v/>
      </c>
      <c r="DE20" s="33" t="str">
        <f t="shared" si="57"/>
        <v/>
      </c>
      <c r="DF20" s="33" t="str">
        <f t="shared" si="58"/>
        <v/>
      </c>
      <c r="DG20" s="33">
        <f t="shared" si="59"/>
        <v>0</v>
      </c>
    </row>
    <row r="21" spans="1:111" x14ac:dyDescent="0.25">
      <c r="A21" s="25">
        <v>11</v>
      </c>
      <c r="B21" s="31">
        <f t="shared" si="0"/>
        <v>20182</v>
      </c>
      <c r="C21" s="31"/>
      <c r="D21" s="14">
        <v>68338.19</v>
      </c>
      <c r="E21" s="14">
        <v>38334020.219999999</v>
      </c>
      <c r="F21" s="14">
        <v>43800451.390000001</v>
      </c>
      <c r="G21" s="33">
        <f t="shared" si="10"/>
        <v>640.93666206260366</v>
      </c>
      <c r="H21" s="32"/>
      <c r="I21" s="33">
        <f t="shared" si="20"/>
        <v>275873.52</v>
      </c>
      <c r="J21" s="33">
        <f t="shared" si="21"/>
        <v>167607497.59</v>
      </c>
      <c r="K21" s="33">
        <f t="shared" si="22"/>
        <v>173104014.57999998</v>
      </c>
      <c r="L21" s="33">
        <f t="shared" si="23"/>
        <v>627.47600632347746</v>
      </c>
      <c r="M21" s="31">
        <f t="shared" si="1"/>
        <v>20182</v>
      </c>
      <c r="N21" s="31"/>
      <c r="O21" s="16"/>
      <c r="P21" s="16"/>
      <c r="Q21" s="16"/>
      <c r="R21" s="33" t="e">
        <f t="shared" si="11"/>
        <v>#DIV/0!</v>
      </c>
      <c r="S21" s="32"/>
      <c r="T21" s="33" t="str">
        <f t="shared" si="24"/>
        <v/>
      </c>
      <c r="U21" s="33" t="str">
        <f t="shared" si="25"/>
        <v/>
      </c>
      <c r="V21" s="33" t="str">
        <f t="shared" si="26"/>
        <v/>
      </c>
      <c r="W21" s="33">
        <f t="shared" si="27"/>
        <v>0</v>
      </c>
      <c r="X21" s="31">
        <f t="shared" si="2"/>
        <v>20182</v>
      </c>
      <c r="Y21" s="31"/>
      <c r="Z21" s="16"/>
      <c r="AA21" s="16"/>
      <c r="AB21" s="16"/>
      <c r="AC21" s="33" t="e">
        <f t="shared" si="12"/>
        <v>#DIV/0!</v>
      </c>
      <c r="AD21" s="32"/>
      <c r="AE21" s="33" t="str">
        <f t="shared" si="28"/>
        <v/>
      </c>
      <c r="AF21" s="33" t="str">
        <f t="shared" si="29"/>
        <v/>
      </c>
      <c r="AG21" s="33" t="str">
        <f t="shared" si="30"/>
        <v/>
      </c>
      <c r="AH21" s="33">
        <f t="shared" si="31"/>
        <v>0</v>
      </c>
      <c r="AI21" s="31">
        <f t="shared" si="3"/>
        <v>20182</v>
      </c>
      <c r="AJ21" s="31"/>
      <c r="AK21" s="16"/>
      <c r="AL21" s="16"/>
      <c r="AM21" s="16"/>
      <c r="AN21" s="33" t="e">
        <f t="shared" si="13"/>
        <v>#DIV/0!</v>
      </c>
      <c r="AO21" s="32"/>
      <c r="AP21" s="33" t="str">
        <f t="shared" si="32"/>
        <v/>
      </c>
      <c r="AQ21" s="33" t="str">
        <f t="shared" si="33"/>
        <v/>
      </c>
      <c r="AR21" s="33" t="str">
        <f t="shared" si="34"/>
        <v/>
      </c>
      <c r="AS21" s="33">
        <f t="shared" si="35"/>
        <v>0</v>
      </c>
      <c r="AT21" s="31">
        <f t="shared" si="4"/>
        <v>20182</v>
      </c>
      <c r="AU21" s="31"/>
      <c r="AV21" s="16"/>
      <c r="AW21" s="16"/>
      <c r="AX21" s="16"/>
      <c r="AY21" s="33" t="e">
        <f t="shared" si="14"/>
        <v>#DIV/0!</v>
      </c>
      <c r="AZ21" s="32"/>
      <c r="BA21" s="33" t="str">
        <f t="shared" si="36"/>
        <v/>
      </c>
      <c r="BB21" s="33" t="str">
        <f t="shared" si="37"/>
        <v/>
      </c>
      <c r="BC21" s="33" t="str">
        <f t="shared" si="38"/>
        <v/>
      </c>
      <c r="BD21" s="33">
        <f t="shared" si="39"/>
        <v>0</v>
      </c>
      <c r="BE21" s="31">
        <f t="shared" si="5"/>
        <v>20182</v>
      </c>
      <c r="BF21" s="31"/>
      <c r="BG21" s="16"/>
      <c r="BH21" s="16"/>
      <c r="BI21" s="16"/>
      <c r="BJ21" s="33" t="e">
        <f t="shared" si="15"/>
        <v>#DIV/0!</v>
      </c>
      <c r="BK21" s="32"/>
      <c r="BL21" s="33" t="str">
        <f t="shared" si="40"/>
        <v/>
      </c>
      <c r="BM21" s="33" t="str">
        <f t="shared" si="41"/>
        <v/>
      </c>
      <c r="BN21" s="33" t="str">
        <f t="shared" si="42"/>
        <v/>
      </c>
      <c r="BO21" s="33">
        <f t="shared" si="43"/>
        <v>0</v>
      </c>
      <c r="BP21" s="31">
        <f t="shared" si="6"/>
        <v>20182</v>
      </c>
      <c r="BQ21" s="31"/>
      <c r="BR21" s="16"/>
      <c r="BS21" s="16"/>
      <c r="BT21" s="16"/>
      <c r="BU21" s="33" t="e">
        <f t="shared" si="16"/>
        <v>#DIV/0!</v>
      </c>
      <c r="BV21" s="32"/>
      <c r="BW21" s="33" t="str">
        <f t="shared" si="44"/>
        <v/>
      </c>
      <c r="BX21" s="33" t="str">
        <f t="shared" si="45"/>
        <v/>
      </c>
      <c r="BY21" s="33" t="str">
        <f t="shared" si="46"/>
        <v/>
      </c>
      <c r="BZ21" s="33">
        <f t="shared" si="47"/>
        <v>0</v>
      </c>
      <c r="CA21" s="31">
        <f t="shared" si="7"/>
        <v>20182</v>
      </c>
      <c r="CB21" s="31"/>
      <c r="CC21" s="16"/>
      <c r="CD21" s="16"/>
      <c r="CE21" s="16"/>
      <c r="CF21" s="33" t="e">
        <f t="shared" si="17"/>
        <v>#DIV/0!</v>
      </c>
      <c r="CG21" s="32"/>
      <c r="CH21" s="33" t="str">
        <f t="shared" si="48"/>
        <v/>
      </c>
      <c r="CI21" s="33" t="str">
        <f t="shared" si="49"/>
        <v/>
      </c>
      <c r="CJ21" s="33" t="str">
        <f t="shared" si="50"/>
        <v/>
      </c>
      <c r="CK21" s="33">
        <f t="shared" si="51"/>
        <v>0</v>
      </c>
      <c r="CL21" s="31">
        <f t="shared" si="8"/>
        <v>20182</v>
      </c>
      <c r="CM21" s="31"/>
      <c r="CN21" s="16"/>
      <c r="CO21" s="16"/>
      <c r="CP21" s="16"/>
      <c r="CQ21" s="33" t="e">
        <f t="shared" si="18"/>
        <v>#DIV/0!</v>
      </c>
      <c r="CR21" s="32"/>
      <c r="CS21" s="33" t="str">
        <f t="shared" si="52"/>
        <v/>
      </c>
      <c r="CT21" s="33" t="str">
        <f t="shared" si="53"/>
        <v/>
      </c>
      <c r="CU21" s="33" t="str">
        <f t="shared" si="54"/>
        <v/>
      </c>
      <c r="CV21" s="33">
        <f t="shared" si="55"/>
        <v>0</v>
      </c>
      <c r="CW21" s="31">
        <f t="shared" si="9"/>
        <v>20182</v>
      </c>
      <c r="CX21" s="31"/>
      <c r="CY21" s="16"/>
      <c r="CZ21" s="16"/>
      <c r="DA21" s="16"/>
      <c r="DB21" s="33" t="e">
        <f t="shared" si="19"/>
        <v>#DIV/0!</v>
      </c>
      <c r="DC21" s="32"/>
      <c r="DD21" s="33" t="str">
        <f t="shared" si="56"/>
        <v/>
      </c>
      <c r="DE21" s="33" t="str">
        <f t="shared" si="57"/>
        <v/>
      </c>
      <c r="DF21" s="33" t="str">
        <f t="shared" si="58"/>
        <v/>
      </c>
      <c r="DG21" s="33">
        <f t="shared" si="59"/>
        <v>0</v>
      </c>
    </row>
    <row r="22" spans="1:111" x14ac:dyDescent="0.25">
      <c r="A22" s="25">
        <v>12</v>
      </c>
      <c r="B22" s="31">
        <f t="shared" si="0"/>
        <v>20183</v>
      </c>
      <c r="C22" s="31"/>
      <c r="D22" s="14">
        <v>67984.7</v>
      </c>
      <c r="E22" s="14">
        <v>38710207.599999987</v>
      </c>
      <c r="F22" s="14">
        <v>44230283.109999999</v>
      </c>
      <c r="G22" s="33">
        <f t="shared" si="10"/>
        <v>650.59172299061413</v>
      </c>
      <c r="H22" s="32"/>
      <c r="I22" s="33">
        <f t="shared" si="20"/>
        <v>274284.10000000003</v>
      </c>
      <c r="J22" s="33">
        <f t="shared" si="21"/>
        <v>157870402.5</v>
      </c>
      <c r="K22" s="33">
        <f t="shared" si="22"/>
        <v>174512271.19999999</v>
      </c>
      <c r="L22" s="33">
        <f t="shared" si="23"/>
        <v>636.24639999183319</v>
      </c>
      <c r="M22" s="31">
        <f t="shared" si="1"/>
        <v>20183</v>
      </c>
      <c r="N22" s="31"/>
      <c r="O22" s="16"/>
      <c r="P22" s="16"/>
      <c r="Q22" s="16"/>
      <c r="R22" s="33" t="e">
        <f t="shared" si="11"/>
        <v>#DIV/0!</v>
      </c>
      <c r="S22" s="32"/>
      <c r="T22" s="33" t="str">
        <f t="shared" si="24"/>
        <v/>
      </c>
      <c r="U22" s="33" t="str">
        <f t="shared" si="25"/>
        <v/>
      </c>
      <c r="V22" s="33" t="str">
        <f t="shared" si="26"/>
        <v/>
      </c>
      <c r="W22" s="33">
        <f t="shared" si="27"/>
        <v>0</v>
      </c>
      <c r="X22" s="31">
        <f t="shared" si="2"/>
        <v>20183</v>
      </c>
      <c r="Y22" s="31"/>
      <c r="Z22" s="16"/>
      <c r="AA22" s="16"/>
      <c r="AB22" s="16"/>
      <c r="AC22" s="33" t="e">
        <f t="shared" si="12"/>
        <v>#DIV/0!</v>
      </c>
      <c r="AD22" s="32"/>
      <c r="AE22" s="33" t="str">
        <f t="shared" si="28"/>
        <v/>
      </c>
      <c r="AF22" s="33" t="str">
        <f t="shared" si="29"/>
        <v/>
      </c>
      <c r="AG22" s="33" t="str">
        <f t="shared" si="30"/>
        <v/>
      </c>
      <c r="AH22" s="33">
        <f t="shared" si="31"/>
        <v>0</v>
      </c>
      <c r="AI22" s="31">
        <f t="shared" si="3"/>
        <v>20183</v>
      </c>
      <c r="AJ22" s="31"/>
      <c r="AK22" s="16"/>
      <c r="AL22" s="16"/>
      <c r="AM22" s="16"/>
      <c r="AN22" s="33" t="e">
        <f t="shared" si="13"/>
        <v>#DIV/0!</v>
      </c>
      <c r="AO22" s="32"/>
      <c r="AP22" s="33" t="str">
        <f t="shared" si="32"/>
        <v/>
      </c>
      <c r="AQ22" s="33" t="str">
        <f t="shared" si="33"/>
        <v/>
      </c>
      <c r="AR22" s="33" t="str">
        <f t="shared" si="34"/>
        <v/>
      </c>
      <c r="AS22" s="33">
        <f t="shared" si="35"/>
        <v>0</v>
      </c>
      <c r="AT22" s="31">
        <f t="shared" si="4"/>
        <v>20183</v>
      </c>
      <c r="AU22" s="31"/>
      <c r="AV22" s="16"/>
      <c r="AW22" s="16"/>
      <c r="AX22" s="16"/>
      <c r="AY22" s="33" t="e">
        <f t="shared" si="14"/>
        <v>#DIV/0!</v>
      </c>
      <c r="AZ22" s="32"/>
      <c r="BA22" s="33" t="str">
        <f t="shared" si="36"/>
        <v/>
      </c>
      <c r="BB22" s="33" t="str">
        <f t="shared" si="37"/>
        <v/>
      </c>
      <c r="BC22" s="33" t="str">
        <f t="shared" si="38"/>
        <v/>
      </c>
      <c r="BD22" s="33">
        <f t="shared" si="39"/>
        <v>0</v>
      </c>
      <c r="BE22" s="31">
        <f t="shared" si="5"/>
        <v>20183</v>
      </c>
      <c r="BF22" s="31"/>
      <c r="BG22" s="16"/>
      <c r="BH22" s="16"/>
      <c r="BI22" s="16"/>
      <c r="BJ22" s="33" t="e">
        <f t="shared" si="15"/>
        <v>#DIV/0!</v>
      </c>
      <c r="BK22" s="32"/>
      <c r="BL22" s="33" t="str">
        <f t="shared" si="40"/>
        <v/>
      </c>
      <c r="BM22" s="33" t="str">
        <f t="shared" si="41"/>
        <v/>
      </c>
      <c r="BN22" s="33" t="str">
        <f t="shared" si="42"/>
        <v/>
      </c>
      <c r="BO22" s="33">
        <f t="shared" si="43"/>
        <v>0</v>
      </c>
      <c r="BP22" s="31">
        <f t="shared" si="6"/>
        <v>20183</v>
      </c>
      <c r="BQ22" s="31"/>
      <c r="BR22" s="16"/>
      <c r="BS22" s="16"/>
      <c r="BT22" s="16"/>
      <c r="BU22" s="33" t="e">
        <f t="shared" si="16"/>
        <v>#DIV/0!</v>
      </c>
      <c r="BV22" s="32"/>
      <c r="BW22" s="33" t="str">
        <f t="shared" si="44"/>
        <v/>
      </c>
      <c r="BX22" s="33" t="str">
        <f t="shared" si="45"/>
        <v/>
      </c>
      <c r="BY22" s="33" t="str">
        <f t="shared" si="46"/>
        <v/>
      </c>
      <c r="BZ22" s="33">
        <f t="shared" si="47"/>
        <v>0</v>
      </c>
      <c r="CA22" s="31">
        <f t="shared" si="7"/>
        <v>20183</v>
      </c>
      <c r="CB22" s="31"/>
      <c r="CC22" s="16"/>
      <c r="CD22" s="16"/>
      <c r="CE22" s="16"/>
      <c r="CF22" s="33" t="e">
        <f t="shared" si="17"/>
        <v>#DIV/0!</v>
      </c>
      <c r="CG22" s="32"/>
      <c r="CH22" s="33" t="str">
        <f t="shared" si="48"/>
        <v/>
      </c>
      <c r="CI22" s="33" t="str">
        <f t="shared" si="49"/>
        <v/>
      </c>
      <c r="CJ22" s="33" t="str">
        <f t="shared" si="50"/>
        <v/>
      </c>
      <c r="CK22" s="33">
        <f t="shared" si="51"/>
        <v>0</v>
      </c>
      <c r="CL22" s="31">
        <f t="shared" si="8"/>
        <v>20183</v>
      </c>
      <c r="CM22" s="31"/>
      <c r="CN22" s="16"/>
      <c r="CO22" s="16"/>
      <c r="CP22" s="16"/>
      <c r="CQ22" s="33" t="e">
        <f t="shared" si="18"/>
        <v>#DIV/0!</v>
      </c>
      <c r="CR22" s="32"/>
      <c r="CS22" s="33" t="str">
        <f t="shared" si="52"/>
        <v/>
      </c>
      <c r="CT22" s="33" t="str">
        <f t="shared" si="53"/>
        <v/>
      </c>
      <c r="CU22" s="33" t="str">
        <f t="shared" si="54"/>
        <v/>
      </c>
      <c r="CV22" s="33">
        <f t="shared" si="55"/>
        <v>0</v>
      </c>
      <c r="CW22" s="31">
        <f t="shared" si="9"/>
        <v>20183</v>
      </c>
      <c r="CX22" s="31"/>
      <c r="CY22" s="16"/>
      <c r="CZ22" s="16"/>
      <c r="DA22" s="16"/>
      <c r="DB22" s="33" t="e">
        <f t="shared" si="19"/>
        <v>#DIV/0!</v>
      </c>
      <c r="DC22" s="32"/>
      <c r="DD22" s="33" t="str">
        <f t="shared" si="56"/>
        <v/>
      </c>
      <c r="DE22" s="33" t="str">
        <f t="shared" si="57"/>
        <v/>
      </c>
      <c r="DF22" s="33" t="str">
        <f t="shared" si="58"/>
        <v/>
      </c>
      <c r="DG22" s="33">
        <f t="shared" si="59"/>
        <v>0</v>
      </c>
    </row>
    <row r="23" spans="1:111" x14ac:dyDescent="0.25">
      <c r="A23" s="25">
        <v>13</v>
      </c>
      <c r="B23" s="31">
        <f t="shared" si="0"/>
        <v>20184</v>
      </c>
      <c r="C23" s="31"/>
      <c r="D23" s="14">
        <v>68129.97</v>
      </c>
      <c r="E23" s="14">
        <v>39391446.350000001</v>
      </c>
      <c r="F23" s="14">
        <v>44986859.469999999</v>
      </c>
      <c r="G23" s="33">
        <f t="shared" si="10"/>
        <v>660.30939790520972</v>
      </c>
      <c r="H23" s="32"/>
      <c r="I23" s="33">
        <f t="shared" si="20"/>
        <v>273237.75</v>
      </c>
      <c r="J23" s="33">
        <f t="shared" si="21"/>
        <v>154802795.06999999</v>
      </c>
      <c r="K23" s="33">
        <f t="shared" si="22"/>
        <v>176480580.31</v>
      </c>
      <c r="L23" s="33">
        <f t="shared" si="23"/>
        <v>645.88652303717186</v>
      </c>
      <c r="M23" s="31">
        <f t="shared" si="1"/>
        <v>20184</v>
      </c>
      <c r="N23" s="31"/>
      <c r="O23" s="16"/>
      <c r="P23" s="16"/>
      <c r="Q23" s="16"/>
      <c r="R23" s="33" t="e">
        <f t="shared" si="11"/>
        <v>#DIV/0!</v>
      </c>
      <c r="S23" s="32"/>
      <c r="T23" s="33" t="str">
        <f t="shared" si="24"/>
        <v/>
      </c>
      <c r="U23" s="33" t="str">
        <f t="shared" si="25"/>
        <v/>
      </c>
      <c r="V23" s="33" t="str">
        <f t="shared" si="26"/>
        <v/>
      </c>
      <c r="W23" s="33">
        <f t="shared" si="27"/>
        <v>0</v>
      </c>
      <c r="X23" s="31">
        <f t="shared" si="2"/>
        <v>20184</v>
      </c>
      <c r="Y23" s="31"/>
      <c r="Z23" s="16"/>
      <c r="AA23" s="16"/>
      <c r="AB23" s="16"/>
      <c r="AC23" s="33" t="e">
        <f t="shared" si="12"/>
        <v>#DIV/0!</v>
      </c>
      <c r="AD23" s="32"/>
      <c r="AE23" s="33" t="str">
        <f t="shared" si="28"/>
        <v/>
      </c>
      <c r="AF23" s="33" t="str">
        <f t="shared" si="29"/>
        <v/>
      </c>
      <c r="AG23" s="33" t="str">
        <f t="shared" si="30"/>
        <v/>
      </c>
      <c r="AH23" s="33">
        <f t="shared" si="31"/>
        <v>0</v>
      </c>
      <c r="AI23" s="31">
        <f t="shared" si="3"/>
        <v>20184</v>
      </c>
      <c r="AJ23" s="31"/>
      <c r="AK23" s="16"/>
      <c r="AL23" s="16"/>
      <c r="AM23" s="16"/>
      <c r="AN23" s="33" t="e">
        <f t="shared" si="13"/>
        <v>#DIV/0!</v>
      </c>
      <c r="AO23" s="32"/>
      <c r="AP23" s="33" t="str">
        <f t="shared" si="32"/>
        <v/>
      </c>
      <c r="AQ23" s="33" t="str">
        <f t="shared" si="33"/>
        <v/>
      </c>
      <c r="AR23" s="33" t="str">
        <f t="shared" si="34"/>
        <v/>
      </c>
      <c r="AS23" s="33">
        <f t="shared" si="35"/>
        <v>0</v>
      </c>
      <c r="AT23" s="31">
        <f t="shared" si="4"/>
        <v>20184</v>
      </c>
      <c r="AU23" s="31"/>
      <c r="AV23" s="16"/>
      <c r="AW23" s="16"/>
      <c r="AX23" s="16"/>
      <c r="AY23" s="33" t="e">
        <f t="shared" si="14"/>
        <v>#DIV/0!</v>
      </c>
      <c r="AZ23" s="32"/>
      <c r="BA23" s="33" t="str">
        <f t="shared" si="36"/>
        <v/>
      </c>
      <c r="BB23" s="33" t="str">
        <f t="shared" si="37"/>
        <v/>
      </c>
      <c r="BC23" s="33" t="str">
        <f t="shared" si="38"/>
        <v/>
      </c>
      <c r="BD23" s="33">
        <f t="shared" si="39"/>
        <v>0</v>
      </c>
      <c r="BE23" s="31">
        <f t="shared" si="5"/>
        <v>20184</v>
      </c>
      <c r="BF23" s="31"/>
      <c r="BG23" s="16"/>
      <c r="BH23" s="16"/>
      <c r="BI23" s="16"/>
      <c r="BJ23" s="33" t="e">
        <f t="shared" si="15"/>
        <v>#DIV/0!</v>
      </c>
      <c r="BK23" s="32"/>
      <c r="BL23" s="33" t="str">
        <f t="shared" si="40"/>
        <v/>
      </c>
      <c r="BM23" s="33" t="str">
        <f t="shared" si="41"/>
        <v/>
      </c>
      <c r="BN23" s="33" t="str">
        <f t="shared" si="42"/>
        <v/>
      </c>
      <c r="BO23" s="33">
        <f t="shared" si="43"/>
        <v>0</v>
      </c>
      <c r="BP23" s="31">
        <f t="shared" si="6"/>
        <v>20184</v>
      </c>
      <c r="BQ23" s="31"/>
      <c r="BR23" s="16"/>
      <c r="BS23" s="16"/>
      <c r="BT23" s="16"/>
      <c r="BU23" s="33" t="e">
        <f t="shared" si="16"/>
        <v>#DIV/0!</v>
      </c>
      <c r="BV23" s="32"/>
      <c r="BW23" s="33" t="str">
        <f t="shared" si="44"/>
        <v/>
      </c>
      <c r="BX23" s="33" t="str">
        <f t="shared" si="45"/>
        <v/>
      </c>
      <c r="BY23" s="33" t="str">
        <f t="shared" si="46"/>
        <v/>
      </c>
      <c r="BZ23" s="33">
        <f t="shared" si="47"/>
        <v>0</v>
      </c>
      <c r="CA23" s="31">
        <f t="shared" si="7"/>
        <v>20184</v>
      </c>
      <c r="CB23" s="31"/>
      <c r="CC23" s="16"/>
      <c r="CD23" s="16"/>
      <c r="CE23" s="16"/>
      <c r="CF23" s="33" t="e">
        <f t="shared" si="17"/>
        <v>#DIV/0!</v>
      </c>
      <c r="CG23" s="32"/>
      <c r="CH23" s="33" t="str">
        <f t="shared" si="48"/>
        <v/>
      </c>
      <c r="CI23" s="33" t="str">
        <f t="shared" si="49"/>
        <v/>
      </c>
      <c r="CJ23" s="33" t="str">
        <f t="shared" si="50"/>
        <v/>
      </c>
      <c r="CK23" s="33">
        <f t="shared" si="51"/>
        <v>0</v>
      </c>
      <c r="CL23" s="31">
        <f t="shared" si="8"/>
        <v>20184</v>
      </c>
      <c r="CM23" s="31"/>
      <c r="CN23" s="16"/>
      <c r="CO23" s="16"/>
      <c r="CP23" s="16"/>
      <c r="CQ23" s="33" t="e">
        <f t="shared" si="18"/>
        <v>#DIV/0!</v>
      </c>
      <c r="CR23" s="32"/>
      <c r="CS23" s="33" t="str">
        <f t="shared" si="52"/>
        <v/>
      </c>
      <c r="CT23" s="33" t="str">
        <f t="shared" si="53"/>
        <v/>
      </c>
      <c r="CU23" s="33" t="str">
        <f t="shared" si="54"/>
        <v/>
      </c>
      <c r="CV23" s="33">
        <f t="shared" si="55"/>
        <v>0</v>
      </c>
      <c r="CW23" s="31">
        <f t="shared" si="9"/>
        <v>20184</v>
      </c>
      <c r="CX23" s="31"/>
      <c r="CY23" s="16"/>
      <c r="CZ23" s="16"/>
      <c r="DA23" s="16"/>
      <c r="DB23" s="33" t="e">
        <f t="shared" si="19"/>
        <v>#DIV/0!</v>
      </c>
      <c r="DC23" s="32"/>
      <c r="DD23" s="33" t="str">
        <f t="shared" si="56"/>
        <v/>
      </c>
      <c r="DE23" s="33" t="str">
        <f t="shared" si="57"/>
        <v/>
      </c>
      <c r="DF23" s="33" t="str">
        <f t="shared" si="58"/>
        <v/>
      </c>
      <c r="DG23" s="33">
        <f t="shared" si="59"/>
        <v>0</v>
      </c>
    </row>
    <row r="24" spans="1:111" x14ac:dyDescent="0.25">
      <c r="A24" s="25">
        <v>14</v>
      </c>
      <c r="B24" s="31">
        <f t="shared" si="0"/>
        <v>20191</v>
      </c>
      <c r="C24" s="31"/>
      <c r="D24" s="14">
        <v>68286.11</v>
      </c>
      <c r="E24" s="14">
        <v>40397435.210000001</v>
      </c>
      <c r="F24" s="14">
        <v>45643972.93</v>
      </c>
      <c r="G24" s="33">
        <f t="shared" si="10"/>
        <v>668.42250832563161</v>
      </c>
      <c r="H24" s="32"/>
      <c r="I24" s="33">
        <f t="shared" si="20"/>
        <v>272738.97000000003</v>
      </c>
      <c r="J24" s="33">
        <f t="shared" si="21"/>
        <v>156833109.38</v>
      </c>
      <c r="K24" s="33">
        <f t="shared" si="22"/>
        <v>178661566.90000001</v>
      </c>
      <c r="L24" s="33">
        <f t="shared" si="23"/>
        <v>655.0643162581423</v>
      </c>
      <c r="M24" s="31">
        <f t="shared" si="1"/>
        <v>20191</v>
      </c>
      <c r="N24" s="31"/>
      <c r="O24" s="16"/>
      <c r="P24" s="16"/>
      <c r="Q24" s="16"/>
      <c r="R24" s="33" t="e">
        <f t="shared" si="11"/>
        <v>#DIV/0!</v>
      </c>
      <c r="S24" s="32"/>
      <c r="T24" s="33" t="str">
        <f t="shared" si="24"/>
        <v/>
      </c>
      <c r="U24" s="33" t="str">
        <f t="shared" si="25"/>
        <v/>
      </c>
      <c r="V24" s="33" t="str">
        <f t="shared" si="26"/>
        <v/>
      </c>
      <c r="W24" s="33">
        <f t="shared" si="27"/>
        <v>0</v>
      </c>
      <c r="X24" s="31">
        <f t="shared" si="2"/>
        <v>20191</v>
      </c>
      <c r="Y24" s="31"/>
      <c r="Z24" s="16"/>
      <c r="AA24" s="16"/>
      <c r="AB24" s="16"/>
      <c r="AC24" s="33" t="e">
        <f t="shared" si="12"/>
        <v>#DIV/0!</v>
      </c>
      <c r="AD24" s="32"/>
      <c r="AE24" s="33" t="str">
        <f t="shared" si="28"/>
        <v/>
      </c>
      <c r="AF24" s="33" t="str">
        <f t="shared" si="29"/>
        <v/>
      </c>
      <c r="AG24" s="33" t="str">
        <f t="shared" si="30"/>
        <v/>
      </c>
      <c r="AH24" s="33">
        <f t="shared" si="31"/>
        <v>0</v>
      </c>
      <c r="AI24" s="31">
        <f t="shared" si="3"/>
        <v>20191</v>
      </c>
      <c r="AJ24" s="31"/>
      <c r="AK24" s="16"/>
      <c r="AL24" s="16"/>
      <c r="AM24" s="16"/>
      <c r="AN24" s="33" t="e">
        <f t="shared" si="13"/>
        <v>#DIV/0!</v>
      </c>
      <c r="AO24" s="32"/>
      <c r="AP24" s="33" t="str">
        <f t="shared" si="32"/>
        <v/>
      </c>
      <c r="AQ24" s="33" t="str">
        <f t="shared" si="33"/>
        <v/>
      </c>
      <c r="AR24" s="33" t="str">
        <f t="shared" si="34"/>
        <v/>
      </c>
      <c r="AS24" s="33">
        <f t="shared" si="35"/>
        <v>0</v>
      </c>
      <c r="AT24" s="31">
        <f t="shared" si="4"/>
        <v>20191</v>
      </c>
      <c r="AU24" s="31"/>
      <c r="AV24" s="16"/>
      <c r="AW24" s="16"/>
      <c r="AX24" s="16"/>
      <c r="AY24" s="33" t="e">
        <f t="shared" si="14"/>
        <v>#DIV/0!</v>
      </c>
      <c r="AZ24" s="32"/>
      <c r="BA24" s="33" t="str">
        <f t="shared" si="36"/>
        <v/>
      </c>
      <c r="BB24" s="33" t="str">
        <f t="shared" si="37"/>
        <v/>
      </c>
      <c r="BC24" s="33" t="str">
        <f t="shared" si="38"/>
        <v/>
      </c>
      <c r="BD24" s="33">
        <f t="shared" si="39"/>
        <v>0</v>
      </c>
      <c r="BE24" s="31">
        <f t="shared" si="5"/>
        <v>20191</v>
      </c>
      <c r="BF24" s="31"/>
      <c r="BG24" s="16"/>
      <c r="BH24" s="16"/>
      <c r="BI24" s="16"/>
      <c r="BJ24" s="33" t="e">
        <f t="shared" si="15"/>
        <v>#DIV/0!</v>
      </c>
      <c r="BK24" s="32"/>
      <c r="BL24" s="33" t="str">
        <f t="shared" si="40"/>
        <v/>
      </c>
      <c r="BM24" s="33" t="str">
        <f t="shared" si="41"/>
        <v/>
      </c>
      <c r="BN24" s="33" t="str">
        <f t="shared" si="42"/>
        <v/>
      </c>
      <c r="BO24" s="33">
        <f t="shared" si="43"/>
        <v>0</v>
      </c>
      <c r="BP24" s="31">
        <f t="shared" si="6"/>
        <v>20191</v>
      </c>
      <c r="BQ24" s="31"/>
      <c r="BR24" s="16"/>
      <c r="BS24" s="16"/>
      <c r="BT24" s="16"/>
      <c r="BU24" s="33" t="e">
        <f t="shared" si="16"/>
        <v>#DIV/0!</v>
      </c>
      <c r="BV24" s="32"/>
      <c r="BW24" s="33" t="str">
        <f t="shared" si="44"/>
        <v/>
      </c>
      <c r="BX24" s="33" t="str">
        <f t="shared" si="45"/>
        <v/>
      </c>
      <c r="BY24" s="33" t="str">
        <f t="shared" si="46"/>
        <v/>
      </c>
      <c r="BZ24" s="33">
        <f t="shared" si="47"/>
        <v>0</v>
      </c>
      <c r="CA24" s="31">
        <f t="shared" si="7"/>
        <v>20191</v>
      </c>
      <c r="CB24" s="31"/>
      <c r="CC24" s="16"/>
      <c r="CD24" s="16"/>
      <c r="CE24" s="16"/>
      <c r="CF24" s="33" t="e">
        <f t="shared" si="17"/>
        <v>#DIV/0!</v>
      </c>
      <c r="CG24" s="32"/>
      <c r="CH24" s="33" t="str">
        <f t="shared" si="48"/>
        <v/>
      </c>
      <c r="CI24" s="33" t="str">
        <f t="shared" si="49"/>
        <v/>
      </c>
      <c r="CJ24" s="33" t="str">
        <f t="shared" si="50"/>
        <v/>
      </c>
      <c r="CK24" s="33">
        <f t="shared" si="51"/>
        <v>0</v>
      </c>
      <c r="CL24" s="31">
        <f t="shared" si="8"/>
        <v>20191</v>
      </c>
      <c r="CM24" s="31"/>
      <c r="CN24" s="16"/>
      <c r="CO24" s="16"/>
      <c r="CP24" s="16"/>
      <c r="CQ24" s="33" t="e">
        <f t="shared" si="18"/>
        <v>#DIV/0!</v>
      </c>
      <c r="CR24" s="32"/>
      <c r="CS24" s="33" t="str">
        <f t="shared" si="52"/>
        <v/>
      </c>
      <c r="CT24" s="33" t="str">
        <f t="shared" si="53"/>
        <v/>
      </c>
      <c r="CU24" s="33" t="str">
        <f t="shared" si="54"/>
        <v/>
      </c>
      <c r="CV24" s="33">
        <f t="shared" si="55"/>
        <v>0</v>
      </c>
      <c r="CW24" s="31">
        <f t="shared" si="9"/>
        <v>20191</v>
      </c>
      <c r="CX24" s="31"/>
      <c r="CY24" s="16"/>
      <c r="CZ24" s="16"/>
      <c r="DA24" s="16"/>
      <c r="DB24" s="33" t="e">
        <f t="shared" si="19"/>
        <v>#DIV/0!</v>
      </c>
      <c r="DC24" s="32"/>
      <c r="DD24" s="33" t="str">
        <f t="shared" si="56"/>
        <v/>
      </c>
      <c r="DE24" s="33" t="str">
        <f t="shared" si="57"/>
        <v/>
      </c>
      <c r="DF24" s="33" t="str">
        <f t="shared" si="58"/>
        <v/>
      </c>
      <c r="DG24" s="33">
        <f t="shared" si="59"/>
        <v>0</v>
      </c>
    </row>
    <row r="25" spans="1:111" x14ac:dyDescent="0.25">
      <c r="A25" s="25">
        <v>15</v>
      </c>
      <c r="B25" s="31">
        <f t="shared" si="0"/>
        <v>20192</v>
      </c>
      <c r="C25" s="31"/>
      <c r="D25" s="14">
        <v>68462.17</v>
      </c>
      <c r="E25" s="14">
        <v>41659890.799999997</v>
      </c>
      <c r="F25" s="14">
        <v>46251593.920000002</v>
      </c>
      <c r="G25" s="33">
        <f t="shared" si="10"/>
        <v>675.5788477052364</v>
      </c>
      <c r="H25" s="32"/>
      <c r="I25" s="33">
        <f t="shared" si="20"/>
        <v>272862.94999999995</v>
      </c>
      <c r="J25" s="33">
        <f t="shared" si="21"/>
        <v>160158979.95999998</v>
      </c>
      <c r="K25" s="33">
        <f t="shared" si="22"/>
        <v>181112709.43000001</v>
      </c>
      <c r="L25" s="33">
        <f t="shared" si="23"/>
        <v>663.74973014841351</v>
      </c>
      <c r="M25" s="31">
        <f t="shared" si="1"/>
        <v>20192</v>
      </c>
      <c r="N25" s="31"/>
      <c r="O25" s="16"/>
      <c r="P25" s="16"/>
      <c r="Q25" s="16"/>
      <c r="R25" s="33" t="e">
        <f t="shared" si="11"/>
        <v>#DIV/0!</v>
      </c>
      <c r="S25" s="32"/>
      <c r="T25" s="33" t="str">
        <f t="shared" si="24"/>
        <v/>
      </c>
      <c r="U25" s="33" t="str">
        <f t="shared" si="25"/>
        <v/>
      </c>
      <c r="V25" s="33" t="str">
        <f t="shared" si="26"/>
        <v/>
      </c>
      <c r="W25" s="33">
        <f t="shared" si="27"/>
        <v>0</v>
      </c>
      <c r="X25" s="31">
        <f t="shared" si="2"/>
        <v>20192</v>
      </c>
      <c r="Y25" s="31"/>
      <c r="Z25" s="16"/>
      <c r="AA25" s="16"/>
      <c r="AB25" s="16"/>
      <c r="AC25" s="33" t="e">
        <f t="shared" si="12"/>
        <v>#DIV/0!</v>
      </c>
      <c r="AD25" s="32"/>
      <c r="AE25" s="33" t="str">
        <f t="shared" si="28"/>
        <v/>
      </c>
      <c r="AF25" s="33" t="str">
        <f t="shared" si="29"/>
        <v/>
      </c>
      <c r="AG25" s="33" t="str">
        <f t="shared" si="30"/>
        <v/>
      </c>
      <c r="AH25" s="33">
        <f t="shared" si="31"/>
        <v>0</v>
      </c>
      <c r="AI25" s="31">
        <f t="shared" si="3"/>
        <v>20192</v>
      </c>
      <c r="AJ25" s="31"/>
      <c r="AK25" s="16"/>
      <c r="AL25" s="16"/>
      <c r="AM25" s="16"/>
      <c r="AN25" s="33" t="e">
        <f t="shared" si="13"/>
        <v>#DIV/0!</v>
      </c>
      <c r="AO25" s="32"/>
      <c r="AP25" s="33" t="str">
        <f t="shared" si="32"/>
        <v/>
      </c>
      <c r="AQ25" s="33" t="str">
        <f t="shared" si="33"/>
        <v/>
      </c>
      <c r="AR25" s="33" t="str">
        <f t="shared" si="34"/>
        <v/>
      </c>
      <c r="AS25" s="33">
        <f t="shared" si="35"/>
        <v>0</v>
      </c>
      <c r="AT25" s="31">
        <f t="shared" si="4"/>
        <v>20192</v>
      </c>
      <c r="AU25" s="31"/>
      <c r="AV25" s="16"/>
      <c r="AW25" s="16"/>
      <c r="AX25" s="16"/>
      <c r="AY25" s="33" t="e">
        <f t="shared" si="14"/>
        <v>#DIV/0!</v>
      </c>
      <c r="AZ25" s="32"/>
      <c r="BA25" s="33" t="str">
        <f t="shared" si="36"/>
        <v/>
      </c>
      <c r="BB25" s="33" t="str">
        <f t="shared" si="37"/>
        <v/>
      </c>
      <c r="BC25" s="33" t="str">
        <f t="shared" si="38"/>
        <v/>
      </c>
      <c r="BD25" s="33">
        <f t="shared" si="39"/>
        <v>0</v>
      </c>
      <c r="BE25" s="31">
        <f t="shared" si="5"/>
        <v>20192</v>
      </c>
      <c r="BF25" s="31"/>
      <c r="BG25" s="16"/>
      <c r="BH25" s="16"/>
      <c r="BI25" s="16"/>
      <c r="BJ25" s="33" t="e">
        <f t="shared" si="15"/>
        <v>#DIV/0!</v>
      </c>
      <c r="BK25" s="32"/>
      <c r="BL25" s="33" t="str">
        <f t="shared" si="40"/>
        <v/>
      </c>
      <c r="BM25" s="33" t="str">
        <f t="shared" si="41"/>
        <v/>
      </c>
      <c r="BN25" s="33" t="str">
        <f t="shared" si="42"/>
        <v/>
      </c>
      <c r="BO25" s="33">
        <f t="shared" si="43"/>
        <v>0</v>
      </c>
      <c r="BP25" s="31">
        <f t="shared" si="6"/>
        <v>20192</v>
      </c>
      <c r="BQ25" s="31"/>
      <c r="BR25" s="16"/>
      <c r="BS25" s="16"/>
      <c r="BT25" s="16"/>
      <c r="BU25" s="33" t="e">
        <f t="shared" si="16"/>
        <v>#DIV/0!</v>
      </c>
      <c r="BV25" s="32"/>
      <c r="BW25" s="33" t="str">
        <f t="shared" si="44"/>
        <v/>
      </c>
      <c r="BX25" s="33" t="str">
        <f t="shared" si="45"/>
        <v/>
      </c>
      <c r="BY25" s="33" t="str">
        <f t="shared" si="46"/>
        <v/>
      </c>
      <c r="BZ25" s="33">
        <f t="shared" si="47"/>
        <v>0</v>
      </c>
      <c r="CA25" s="31">
        <f t="shared" si="7"/>
        <v>20192</v>
      </c>
      <c r="CB25" s="31"/>
      <c r="CC25" s="16"/>
      <c r="CD25" s="16"/>
      <c r="CE25" s="16"/>
      <c r="CF25" s="33" t="e">
        <f t="shared" si="17"/>
        <v>#DIV/0!</v>
      </c>
      <c r="CG25" s="32"/>
      <c r="CH25" s="33" t="str">
        <f t="shared" si="48"/>
        <v/>
      </c>
      <c r="CI25" s="33" t="str">
        <f t="shared" si="49"/>
        <v/>
      </c>
      <c r="CJ25" s="33" t="str">
        <f t="shared" si="50"/>
        <v/>
      </c>
      <c r="CK25" s="33">
        <f t="shared" si="51"/>
        <v>0</v>
      </c>
      <c r="CL25" s="31">
        <f t="shared" si="8"/>
        <v>20192</v>
      </c>
      <c r="CM25" s="31"/>
      <c r="CN25" s="16"/>
      <c r="CO25" s="16"/>
      <c r="CP25" s="16"/>
      <c r="CQ25" s="33" t="e">
        <f t="shared" si="18"/>
        <v>#DIV/0!</v>
      </c>
      <c r="CR25" s="32"/>
      <c r="CS25" s="33" t="str">
        <f t="shared" si="52"/>
        <v/>
      </c>
      <c r="CT25" s="33" t="str">
        <f t="shared" si="53"/>
        <v/>
      </c>
      <c r="CU25" s="33" t="str">
        <f t="shared" si="54"/>
        <v/>
      </c>
      <c r="CV25" s="33">
        <f t="shared" si="55"/>
        <v>0</v>
      </c>
      <c r="CW25" s="31">
        <f t="shared" si="9"/>
        <v>20192</v>
      </c>
      <c r="CX25" s="31"/>
      <c r="CY25" s="16"/>
      <c r="CZ25" s="16"/>
      <c r="DA25" s="16"/>
      <c r="DB25" s="33" t="e">
        <f t="shared" si="19"/>
        <v>#DIV/0!</v>
      </c>
      <c r="DC25" s="32"/>
      <c r="DD25" s="33" t="str">
        <f t="shared" si="56"/>
        <v/>
      </c>
      <c r="DE25" s="33" t="str">
        <f t="shared" si="57"/>
        <v/>
      </c>
      <c r="DF25" s="33" t="str">
        <f t="shared" si="58"/>
        <v/>
      </c>
      <c r="DG25" s="33">
        <f t="shared" si="59"/>
        <v>0</v>
      </c>
    </row>
    <row r="26" spans="1:111" x14ac:dyDescent="0.25">
      <c r="A26" s="25">
        <v>16</v>
      </c>
      <c r="B26" s="31">
        <f t="shared" si="0"/>
        <v>20193</v>
      </c>
      <c r="C26" s="31"/>
      <c r="D26" s="14">
        <v>68504.53</v>
      </c>
      <c r="E26" s="14">
        <v>42864417.539999999</v>
      </c>
      <c r="F26" s="14">
        <v>46772784.060000002</v>
      </c>
      <c r="G26" s="33">
        <f t="shared" si="10"/>
        <v>682.76921336443013</v>
      </c>
      <c r="H26" s="32"/>
      <c r="I26" s="33">
        <f t="shared" si="20"/>
        <v>273382.78000000003</v>
      </c>
      <c r="J26" s="33">
        <f t="shared" si="21"/>
        <v>164313189.90000001</v>
      </c>
      <c r="K26" s="33">
        <f t="shared" si="22"/>
        <v>183655210.38</v>
      </c>
      <c r="L26" s="33">
        <f t="shared" si="23"/>
        <v>671.78777822070572</v>
      </c>
      <c r="M26" s="31">
        <f t="shared" si="1"/>
        <v>20193</v>
      </c>
      <c r="N26" s="31"/>
      <c r="O26" s="16"/>
      <c r="P26" s="16"/>
      <c r="Q26" s="16"/>
      <c r="R26" s="33" t="e">
        <f t="shared" si="11"/>
        <v>#DIV/0!</v>
      </c>
      <c r="S26" s="32"/>
      <c r="T26" s="33" t="str">
        <f t="shared" si="24"/>
        <v/>
      </c>
      <c r="U26" s="33" t="str">
        <f t="shared" si="25"/>
        <v/>
      </c>
      <c r="V26" s="33" t="str">
        <f t="shared" si="26"/>
        <v/>
      </c>
      <c r="W26" s="33">
        <f t="shared" si="27"/>
        <v>0</v>
      </c>
      <c r="X26" s="31">
        <f t="shared" si="2"/>
        <v>20193</v>
      </c>
      <c r="Y26" s="31"/>
      <c r="Z26" s="16"/>
      <c r="AA26" s="16"/>
      <c r="AB26" s="16"/>
      <c r="AC26" s="33" t="e">
        <f t="shared" si="12"/>
        <v>#DIV/0!</v>
      </c>
      <c r="AD26" s="32"/>
      <c r="AE26" s="33" t="str">
        <f t="shared" si="28"/>
        <v/>
      </c>
      <c r="AF26" s="33" t="str">
        <f t="shared" si="29"/>
        <v/>
      </c>
      <c r="AG26" s="33" t="str">
        <f t="shared" si="30"/>
        <v/>
      </c>
      <c r="AH26" s="33">
        <f t="shared" si="31"/>
        <v>0</v>
      </c>
      <c r="AI26" s="31">
        <f t="shared" si="3"/>
        <v>20193</v>
      </c>
      <c r="AJ26" s="31"/>
      <c r="AK26" s="16"/>
      <c r="AL26" s="16"/>
      <c r="AM26" s="16"/>
      <c r="AN26" s="33" t="e">
        <f t="shared" si="13"/>
        <v>#DIV/0!</v>
      </c>
      <c r="AO26" s="32"/>
      <c r="AP26" s="33" t="str">
        <f t="shared" si="32"/>
        <v/>
      </c>
      <c r="AQ26" s="33" t="str">
        <f t="shared" si="33"/>
        <v/>
      </c>
      <c r="AR26" s="33" t="str">
        <f t="shared" si="34"/>
        <v/>
      </c>
      <c r="AS26" s="33">
        <f t="shared" si="35"/>
        <v>0</v>
      </c>
      <c r="AT26" s="31">
        <f t="shared" si="4"/>
        <v>20193</v>
      </c>
      <c r="AU26" s="31"/>
      <c r="AV26" s="16"/>
      <c r="AW26" s="16"/>
      <c r="AX26" s="16"/>
      <c r="AY26" s="33" t="e">
        <f t="shared" si="14"/>
        <v>#DIV/0!</v>
      </c>
      <c r="AZ26" s="32"/>
      <c r="BA26" s="33" t="str">
        <f t="shared" si="36"/>
        <v/>
      </c>
      <c r="BB26" s="33" t="str">
        <f t="shared" si="37"/>
        <v/>
      </c>
      <c r="BC26" s="33" t="str">
        <f t="shared" si="38"/>
        <v/>
      </c>
      <c r="BD26" s="33">
        <f t="shared" si="39"/>
        <v>0</v>
      </c>
      <c r="BE26" s="31">
        <f t="shared" si="5"/>
        <v>20193</v>
      </c>
      <c r="BF26" s="31"/>
      <c r="BG26" s="16"/>
      <c r="BH26" s="16"/>
      <c r="BI26" s="16"/>
      <c r="BJ26" s="33" t="e">
        <f t="shared" si="15"/>
        <v>#DIV/0!</v>
      </c>
      <c r="BK26" s="32"/>
      <c r="BL26" s="33" t="str">
        <f t="shared" si="40"/>
        <v/>
      </c>
      <c r="BM26" s="33" t="str">
        <f t="shared" si="41"/>
        <v/>
      </c>
      <c r="BN26" s="33" t="str">
        <f t="shared" si="42"/>
        <v/>
      </c>
      <c r="BO26" s="33">
        <f t="shared" si="43"/>
        <v>0</v>
      </c>
      <c r="BP26" s="31">
        <f t="shared" si="6"/>
        <v>20193</v>
      </c>
      <c r="BQ26" s="31"/>
      <c r="BR26" s="16"/>
      <c r="BS26" s="16"/>
      <c r="BT26" s="16"/>
      <c r="BU26" s="33" t="e">
        <f t="shared" si="16"/>
        <v>#DIV/0!</v>
      </c>
      <c r="BV26" s="32"/>
      <c r="BW26" s="33" t="str">
        <f t="shared" si="44"/>
        <v/>
      </c>
      <c r="BX26" s="33" t="str">
        <f t="shared" si="45"/>
        <v/>
      </c>
      <c r="BY26" s="33" t="str">
        <f t="shared" si="46"/>
        <v/>
      </c>
      <c r="BZ26" s="33">
        <f t="shared" si="47"/>
        <v>0</v>
      </c>
      <c r="CA26" s="31">
        <f t="shared" si="7"/>
        <v>20193</v>
      </c>
      <c r="CB26" s="31"/>
      <c r="CC26" s="16"/>
      <c r="CD26" s="16"/>
      <c r="CE26" s="16"/>
      <c r="CF26" s="33" t="e">
        <f t="shared" si="17"/>
        <v>#DIV/0!</v>
      </c>
      <c r="CG26" s="32"/>
      <c r="CH26" s="33" t="str">
        <f t="shared" si="48"/>
        <v/>
      </c>
      <c r="CI26" s="33" t="str">
        <f t="shared" si="49"/>
        <v/>
      </c>
      <c r="CJ26" s="33" t="str">
        <f t="shared" si="50"/>
        <v/>
      </c>
      <c r="CK26" s="33">
        <f t="shared" si="51"/>
        <v>0</v>
      </c>
      <c r="CL26" s="31">
        <f t="shared" si="8"/>
        <v>20193</v>
      </c>
      <c r="CM26" s="31"/>
      <c r="CN26" s="16"/>
      <c r="CO26" s="16"/>
      <c r="CP26" s="16"/>
      <c r="CQ26" s="33" t="e">
        <f t="shared" si="18"/>
        <v>#DIV/0!</v>
      </c>
      <c r="CR26" s="32"/>
      <c r="CS26" s="33" t="str">
        <f t="shared" si="52"/>
        <v/>
      </c>
      <c r="CT26" s="33" t="str">
        <f t="shared" si="53"/>
        <v/>
      </c>
      <c r="CU26" s="33" t="str">
        <f t="shared" si="54"/>
        <v/>
      </c>
      <c r="CV26" s="33">
        <f t="shared" si="55"/>
        <v>0</v>
      </c>
      <c r="CW26" s="31">
        <f t="shared" si="9"/>
        <v>20193</v>
      </c>
      <c r="CX26" s="31"/>
      <c r="CY26" s="16"/>
      <c r="CZ26" s="16"/>
      <c r="DA26" s="16"/>
      <c r="DB26" s="33" t="e">
        <f t="shared" si="19"/>
        <v>#DIV/0!</v>
      </c>
      <c r="DC26" s="32"/>
      <c r="DD26" s="33" t="str">
        <f t="shared" si="56"/>
        <v/>
      </c>
      <c r="DE26" s="33" t="str">
        <f t="shared" si="57"/>
        <v/>
      </c>
      <c r="DF26" s="33" t="str">
        <f t="shared" si="58"/>
        <v/>
      </c>
      <c r="DG26" s="33">
        <f t="shared" si="59"/>
        <v>0</v>
      </c>
    </row>
    <row r="27" spans="1:111" x14ac:dyDescent="0.25">
      <c r="A27" s="25">
        <v>17</v>
      </c>
      <c r="B27" s="31">
        <f t="shared" si="0"/>
        <v>20194</v>
      </c>
      <c r="C27" s="31"/>
      <c r="D27" s="14">
        <v>68583.149999999994</v>
      </c>
      <c r="E27" s="14">
        <v>44022163.909999996</v>
      </c>
      <c r="F27" s="14">
        <v>47295356.979999997</v>
      </c>
      <c r="G27" s="33">
        <f t="shared" si="10"/>
        <v>689.60607641964532</v>
      </c>
      <c r="H27" s="32"/>
      <c r="I27" s="33">
        <f t="shared" si="20"/>
        <v>273835.95999999996</v>
      </c>
      <c r="J27" s="33">
        <f t="shared" si="21"/>
        <v>168943907.45999998</v>
      </c>
      <c r="K27" s="33">
        <f t="shared" si="22"/>
        <v>185963707.88999999</v>
      </c>
      <c r="L27" s="33">
        <f t="shared" si="23"/>
        <v>679.10623531693943</v>
      </c>
      <c r="M27" s="31">
        <f t="shared" si="1"/>
        <v>20194</v>
      </c>
      <c r="N27" s="31"/>
      <c r="O27" s="16"/>
      <c r="P27" s="16"/>
      <c r="Q27" s="16"/>
      <c r="R27" s="33" t="e">
        <f t="shared" si="11"/>
        <v>#DIV/0!</v>
      </c>
      <c r="S27" s="32"/>
      <c r="T27" s="33" t="str">
        <f t="shared" si="24"/>
        <v/>
      </c>
      <c r="U27" s="33" t="str">
        <f t="shared" si="25"/>
        <v/>
      </c>
      <c r="V27" s="33" t="str">
        <f t="shared" si="26"/>
        <v/>
      </c>
      <c r="W27" s="33">
        <f t="shared" si="27"/>
        <v>0</v>
      </c>
      <c r="X27" s="31">
        <f t="shared" si="2"/>
        <v>20194</v>
      </c>
      <c r="Y27" s="31"/>
      <c r="Z27" s="16"/>
      <c r="AA27" s="16"/>
      <c r="AB27" s="16"/>
      <c r="AC27" s="33" t="e">
        <f t="shared" si="12"/>
        <v>#DIV/0!</v>
      </c>
      <c r="AD27" s="32"/>
      <c r="AE27" s="33" t="str">
        <f t="shared" si="28"/>
        <v/>
      </c>
      <c r="AF27" s="33" t="str">
        <f t="shared" si="29"/>
        <v/>
      </c>
      <c r="AG27" s="33" t="str">
        <f t="shared" si="30"/>
        <v/>
      </c>
      <c r="AH27" s="33">
        <f t="shared" si="31"/>
        <v>0</v>
      </c>
      <c r="AI27" s="31">
        <f t="shared" si="3"/>
        <v>20194</v>
      </c>
      <c r="AJ27" s="31"/>
      <c r="AK27" s="16"/>
      <c r="AL27" s="16"/>
      <c r="AM27" s="16"/>
      <c r="AN27" s="33" t="e">
        <f t="shared" si="13"/>
        <v>#DIV/0!</v>
      </c>
      <c r="AO27" s="32"/>
      <c r="AP27" s="33" t="str">
        <f t="shared" si="32"/>
        <v/>
      </c>
      <c r="AQ27" s="33" t="str">
        <f t="shared" si="33"/>
        <v/>
      </c>
      <c r="AR27" s="33" t="str">
        <f t="shared" si="34"/>
        <v/>
      </c>
      <c r="AS27" s="33">
        <f t="shared" si="35"/>
        <v>0</v>
      </c>
      <c r="AT27" s="31">
        <f t="shared" si="4"/>
        <v>20194</v>
      </c>
      <c r="AU27" s="31"/>
      <c r="AV27" s="16"/>
      <c r="AW27" s="16"/>
      <c r="AX27" s="16"/>
      <c r="AY27" s="33" t="e">
        <f t="shared" si="14"/>
        <v>#DIV/0!</v>
      </c>
      <c r="AZ27" s="32"/>
      <c r="BA27" s="33" t="str">
        <f t="shared" si="36"/>
        <v/>
      </c>
      <c r="BB27" s="33" t="str">
        <f t="shared" si="37"/>
        <v/>
      </c>
      <c r="BC27" s="33" t="str">
        <f t="shared" si="38"/>
        <v/>
      </c>
      <c r="BD27" s="33">
        <f t="shared" si="39"/>
        <v>0</v>
      </c>
      <c r="BE27" s="31">
        <f t="shared" si="5"/>
        <v>20194</v>
      </c>
      <c r="BF27" s="31"/>
      <c r="BG27" s="16"/>
      <c r="BH27" s="16"/>
      <c r="BI27" s="16"/>
      <c r="BJ27" s="33" t="e">
        <f t="shared" si="15"/>
        <v>#DIV/0!</v>
      </c>
      <c r="BK27" s="32"/>
      <c r="BL27" s="33" t="str">
        <f t="shared" si="40"/>
        <v/>
      </c>
      <c r="BM27" s="33" t="str">
        <f t="shared" si="41"/>
        <v/>
      </c>
      <c r="BN27" s="33" t="str">
        <f t="shared" si="42"/>
        <v/>
      </c>
      <c r="BO27" s="33">
        <f t="shared" si="43"/>
        <v>0</v>
      </c>
      <c r="BP27" s="31">
        <f t="shared" si="6"/>
        <v>20194</v>
      </c>
      <c r="BQ27" s="31"/>
      <c r="BR27" s="16"/>
      <c r="BS27" s="16"/>
      <c r="BT27" s="16"/>
      <c r="BU27" s="33" t="e">
        <f t="shared" si="16"/>
        <v>#DIV/0!</v>
      </c>
      <c r="BV27" s="32"/>
      <c r="BW27" s="33" t="str">
        <f t="shared" si="44"/>
        <v/>
      </c>
      <c r="BX27" s="33" t="str">
        <f t="shared" si="45"/>
        <v/>
      </c>
      <c r="BY27" s="33" t="str">
        <f t="shared" si="46"/>
        <v/>
      </c>
      <c r="BZ27" s="33">
        <f t="shared" si="47"/>
        <v>0</v>
      </c>
      <c r="CA27" s="31">
        <f t="shared" si="7"/>
        <v>20194</v>
      </c>
      <c r="CB27" s="31"/>
      <c r="CC27" s="16"/>
      <c r="CD27" s="16"/>
      <c r="CE27" s="16"/>
      <c r="CF27" s="33" t="e">
        <f t="shared" si="17"/>
        <v>#DIV/0!</v>
      </c>
      <c r="CG27" s="32"/>
      <c r="CH27" s="33" t="str">
        <f t="shared" si="48"/>
        <v/>
      </c>
      <c r="CI27" s="33" t="str">
        <f t="shared" si="49"/>
        <v/>
      </c>
      <c r="CJ27" s="33" t="str">
        <f t="shared" si="50"/>
        <v/>
      </c>
      <c r="CK27" s="33">
        <f t="shared" si="51"/>
        <v>0</v>
      </c>
      <c r="CL27" s="31">
        <f t="shared" si="8"/>
        <v>20194</v>
      </c>
      <c r="CM27" s="31"/>
      <c r="CN27" s="16"/>
      <c r="CO27" s="16"/>
      <c r="CP27" s="16"/>
      <c r="CQ27" s="33" t="e">
        <f t="shared" si="18"/>
        <v>#DIV/0!</v>
      </c>
      <c r="CR27" s="32"/>
      <c r="CS27" s="33" t="str">
        <f t="shared" si="52"/>
        <v/>
      </c>
      <c r="CT27" s="33" t="str">
        <f t="shared" si="53"/>
        <v/>
      </c>
      <c r="CU27" s="33" t="str">
        <f t="shared" si="54"/>
        <v/>
      </c>
      <c r="CV27" s="33">
        <f t="shared" si="55"/>
        <v>0</v>
      </c>
      <c r="CW27" s="31">
        <f t="shared" si="9"/>
        <v>20194</v>
      </c>
      <c r="CX27" s="31"/>
      <c r="CY27" s="16"/>
      <c r="CZ27" s="16"/>
      <c r="DA27" s="16"/>
      <c r="DB27" s="33" t="e">
        <f t="shared" si="19"/>
        <v>#DIV/0!</v>
      </c>
      <c r="DC27" s="32"/>
      <c r="DD27" s="33" t="str">
        <f t="shared" si="56"/>
        <v/>
      </c>
      <c r="DE27" s="33" t="str">
        <f t="shared" si="57"/>
        <v/>
      </c>
      <c r="DF27" s="33" t="str">
        <f t="shared" si="58"/>
        <v/>
      </c>
      <c r="DG27" s="33">
        <f t="shared" si="59"/>
        <v>0</v>
      </c>
    </row>
    <row r="28" spans="1:111" x14ac:dyDescent="0.25">
      <c r="A28" s="25">
        <v>18</v>
      </c>
      <c r="B28" s="31">
        <f t="shared" si="0"/>
        <v>20201</v>
      </c>
      <c r="C28" s="31"/>
      <c r="D28" s="14">
        <v>68655.37000000001</v>
      </c>
      <c r="E28" s="14">
        <v>44698623.979999997</v>
      </c>
      <c r="F28" s="14">
        <v>47778359.159999996</v>
      </c>
      <c r="G28" s="33">
        <f t="shared" si="10"/>
        <v>695.91583527989133</v>
      </c>
      <c r="H28" s="32"/>
      <c r="I28" s="33">
        <f t="shared" si="20"/>
        <v>274205.22000000003</v>
      </c>
      <c r="J28" s="33">
        <f t="shared" si="21"/>
        <v>173245096.22999999</v>
      </c>
      <c r="K28" s="33">
        <f t="shared" si="22"/>
        <v>188098094.12</v>
      </c>
      <c r="L28" s="33">
        <f t="shared" si="23"/>
        <v>685.97561388510394</v>
      </c>
      <c r="M28" s="31">
        <f t="shared" si="1"/>
        <v>20201</v>
      </c>
      <c r="N28" s="31"/>
      <c r="O28" s="16"/>
      <c r="P28" s="16"/>
      <c r="Q28" s="16"/>
      <c r="R28" s="33" t="e">
        <f t="shared" si="11"/>
        <v>#DIV/0!</v>
      </c>
      <c r="S28" s="32"/>
      <c r="T28" s="33" t="str">
        <f t="shared" si="24"/>
        <v/>
      </c>
      <c r="U28" s="33" t="str">
        <f t="shared" si="25"/>
        <v/>
      </c>
      <c r="V28" s="33" t="str">
        <f t="shared" si="26"/>
        <v/>
      </c>
      <c r="W28" s="33">
        <f t="shared" si="27"/>
        <v>0</v>
      </c>
      <c r="X28" s="31">
        <f t="shared" si="2"/>
        <v>20201</v>
      </c>
      <c r="Y28" s="31"/>
      <c r="Z28" s="16"/>
      <c r="AA28" s="16"/>
      <c r="AB28" s="16"/>
      <c r="AC28" s="33" t="e">
        <f t="shared" si="12"/>
        <v>#DIV/0!</v>
      </c>
      <c r="AD28" s="32"/>
      <c r="AE28" s="33" t="str">
        <f t="shared" si="28"/>
        <v/>
      </c>
      <c r="AF28" s="33" t="str">
        <f t="shared" si="29"/>
        <v/>
      </c>
      <c r="AG28" s="33" t="str">
        <f t="shared" si="30"/>
        <v/>
      </c>
      <c r="AH28" s="33">
        <f t="shared" si="31"/>
        <v>0</v>
      </c>
      <c r="AI28" s="31">
        <f t="shared" si="3"/>
        <v>20201</v>
      </c>
      <c r="AJ28" s="31"/>
      <c r="AK28" s="16"/>
      <c r="AL28" s="16"/>
      <c r="AM28" s="16"/>
      <c r="AN28" s="33" t="e">
        <f t="shared" si="13"/>
        <v>#DIV/0!</v>
      </c>
      <c r="AO28" s="32"/>
      <c r="AP28" s="33" t="str">
        <f t="shared" si="32"/>
        <v/>
      </c>
      <c r="AQ28" s="33" t="str">
        <f t="shared" si="33"/>
        <v/>
      </c>
      <c r="AR28" s="33" t="str">
        <f t="shared" si="34"/>
        <v/>
      </c>
      <c r="AS28" s="33">
        <f t="shared" si="35"/>
        <v>0</v>
      </c>
      <c r="AT28" s="31">
        <f t="shared" si="4"/>
        <v>20201</v>
      </c>
      <c r="AU28" s="31"/>
      <c r="AV28" s="16"/>
      <c r="AW28" s="16"/>
      <c r="AX28" s="16"/>
      <c r="AY28" s="33" t="e">
        <f t="shared" si="14"/>
        <v>#DIV/0!</v>
      </c>
      <c r="AZ28" s="32"/>
      <c r="BA28" s="33" t="str">
        <f t="shared" si="36"/>
        <v/>
      </c>
      <c r="BB28" s="33" t="str">
        <f t="shared" si="37"/>
        <v/>
      </c>
      <c r="BC28" s="33" t="str">
        <f t="shared" si="38"/>
        <v/>
      </c>
      <c r="BD28" s="33">
        <f t="shared" si="39"/>
        <v>0</v>
      </c>
      <c r="BE28" s="31">
        <f t="shared" si="5"/>
        <v>20201</v>
      </c>
      <c r="BF28" s="31"/>
      <c r="BG28" s="16"/>
      <c r="BH28" s="16"/>
      <c r="BI28" s="16"/>
      <c r="BJ28" s="33" t="e">
        <f t="shared" si="15"/>
        <v>#DIV/0!</v>
      </c>
      <c r="BK28" s="32"/>
      <c r="BL28" s="33" t="str">
        <f t="shared" si="40"/>
        <v/>
      </c>
      <c r="BM28" s="33" t="str">
        <f t="shared" si="41"/>
        <v/>
      </c>
      <c r="BN28" s="33" t="str">
        <f t="shared" si="42"/>
        <v/>
      </c>
      <c r="BO28" s="33">
        <f t="shared" si="43"/>
        <v>0</v>
      </c>
      <c r="BP28" s="31">
        <f t="shared" si="6"/>
        <v>20201</v>
      </c>
      <c r="BQ28" s="31"/>
      <c r="BR28" s="16"/>
      <c r="BS28" s="16"/>
      <c r="BT28" s="16"/>
      <c r="BU28" s="33" t="e">
        <f t="shared" si="16"/>
        <v>#DIV/0!</v>
      </c>
      <c r="BV28" s="32"/>
      <c r="BW28" s="33" t="str">
        <f t="shared" si="44"/>
        <v/>
      </c>
      <c r="BX28" s="33" t="str">
        <f t="shared" si="45"/>
        <v/>
      </c>
      <c r="BY28" s="33" t="str">
        <f t="shared" si="46"/>
        <v/>
      </c>
      <c r="BZ28" s="33">
        <f t="shared" si="47"/>
        <v>0</v>
      </c>
      <c r="CA28" s="31">
        <f t="shared" si="7"/>
        <v>20201</v>
      </c>
      <c r="CB28" s="31"/>
      <c r="CC28" s="16"/>
      <c r="CD28" s="16"/>
      <c r="CE28" s="16"/>
      <c r="CF28" s="33" t="e">
        <f t="shared" si="17"/>
        <v>#DIV/0!</v>
      </c>
      <c r="CG28" s="32"/>
      <c r="CH28" s="33" t="str">
        <f t="shared" si="48"/>
        <v/>
      </c>
      <c r="CI28" s="33" t="str">
        <f t="shared" si="49"/>
        <v/>
      </c>
      <c r="CJ28" s="33" t="str">
        <f t="shared" si="50"/>
        <v/>
      </c>
      <c r="CK28" s="33">
        <f t="shared" si="51"/>
        <v>0</v>
      </c>
      <c r="CL28" s="31">
        <f t="shared" si="8"/>
        <v>20201</v>
      </c>
      <c r="CM28" s="31"/>
      <c r="CN28" s="16"/>
      <c r="CO28" s="16"/>
      <c r="CP28" s="16"/>
      <c r="CQ28" s="33" t="e">
        <f t="shared" si="18"/>
        <v>#DIV/0!</v>
      </c>
      <c r="CR28" s="32"/>
      <c r="CS28" s="33" t="str">
        <f t="shared" si="52"/>
        <v/>
      </c>
      <c r="CT28" s="33" t="str">
        <f t="shared" si="53"/>
        <v/>
      </c>
      <c r="CU28" s="33" t="str">
        <f t="shared" si="54"/>
        <v/>
      </c>
      <c r="CV28" s="33">
        <f t="shared" si="55"/>
        <v>0</v>
      </c>
      <c r="CW28" s="31">
        <f t="shared" si="9"/>
        <v>20201</v>
      </c>
      <c r="CX28" s="31"/>
      <c r="CY28" s="16"/>
      <c r="CZ28" s="16"/>
      <c r="DA28" s="16"/>
      <c r="DB28" s="33" t="e">
        <f t="shared" si="19"/>
        <v>#DIV/0!</v>
      </c>
      <c r="DC28" s="32"/>
      <c r="DD28" s="33" t="str">
        <f t="shared" si="56"/>
        <v/>
      </c>
      <c r="DE28" s="33" t="str">
        <f t="shared" si="57"/>
        <v/>
      </c>
      <c r="DF28" s="33" t="str">
        <f t="shared" si="58"/>
        <v/>
      </c>
      <c r="DG28" s="33">
        <f t="shared" si="59"/>
        <v>0</v>
      </c>
    </row>
    <row r="29" spans="1:111" x14ac:dyDescent="0.25">
      <c r="A29" s="25">
        <v>19</v>
      </c>
      <c r="B29" s="31">
        <f t="shared" si="0"/>
        <v>20202</v>
      </c>
      <c r="C29" s="31"/>
      <c r="D29" s="14">
        <v>69084.61</v>
      </c>
      <c r="E29" s="14">
        <v>45406216.329999998</v>
      </c>
      <c r="F29" s="14">
        <v>48534704.68</v>
      </c>
      <c r="G29" s="33">
        <f t="shared" si="10"/>
        <v>702.54004010444578</v>
      </c>
      <c r="H29" s="32"/>
      <c r="I29" s="33">
        <f t="shared" si="20"/>
        <v>274827.65999999997</v>
      </c>
      <c r="J29" s="33">
        <f t="shared" si="21"/>
        <v>176991421.75999999</v>
      </c>
      <c r="K29" s="33">
        <f t="shared" si="22"/>
        <v>190381204.88</v>
      </c>
      <c r="L29" s="33">
        <f t="shared" si="23"/>
        <v>692.72941770126056</v>
      </c>
      <c r="M29" s="31">
        <f t="shared" si="1"/>
        <v>20202</v>
      </c>
      <c r="N29" s="31"/>
      <c r="O29" s="16"/>
      <c r="P29" s="16"/>
      <c r="Q29" s="16"/>
      <c r="R29" s="33" t="e">
        <f t="shared" si="11"/>
        <v>#DIV/0!</v>
      </c>
      <c r="S29" s="32"/>
      <c r="T29" s="33" t="str">
        <f t="shared" si="24"/>
        <v/>
      </c>
      <c r="U29" s="33" t="str">
        <f t="shared" si="25"/>
        <v/>
      </c>
      <c r="V29" s="33" t="str">
        <f t="shared" si="26"/>
        <v/>
      </c>
      <c r="W29" s="33">
        <f t="shared" si="27"/>
        <v>0</v>
      </c>
      <c r="X29" s="31">
        <f t="shared" si="2"/>
        <v>20202</v>
      </c>
      <c r="Y29" s="31"/>
      <c r="Z29" s="16"/>
      <c r="AA29" s="16"/>
      <c r="AB29" s="16"/>
      <c r="AC29" s="33" t="e">
        <f t="shared" si="12"/>
        <v>#DIV/0!</v>
      </c>
      <c r="AD29" s="32"/>
      <c r="AE29" s="33" t="str">
        <f t="shared" si="28"/>
        <v/>
      </c>
      <c r="AF29" s="33" t="str">
        <f t="shared" si="29"/>
        <v/>
      </c>
      <c r="AG29" s="33" t="str">
        <f t="shared" si="30"/>
        <v/>
      </c>
      <c r="AH29" s="33">
        <f t="shared" si="31"/>
        <v>0</v>
      </c>
      <c r="AI29" s="31">
        <f t="shared" si="3"/>
        <v>20202</v>
      </c>
      <c r="AJ29" s="31"/>
      <c r="AK29" s="16"/>
      <c r="AL29" s="16"/>
      <c r="AM29" s="16"/>
      <c r="AN29" s="33" t="e">
        <f t="shared" si="13"/>
        <v>#DIV/0!</v>
      </c>
      <c r="AO29" s="32"/>
      <c r="AP29" s="33" t="str">
        <f t="shared" si="32"/>
        <v/>
      </c>
      <c r="AQ29" s="33" t="str">
        <f t="shared" si="33"/>
        <v/>
      </c>
      <c r="AR29" s="33" t="str">
        <f t="shared" si="34"/>
        <v/>
      </c>
      <c r="AS29" s="33">
        <f t="shared" si="35"/>
        <v>0</v>
      </c>
      <c r="AT29" s="31">
        <f t="shared" si="4"/>
        <v>20202</v>
      </c>
      <c r="AU29" s="31"/>
      <c r="AV29" s="16"/>
      <c r="AW29" s="16"/>
      <c r="AX29" s="16"/>
      <c r="AY29" s="33" t="e">
        <f t="shared" si="14"/>
        <v>#DIV/0!</v>
      </c>
      <c r="AZ29" s="32"/>
      <c r="BA29" s="33" t="str">
        <f t="shared" si="36"/>
        <v/>
      </c>
      <c r="BB29" s="33" t="str">
        <f t="shared" si="37"/>
        <v/>
      </c>
      <c r="BC29" s="33" t="str">
        <f t="shared" si="38"/>
        <v/>
      </c>
      <c r="BD29" s="33">
        <f t="shared" si="39"/>
        <v>0</v>
      </c>
      <c r="BE29" s="31">
        <f t="shared" si="5"/>
        <v>20202</v>
      </c>
      <c r="BF29" s="31"/>
      <c r="BG29" s="16"/>
      <c r="BH29" s="16"/>
      <c r="BI29" s="16"/>
      <c r="BJ29" s="33" t="e">
        <f t="shared" si="15"/>
        <v>#DIV/0!</v>
      </c>
      <c r="BK29" s="32"/>
      <c r="BL29" s="33" t="str">
        <f t="shared" si="40"/>
        <v/>
      </c>
      <c r="BM29" s="33" t="str">
        <f t="shared" si="41"/>
        <v/>
      </c>
      <c r="BN29" s="33" t="str">
        <f t="shared" si="42"/>
        <v/>
      </c>
      <c r="BO29" s="33">
        <f t="shared" si="43"/>
        <v>0</v>
      </c>
      <c r="BP29" s="31">
        <f t="shared" si="6"/>
        <v>20202</v>
      </c>
      <c r="BQ29" s="31"/>
      <c r="BR29" s="16"/>
      <c r="BS29" s="16"/>
      <c r="BT29" s="16"/>
      <c r="BU29" s="33" t="e">
        <f t="shared" si="16"/>
        <v>#DIV/0!</v>
      </c>
      <c r="BV29" s="32"/>
      <c r="BW29" s="33" t="str">
        <f t="shared" si="44"/>
        <v/>
      </c>
      <c r="BX29" s="33" t="str">
        <f t="shared" si="45"/>
        <v/>
      </c>
      <c r="BY29" s="33" t="str">
        <f t="shared" si="46"/>
        <v/>
      </c>
      <c r="BZ29" s="33">
        <f t="shared" si="47"/>
        <v>0</v>
      </c>
      <c r="CA29" s="31">
        <f t="shared" si="7"/>
        <v>20202</v>
      </c>
      <c r="CB29" s="31"/>
      <c r="CC29" s="16"/>
      <c r="CD29" s="16"/>
      <c r="CE29" s="16"/>
      <c r="CF29" s="33" t="e">
        <f t="shared" si="17"/>
        <v>#DIV/0!</v>
      </c>
      <c r="CG29" s="32"/>
      <c r="CH29" s="33" t="str">
        <f t="shared" si="48"/>
        <v/>
      </c>
      <c r="CI29" s="33" t="str">
        <f t="shared" si="49"/>
        <v/>
      </c>
      <c r="CJ29" s="33" t="str">
        <f t="shared" si="50"/>
        <v/>
      </c>
      <c r="CK29" s="33">
        <f t="shared" si="51"/>
        <v>0</v>
      </c>
      <c r="CL29" s="31">
        <f t="shared" si="8"/>
        <v>20202</v>
      </c>
      <c r="CM29" s="31"/>
      <c r="CN29" s="16"/>
      <c r="CO29" s="16"/>
      <c r="CP29" s="16"/>
      <c r="CQ29" s="33" t="e">
        <f t="shared" si="18"/>
        <v>#DIV/0!</v>
      </c>
      <c r="CR29" s="32"/>
      <c r="CS29" s="33" t="str">
        <f t="shared" si="52"/>
        <v/>
      </c>
      <c r="CT29" s="33" t="str">
        <f t="shared" si="53"/>
        <v/>
      </c>
      <c r="CU29" s="33" t="str">
        <f t="shared" si="54"/>
        <v/>
      </c>
      <c r="CV29" s="33">
        <f t="shared" si="55"/>
        <v>0</v>
      </c>
      <c r="CW29" s="31">
        <f t="shared" si="9"/>
        <v>20202</v>
      </c>
      <c r="CX29" s="31"/>
      <c r="CY29" s="16"/>
      <c r="CZ29" s="16"/>
      <c r="DA29" s="16"/>
      <c r="DB29" s="33" t="e">
        <f t="shared" si="19"/>
        <v>#DIV/0!</v>
      </c>
      <c r="DC29" s="32"/>
      <c r="DD29" s="33" t="str">
        <f t="shared" si="56"/>
        <v/>
      </c>
      <c r="DE29" s="33" t="str">
        <f t="shared" si="57"/>
        <v/>
      </c>
      <c r="DF29" s="33" t="str">
        <f t="shared" si="58"/>
        <v/>
      </c>
      <c r="DG29" s="33">
        <f t="shared" si="59"/>
        <v>0</v>
      </c>
    </row>
    <row r="30" spans="1:111" x14ac:dyDescent="0.25">
      <c r="A30" s="25">
        <v>20</v>
      </c>
      <c r="B30" s="31">
        <f t="shared" si="0"/>
        <v>20203</v>
      </c>
      <c r="C30" s="31"/>
      <c r="D30" s="14">
        <v>68695.34</v>
      </c>
      <c r="E30" s="14">
        <v>45885495.239999987</v>
      </c>
      <c r="F30" s="14">
        <v>49047005.799999997</v>
      </c>
      <c r="G30" s="33">
        <f t="shared" si="10"/>
        <v>713.97864542194566</v>
      </c>
      <c r="H30" s="32"/>
      <c r="I30" s="33">
        <f t="shared" si="20"/>
        <v>275018.46999999997</v>
      </c>
      <c r="J30" s="33">
        <f t="shared" si="21"/>
        <v>180012499.45999998</v>
      </c>
      <c r="K30" s="33">
        <f t="shared" si="22"/>
        <v>192655426.62</v>
      </c>
      <c r="L30" s="33">
        <f t="shared" si="23"/>
        <v>700.51813836357985</v>
      </c>
      <c r="M30" s="31">
        <f t="shared" si="1"/>
        <v>20203</v>
      </c>
      <c r="N30" s="31"/>
      <c r="O30" s="16"/>
      <c r="P30" s="16"/>
      <c r="Q30" s="16"/>
      <c r="R30" s="33" t="e">
        <f t="shared" si="11"/>
        <v>#DIV/0!</v>
      </c>
      <c r="S30" s="32"/>
      <c r="T30" s="33" t="str">
        <f t="shared" si="24"/>
        <v/>
      </c>
      <c r="U30" s="33" t="str">
        <f t="shared" si="25"/>
        <v/>
      </c>
      <c r="V30" s="33" t="str">
        <f t="shared" si="26"/>
        <v/>
      </c>
      <c r="W30" s="33">
        <f t="shared" si="27"/>
        <v>0</v>
      </c>
      <c r="X30" s="31">
        <f t="shared" si="2"/>
        <v>20203</v>
      </c>
      <c r="Y30" s="31"/>
      <c r="Z30" s="16"/>
      <c r="AA30" s="16"/>
      <c r="AB30" s="16"/>
      <c r="AC30" s="33" t="e">
        <f t="shared" si="12"/>
        <v>#DIV/0!</v>
      </c>
      <c r="AD30" s="32"/>
      <c r="AE30" s="33" t="str">
        <f t="shared" si="28"/>
        <v/>
      </c>
      <c r="AF30" s="33" t="str">
        <f t="shared" si="29"/>
        <v/>
      </c>
      <c r="AG30" s="33" t="str">
        <f t="shared" si="30"/>
        <v/>
      </c>
      <c r="AH30" s="33">
        <f t="shared" si="31"/>
        <v>0</v>
      </c>
      <c r="AI30" s="31">
        <f t="shared" si="3"/>
        <v>20203</v>
      </c>
      <c r="AJ30" s="31"/>
      <c r="AK30" s="16"/>
      <c r="AL30" s="16"/>
      <c r="AM30" s="16"/>
      <c r="AN30" s="33" t="e">
        <f t="shared" si="13"/>
        <v>#DIV/0!</v>
      </c>
      <c r="AO30" s="32"/>
      <c r="AP30" s="33" t="str">
        <f t="shared" si="32"/>
        <v/>
      </c>
      <c r="AQ30" s="33" t="str">
        <f t="shared" si="33"/>
        <v/>
      </c>
      <c r="AR30" s="33" t="str">
        <f t="shared" si="34"/>
        <v/>
      </c>
      <c r="AS30" s="33">
        <f t="shared" si="35"/>
        <v>0</v>
      </c>
      <c r="AT30" s="31">
        <f t="shared" si="4"/>
        <v>20203</v>
      </c>
      <c r="AU30" s="31"/>
      <c r="AV30" s="16"/>
      <c r="AW30" s="16"/>
      <c r="AX30" s="16"/>
      <c r="AY30" s="33" t="e">
        <f t="shared" si="14"/>
        <v>#DIV/0!</v>
      </c>
      <c r="AZ30" s="32"/>
      <c r="BA30" s="33" t="str">
        <f t="shared" si="36"/>
        <v/>
      </c>
      <c r="BB30" s="33" t="str">
        <f t="shared" si="37"/>
        <v/>
      </c>
      <c r="BC30" s="33" t="str">
        <f t="shared" si="38"/>
        <v/>
      </c>
      <c r="BD30" s="33">
        <f t="shared" si="39"/>
        <v>0</v>
      </c>
      <c r="BE30" s="31">
        <f t="shared" si="5"/>
        <v>20203</v>
      </c>
      <c r="BF30" s="31"/>
      <c r="BG30" s="16"/>
      <c r="BH30" s="16"/>
      <c r="BI30" s="16"/>
      <c r="BJ30" s="33" t="e">
        <f t="shared" si="15"/>
        <v>#DIV/0!</v>
      </c>
      <c r="BK30" s="32"/>
      <c r="BL30" s="33" t="str">
        <f t="shared" si="40"/>
        <v/>
      </c>
      <c r="BM30" s="33" t="str">
        <f t="shared" si="41"/>
        <v/>
      </c>
      <c r="BN30" s="33" t="str">
        <f t="shared" si="42"/>
        <v/>
      </c>
      <c r="BO30" s="33">
        <f t="shared" si="43"/>
        <v>0</v>
      </c>
      <c r="BP30" s="31">
        <f t="shared" si="6"/>
        <v>20203</v>
      </c>
      <c r="BQ30" s="31"/>
      <c r="BR30" s="16"/>
      <c r="BS30" s="16"/>
      <c r="BT30" s="16"/>
      <c r="BU30" s="33" t="e">
        <f t="shared" si="16"/>
        <v>#DIV/0!</v>
      </c>
      <c r="BV30" s="32"/>
      <c r="BW30" s="33" t="str">
        <f t="shared" si="44"/>
        <v/>
      </c>
      <c r="BX30" s="33" t="str">
        <f t="shared" si="45"/>
        <v/>
      </c>
      <c r="BY30" s="33" t="str">
        <f t="shared" si="46"/>
        <v/>
      </c>
      <c r="BZ30" s="33">
        <f t="shared" si="47"/>
        <v>0</v>
      </c>
      <c r="CA30" s="31">
        <f t="shared" si="7"/>
        <v>20203</v>
      </c>
      <c r="CB30" s="31"/>
      <c r="CC30" s="16"/>
      <c r="CD30" s="16"/>
      <c r="CE30" s="16"/>
      <c r="CF30" s="33" t="e">
        <f t="shared" si="17"/>
        <v>#DIV/0!</v>
      </c>
      <c r="CG30" s="32"/>
      <c r="CH30" s="33" t="str">
        <f t="shared" si="48"/>
        <v/>
      </c>
      <c r="CI30" s="33" t="str">
        <f t="shared" si="49"/>
        <v/>
      </c>
      <c r="CJ30" s="33" t="str">
        <f t="shared" si="50"/>
        <v/>
      </c>
      <c r="CK30" s="33">
        <f t="shared" si="51"/>
        <v>0</v>
      </c>
      <c r="CL30" s="31">
        <f t="shared" si="8"/>
        <v>20203</v>
      </c>
      <c r="CM30" s="31"/>
      <c r="CN30" s="16"/>
      <c r="CO30" s="16"/>
      <c r="CP30" s="16"/>
      <c r="CQ30" s="33" t="e">
        <f t="shared" si="18"/>
        <v>#DIV/0!</v>
      </c>
      <c r="CR30" s="32"/>
      <c r="CS30" s="33" t="str">
        <f t="shared" si="52"/>
        <v/>
      </c>
      <c r="CT30" s="33" t="str">
        <f t="shared" si="53"/>
        <v/>
      </c>
      <c r="CU30" s="33" t="str">
        <f t="shared" si="54"/>
        <v/>
      </c>
      <c r="CV30" s="33">
        <f t="shared" si="55"/>
        <v>0</v>
      </c>
      <c r="CW30" s="31">
        <f t="shared" si="9"/>
        <v>20203</v>
      </c>
      <c r="CX30" s="31"/>
      <c r="CY30" s="16"/>
      <c r="CZ30" s="16"/>
      <c r="DA30" s="16"/>
      <c r="DB30" s="33" t="e">
        <f t="shared" si="19"/>
        <v>#DIV/0!</v>
      </c>
      <c r="DC30" s="32"/>
      <c r="DD30" s="33" t="str">
        <f t="shared" si="56"/>
        <v/>
      </c>
      <c r="DE30" s="33" t="str">
        <f t="shared" si="57"/>
        <v/>
      </c>
      <c r="DF30" s="33" t="str">
        <f t="shared" si="58"/>
        <v/>
      </c>
      <c r="DG30" s="33">
        <f t="shared" si="59"/>
        <v>0</v>
      </c>
    </row>
    <row r="31" spans="1:111" x14ac:dyDescent="0.25">
      <c r="A31" s="25">
        <v>21</v>
      </c>
      <c r="B31" s="31">
        <f t="shared" si="0"/>
        <v>20204</v>
      </c>
      <c r="C31" s="31"/>
      <c r="D31" s="14">
        <v>68877.820000000007</v>
      </c>
      <c r="E31" s="14">
        <v>46609076.459999993</v>
      </c>
      <c r="F31" s="14">
        <v>49820441.759999998</v>
      </c>
      <c r="G31" s="33">
        <f t="shared" si="10"/>
        <v>723.31618160969663</v>
      </c>
      <c r="H31" s="32"/>
      <c r="I31" s="33">
        <f t="shared" si="20"/>
        <v>275313.14</v>
      </c>
      <c r="J31" s="33">
        <f t="shared" si="21"/>
        <v>182599412.00999999</v>
      </c>
      <c r="K31" s="33">
        <f t="shared" si="22"/>
        <v>195180511.39999998</v>
      </c>
      <c r="L31" s="33">
        <f t="shared" si="23"/>
        <v>708.94005059111953</v>
      </c>
      <c r="M31" s="31">
        <f t="shared" si="1"/>
        <v>20204</v>
      </c>
      <c r="N31" s="31"/>
      <c r="O31" s="16"/>
      <c r="P31" s="16"/>
      <c r="Q31" s="16"/>
      <c r="R31" s="33" t="e">
        <f t="shared" si="11"/>
        <v>#DIV/0!</v>
      </c>
      <c r="S31" s="32"/>
      <c r="T31" s="33" t="str">
        <f t="shared" si="24"/>
        <v/>
      </c>
      <c r="U31" s="33" t="str">
        <f t="shared" si="25"/>
        <v/>
      </c>
      <c r="V31" s="33" t="str">
        <f t="shared" si="26"/>
        <v/>
      </c>
      <c r="W31" s="33">
        <f t="shared" si="27"/>
        <v>0</v>
      </c>
      <c r="X31" s="31">
        <f t="shared" si="2"/>
        <v>20204</v>
      </c>
      <c r="Y31" s="31"/>
      <c r="Z31" s="16"/>
      <c r="AA31" s="16"/>
      <c r="AB31" s="16"/>
      <c r="AC31" s="33" t="e">
        <f t="shared" si="12"/>
        <v>#DIV/0!</v>
      </c>
      <c r="AD31" s="32"/>
      <c r="AE31" s="33" t="str">
        <f t="shared" si="28"/>
        <v/>
      </c>
      <c r="AF31" s="33" t="str">
        <f t="shared" si="29"/>
        <v/>
      </c>
      <c r="AG31" s="33" t="str">
        <f t="shared" si="30"/>
        <v/>
      </c>
      <c r="AH31" s="33">
        <f t="shared" si="31"/>
        <v>0</v>
      </c>
      <c r="AI31" s="31">
        <f t="shared" si="3"/>
        <v>20204</v>
      </c>
      <c r="AJ31" s="31"/>
      <c r="AK31" s="16"/>
      <c r="AL31" s="16"/>
      <c r="AM31" s="16"/>
      <c r="AN31" s="33" t="e">
        <f t="shared" si="13"/>
        <v>#DIV/0!</v>
      </c>
      <c r="AO31" s="32"/>
      <c r="AP31" s="33" t="str">
        <f t="shared" si="32"/>
        <v/>
      </c>
      <c r="AQ31" s="33" t="str">
        <f t="shared" si="33"/>
        <v/>
      </c>
      <c r="AR31" s="33" t="str">
        <f t="shared" si="34"/>
        <v/>
      </c>
      <c r="AS31" s="33">
        <f t="shared" si="35"/>
        <v>0</v>
      </c>
      <c r="AT31" s="31">
        <f t="shared" si="4"/>
        <v>20204</v>
      </c>
      <c r="AU31" s="31"/>
      <c r="AV31" s="16"/>
      <c r="AW31" s="16"/>
      <c r="AX31" s="16"/>
      <c r="AY31" s="33" t="e">
        <f t="shared" si="14"/>
        <v>#DIV/0!</v>
      </c>
      <c r="AZ31" s="32"/>
      <c r="BA31" s="33" t="str">
        <f t="shared" si="36"/>
        <v/>
      </c>
      <c r="BB31" s="33" t="str">
        <f t="shared" si="37"/>
        <v/>
      </c>
      <c r="BC31" s="33" t="str">
        <f t="shared" si="38"/>
        <v/>
      </c>
      <c r="BD31" s="33">
        <f t="shared" si="39"/>
        <v>0</v>
      </c>
      <c r="BE31" s="31">
        <f t="shared" si="5"/>
        <v>20204</v>
      </c>
      <c r="BF31" s="31"/>
      <c r="BG31" s="16"/>
      <c r="BH31" s="16"/>
      <c r="BI31" s="16"/>
      <c r="BJ31" s="33" t="e">
        <f t="shared" si="15"/>
        <v>#DIV/0!</v>
      </c>
      <c r="BK31" s="32"/>
      <c r="BL31" s="33" t="str">
        <f t="shared" si="40"/>
        <v/>
      </c>
      <c r="BM31" s="33" t="str">
        <f t="shared" si="41"/>
        <v/>
      </c>
      <c r="BN31" s="33" t="str">
        <f t="shared" si="42"/>
        <v/>
      </c>
      <c r="BO31" s="33">
        <f t="shared" si="43"/>
        <v>0</v>
      </c>
      <c r="BP31" s="31">
        <f t="shared" si="6"/>
        <v>20204</v>
      </c>
      <c r="BQ31" s="31"/>
      <c r="BR31" s="16"/>
      <c r="BS31" s="16"/>
      <c r="BT31" s="16"/>
      <c r="BU31" s="33" t="e">
        <f t="shared" si="16"/>
        <v>#DIV/0!</v>
      </c>
      <c r="BV31" s="32"/>
      <c r="BW31" s="33" t="str">
        <f t="shared" si="44"/>
        <v/>
      </c>
      <c r="BX31" s="33" t="str">
        <f t="shared" si="45"/>
        <v/>
      </c>
      <c r="BY31" s="33" t="str">
        <f t="shared" si="46"/>
        <v/>
      </c>
      <c r="BZ31" s="33">
        <f t="shared" si="47"/>
        <v>0</v>
      </c>
      <c r="CA31" s="31">
        <f t="shared" si="7"/>
        <v>20204</v>
      </c>
      <c r="CB31" s="31"/>
      <c r="CC31" s="16"/>
      <c r="CD31" s="16"/>
      <c r="CE31" s="16"/>
      <c r="CF31" s="33" t="e">
        <f t="shared" si="17"/>
        <v>#DIV/0!</v>
      </c>
      <c r="CG31" s="32"/>
      <c r="CH31" s="33" t="str">
        <f t="shared" si="48"/>
        <v/>
      </c>
      <c r="CI31" s="33" t="str">
        <f t="shared" si="49"/>
        <v/>
      </c>
      <c r="CJ31" s="33" t="str">
        <f t="shared" si="50"/>
        <v/>
      </c>
      <c r="CK31" s="33">
        <f t="shared" si="51"/>
        <v>0</v>
      </c>
      <c r="CL31" s="31">
        <f t="shared" si="8"/>
        <v>20204</v>
      </c>
      <c r="CM31" s="31"/>
      <c r="CN31" s="16"/>
      <c r="CO31" s="16"/>
      <c r="CP31" s="16"/>
      <c r="CQ31" s="33" t="e">
        <f t="shared" si="18"/>
        <v>#DIV/0!</v>
      </c>
      <c r="CR31" s="32"/>
      <c r="CS31" s="33" t="str">
        <f t="shared" si="52"/>
        <v/>
      </c>
      <c r="CT31" s="33" t="str">
        <f t="shared" si="53"/>
        <v/>
      </c>
      <c r="CU31" s="33" t="str">
        <f t="shared" si="54"/>
        <v/>
      </c>
      <c r="CV31" s="33">
        <f t="shared" si="55"/>
        <v>0</v>
      </c>
      <c r="CW31" s="31">
        <f t="shared" si="9"/>
        <v>20204</v>
      </c>
      <c r="CX31" s="31"/>
      <c r="CY31" s="16"/>
      <c r="CZ31" s="16"/>
      <c r="DA31" s="16"/>
      <c r="DB31" s="33" t="e">
        <f t="shared" si="19"/>
        <v>#DIV/0!</v>
      </c>
      <c r="DC31" s="32"/>
      <c r="DD31" s="33" t="str">
        <f t="shared" si="56"/>
        <v/>
      </c>
      <c r="DE31" s="33" t="str">
        <f t="shared" si="57"/>
        <v/>
      </c>
      <c r="DF31" s="33" t="str">
        <f t="shared" si="58"/>
        <v/>
      </c>
      <c r="DG31" s="33">
        <f t="shared" si="59"/>
        <v>0</v>
      </c>
    </row>
    <row r="32" spans="1:111" x14ac:dyDescent="0.25">
      <c r="A32" s="25">
        <v>22</v>
      </c>
      <c r="B32" s="31">
        <f t="shared" si="0"/>
        <v>20211</v>
      </c>
      <c r="C32" s="31"/>
      <c r="D32" s="14">
        <v>68676.040000000008</v>
      </c>
      <c r="E32" s="14">
        <v>47410960.969999999</v>
      </c>
      <c r="F32" s="14">
        <v>50677576.059999987</v>
      </c>
      <c r="G32" s="33">
        <f t="shared" si="10"/>
        <v>737.92222236459736</v>
      </c>
      <c r="H32" s="32"/>
      <c r="I32" s="33">
        <f t="shared" si="20"/>
        <v>275333.81000000006</v>
      </c>
      <c r="J32" s="33">
        <f t="shared" si="21"/>
        <v>185311748.99999997</v>
      </c>
      <c r="K32" s="33">
        <f t="shared" si="22"/>
        <v>198079728.29999995</v>
      </c>
      <c r="L32" s="33">
        <f t="shared" si="23"/>
        <v>719.41665391547781</v>
      </c>
      <c r="M32" s="31">
        <f t="shared" si="1"/>
        <v>20211</v>
      </c>
      <c r="N32" s="31"/>
      <c r="O32" s="16"/>
      <c r="P32" s="16"/>
      <c r="Q32" s="16"/>
      <c r="R32" s="33" t="e">
        <f t="shared" si="11"/>
        <v>#DIV/0!</v>
      </c>
      <c r="S32" s="32"/>
      <c r="T32" s="33" t="str">
        <f t="shared" si="24"/>
        <v/>
      </c>
      <c r="U32" s="33" t="str">
        <f t="shared" si="25"/>
        <v/>
      </c>
      <c r="V32" s="33" t="str">
        <f t="shared" si="26"/>
        <v/>
      </c>
      <c r="W32" s="33">
        <f t="shared" si="27"/>
        <v>0</v>
      </c>
      <c r="X32" s="31">
        <f t="shared" si="2"/>
        <v>20211</v>
      </c>
      <c r="Y32" s="31"/>
      <c r="Z32" s="16"/>
      <c r="AA32" s="16"/>
      <c r="AB32" s="16"/>
      <c r="AC32" s="33" t="e">
        <f t="shared" si="12"/>
        <v>#DIV/0!</v>
      </c>
      <c r="AD32" s="32"/>
      <c r="AE32" s="33" t="str">
        <f t="shared" si="28"/>
        <v/>
      </c>
      <c r="AF32" s="33" t="str">
        <f t="shared" si="29"/>
        <v/>
      </c>
      <c r="AG32" s="33" t="str">
        <f t="shared" si="30"/>
        <v/>
      </c>
      <c r="AH32" s="33">
        <f t="shared" si="31"/>
        <v>0</v>
      </c>
      <c r="AI32" s="31">
        <f t="shared" si="3"/>
        <v>20211</v>
      </c>
      <c r="AJ32" s="31"/>
      <c r="AK32" s="16"/>
      <c r="AL32" s="16"/>
      <c r="AM32" s="16"/>
      <c r="AN32" s="33" t="e">
        <f t="shared" si="13"/>
        <v>#DIV/0!</v>
      </c>
      <c r="AO32" s="32"/>
      <c r="AP32" s="33" t="str">
        <f t="shared" si="32"/>
        <v/>
      </c>
      <c r="AQ32" s="33" t="str">
        <f t="shared" si="33"/>
        <v/>
      </c>
      <c r="AR32" s="33" t="str">
        <f t="shared" si="34"/>
        <v/>
      </c>
      <c r="AS32" s="33">
        <f t="shared" si="35"/>
        <v>0</v>
      </c>
      <c r="AT32" s="31">
        <f t="shared" si="4"/>
        <v>20211</v>
      </c>
      <c r="AU32" s="31"/>
      <c r="AV32" s="16"/>
      <c r="AW32" s="16"/>
      <c r="AX32" s="16"/>
      <c r="AY32" s="33" t="e">
        <f t="shared" si="14"/>
        <v>#DIV/0!</v>
      </c>
      <c r="AZ32" s="32"/>
      <c r="BA32" s="33" t="str">
        <f t="shared" si="36"/>
        <v/>
      </c>
      <c r="BB32" s="33" t="str">
        <f t="shared" si="37"/>
        <v/>
      </c>
      <c r="BC32" s="33" t="str">
        <f t="shared" si="38"/>
        <v/>
      </c>
      <c r="BD32" s="33">
        <f t="shared" si="39"/>
        <v>0</v>
      </c>
      <c r="BE32" s="31">
        <f t="shared" si="5"/>
        <v>20211</v>
      </c>
      <c r="BF32" s="31"/>
      <c r="BG32" s="16"/>
      <c r="BH32" s="16"/>
      <c r="BI32" s="16"/>
      <c r="BJ32" s="33" t="e">
        <f t="shared" si="15"/>
        <v>#DIV/0!</v>
      </c>
      <c r="BK32" s="32"/>
      <c r="BL32" s="33" t="str">
        <f t="shared" si="40"/>
        <v/>
      </c>
      <c r="BM32" s="33" t="str">
        <f t="shared" si="41"/>
        <v/>
      </c>
      <c r="BN32" s="33" t="str">
        <f t="shared" si="42"/>
        <v/>
      </c>
      <c r="BO32" s="33">
        <f t="shared" si="43"/>
        <v>0</v>
      </c>
      <c r="BP32" s="31">
        <f t="shared" si="6"/>
        <v>20211</v>
      </c>
      <c r="BQ32" s="31"/>
      <c r="BR32" s="16"/>
      <c r="BS32" s="16"/>
      <c r="BT32" s="16"/>
      <c r="BU32" s="33" t="e">
        <f t="shared" si="16"/>
        <v>#DIV/0!</v>
      </c>
      <c r="BV32" s="32"/>
      <c r="BW32" s="33" t="str">
        <f t="shared" si="44"/>
        <v/>
      </c>
      <c r="BX32" s="33" t="str">
        <f t="shared" si="45"/>
        <v/>
      </c>
      <c r="BY32" s="33" t="str">
        <f t="shared" si="46"/>
        <v/>
      </c>
      <c r="BZ32" s="33">
        <f t="shared" si="47"/>
        <v>0</v>
      </c>
      <c r="CA32" s="31">
        <f t="shared" si="7"/>
        <v>20211</v>
      </c>
      <c r="CB32" s="31"/>
      <c r="CC32" s="16"/>
      <c r="CD32" s="16"/>
      <c r="CE32" s="16"/>
      <c r="CF32" s="33" t="e">
        <f t="shared" si="17"/>
        <v>#DIV/0!</v>
      </c>
      <c r="CG32" s="32"/>
      <c r="CH32" s="33" t="str">
        <f t="shared" si="48"/>
        <v/>
      </c>
      <c r="CI32" s="33" t="str">
        <f t="shared" si="49"/>
        <v/>
      </c>
      <c r="CJ32" s="33" t="str">
        <f t="shared" si="50"/>
        <v/>
      </c>
      <c r="CK32" s="33">
        <f t="shared" si="51"/>
        <v>0</v>
      </c>
      <c r="CL32" s="31">
        <f t="shared" si="8"/>
        <v>20211</v>
      </c>
      <c r="CM32" s="31"/>
      <c r="CN32" s="16"/>
      <c r="CO32" s="16"/>
      <c r="CP32" s="16"/>
      <c r="CQ32" s="33" t="e">
        <f t="shared" si="18"/>
        <v>#DIV/0!</v>
      </c>
      <c r="CR32" s="32"/>
      <c r="CS32" s="33" t="str">
        <f t="shared" si="52"/>
        <v/>
      </c>
      <c r="CT32" s="33" t="str">
        <f t="shared" si="53"/>
        <v/>
      </c>
      <c r="CU32" s="33" t="str">
        <f t="shared" si="54"/>
        <v/>
      </c>
      <c r="CV32" s="33">
        <f t="shared" si="55"/>
        <v>0</v>
      </c>
      <c r="CW32" s="31">
        <f t="shared" si="9"/>
        <v>20211</v>
      </c>
      <c r="CX32" s="31"/>
      <c r="CY32" s="16"/>
      <c r="CZ32" s="16"/>
      <c r="DA32" s="16"/>
      <c r="DB32" s="33" t="e">
        <f t="shared" si="19"/>
        <v>#DIV/0!</v>
      </c>
      <c r="DC32" s="32"/>
      <c r="DD32" s="33" t="str">
        <f t="shared" si="56"/>
        <v/>
      </c>
      <c r="DE32" s="33" t="str">
        <f t="shared" si="57"/>
        <v/>
      </c>
      <c r="DF32" s="33" t="str">
        <f t="shared" si="58"/>
        <v/>
      </c>
      <c r="DG32" s="33">
        <f t="shared" si="59"/>
        <v>0</v>
      </c>
    </row>
    <row r="33" spans="1:111" x14ac:dyDescent="0.25">
      <c r="A33" s="25">
        <v>23</v>
      </c>
      <c r="B33" s="31">
        <f t="shared" si="0"/>
        <v>20212</v>
      </c>
      <c r="C33" s="31"/>
      <c r="D33" s="14">
        <v>68443.110000000015</v>
      </c>
      <c r="E33" s="14">
        <v>48712255.990000002</v>
      </c>
      <c r="F33" s="14">
        <v>51601874.840000004</v>
      </c>
      <c r="G33" s="33">
        <f t="shared" si="10"/>
        <v>753.9381953859197</v>
      </c>
      <c r="H33" s="32"/>
      <c r="I33" s="33">
        <f t="shared" si="20"/>
        <v>274692.31000000006</v>
      </c>
      <c r="J33" s="33">
        <f t="shared" si="21"/>
        <v>188617788.66</v>
      </c>
      <c r="K33" s="33">
        <f t="shared" si="22"/>
        <v>201146898.46000001</v>
      </c>
      <c r="L33" s="33">
        <f t="shared" si="23"/>
        <v>732.26257575248451</v>
      </c>
      <c r="M33" s="31">
        <f t="shared" si="1"/>
        <v>20212</v>
      </c>
      <c r="N33" s="31"/>
      <c r="O33" s="16"/>
      <c r="P33" s="16"/>
      <c r="Q33" s="16"/>
      <c r="R33" s="33" t="e">
        <f t="shared" si="11"/>
        <v>#DIV/0!</v>
      </c>
      <c r="S33" s="32"/>
      <c r="T33" s="33" t="str">
        <f t="shared" si="24"/>
        <v/>
      </c>
      <c r="U33" s="33" t="str">
        <f t="shared" si="25"/>
        <v/>
      </c>
      <c r="V33" s="33" t="str">
        <f t="shared" si="26"/>
        <v/>
      </c>
      <c r="W33" s="33">
        <f t="shared" si="27"/>
        <v>0</v>
      </c>
      <c r="X33" s="31">
        <f t="shared" si="2"/>
        <v>20212</v>
      </c>
      <c r="Y33" s="31"/>
      <c r="Z33" s="16"/>
      <c r="AA33" s="16"/>
      <c r="AB33" s="16"/>
      <c r="AC33" s="33" t="e">
        <f t="shared" si="12"/>
        <v>#DIV/0!</v>
      </c>
      <c r="AD33" s="32"/>
      <c r="AE33" s="33" t="str">
        <f t="shared" si="28"/>
        <v/>
      </c>
      <c r="AF33" s="33" t="str">
        <f t="shared" si="29"/>
        <v/>
      </c>
      <c r="AG33" s="33" t="str">
        <f t="shared" si="30"/>
        <v/>
      </c>
      <c r="AH33" s="33">
        <f t="shared" si="31"/>
        <v>0</v>
      </c>
      <c r="AI33" s="31">
        <f t="shared" si="3"/>
        <v>20212</v>
      </c>
      <c r="AJ33" s="31"/>
      <c r="AK33" s="16"/>
      <c r="AL33" s="16"/>
      <c r="AM33" s="16"/>
      <c r="AN33" s="33" t="e">
        <f t="shared" si="13"/>
        <v>#DIV/0!</v>
      </c>
      <c r="AO33" s="32"/>
      <c r="AP33" s="33" t="str">
        <f t="shared" si="32"/>
        <v/>
      </c>
      <c r="AQ33" s="33" t="str">
        <f t="shared" si="33"/>
        <v/>
      </c>
      <c r="AR33" s="33" t="str">
        <f t="shared" si="34"/>
        <v/>
      </c>
      <c r="AS33" s="33">
        <f t="shared" si="35"/>
        <v>0</v>
      </c>
      <c r="AT33" s="31">
        <f t="shared" si="4"/>
        <v>20212</v>
      </c>
      <c r="AU33" s="31"/>
      <c r="AV33" s="16"/>
      <c r="AW33" s="16"/>
      <c r="AX33" s="16"/>
      <c r="AY33" s="33" t="e">
        <f t="shared" si="14"/>
        <v>#DIV/0!</v>
      </c>
      <c r="AZ33" s="32"/>
      <c r="BA33" s="33" t="str">
        <f t="shared" si="36"/>
        <v/>
      </c>
      <c r="BB33" s="33" t="str">
        <f t="shared" si="37"/>
        <v/>
      </c>
      <c r="BC33" s="33" t="str">
        <f t="shared" si="38"/>
        <v/>
      </c>
      <c r="BD33" s="33">
        <f t="shared" si="39"/>
        <v>0</v>
      </c>
      <c r="BE33" s="31">
        <f t="shared" si="5"/>
        <v>20212</v>
      </c>
      <c r="BF33" s="31"/>
      <c r="BG33" s="16"/>
      <c r="BH33" s="16"/>
      <c r="BI33" s="16"/>
      <c r="BJ33" s="33" t="e">
        <f t="shared" si="15"/>
        <v>#DIV/0!</v>
      </c>
      <c r="BK33" s="32"/>
      <c r="BL33" s="33" t="str">
        <f t="shared" si="40"/>
        <v/>
      </c>
      <c r="BM33" s="33" t="str">
        <f t="shared" si="41"/>
        <v/>
      </c>
      <c r="BN33" s="33" t="str">
        <f t="shared" si="42"/>
        <v/>
      </c>
      <c r="BO33" s="33">
        <f t="shared" si="43"/>
        <v>0</v>
      </c>
      <c r="BP33" s="31">
        <f t="shared" si="6"/>
        <v>20212</v>
      </c>
      <c r="BQ33" s="31"/>
      <c r="BR33" s="16"/>
      <c r="BS33" s="16"/>
      <c r="BT33" s="16"/>
      <c r="BU33" s="33" t="e">
        <f t="shared" si="16"/>
        <v>#DIV/0!</v>
      </c>
      <c r="BV33" s="32"/>
      <c r="BW33" s="33" t="str">
        <f t="shared" si="44"/>
        <v/>
      </c>
      <c r="BX33" s="33" t="str">
        <f t="shared" si="45"/>
        <v/>
      </c>
      <c r="BY33" s="33" t="str">
        <f t="shared" si="46"/>
        <v/>
      </c>
      <c r="BZ33" s="33">
        <f t="shared" si="47"/>
        <v>0</v>
      </c>
      <c r="CA33" s="31">
        <f t="shared" si="7"/>
        <v>20212</v>
      </c>
      <c r="CB33" s="31"/>
      <c r="CC33" s="16"/>
      <c r="CD33" s="16"/>
      <c r="CE33" s="16"/>
      <c r="CF33" s="33" t="e">
        <f t="shared" si="17"/>
        <v>#DIV/0!</v>
      </c>
      <c r="CG33" s="32"/>
      <c r="CH33" s="33" t="str">
        <f t="shared" si="48"/>
        <v/>
      </c>
      <c r="CI33" s="33" t="str">
        <f t="shared" si="49"/>
        <v/>
      </c>
      <c r="CJ33" s="33" t="str">
        <f t="shared" si="50"/>
        <v/>
      </c>
      <c r="CK33" s="33">
        <f t="shared" si="51"/>
        <v>0</v>
      </c>
      <c r="CL33" s="31">
        <f t="shared" si="8"/>
        <v>20212</v>
      </c>
      <c r="CM33" s="31"/>
      <c r="CN33" s="16"/>
      <c r="CO33" s="16"/>
      <c r="CP33" s="16"/>
      <c r="CQ33" s="33" t="e">
        <f t="shared" si="18"/>
        <v>#DIV/0!</v>
      </c>
      <c r="CR33" s="32"/>
      <c r="CS33" s="33" t="str">
        <f t="shared" si="52"/>
        <v/>
      </c>
      <c r="CT33" s="33" t="str">
        <f t="shared" si="53"/>
        <v/>
      </c>
      <c r="CU33" s="33" t="str">
        <f t="shared" si="54"/>
        <v/>
      </c>
      <c r="CV33" s="33">
        <f t="shared" si="55"/>
        <v>0</v>
      </c>
      <c r="CW33" s="31">
        <f t="shared" si="9"/>
        <v>20212</v>
      </c>
      <c r="CX33" s="31"/>
      <c r="CY33" s="16"/>
      <c r="CZ33" s="16"/>
      <c r="DA33" s="16"/>
      <c r="DB33" s="33" t="e">
        <f t="shared" si="19"/>
        <v>#DIV/0!</v>
      </c>
      <c r="DC33" s="32"/>
      <c r="DD33" s="33" t="str">
        <f t="shared" si="56"/>
        <v/>
      </c>
      <c r="DE33" s="33" t="str">
        <f t="shared" si="57"/>
        <v/>
      </c>
      <c r="DF33" s="33" t="str">
        <f t="shared" si="58"/>
        <v/>
      </c>
      <c r="DG33" s="33">
        <f t="shared" si="59"/>
        <v>0</v>
      </c>
    </row>
    <row r="34" spans="1:111" x14ac:dyDescent="0.25">
      <c r="A34" s="25">
        <v>24</v>
      </c>
      <c r="B34" s="31">
        <f t="shared" si="0"/>
        <v>20213</v>
      </c>
      <c r="C34" s="31"/>
      <c r="D34" s="14">
        <v>67959.56</v>
      </c>
      <c r="E34" s="14">
        <v>50286268.979999997</v>
      </c>
      <c r="F34" s="14">
        <v>52325263.790000007</v>
      </c>
      <c r="G34" s="33">
        <f t="shared" si="10"/>
        <v>769.9470654312654</v>
      </c>
      <c r="H34" s="32"/>
      <c r="I34" s="33">
        <f t="shared" si="20"/>
        <v>273956.53000000003</v>
      </c>
      <c r="J34" s="33">
        <f t="shared" si="21"/>
        <v>193018562.39999998</v>
      </c>
      <c r="K34" s="33">
        <f t="shared" si="22"/>
        <v>204425156.44999999</v>
      </c>
      <c r="L34" s="33">
        <f t="shared" si="23"/>
        <v>746.19559698029457</v>
      </c>
      <c r="M34" s="31">
        <f t="shared" si="1"/>
        <v>20213</v>
      </c>
      <c r="N34" s="31"/>
      <c r="O34" s="16"/>
      <c r="P34" s="16"/>
      <c r="Q34" s="16"/>
      <c r="R34" s="33" t="e">
        <f t="shared" si="11"/>
        <v>#DIV/0!</v>
      </c>
      <c r="S34" s="32"/>
      <c r="T34" s="33" t="str">
        <f t="shared" si="24"/>
        <v/>
      </c>
      <c r="U34" s="33" t="str">
        <f t="shared" si="25"/>
        <v/>
      </c>
      <c r="V34" s="33" t="str">
        <f t="shared" si="26"/>
        <v/>
      </c>
      <c r="W34" s="33">
        <f t="shared" si="27"/>
        <v>0</v>
      </c>
      <c r="X34" s="31">
        <f t="shared" si="2"/>
        <v>20213</v>
      </c>
      <c r="Y34" s="31"/>
      <c r="Z34" s="16"/>
      <c r="AA34" s="16"/>
      <c r="AB34" s="16"/>
      <c r="AC34" s="33" t="e">
        <f t="shared" si="12"/>
        <v>#DIV/0!</v>
      </c>
      <c r="AD34" s="32"/>
      <c r="AE34" s="33" t="str">
        <f t="shared" si="28"/>
        <v/>
      </c>
      <c r="AF34" s="33" t="str">
        <f t="shared" si="29"/>
        <v/>
      </c>
      <c r="AG34" s="33" t="str">
        <f t="shared" si="30"/>
        <v/>
      </c>
      <c r="AH34" s="33">
        <f t="shared" si="31"/>
        <v>0</v>
      </c>
      <c r="AI34" s="31">
        <f t="shared" si="3"/>
        <v>20213</v>
      </c>
      <c r="AJ34" s="31"/>
      <c r="AK34" s="16"/>
      <c r="AL34" s="16"/>
      <c r="AM34" s="16"/>
      <c r="AN34" s="33" t="e">
        <f t="shared" si="13"/>
        <v>#DIV/0!</v>
      </c>
      <c r="AO34" s="32"/>
      <c r="AP34" s="33" t="str">
        <f t="shared" si="32"/>
        <v/>
      </c>
      <c r="AQ34" s="33" t="str">
        <f t="shared" si="33"/>
        <v/>
      </c>
      <c r="AR34" s="33" t="str">
        <f t="shared" si="34"/>
        <v/>
      </c>
      <c r="AS34" s="33">
        <f t="shared" si="35"/>
        <v>0</v>
      </c>
      <c r="AT34" s="31">
        <f t="shared" si="4"/>
        <v>20213</v>
      </c>
      <c r="AU34" s="31"/>
      <c r="AV34" s="16"/>
      <c r="AW34" s="16"/>
      <c r="AX34" s="16"/>
      <c r="AY34" s="33" t="e">
        <f t="shared" si="14"/>
        <v>#DIV/0!</v>
      </c>
      <c r="AZ34" s="32"/>
      <c r="BA34" s="33" t="str">
        <f t="shared" si="36"/>
        <v/>
      </c>
      <c r="BB34" s="33" t="str">
        <f t="shared" si="37"/>
        <v/>
      </c>
      <c r="BC34" s="33" t="str">
        <f t="shared" si="38"/>
        <v/>
      </c>
      <c r="BD34" s="33">
        <f t="shared" si="39"/>
        <v>0</v>
      </c>
      <c r="BE34" s="31">
        <f t="shared" si="5"/>
        <v>20213</v>
      </c>
      <c r="BF34" s="31"/>
      <c r="BG34" s="16"/>
      <c r="BH34" s="16"/>
      <c r="BI34" s="16"/>
      <c r="BJ34" s="33" t="e">
        <f t="shared" si="15"/>
        <v>#DIV/0!</v>
      </c>
      <c r="BK34" s="32"/>
      <c r="BL34" s="33" t="str">
        <f t="shared" si="40"/>
        <v/>
      </c>
      <c r="BM34" s="33" t="str">
        <f t="shared" si="41"/>
        <v/>
      </c>
      <c r="BN34" s="33" t="str">
        <f t="shared" si="42"/>
        <v/>
      </c>
      <c r="BO34" s="33">
        <f t="shared" si="43"/>
        <v>0</v>
      </c>
      <c r="BP34" s="31">
        <f t="shared" si="6"/>
        <v>20213</v>
      </c>
      <c r="BQ34" s="31"/>
      <c r="BR34" s="16"/>
      <c r="BS34" s="16"/>
      <c r="BT34" s="16"/>
      <c r="BU34" s="33" t="e">
        <f t="shared" si="16"/>
        <v>#DIV/0!</v>
      </c>
      <c r="BV34" s="32"/>
      <c r="BW34" s="33" t="str">
        <f t="shared" si="44"/>
        <v/>
      </c>
      <c r="BX34" s="33" t="str">
        <f t="shared" si="45"/>
        <v/>
      </c>
      <c r="BY34" s="33" t="str">
        <f t="shared" si="46"/>
        <v/>
      </c>
      <c r="BZ34" s="33">
        <f t="shared" si="47"/>
        <v>0</v>
      </c>
      <c r="CA34" s="31">
        <f t="shared" si="7"/>
        <v>20213</v>
      </c>
      <c r="CB34" s="31"/>
      <c r="CC34" s="16"/>
      <c r="CD34" s="16"/>
      <c r="CE34" s="16"/>
      <c r="CF34" s="33" t="e">
        <f t="shared" si="17"/>
        <v>#DIV/0!</v>
      </c>
      <c r="CG34" s="32"/>
      <c r="CH34" s="33" t="str">
        <f t="shared" si="48"/>
        <v/>
      </c>
      <c r="CI34" s="33" t="str">
        <f t="shared" si="49"/>
        <v/>
      </c>
      <c r="CJ34" s="33" t="str">
        <f t="shared" si="50"/>
        <v/>
      </c>
      <c r="CK34" s="33">
        <f t="shared" si="51"/>
        <v>0</v>
      </c>
      <c r="CL34" s="31">
        <f t="shared" si="8"/>
        <v>20213</v>
      </c>
      <c r="CM34" s="31"/>
      <c r="CN34" s="16"/>
      <c r="CO34" s="16"/>
      <c r="CP34" s="16"/>
      <c r="CQ34" s="33" t="e">
        <f t="shared" si="18"/>
        <v>#DIV/0!</v>
      </c>
      <c r="CR34" s="32"/>
      <c r="CS34" s="33" t="str">
        <f t="shared" si="52"/>
        <v/>
      </c>
      <c r="CT34" s="33" t="str">
        <f t="shared" si="53"/>
        <v/>
      </c>
      <c r="CU34" s="33" t="str">
        <f t="shared" si="54"/>
        <v/>
      </c>
      <c r="CV34" s="33">
        <f t="shared" si="55"/>
        <v>0</v>
      </c>
      <c r="CW34" s="31">
        <f t="shared" si="9"/>
        <v>20213</v>
      </c>
      <c r="CX34" s="31"/>
      <c r="CY34" s="16"/>
      <c r="CZ34" s="16"/>
      <c r="DA34" s="16"/>
      <c r="DB34" s="33" t="e">
        <f t="shared" si="19"/>
        <v>#DIV/0!</v>
      </c>
      <c r="DC34" s="32"/>
      <c r="DD34" s="33" t="str">
        <f t="shared" si="56"/>
        <v/>
      </c>
      <c r="DE34" s="33" t="str">
        <f t="shared" si="57"/>
        <v/>
      </c>
      <c r="DF34" s="33" t="str">
        <f t="shared" si="58"/>
        <v/>
      </c>
      <c r="DG34" s="33">
        <f t="shared" si="59"/>
        <v>0</v>
      </c>
    </row>
    <row r="35" spans="1:111" x14ac:dyDescent="0.25">
      <c r="A35" s="25">
        <v>25</v>
      </c>
      <c r="B35" s="31">
        <f t="shared" si="0"/>
        <v>20214</v>
      </c>
      <c r="C35" s="31"/>
      <c r="D35" s="14">
        <v>67694.84</v>
      </c>
      <c r="E35" s="14">
        <v>52428428.630000003</v>
      </c>
      <c r="F35" s="14">
        <v>53654098.570000008</v>
      </c>
      <c r="G35" s="33">
        <f t="shared" si="10"/>
        <v>792.58771525274324</v>
      </c>
      <c r="H35" s="32"/>
      <c r="I35" s="33">
        <f t="shared" si="20"/>
        <v>272773.55000000005</v>
      </c>
      <c r="J35" s="33">
        <f t="shared" si="21"/>
        <v>198837914.56999999</v>
      </c>
      <c r="K35" s="33">
        <f t="shared" si="22"/>
        <v>208258813.25999999</v>
      </c>
      <c r="L35" s="33">
        <f t="shared" si="23"/>
        <v>763.48609775397927</v>
      </c>
      <c r="M35" s="31">
        <f t="shared" si="1"/>
        <v>20214</v>
      </c>
      <c r="N35" s="31"/>
      <c r="O35" s="16"/>
      <c r="P35" s="16"/>
      <c r="Q35" s="16"/>
      <c r="R35" s="33" t="e">
        <f t="shared" si="11"/>
        <v>#DIV/0!</v>
      </c>
      <c r="S35" s="32"/>
      <c r="T35" s="33" t="str">
        <f t="shared" si="24"/>
        <v/>
      </c>
      <c r="U35" s="33" t="str">
        <f t="shared" si="25"/>
        <v/>
      </c>
      <c r="V35" s="33" t="str">
        <f t="shared" si="26"/>
        <v/>
      </c>
      <c r="W35" s="33">
        <f t="shared" si="27"/>
        <v>0</v>
      </c>
      <c r="X35" s="31">
        <f t="shared" si="2"/>
        <v>20214</v>
      </c>
      <c r="Y35" s="31"/>
      <c r="Z35" s="16"/>
      <c r="AA35" s="16"/>
      <c r="AB35" s="16"/>
      <c r="AC35" s="33" t="e">
        <f t="shared" si="12"/>
        <v>#DIV/0!</v>
      </c>
      <c r="AD35" s="32"/>
      <c r="AE35" s="33" t="str">
        <f t="shared" si="28"/>
        <v/>
      </c>
      <c r="AF35" s="33" t="str">
        <f t="shared" si="29"/>
        <v/>
      </c>
      <c r="AG35" s="33" t="str">
        <f t="shared" si="30"/>
        <v/>
      </c>
      <c r="AH35" s="33">
        <f t="shared" si="31"/>
        <v>0</v>
      </c>
      <c r="AI35" s="31">
        <f t="shared" si="3"/>
        <v>20214</v>
      </c>
      <c r="AJ35" s="31"/>
      <c r="AK35" s="16"/>
      <c r="AL35" s="16"/>
      <c r="AM35" s="16"/>
      <c r="AN35" s="33" t="e">
        <f t="shared" si="13"/>
        <v>#DIV/0!</v>
      </c>
      <c r="AO35" s="32"/>
      <c r="AP35" s="33" t="str">
        <f t="shared" si="32"/>
        <v/>
      </c>
      <c r="AQ35" s="33" t="str">
        <f t="shared" si="33"/>
        <v/>
      </c>
      <c r="AR35" s="33" t="str">
        <f t="shared" si="34"/>
        <v/>
      </c>
      <c r="AS35" s="33">
        <f t="shared" si="35"/>
        <v>0</v>
      </c>
      <c r="AT35" s="31">
        <f t="shared" si="4"/>
        <v>20214</v>
      </c>
      <c r="AU35" s="31"/>
      <c r="AV35" s="16"/>
      <c r="AW35" s="16"/>
      <c r="AX35" s="16"/>
      <c r="AY35" s="33" t="e">
        <f t="shared" si="14"/>
        <v>#DIV/0!</v>
      </c>
      <c r="AZ35" s="32"/>
      <c r="BA35" s="33" t="str">
        <f t="shared" si="36"/>
        <v/>
      </c>
      <c r="BB35" s="33" t="str">
        <f t="shared" si="37"/>
        <v/>
      </c>
      <c r="BC35" s="33" t="str">
        <f t="shared" si="38"/>
        <v/>
      </c>
      <c r="BD35" s="33">
        <f t="shared" si="39"/>
        <v>0</v>
      </c>
      <c r="BE35" s="31">
        <f t="shared" si="5"/>
        <v>20214</v>
      </c>
      <c r="BF35" s="31"/>
      <c r="BG35" s="16"/>
      <c r="BH35" s="16"/>
      <c r="BI35" s="16"/>
      <c r="BJ35" s="33" t="e">
        <f t="shared" si="15"/>
        <v>#DIV/0!</v>
      </c>
      <c r="BK35" s="32"/>
      <c r="BL35" s="33" t="str">
        <f t="shared" si="40"/>
        <v/>
      </c>
      <c r="BM35" s="33" t="str">
        <f t="shared" si="41"/>
        <v/>
      </c>
      <c r="BN35" s="33" t="str">
        <f t="shared" si="42"/>
        <v/>
      </c>
      <c r="BO35" s="33">
        <f t="shared" si="43"/>
        <v>0</v>
      </c>
      <c r="BP35" s="31">
        <f t="shared" si="6"/>
        <v>20214</v>
      </c>
      <c r="BQ35" s="31"/>
      <c r="BR35" s="16"/>
      <c r="BS35" s="16"/>
      <c r="BT35" s="16"/>
      <c r="BU35" s="33" t="e">
        <f t="shared" si="16"/>
        <v>#DIV/0!</v>
      </c>
      <c r="BV35" s="32"/>
      <c r="BW35" s="33" t="str">
        <f t="shared" si="44"/>
        <v/>
      </c>
      <c r="BX35" s="33" t="str">
        <f t="shared" si="45"/>
        <v/>
      </c>
      <c r="BY35" s="33" t="str">
        <f t="shared" si="46"/>
        <v/>
      </c>
      <c r="BZ35" s="33">
        <f t="shared" si="47"/>
        <v>0</v>
      </c>
      <c r="CA35" s="31">
        <f t="shared" si="7"/>
        <v>20214</v>
      </c>
      <c r="CB35" s="31"/>
      <c r="CC35" s="16"/>
      <c r="CD35" s="16"/>
      <c r="CE35" s="16"/>
      <c r="CF35" s="33" t="e">
        <f t="shared" si="17"/>
        <v>#DIV/0!</v>
      </c>
      <c r="CG35" s="32"/>
      <c r="CH35" s="33" t="str">
        <f t="shared" si="48"/>
        <v/>
      </c>
      <c r="CI35" s="33" t="str">
        <f t="shared" si="49"/>
        <v/>
      </c>
      <c r="CJ35" s="33" t="str">
        <f t="shared" si="50"/>
        <v/>
      </c>
      <c r="CK35" s="33">
        <f t="shared" si="51"/>
        <v>0</v>
      </c>
      <c r="CL35" s="31">
        <f t="shared" si="8"/>
        <v>20214</v>
      </c>
      <c r="CM35" s="31"/>
      <c r="CN35" s="16"/>
      <c r="CO35" s="16"/>
      <c r="CP35" s="16"/>
      <c r="CQ35" s="33" t="e">
        <f t="shared" si="18"/>
        <v>#DIV/0!</v>
      </c>
      <c r="CR35" s="32"/>
      <c r="CS35" s="33" t="str">
        <f t="shared" si="52"/>
        <v/>
      </c>
      <c r="CT35" s="33" t="str">
        <f t="shared" si="53"/>
        <v/>
      </c>
      <c r="CU35" s="33" t="str">
        <f t="shared" si="54"/>
        <v/>
      </c>
      <c r="CV35" s="33">
        <f t="shared" si="55"/>
        <v>0</v>
      </c>
      <c r="CW35" s="31">
        <f t="shared" si="9"/>
        <v>20214</v>
      </c>
      <c r="CX35" s="31"/>
      <c r="CY35" s="16"/>
      <c r="CZ35" s="16"/>
      <c r="DA35" s="16"/>
      <c r="DB35" s="33" t="e">
        <f t="shared" si="19"/>
        <v>#DIV/0!</v>
      </c>
      <c r="DC35" s="32"/>
      <c r="DD35" s="33" t="str">
        <f t="shared" si="56"/>
        <v/>
      </c>
      <c r="DE35" s="33" t="str">
        <f t="shared" si="57"/>
        <v/>
      </c>
      <c r="DF35" s="33" t="str">
        <f t="shared" si="58"/>
        <v/>
      </c>
      <c r="DG35" s="33">
        <f t="shared" si="59"/>
        <v>0</v>
      </c>
    </row>
    <row r="36" spans="1:111" x14ac:dyDescent="0.25">
      <c r="A36" s="25">
        <v>26</v>
      </c>
      <c r="B36" s="31">
        <f>IF(RIGHT(B37,1)="1",B37-7,B37-1)</f>
        <v>20221</v>
      </c>
      <c r="C36" s="31"/>
      <c r="D36" s="14">
        <v>67252.17</v>
      </c>
      <c r="E36" s="14">
        <v>53957537.740000002</v>
      </c>
      <c r="F36" s="14">
        <v>54388817.68</v>
      </c>
      <c r="G36" s="33">
        <f t="shared" si="10"/>
        <v>808.72955742543331</v>
      </c>
      <c r="H36" s="32"/>
      <c r="I36" s="33">
        <f t="shared" si="20"/>
        <v>271349.68</v>
      </c>
      <c r="J36" s="33">
        <f t="shared" si="21"/>
        <v>205384491.34</v>
      </c>
      <c r="K36" s="33">
        <f t="shared" si="22"/>
        <v>211970054.88000003</v>
      </c>
      <c r="L36" s="33">
        <f t="shared" si="23"/>
        <v>781.1693563817729</v>
      </c>
      <c r="M36" s="31">
        <f>IF(RIGHT(M37,1)="1",M37-7,M37-1)</f>
        <v>20221</v>
      </c>
      <c r="N36" s="31"/>
      <c r="O36" s="16"/>
      <c r="P36" s="16"/>
      <c r="Q36" s="16"/>
      <c r="R36" s="33" t="e">
        <f t="shared" si="11"/>
        <v>#DIV/0!</v>
      </c>
      <c r="S36" s="32"/>
      <c r="T36" s="33" t="str">
        <f t="shared" si="24"/>
        <v/>
      </c>
      <c r="U36" s="33" t="str">
        <f t="shared" si="25"/>
        <v/>
      </c>
      <c r="V36" s="33" t="str">
        <f t="shared" si="26"/>
        <v/>
      </c>
      <c r="W36" s="33">
        <f t="shared" si="27"/>
        <v>0</v>
      </c>
      <c r="X36" s="31">
        <f>IF(RIGHT(X37,1)="1",X37-7,X37-1)</f>
        <v>20221</v>
      </c>
      <c r="Y36" s="31"/>
      <c r="Z36" s="16"/>
      <c r="AA36" s="16"/>
      <c r="AB36" s="16"/>
      <c r="AC36" s="33" t="e">
        <f t="shared" si="12"/>
        <v>#DIV/0!</v>
      </c>
      <c r="AD36" s="32"/>
      <c r="AE36" s="33" t="str">
        <f t="shared" si="28"/>
        <v/>
      </c>
      <c r="AF36" s="33" t="str">
        <f t="shared" si="29"/>
        <v/>
      </c>
      <c r="AG36" s="33" t="str">
        <f t="shared" si="30"/>
        <v/>
      </c>
      <c r="AH36" s="33">
        <f t="shared" si="31"/>
        <v>0</v>
      </c>
      <c r="AI36" s="31">
        <f>IF(RIGHT(AI37,1)="1",AI37-7,AI37-1)</f>
        <v>20221</v>
      </c>
      <c r="AJ36" s="31"/>
      <c r="AK36" s="16"/>
      <c r="AL36" s="16"/>
      <c r="AM36" s="16"/>
      <c r="AN36" s="33" t="e">
        <f t="shared" si="13"/>
        <v>#DIV/0!</v>
      </c>
      <c r="AO36" s="32"/>
      <c r="AP36" s="33" t="str">
        <f t="shared" si="32"/>
        <v/>
      </c>
      <c r="AQ36" s="33" t="str">
        <f t="shared" si="33"/>
        <v/>
      </c>
      <c r="AR36" s="33" t="str">
        <f t="shared" si="34"/>
        <v/>
      </c>
      <c r="AS36" s="33">
        <f t="shared" si="35"/>
        <v>0</v>
      </c>
      <c r="AT36" s="31">
        <f>IF(RIGHT(AT37,1)="1",AT37-7,AT37-1)</f>
        <v>20221</v>
      </c>
      <c r="AU36" s="31"/>
      <c r="AV36" s="16"/>
      <c r="AW36" s="16"/>
      <c r="AX36" s="16"/>
      <c r="AY36" s="33" t="e">
        <f t="shared" si="14"/>
        <v>#DIV/0!</v>
      </c>
      <c r="AZ36" s="32"/>
      <c r="BA36" s="33" t="str">
        <f t="shared" si="36"/>
        <v/>
      </c>
      <c r="BB36" s="33" t="str">
        <f t="shared" si="37"/>
        <v/>
      </c>
      <c r="BC36" s="33" t="str">
        <f t="shared" si="38"/>
        <v/>
      </c>
      <c r="BD36" s="33">
        <f t="shared" si="39"/>
        <v>0</v>
      </c>
      <c r="BE36" s="31">
        <f>IF(RIGHT(BE37,1)="1",BE37-7,BE37-1)</f>
        <v>20221</v>
      </c>
      <c r="BF36" s="31"/>
      <c r="BG36" s="16"/>
      <c r="BH36" s="16"/>
      <c r="BI36" s="16"/>
      <c r="BJ36" s="33" t="e">
        <f t="shared" si="15"/>
        <v>#DIV/0!</v>
      </c>
      <c r="BK36" s="32"/>
      <c r="BL36" s="33" t="str">
        <f t="shared" si="40"/>
        <v/>
      </c>
      <c r="BM36" s="33" t="str">
        <f t="shared" si="41"/>
        <v/>
      </c>
      <c r="BN36" s="33" t="str">
        <f t="shared" si="42"/>
        <v/>
      </c>
      <c r="BO36" s="33">
        <f t="shared" si="43"/>
        <v>0</v>
      </c>
      <c r="BP36" s="31">
        <f>IF(RIGHT(BP37,1)="1",BP37-7,BP37-1)</f>
        <v>20221</v>
      </c>
      <c r="BQ36" s="31"/>
      <c r="BR36" s="16"/>
      <c r="BS36" s="16"/>
      <c r="BT36" s="16"/>
      <c r="BU36" s="33" t="e">
        <f t="shared" si="16"/>
        <v>#DIV/0!</v>
      </c>
      <c r="BV36" s="32"/>
      <c r="BW36" s="33" t="str">
        <f t="shared" si="44"/>
        <v/>
      </c>
      <c r="BX36" s="33" t="str">
        <f t="shared" si="45"/>
        <v/>
      </c>
      <c r="BY36" s="33" t="str">
        <f t="shared" si="46"/>
        <v/>
      </c>
      <c r="BZ36" s="33">
        <f t="shared" si="47"/>
        <v>0</v>
      </c>
      <c r="CA36" s="31">
        <f>IF(RIGHT(CA37,1)="1",CA37-7,CA37-1)</f>
        <v>20221</v>
      </c>
      <c r="CB36" s="31"/>
      <c r="CC36" s="16"/>
      <c r="CD36" s="16"/>
      <c r="CE36" s="16"/>
      <c r="CF36" s="33" t="e">
        <f t="shared" si="17"/>
        <v>#DIV/0!</v>
      </c>
      <c r="CG36" s="32"/>
      <c r="CH36" s="33" t="str">
        <f t="shared" si="48"/>
        <v/>
      </c>
      <c r="CI36" s="33" t="str">
        <f t="shared" si="49"/>
        <v/>
      </c>
      <c r="CJ36" s="33" t="str">
        <f t="shared" si="50"/>
        <v/>
      </c>
      <c r="CK36" s="33">
        <f t="shared" si="51"/>
        <v>0</v>
      </c>
      <c r="CL36" s="31">
        <f>IF(RIGHT(CL37,1)="1",CL37-7,CL37-1)</f>
        <v>20221</v>
      </c>
      <c r="CM36" s="31"/>
      <c r="CN36" s="16"/>
      <c r="CO36" s="16"/>
      <c r="CP36" s="16"/>
      <c r="CQ36" s="33" t="e">
        <f t="shared" si="18"/>
        <v>#DIV/0!</v>
      </c>
      <c r="CR36" s="32"/>
      <c r="CS36" s="33" t="str">
        <f t="shared" si="52"/>
        <v/>
      </c>
      <c r="CT36" s="33" t="str">
        <f t="shared" si="53"/>
        <v/>
      </c>
      <c r="CU36" s="33" t="str">
        <f t="shared" si="54"/>
        <v/>
      </c>
      <c r="CV36" s="33">
        <f t="shared" si="55"/>
        <v>0</v>
      </c>
      <c r="CW36" s="31">
        <f>IF(RIGHT(CW37,1)="1",CW37-7,CW37-1)</f>
        <v>20221</v>
      </c>
      <c r="CX36" s="31"/>
      <c r="CY36" s="16"/>
      <c r="CZ36" s="16"/>
      <c r="DA36" s="16"/>
      <c r="DB36" s="33" t="e">
        <f t="shared" si="19"/>
        <v>#DIV/0!</v>
      </c>
      <c r="DC36" s="32"/>
      <c r="DD36" s="33" t="str">
        <f t="shared" si="56"/>
        <v/>
      </c>
      <c r="DE36" s="33" t="str">
        <f t="shared" si="57"/>
        <v/>
      </c>
      <c r="DF36" s="33" t="str">
        <f t="shared" si="58"/>
        <v/>
      </c>
      <c r="DG36" s="33">
        <f t="shared" si="59"/>
        <v>0</v>
      </c>
    </row>
    <row r="37" spans="1:111" x14ac:dyDescent="0.25">
      <c r="A37" s="25">
        <v>27</v>
      </c>
      <c r="B37" s="31">
        <f>FYQtr</f>
        <v>20222</v>
      </c>
      <c r="C37" s="27"/>
      <c r="D37" s="14">
        <v>67078.44</v>
      </c>
      <c r="E37" s="14">
        <v>55423932.560000002</v>
      </c>
      <c r="F37" s="14">
        <v>55423932.530000001</v>
      </c>
      <c r="G37" s="33">
        <f>F37/D37</f>
        <v>826.2555379940261</v>
      </c>
      <c r="H37" s="32"/>
      <c r="I37" s="33">
        <f t="shared" si="20"/>
        <v>269985.01</v>
      </c>
      <c r="J37" s="33">
        <f t="shared" si="21"/>
        <v>212096167.91</v>
      </c>
      <c r="K37" s="33">
        <f t="shared" si="22"/>
        <v>215792112.57000002</v>
      </c>
      <c r="L37" s="33">
        <f t="shared" si="23"/>
        <v>799.27442108730418</v>
      </c>
      <c r="M37" s="133">
        <f>$B$37</f>
        <v>20222</v>
      </c>
      <c r="N37" s="27"/>
      <c r="O37" s="16"/>
      <c r="P37" s="16"/>
      <c r="Q37" s="16"/>
      <c r="R37" s="33" t="e">
        <f>Q37/O37</f>
        <v>#DIV/0!</v>
      </c>
      <c r="S37" s="32"/>
      <c r="T37" s="33" t="str">
        <f t="shared" si="24"/>
        <v/>
      </c>
      <c r="U37" s="33" t="str">
        <f t="shared" si="25"/>
        <v/>
      </c>
      <c r="V37" s="33" t="str">
        <f t="shared" si="26"/>
        <v/>
      </c>
      <c r="W37" s="33">
        <f t="shared" si="27"/>
        <v>0</v>
      </c>
      <c r="X37" s="133">
        <f>$B$37</f>
        <v>20222</v>
      </c>
      <c r="Y37" s="27"/>
      <c r="Z37" s="16"/>
      <c r="AA37" s="16"/>
      <c r="AB37" s="16"/>
      <c r="AC37" s="33" t="e">
        <f>AB37/Z37</f>
        <v>#DIV/0!</v>
      </c>
      <c r="AD37" s="32"/>
      <c r="AE37" s="33" t="str">
        <f t="shared" si="28"/>
        <v/>
      </c>
      <c r="AF37" s="33" t="str">
        <f t="shared" si="29"/>
        <v/>
      </c>
      <c r="AG37" s="33" t="str">
        <f t="shared" si="30"/>
        <v/>
      </c>
      <c r="AH37" s="33">
        <f t="shared" si="31"/>
        <v>0</v>
      </c>
      <c r="AI37" s="133">
        <f>$B$37</f>
        <v>20222</v>
      </c>
      <c r="AJ37" s="27"/>
      <c r="AK37" s="16"/>
      <c r="AL37" s="16"/>
      <c r="AM37" s="16"/>
      <c r="AN37" s="33" t="e">
        <f>AM37/AK37</f>
        <v>#DIV/0!</v>
      </c>
      <c r="AO37" s="32"/>
      <c r="AP37" s="33" t="str">
        <f t="shared" si="32"/>
        <v/>
      </c>
      <c r="AQ37" s="33" t="str">
        <f t="shared" si="33"/>
        <v/>
      </c>
      <c r="AR37" s="33" t="str">
        <f t="shared" si="34"/>
        <v/>
      </c>
      <c r="AS37" s="33">
        <f t="shared" si="35"/>
        <v>0</v>
      </c>
      <c r="AT37" s="133">
        <f>$B$37</f>
        <v>20222</v>
      </c>
      <c r="AU37" s="27"/>
      <c r="AV37" s="16"/>
      <c r="AW37" s="16"/>
      <c r="AX37" s="16"/>
      <c r="AY37" s="33" t="e">
        <f>AX37/AV37</f>
        <v>#DIV/0!</v>
      </c>
      <c r="AZ37" s="32"/>
      <c r="BA37" s="33" t="str">
        <f t="shared" si="36"/>
        <v/>
      </c>
      <c r="BB37" s="33" t="str">
        <f t="shared" si="37"/>
        <v/>
      </c>
      <c r="BC37" s="33" t="str">
        <f t="shared" si="38"/>
        <v/>
      </c>
      <c r="BD37" s="33">
        <f t="shared" si="39"/>
        <v>0</v>
      </c>
      <c r="BE37" s="133">
        <f>$B$37</f>
        <v>20222</v>
      </c>
      <c r="BF37" s="27"/>
      <c r="BG37" s="16"/>
      <c r="BH37" s="16"/>
      <c r="BI37" s="16"/>
      <c r="BJ37" s="33" t="e">
        <f>BI37/BG37</f>
        <v>#DIV/0!</v>
      </c>
      <c r="BK37" s="32"/>
      <c r="BL37" s="33" t="str">
        <f t="shared" si="40"/>
        <v/>
      </c>
      <c r="BM37" s="33" t="str">
        <f t="shared" si="41"/>
        <v/>
      </c>
      <c r="BN37" s="33" t="str">
        <f t="shared" si="42"/>
        <v/>
      </c>
      <c r="BO37" s="33">
        <f t="shared" si="43"/>
        <v>0</v>
      </c>
      <c r="BP37" s="133">
        <f>$B$37</f>
        <v>20222</v>
      </c>
      <c r="BQ37" s="27"/>
      <c r="BR37" s="16"/>
      <c r="BS37" s="16"/>
      <c r="BT37" s="16"/>
      <c r="BU37" s="33" t="e">
        <f>BT37/BR37</f>
        <v>#DIV/0!</v>
      </c>
      <c r="BV37" s="32"/>
      <c r="BW37" s="33" t="str">
        <f t="shared" si="44"/>
        <v/>
      </c>
      <c r="BX37" s="33" t="str">
        <f t="shared" si="45"/>
        <v/>
      </c>
      <c r="BY37" s="33" t="str">
        <f t="shared" si="46"/>
        <v/>
      </c>
      <c r="BZ37" s="33">
        <f t="shared" si="47"/>
        <v>0</v>
      </c>
      <c r="CA37" s="133">
        <f>$B$37</f>
        <v>20222</v>
      </c>
      <c r="CB37" s="27"/>
      <c r="CC37" s="16"/>
      <c r="CD37" s="16"/>
      <c r="CE37" s="16"/>
      <c r="CF37" s="33" t="e">
        <f>CE37/CC37</f>
        <v>#DIV/0!</v>
      </c>
      <c r="CG37" s="32"/>
      <c r="CH37" s="33" t="str">
        <f t="shared" si="48"/>
        <v/>
      </c>
      <c r="CI37" s="33" t="str">
        <f t="shared" si="49"/>
        <v/>
      </c>
      <c r="CJ37" s="33" t="str">
        <f t="shared" si="50"/>
        <v/>
      </c>
      <c r="CK37" s="33">
        <f t="shared" si="51"/>
        <v>0</v>
      </c>
      <c r="CL37" s="133">
        <f>$B$37</f>
        <v>20222</v>
      </c>
      <c r="CM37" s="27"/>
      <c r="CN37" s="16"/>
      <c r="CO37" s="16"/>
      <c r="CP37" s="16"/>
      <c r="CQ37" s="33" t="e">
        <f>CP37/CN37</f>
        <v>#DIV/0!</v>
      </c>
      <c r="CR37" s="32"/>
      <c r="CS37" s="33" t="str">
        <f t="shared" si="52"/>
        <v/>
      </c>
      <c r="CT37" s="33" t="str">
        <f t="shared" si="53"/>
        <v/>
      </c>
      <c r="CU37" s="33" t="str">
        <f t="shared" si="54"/>
        <v/>
      </c>
      <c r="CV37" s="33">
        <f t="shared" si="55"/>
        <v>0</v>
      </c>
      <c r="CW37" s="133">
        <f>$B$37</f>
        <v>20222</v>
      </c>
      <c r="CX37" s="27"/>
      <c r="CY37" s="16"/>
      <c r="CZ37" s="16"/>
      <c r="DA37" s="16"/>
      <c r="DB37" s="33" t="e">
        <f>DA37/CY37</f>
        <v>#DIV/0!</v>
      </c>
      <c r="DC37" s="32"/>
      <c r="DD37" s="33" t="str">
        <f t="shared" si="56"/>
        <v/>
      </c>
      <c r="DE37" s="33" t="str">
        <f t="shared" si="57"/>
        <v/>
      </c>
      <c r="DF37" s="33" t="str">
        <f t="shared" si="58"/>
        <v/>
      </c>
      <c r="DG37" s="33">
        <f t="shared" si="59"/>
        <v>0</v>
      </c>
    </row>
    <row r="38" spans="1:111" ht="15.75" thickBot="1" x14ac:dyDescent="0.3">
      <c r="D38" s="25" t="s">
        <v>189</v>
      </c>
      <c r="O38" s="25" t="s">
        <v>189</v>
      </c>
      <c r="Z38" s="25" t="s">
        <v>189</v>
      </c>
      <c r="AK38" s="25" t="s">
        <v>189</v>
      </c>
      <c r="AV38" s="25" t="s">
        <v>189</v>
      </c>
      <c r="BG38" s="25" t="s">
        <v>189</v>
      </c>
      <c r="BR38" s="25" t="s">
        <v>189</v>
      </c>
      <c r="CC38" s="25" t="s">
        <v>189</v>
      </c>
      <c r="CN38" s="25" t="s">
        <v>189</v>
      </c>
      <c r="CY38" s="25" t="s">
        <v>189</v>
      </c>
    </row>
    <row r="39" spans="1:111" ht="14.25" customHeight="1" thickBot="1" x14ac:dyDescent="0.3">
      <c r="E39" s="87" t="s">
        <v>31</v>
      </c>
      <c r="K39" s="222" t="s">
        <v>174</v>
      </c>
      <c r="L39" s="83" t="s">
        <v>6</v>
      </c>
      <c r="P39" s="87" t="s">
        <v>31</v>
      </c>
      <c r="V39" s="222" t="s">
        <v>174</v>
      </c>
      <c r="W39" s="83" t="s">
        <v>6</v>
      </c>
      <c r="AA39" s="87" t="s">
        <v>31</v>
      </c>
      <c r="AG39" s="222" t="s">
        <v>174</v>
      </c>
      <c r="AH39" s="83" t="s">
        <v>6</v>
      </c>
      <c r="AL39" s="87" t="s">
        <v>31</v>
      </c>
      <c r="AR39" s="222" t="s">
        <v>174</v>
      </c>
      <c r="AS39" s="83" t="s">
        <v>6</v>
      </c>
      <c r="AW39" s="87" t="s">
        <v>31</v>
      </c>
      <c r="BC39" s="222" t="s">
        <v>174</v>
      </c>
      <c r="BD39" s="83" t="s">
        <v>6</v>
      </c>
      <c r="BH39" s="87" t="s">
        <v>31</v>
      </c>
      <c r="BN39" s="222" t="s">
        <v>174</v>
      </c>
      <c r="BO39" s="83" t="s">
        <v>6</v>
      </c>
      <c r="BS39" s="87" t="s">
        <v>31</v>
      </c>
      <c r="BY39" s="222" t="s">
        <v>174</v>
      </c>
      <c r="BZ39" s="83" t="s">
        <v>6</v>
      </c>
      <c r="CD39" s="87" t="s">
        <v>31</v>
      </c>
      <c r="CJ39" s="222" t="s">
        <v>174</v>
      </c>
      <c r="CK39" s="83" t="s">
        <v>6</v>
      </c>
      <c r="CO39" s="87" t="s">
        <v>31</v>
      </c>
      <c r="CU39" s="222" t="s">
        <v>174</v>
      </c>
      <c r="CV39" s="83" t="s">
        <v>6</v>
      </c>
      <c r="CZ39" s="87" t="s">
        <v>31</v>
      </c>
      <c r="DF39" s="222" t="s">
        <v>174</v>
      </c>
      <c r="DG39" s="83" t="s">
        <v>6</v>
      </c>
    </row>
    <row r="40" spans="1:111" ht="15.75" thickBot="1" x14ac:dyDescent="0.3">
      <c r="B40" s="25" t="s">
        <v>12</v>
      </c>
      <c r="D40" s="86" t="s">
        <v>9</v>
      </c>
      <c r="E40" s="88">
        <f>VLOOKUP($D$40,$K$40:$L$44,2,FALSE)</f>
        <v>5.8308017208222873E-2</v>
      </c>
      <c r="F40" s="135" t="str">
        <f>IF($D$40&lt;&gt;'4.Exhibit 8'!$D$40,"ERROR!  The number of data points selected must be","")</f>
        <v/>
      </c>
      <c r="K40" s="70" t="s">
        <v>7</v>
      </c>
      <c r="L40" s="220">
        <f>LOGEST(L30:L$37)^4-1</f>
        <v>7.9451039092552689E-2</v>
      </c>
      <c r="M40" s="25" t="s">
        <v>12</v>
      </c>
      <c r="O40" s="86"/>
      <c r="P40" s="88" t="e">
        <f>VLOOKUP($O$40,$V$40:$W$44,2,FALSE)</f>
        <v>#N/A</v>
      </c>
      <c r="Q40" s="135" t="str">
        <f>IF($O$40&lt;&gt;'4.Exhibit 8'!$V$40,"ERROR!  The number of data points selected must be","")</f>
        <v/>
      </c>
      <c r="V40" s="70" t="s">
        <v>7</v>
      </c>
      <c r="W40" s="220" t="e">
        <f>LOGEST(W30:W$37)^4-1</f>
        <v>#NUM!</v>
      </c>
      <c r="X40" s="25" t="s">
        <v>12</v>
      </c>
      <c r="Z40" s="86"/>
      <c r="AA40" s="88" t="e">
        <f>VLOOKUP($Z$40,$AG$40:$AH$44,2,FALSE)</f>
        <v>#N/A</v>
      </c>
      <c r="AB40" s="135" t="str">
        <f>IF($Z$40&lt;&gt;'4.Exhibit 8'!$AN$40,"ERROR!  The number of data points selected must be","")</f>
        <v/>
      </c>
      <c r="AG40" s="70" t="s">
        <v>7</v>
      </c>
      <c r="AH40" s="220" t="e">
        <f>LOGEST(AH30:AH$37)^4-1</f>
        <v>#NUM!</v>
      </c>
      <c r="AI40" s="25" t="s">
        <v>12</v>
      </c>
      <c r="AK40" s="86"/>
      <c r="AL40" s="88" t="e">
        <f>VLOOKUP($AK$40,$AR$40:$AS$44,2,FALSE)</f>
        <v>#N/A</v>
      </c>
      <c r="AM40" s="135" t="str">
        <f>IF($AK$40&lt;&gt;'4.Exhibit 8'!$BF$40,"ERROR!  The number of data points selected must be","")</f>
        <v/>
      </c>
      <c r="AR40" s="70" t="s">
        <v>7</v>
      </c>
      <c r="AS40" s="220" t="e">
        <f>LOGEST(AS30:AS$37)^4-1</f>
        <v>#NUM!</v>
      </c>
      <c r="AT40" s="25" t="s">
        <v>12</v>
      </c>
      <c r="AV40" s="86"/>
      <c r="AW40" s="88" t="e">
        <f>VLOOKUP($AV$40,$BC$40:$BD$44,2,FALSE)</f>
        <v>#N/A</v>
      </c>
      <c r="AX40" s="135" t="str">
        <f>IF($AV$40&lt;&gt;'4.Exhibit 8'!$BX$40,"ERROR!  The number of data points selected must be","")</f>
        <v/>
      </c>
      <c r="BC40" s="70" t="s">
        <v>7</v>
      </c>
      <c r="BD40" s="220" t="e">
        <f>LOGEST(BD30:BD$37)^4-1</f>
        <v>#NUM!</v>
      </c>
      <c r="BE40" s="25" t="s">
        <v>12</v>
      </c>
      <c r="BG40" s="86"/>
      <c r="BH40" s="88" t="e">
        <f>VLOOKUP($BG$40,$BN$40:$BO$44,2,FALSE)</f>
        <v>#N/A</v>
      </c>
      <c r="BI40" s="135" t="str">
        <f>IF($BG$40&lt;&gt;'4.Exhibit 8'!$CP$40,"ERROR!  The number of data points selected must be","")</f>
        <v/>
      </c>
      <c r="BN40" s="70" t="s">
        <v>7</v>
      </c>
      <c r="BO40" s="220" t="e">
        <f>LOGEST(BO30:BO$37)^4-1</f>
        <v>#NUM!</v>
      </c>
      <c r="BP40" s="25" t="s">
        <v>12</v>
      </c>
      <c r="BR40" s="86"/>
      <c r="BS40" s="88" t="e">
        <f>VLOOKUP($BR$40,$BY$40:$BZ$44,2,FALSE)</f>
        <v>#N/A</v>
      </c>
      <c r="BT40" s="135" t="str">
        <f>IF($BR$40&lt;&gt;'4.Exhibit 8'!$DH$40,"ERROR!  The number of data points selected must be","")</f>
        <v/>
      </c>
      <c r="BY40" s="70" t="s">
        <v>7</v>
      </c>
      <c r="BZ40" s="220" t="e">
        <f>LOGEST(BZ30:BZ$37)^4-1</f>
        <v>#NUM!</v>
      </c>
      <c r="CA40" s="25" t="s">
        <v>12</v>
      </c>
      <c r="CC40" s="86"/>
      <c r="CD40" s="88" t="e">
        <f>VLOOKUP($CC$40,$CJ$40:$CK$44,2,FALSE)</f>
        <v>#N/A</v>
      </c>
      <c r="CE40" s="135" t="str">
        <f>IF($CC$40&lt;&gt;'4.Exhibit 8'!$DZ$40,"ERROR!  The number of data points selected must be","")</f>
        <v/>
      </c>
      <c r="CJ40" s="70" t="s">
        <v>7</v>
      </c>
      <c r="CK40" s="220" t="e">
        <f>LOGEST(CK30:CK$37)^4-1</f>
        <v>#NUM!</v>
      </c>
      <c r="CL40" s="25" t="s">
        <v>12</v>
      </c>
      <c r="CN40" s="86"/>
      <c r="CO40" s="88" t="e">
        <f>VLOOKUP($CN$40,$CU$40:$CV$44,2,FALSE)</f>
        <v>#N/A</v>
      </c>
      <c r="CP40" s="135" t="str">
        <f>IF($CN$40&lt;&gt;'4.Exhibit 8'!$ER$40,"ERROR!  The number of data points selected must be","")</f>
        <v/>
      </c>
      <c r="CU40" s="70" t="s">
        <v>7</v>
      </c>
      <c r="CV40" s="220" t="e">
        <f>LOGEST(CV30:CV$37)^4-1</f>
        <v>#NUM!</v>
      </c>
      <c r="CW40" s="25" t="s">
        <v>12</v>
      </c>
      <c r="CY40" s="86"/>
      <c r="CZ40" s="88" t="e">
        <f>VLOOKUP($CY$40,$DF$40:$DG$44,2,FALSE)</f>
        <v>#N/A</v>
      </c>
      <c r="DA40" s="135" t="str">
        <f>IF($CY$40&lt;&gt;'4.Exhibit 8'!$FJ$40,"ERROR!  The number of data points selected must be","")</f>
        <v/>
      </c>
      <c r="DF40" s="70" t="s">
        <v>7</v>
      </c>
      <c r="DG40" s="220" t="e">
        <f>LOGEST(DG30:DG$37)^4-1</f>
        <v>#NUM!</v>
      </c>
    </row>
    <row r="41" spans="1:111" x14ac:dyDescent="0.25">
      <c r="F41" s="136" t="str">
        <f>IF($D$40&lt;&gt;'4.Exhibit 8'!$D$40,"the same for premium trend and loss trend.","")</f>
        <v/>
      </c>
      <c r="G41" s="37"/>
      <c r="K41" s="70" t="s">
        <v>8</v>
      </c>
      <c r="L41" s="220">
        <f>LOGEST(L26:L$37)^4-1</f>
        <v>6.4070200789217546E-2</v>
      </c>
      <c r="Q41" s="136" t="str">
        <f>IF($O$40&lt;&gt;'4.Exhibit 8'!$V$40,"the same for premium trend and loss trend.","")</f>
        <v/>
      </c>
      <c r="R41" s="37"/>
      <c r="V41" s="70" t="s">
        <v>8</v>
      </c>
      <c r="W41" s="220" t="e">
        <f>LOGEST(W26:W$37)^4-1</f>
        <v>#NUM!</v>
      </c>
      <c r="AB41" s="136" t="str">
        <f>IF($Z$40&lt;&gt;'4.Exhibit 8'!$AN$40,"the same for premium trend and loss trend.","")</f>
        <v/>
      </c>
      <c r="AC41" s="37"/>
      <c r="AG41" s="70" t="s">
        <v>8</v>
      </c>
      <c r="AH41" s="220" t="e">
        <f>LOGEST(AH26:AH$37)^4-1</f>
        <v>#NUM!</v>
      </c>
      <c r="AM41" s="136" t="str">
        <f>IF($AK$40&lt;&gt;'4.Exhibit 8'!$BF$40,"the same for premium trend and loss trend.","")</f>
        <v/>
      </c>
      <c r="AN41" s="37"/>
      <c r="AR41" s="70" t="s">
        <v>8</v>
      </c>
      <c r="AS41" s="220" t="e">
        <f>LOGEST(AS26:AS$37)^4-1</f>
        <v>#NUM!</v>
      </c>
      <c r="AX41" s="136" t="str">
        <f>IF($AV$40&lt;&gt;'4.Exhibit 8'!$BX$40,"the same for premium trend and loss trend.","")</f>
        <v/>
      </c>
      <c r="AY41" s="37"/>
      <c r="BC41" s="70" t="s">
        <v>8</v>
      </c>
      <c r="BD41" s="220" t="e">
        <f>LOGEST(BD26:BD$37)^4-1</f>
        <v>#NUM!</v>
      </c>
      <c r="BI41" s="136" t="str">
        <f>IF($BG$40&lt;&gt;'4.Exhibit 8'!$CP$40,"the same for premium trend and loss trend.","")</f>
        <v/>
      </c>
      <c r="BJ41" s="37"/>
      <c r="BN41" s="70" t="s">
        <v>8</v>
      </c>
      <c r="BO41" s="220" t="e">
        <f>LOGEST(BO26:BO$37)^4-1</f>
        <v>#NUM!</v>
      </c>
      <c r="BT41" s="136" t="str">
        <f>IF($BR$40&lt;&gt;'4.Exhibit 8'!$DH$40,"the same for premium trend and loss trend.","")</f>
        <v/>
      </c>
      <c r="BU41" s="37"/>
      <c r="BY41" s="70" t="s">
        <v>8</v>
      </c>
      <c r="BZ41" s="220" t="e">
        <f>LOGEST(BZ26:BZ$37)^4-1</f>
        <v>#NUM!</v>
      </c>
      <c r="CE41" s="136" t="str">
        <f>IF($CC$40&lt;&gt;'4.Exhibit 8'!$DZ$40,"the same for premium trend and loss trend.","")</f>
        <v/>
      </c>
      <c r="CF41" s="37"/>
      <c r="CJ41" s="70" t="s">
        <v>8</v>
      </c>
      <c r="CK41" s="220" t="e">
        <f>LOGEST(CK26:CK$37)^4-1</f>
        <v>#NUM!</v>
      </c>
      <c r="CP41" s="136" t="str">
        <f>IF($CN$40&lt;&gt;'4.Exhibit 8'!$ER$40,"the same for premium trend and loss trend.","")</f>
        <v/>
      </c>
      <c r="CQ41" s="37"/>
      <c r="CU41" s="70" t="s">
        <v>8</v>
      </c>
      <c r="CV41" s="220" t="e">
        <f>LOGEST(CV26:CV$37)^4-1</f>
        <v>#NUM!</v>
      </c>
      <c r="DA41" s="136" t="str">
        <f>IF($CY$40&lt;&gt;'4.Exhibit 8'!$FJ$40,"the same for premium trend and loss trend.","")</f>
        <v/>
      </c>
      <c r="DB41" s="37"/>
      <c r="DF41" s="70" t="s">
        <v>8</v>
      </c>
      <c r="DG41" s="220" t="e">
        <f>LOGEST(DG26:DG$37)^4-1</f>
        <v>#NUM!</v>
      </c>
    </row>
    <row r="42" spans="1:111" x14ac:dyDescent="0.25">
      <c r="B42" s="25" t="s">
        <v>53</v>
      </c>
      <c r="G42" s="24">
        <f>IFERROR(((12+PolicyTermAvgAnn)/24)+((EffDate_Proposed-(DATE(LEFT(FYQtr,4),(RIGHT(FYQtr,1)*3)-6+1,1)-1))/365.25),"")</f>
        <v>2.6673511293634498</v>
      </c>
      <c r="K42" s="70" t="s">
        <v>9</v>
      </c>
      <c r="L42" s="220">
        <f>LOGEST(L22:L$37)^4-1</f>
        <v>5.8308017208222873E-2</v>
      </c>
      <c r="M42" s="25" t="s">
        <v>53</v>
      </c>
      <c r="R42" s="261">
        <f>$G$42</f>
        <v>2.6673511293634498</v>
      </c>
      <c r="V42" s="70" t="s">
        <v>9</v>
      </c>
      <c r="W42" s="220" t="e">
        <f>LOGEST(W22:W$37)^4-1</f>
        <v>#NUM!</v>
      </c>
      <c r="X42" s="25" t="s">
        <v>53</v>
      </c>
      <c r="AC42" s="261">
        <f>$G$42</f>
        <v>2.6673511293634498</v>
      </c>
      <c r="AG42" s="70" t="s">
        <v>9</v>
      </c>
      <c r="AH42" s="220" t="e">
        <f>LOGEST(AH22:AH$37)^4-1</f>
        <v>#NUM!</v>
      </c>
      <c r="AI42" s="25" t="s">
        <v>53</v>
      </c>
      <c r="AN42" s="261">
        <f>$G$42</f>
        <v>2.6673511293634498</v>
      </c>
      <c r="AR42" s="70" t="s">
        <v>9</v>
      </c>
      <c r="AS42" s="220" t="e">
        <f>LOGEST(AS22:AS$37)^4-1</f>
        <v>#NUM!</v>
      </c>
      <c r="AT42" s="25" t="s">
        <v>53</v>
      </c>
      <c r="AY42" s="261">
        <f>$G$42</f>
        <v>2.6673511293634498</v>
      </c>
      <c r="BC42" s="70" t="s">
        <v>9</v>
      </c>
      <c r="BD42" s="220" t="e">
        <f>LOGEST(BD22:BD$37)^4-1</f>
        <v>#NUM!</v>
      </c>
      <c r="BE42" s="25" t="s">
        <v>53</v>
      </c>
      <c r="BJ42" s="261">
        <f>$G$42</f>
        <v>2.6673511293634498</v>
      </c>
      <c r="BN42" s="70" t="s">
        <v>9</v>
      </c>
      <c r="BO42" s="220" t="e">
        <f>LOGEST(BO22:BO$37)^4-1</f>
        <v>#NUM!</v>
      </c>
      <c r="BP42" s="25" t="s">
        <v>53</v>
      </c>
      <c r="BU42" s="261">
        <f>$G$42</f>
        <v>2.6673511293634498</v>
      </c>
      <c r="BY42" s="70" t="s">
        <v>9</v>
      </c>
      <c r="BZ42" s="220" t="e">
        <f>LOGEST(BZ22:BZ$37)^4-1</f>
        <v>#NUM!</v>
      </c>
      <c r="CA42" s="25" t="s">
        <v>53</v>
      </c>
      <c r="CF42" s="261">
        <f>$G$42</f>
        <v>2.6673511293634498</v>
      </c>
      <c r="CJ42" s="70" t="s">
        <v>9</v>
      </c>
      <c r="CK42" s="220" t="e">
        <f>LOGEST(CK22:CK$37)^4-1</f>
        <v>#NUM!</v>
      </c>
      <c r="CL42" s="25" t="s">
        <v>53</v>
      </c>
      <c r="CQ42" s="261">
        <f>$G$42</f>
        <v>2.6673511293634498</v>
      </c>
      <c r="CU42" s="70" t="s">
        <v>9</v>
      </c>
      <c r="CV42" s="220" t="e">
        <f>LOGEST(CV22:CV$37)^4-1</f>
        <v>#NUM!</v>
      </c>
      <c r="CW42" s="25" t="s">
        <v>53</v>
      </c>
      <c r="DB42" s="261">
        <f>$G$42</f>
        <v>2.6673511293634498</v>
      </c>
      <c r="DF42" s="70" t="s">
        <v>9</v>
      </c>
      <c r="DG42" s="220" t="e">
        <f>LOGEST(DG22:DG$37)^4-1</f>
        <v>#NUM!</v>
      </c>
    </row>
    <row r="43" spans="1:111" x14ac:dyDescent="0.25">
      <c r="B43" s="37"/>
      <c r="F43" s="135" t="str">
        <f>IF($G$42&lt;&gt;'4.Exhibit 8'!$F$46,"ERROR!  The trend period must be identical for","")</f>
        <v/>
      </c>
      <c r="K43" s="70" t="s">
        <v>10</v>
      </c>
      <c r="L43" s="220">
        <f>LOGEST(L18:L$37)^4-1</f>
        <v>5.5141896785375621E-2</v>
      </c>
      <c r="M43" s="37"/>
      <c r="Q43" s="135"/>
      <c r="V43" s="70" t="s">
        <v>10</v>
      </c>
      <c r="W43" s="220" t="e">
        <f>LOGEST(W18:W$37)^4-1</f>
        <v>#NUM!</v>
      </c>
      <c r="X43" s="37"/>
      <c r="AB43" s="135"/>
      <c r="AG43" s="70" t="s">
        <v>10</v>
      </c>
      <c r="AH43" s="220" t="e">
        <f>LOGEST(AH18:AH$37)^4-1</f>
        <v>#NUM!</v>
      </c>
      <c r="AI43" s="37"/>
      <c r="AM43" s="135"/>
      <c r="AR43" s="70" t="s">
        <v>10</v>
      </c>
      <c r="AS43" s="220" t="e">
        <f>LOGEST(AS18:AS$37)^4-1</f>
        <v>#NUM!</v>
      </c>
      <c r="AT43" s="37"/>
      <c r="AX43" s="135"/>
      <c r="BC43" s="70" t="s">
        <v>10</v>
      </c>
      <c r="BD43" s="220" t="e">
        <f>LOGEST(BD18:BD$37)^4-1</f>
        <v>#NUM!</v>
      </c>
      <c r="BE43" s="37"/>
      <c r="BI43" s="135"/>
      <c r="BN43" s="70" t="s">
        <v>10</v>
      </c>
      <c r="BO43" s="220" t="e">
        <f>LOGEST(BO18:BO$37)^4-1</f>
        <v>#NUM!</v>
      </c>
      <c r="BP43" s="37"/>
      <c r="BT43" s="135"/>
      <c r="BY43" s="70" t="s">
        <v>10</v>
      </c>
      <c r="BZ43" s="220" t="e">
        <f>LOGEST(BZ18:BZ$37)^4-1</f>
        <v>#NUM!</v>
      </c>
      <c r="CA43" s="37"/>
      <c r="CE43" s="135"/>
      <c r="CJ43" s="70" t="s">
        <v>10</v>
      </c>
      <c r="CK43" s="220" t="e">
        <f>LOGEST(CK18:CK$37)^4-1</f>
        <v>#NUM!</v>
      </c>
      <c r="CL43" s="37"/>
      <c r="CP43" s="135"/>
      <c r="CU43" s="70" t="s">
        <v>10</v>
      </c>
      <c r="CV43" s="220" t="e">
        <f>LOGEST(CV18:CV$37)^4-1</f>
        <v>#NUM!</v>
      </c>
      <c r="CW43" s="37"/>
      <c r="DA43" s="135"/>
      <c r="DF43" s="70" t="s">
        <v>10</v>
      </c>
      <c r="DG43" s="220" t="e">
        <f>LOGEST(DG18:DG$37)^4-1</f>
        <v>#NUM!</v>
      </c>
    </row>
    <row r="44" spans="1:111" ht="15.75" thickBot="1" x14ac:dyDescent="0.3">
      <c r="B44" s="37"/>
      <c r="F44" s="135" t="str">
        <f>IF($G$42&lt;&gt;'4.Exhibit 8'!$F$46,"premium and loss trends.","")</f>
        <v/>
      </c>
      <c r="K44" s="72" t="s">
        <v>11</v>
      </c>
      <c r="L44" s="221">
        <f>LOGEST(L14:L$37)^4-1</f>
        <v>4.852181230711361E-2</v>
      </c>
      <c r="M44" s="37"/>
      <c r="Q44" s="135"/>
      <c r="V44" s="72" t="s">
        <v>11</v>
      </c>
      <c r="W44" s="221" t="e">
        <f>LOGEST(W14:W$37)^4-1</f>
        <v>#NUM!</v>
      </c>
      <c r="X44" s="37"/>
      <c r="AB44" s="135"/>
      <c r="AG44" s="72" t="s">
        <v>11</v>
      </c>
      <c r="AH44" s="221" t="e">
        <f>LOGEST(AH14:AH$37)^4-1</f>
        <v>#NUM!</v>
      </c>
      <c r="AI44" s="37"/>
      <c r="AM44" s="135"/>
      <c r="AR44" s="72" t="s">
        <v>11</v>
      </c>
      <c r="AS44" s="221" t="e">
        <f>LOGEST(AS14:AS$37)^4-1</f>
        <v>#NUM!</v>
      </c>
      <c r="AT44" s="37"/>
      <c r="AX44" s="135"/>
      <c r="BC44" s="72" t="s">
        <v>11</v>
      </c>
      <c r="BD44" s="221" t="e">
        <f>LOGEST(BD14:BD$37)^4-1</f>
        <v>#NUM!</v>
      </c>
      <c r="BE44" s="37"/>
      <c r="BI44" s="135"/>
      <c r="BN44" s="72" t="s">
        <v>11</v>
      </c>
      <c r="BO44" s="221" t="e">
        <f>LOGEST(BO14:BO$37)^4-1</f>
        <v>#NUM!</v>
      </c>
      <c r="BP44" s="37"/>
      <c r="BT44" s="135"/>
      <c r="BY44" s="72" t="s">
        <v>11</v>
      </c>
      <c r="BZ44" s="221" t="e">
        <f>LOGEST(BZ14:BZ$37)^4-1</f>
        <v>#NUM!</v>
      </c>
      <c r="CA44" s="37"/>
      <c r="CE44" s="135"/>
      <c r="CJ44" s="72" t="s">
        <v>11</v>
      </c>
      <c r="CK44" s="221" t="e">
        <f>LOGEST(CK14:CK$37)^4-1</f>
        <v>#NUM!</v>
      </c>
      <c r="CL44" s="37"/>
      <c r="CP44" s="135"/>
      <c r="CU44" s="72" t="s">
        <v>11</v>
      </c>
      <c r="CV44" s="221" t="e">
        <f>LOGEST(CV14:CV$37)^4-1</f>
        <v>#NUM!</v>
      </c>
      <c r="CW44" s="37"/>
      <c r="DA44" s="135"/>
      <c r="DF44" s="72" t="s">
        <v>11</v>
      </c>
      <c r="DG44" s="221" t="e">
        <f>LOGEST(DG14:DG$37)^4-1</f>
        <v>#NUM!</v>
      </c>
    </row>
    <row r="45" spans="1:111" x14ac:dyDescent="0.25">
      <c r="B45" s="89" t="s">
        <v>14</v>
      </c>
      <c r="M45" s="89" t="s">
        <v>14</v>
      </c>
      <c r="X45" s="89" t="s">
        <v>14</v>
      </c>
      <c r="AI45" s="89" t="s">
        <v>14</v>
      </c>
      <c r="AT45" s="89" t="s">
        <v>14</v>
      </c>
      <c r="BE45" s="89" t="s">
        <v>14</v>
      </c>
      <c r="BP45" s="89" t="s">
        <v>14</v>
      </c>
      <c r="CA45" s="89" t="s">
        <v>14</v>
      </c>
      <c r="CL45" s="89" t="s">
        <v>14</v>
      </c>
      <c r="CW45" s="89" t="s">
        <v>14</v>
      </c>
    </row>
    <row r="46" spans="1:111" ht="17.25" x14ac:dyDescent="0.25">
      <c r="B46" s="38" t="s">
        <v>20</v>
      </c>
      <c r="D46" s="85">
        <f>(1+PTrnd_Cov1)^(G$42+5)</f>
        <v>1.5442211858073014</v>
      </c>
      <c r="J46" s="125"/>
      <c r="K46" s="125"/>
      <c r="L46" s="71"/>
      <c r="M46" s="38" t="s">
        <v>20</v>
      </c>
      <c r="O46" s="85" t="e">
        <f>(1+PTrnd_Cov2)^(R$42+5)</f>
        <v>#N/A</v>
      </c>
      <c r="U46" s="125"/>
      <c r="V46" s="125"/>
      <c r="W46" s="71"/>
      <c r="X46" s="38" t="s">
        <v>20</v>
      </c>
      <c r="Z46" s="85" t="e">
        <f>(1+PTrnd_Cov3)^(AC$42+5)</f>
        <v>#N/A</v>
      </c>
      <c r="AF46" s="125"/>
      <c r="AG46" s="125"/>
      <c r="AH46" s="71"/>
      <c r="AI46" s="38" t="s">
        <v>20</v>
      </c>
      <c r="AK46" s="85" t="e">
        <f>(1+PTrnd_Cov4)^(AN$42+5)</f>
        <v>#N/A</v>
      </c>
      <c r="AQ46" s="125"/>
      <c r="AR46" s="125"/>
      <c r="AS46" s="71"/>
      <c r="AT46" s="38" t="s">
        <v>20</v>
      </c>
      <c r="AV46" s="85" t="e">
        <f>(1+PTrnd_Cov5)^(AY$42+5)</f>
        <v>#N/A</v>
      </c>
      <c r="BB46" s="125"/>
      <c r="BC46" s="125"/>
      <c r="BD46" s="71"/>
      <c r="BE46" s="38" t="s">
        <v>20</v>
      </c>
      <c r="BG46" s="85" t="e">
        <f>(1+PTrnd_Cov6)^(BJ$42+5)</f>
        <v>#N/A</v>
      </c>
      <c r="BM46" s="125"/>
      <c r="BN46" s="125"/>
      <c r="BO46" s="71"/>
      <c r="BP46" s="38" t="s">
        <v>20</v>
      </c>
      <c r="BR46" s="85" t="e">
        <f>(1+PTrnd_Cov7)^(BU$42+5)</f>
        <v>#N/A</v>
      </c>
      <c r="BX46" s="125"/>
      <c r="BY46" s="125"/>
      <c r="BZ46" s="71"/>
      <c r="CA46" s="38" t="s">
        <v>20</v>
      </c>
      <c r="CC46" s="85" t="e">
        <f>(1+PTrnd_Cov8)^(CF$42+5)</f>
        <v>#N/A</v>
      </c>
      <c r="CI46" s="125"/>
      <c r="CJ46" s="125"/>
      <c r="CK46" s="71"/>
      <c r="CL46" s="38" t="s">
        <v>20</v>
      </c>
      <c r="CN46" s="85" t="e">
        <f>(1+PTrnd_Cov9)^(CQ$42+5)</f>
        <v>#N/A</v>
      </c>
      <c r="CT46" s="125"/>
      <c r="CU46" s="125"/>
      <c r="CV46" s="71"/>
      <c r="CW46" s="38" t="s">
        <v>20</v>
      </c>
      <c r="CY46" s="85" t="e">
        <f>(1+PTrnd_Cov10)^(DB$42+5)</f>
        <v>#N/A</v>
      </c>
      <c r="DE46" s="125"/>
      <c r="DF46" s="125"/>
      <c r="DG46" s="71"/>
    </row>
    <row r="47" spans="1:111" ht="17.25" x14ac:dyDescent="0.25">
      <c r="B47" s="38" t="s">
        <v>19</v>
      </c>
      <c r="D47" s="46">
        <f>(1+PTrnd_Cov1)^(G$42+4)</f>
        <v>1.4591415360160451</v>
      </c>
      <c r="M47" s="38" t="s">
        <v>19</v>
      </c>
      <c r="O47" s="46" t="e">
        <f>(1+PTrnd_Cov2)^(R$42+4)</f>
        <v>#N/A</v>
      </c>
      <c r="X47" s="38" t="s">
        <v>19</v>
      </c>
      <c r="Z47" s="46" t="e">
        <f>(1+PTrnd_Cov3)^(AC$42+4)</f>
        <v>#N/A</v>
      </c>
      <c r="AI47" s="38" t="s">
        <v>19</v>
      </c>
      <c r="AK47" s="46" t="e">
        <f>(1+PTrnd_Cov4)^(AN$42+4)</f>
        <v>#N/A</v>
      </c>
      <c r="AT47" s="38" t="s">
        <v>19</v>
      </c>
      <c r="AV47" s="46" t="e">
        <f>(1+PTrnd_Cov5)^(AY$42+4)</f>
        <v>#N/A</v>
      </c>
      <c r="BE47" s="38" t="s">
        <v>19</v>
      </c>
      <c r="BG47" s="46" t="e">
        <f>(1+PTrnd_Cov6)^(BJ$42+4)</f>
        <v>#N/A</v>
      </c>
      <c r="BP47" s="38" t="s">
        <v>19</v>
      </c>
      <c r="BR47" s="46" t="e">
        <f>(1+PTrnd_Cov7)^(BU$42+4)</f>
        <v>#N/A</v>
      </c>
      <c r="CA47" s="38" t="s">
        <v>19</v>
      </c>
      <c r="CC47" s="46" t="e">
        <f>(1+PTrnd_Cov8)^(CF$42+4)</f>
        <v>#N/A</v>
      </c>
      <c r="CL47" s="38" t="s">
        <v>19</v>
      </c>
      <c r="CN47" s="46" t="e">
        <f>(1+PTrnd_Cov9)^(CQ$42+4)</f>
        <v>#N/A</v>
      </c>
      <c r="CW47" s="38" t="s">
        <v>19</v>
      </c>
      <c r="CY47" s="46" t="e">
        <f>(1+PTrnd_Cov10)^(DB$42+4)</f>
        <v>#N/A</v>
      </c>
    </row>
    <row r="48" spans="1:111" ht="17.25" x14ac:dyDescent="0.25">
      <c r="B48" s="38" t="s">
        <v>18</v>
      </c>
      <c r="D48" s="46">
        <f>(1+PTrnd_Cov1)^(G$42+3)</f>
        <v>1.37874939270063</v>
      </c>
      <c r="M48" s="38" t="s">
        <v>18</v>
      </c>
      <c r="O48" s="46" t="e">
        <f>(1+PTrnd_Cov2)^(R$42+3)</f>
        <v>#N/A</v>
      </c>
      <c r="X48" s="38" t="s">
        <v>18</v>
      </c>
      <c r="Z48" s="46" t="e">
        <f>(1+PTrnd_Cov3)^(AC$42+3)</f>
        <v>#N/A</v>
      </c>
      <c r="AI48" s="38" t="s">
        <v>18</v>
      </c>
      <c r="AK48" s="46" t="e">
        <f>(1+PTrnd_Cov4)^(AN$42+3)</f>
        <v>#N/A</v>
      </c>
      <c r="AT48" s="38" t="s">
        <v>18</v>
      </c>
      <c r="AV48" s="46" t="e">
        <f>(1+PTrnd_Cov5)^(AY$42+3)</f>
        <v>#N/A</v>
      </c>
      <c r="BE48" s="38" t="s">
        <v>18</v>
      </c>
      <c r="BG48" s="46" t="e">
        <f>(1+PTrnd_Cov6)^(BJ$42+3)</f>
        <v>#N/A</v>
      </c>
      <c r="BP48" s="38" t="s">
        <v>18</v>
      </c>
      <c r="BR48" s="46" t="e">
        <f>(1+PTrnd_Cov7)^(BU$42+3)</f>
        <v>#N/A</v>
      </c>
      <c r="CA48" s="38" t="s">
        <v>18</v>
      </c>
      <c r="CC48" s="46" t="e">
        <f>(1+PTrnd_Cov8)^(CF$42+3)</f>
        <v>#N/A</v>
      </c>
      <c r="CL48" s="38" t="s">
        <v>18</v>
      </c>
      <c r="CN48" s="46" t="e">
        <f>(1+PTrnd_Cov9)^(CQ$42+3)</f>
        <v>#N/A</v>
      </c>
      <c r="CW48" s="38" t="s">
        <v>18</v>
      </c>
      <c r="CY48" s="46" t="e">
        <f>(1+PTrnd_Cov10)^(DB$42+3)</f>
        <v>#N/A</v>
      </c>
    </row>
    <row r="49" spans="2:103" ht="17.25" x14ac:dyDescent="0.25">
      <c r="B49" s="38" t="s">
        <v>17</v>
      </c>
      <c r="D49" s="46">
        <f>(1+PTrnd_Cov1)^(G$42+2)</f>
        <v>1.3027864953132637</v>
      </c>
      <c r="M49" s="38" t="s">
        <v>17</v>
      </c>
      <c r="O49" s="46" t="e">
        <f>(1+PTrnd_Cov2)^(R$42+2)</f>
        <v>#N/A</v>
      </c>
      <c r="X49" s="38" t="s">
        <v>17</v>
      </c>
      <c r="Z49" s="46" t="e">
        <f>(1+PTrnd_Cov3)^(AC$42+2)</f>
        <v>#N/A</v>
      </c>
      <c r="AI49" s="38" t="s">
        <v>17</v>
      </c>
      <c r="AK49" s="46" t="e">
        <f>(1+PTrnd_Cov4)^(AN$42+2)</f>
        <v>#N/A</v>
      </c>
      <c r="AT49" s="38" t="s">
        <v>17</v>
      </c>
      <c r="AV49" s="46" t="e">
        <f>(1+PTrnd_Cov5)^(AY$42+2)</f>
        <v>#N/A</v>
      </c>
      <c r="BE49" s="38" t="s">
        <v>17</v>
      </c>
      <c r="BG49" s="46" t="e">
        <f>(1+PTrnd_Cov6)^(BJ$42+2)</f>
        <v>#N/A</v>
      </c>
      <c r="BP49" s="38" t="s">
        <v>17</v>
      </c>
      <c r="BR49" s="46" t="e">
        <f>(1+PTrnd_Cov7)^(BU$42+2)</f>
        <v>#N/A</v>
      </c>
      <c r="CA49" s="38" t="s">
        <v>17</v>
      </c>
      <c r="CC49" s="46" t="e">
        <f>(1+PTrnd_Cov8)^(CF$42+2)</f>
        <v>#N/A</v>
      </c>
      <c r="CL49" s="38" t="s">
        <v>17</v>
      </c>
      <c r="CN49" s="46" t="e">
        <f>(1+PTrnd_Cov9)^(CQ$42+2)</f>
        <v>#N/A</v>
      </c>
      <c r="CW49" s="38" t="s">
        <v>17</v>
      </c>
      <c r="CY49" s="46" t="e">
        <f>(1+PTrnd_Cov10)^(DB$42+2)</f>
        <v>#N/A</v>
      </c>
    </row>
    <row r="50" spans="2:103" ht="17.25" x14ac:dyDescent="0.25">
      <c r="B50" s="38" t="s">
        <v>16</v>
      </c>
      <c r="D50" s="46">
        <f>(1+PTrnd_Cov1)^(G$42+1)</f>
        <v>1.2310088123020801</v>
      </c>
      <c r="M50" s="38" t="s">
        <v>16</v>
      </c>
      <c r="O50" s="46" t="e">
        <f>(1+PTrnd_Cov2)^(R$42+1)</f>
        <v>#N/A</v>
      </c>
      <c r="X50" s="38" t="s">
        <v>16</v>
      </c>
      <c r="Z50" s="46" t="e">
        <f>(1+PTrnd_Cov3)^(AC$42+1)</f>
        <v>#N/A</v>
      </c>
      <c r="AI50" s="38" t="s">
        <v>16</v>
      </c>
      <c r="AK50" s="46" t="e">
        <f>(1+PTrnd_Cov4)^(AN$42+1)</f>
        <v>#N/A</v>
      </c>
      <c r="AT50" s="38" t="s">
        <v>16</v>
      </c>
      <c r="AV50" s="46" t="e">
        <f>(1+PTrnd_Cov5)^(AY$42+1)</f>
        <v>#N/A</v>
      </c>
      <c r="BE50" s="38" t="s">
        <v>16</v>
      </c>
      <c r="BG50" s="46" t="e">
        <f>(1+PTrnd_Cov6)^(BJ$42+1)</f>
        <v>#N/A</v>
      </c>
      <c r="BP50" s="38" t="s">
        <v>16</v>
      </c>
      <c r="BR50" s="46" t="e">
        <f>(1+PTrnd_Cov7)^(BU$42+1)</f>
        <v>#N/A</v>
      </c>
      <c r="CA50" s="38" t="s">
        <v>16</v>
      </c>
      <c r="CC50" s="46" t="e">
        <f>(1+PTrnd_Cov8)^(CF$42+1)</f>
        <v>#N/A</v>
      </c>
      <c r="CL50" s="38" t="s">
        <v>16</v>
      </c>
      <c r="CN50" s="46" t="e">
        <f>(1+PTrnd_Cov9)^(CQ$42+1)</f>
        <v>#N/A</v>
      </c>
      <c r="CW50" s="38" t="s">
        <v>16</v>
      </c>
      <c r="CY50" s="46" t="e">
        <f>(1+PTrnd_Cov10)^(DB$42+1)</f>
        <v>#N/A</v>
      </c>
    </row>
    <row r="51" spans="2:103" x14ac:dyDescent="0.25">
      <c r="B51" s="38" t="s">
        <v>15</v>
      </c>
      <c r="D51" s="46">
        <f>(1+PTrnd_Cov1)^(G$42+0)</f>
        <v>1.1631857571573874</v>
      </c>
      <c r="M51" s="38" t="s">
        <v>15</v>
      </c>
      <c r="O51" s="46" t="e">
        <f>(1+PTrnd_Cov2)^(R$42+0)</f>
        <v>#N/A</v>
      </c>
      <c r="X51" s="38" t="s">
        <v>15</v>
      </c>
      <c r="Z51" s="46" t="e">
        <f>(1+PTrnd_Cov3)^(AC$42+0)</f>
        <v>#N/A</v>
      </c>
      <c r="AI51" s="38" t="s">
        <v>15</v>
      </c>
      <c r="AK51" s="46" t="e">
        <f>(1+PTrnd_Cov4)^(AN$42+0)</f>
        <v>#N/A</v>
      </c>
      <c r="AT51" s="38" t="s">
        <v>15</v>
      </c>
      <c r="AV51" s="46" t="e">
        <f>(1+PTrnd_Cov5)^(AY$42+0)</f>
        <v>#N/A</v>
      </c>
      <c r="BE51" s="38" t="s">
        <v>15</v>
      </c>
      <c r="BG51" s="46" t="e">
        <f>(1+PTrnd_Cov6)^(BJ$42+0)</f>
        <v>#N/A</v>
      </c>
      <c r="BP51" s="38" t="s">
        <v>15</v>
      </c>
      <c r="BR51" s="46" t="e">
        <f>(1+PTrnd_Cov7)^(BU$42+0)</f>
        <v>#N/A</v>
      </c>
      <c r="CA51" s="38" t="s">
        <v>15</v>
      </c>
      <c r="CC51" s="46" t="e">
        <f>(1+PTrnd_Cov8)^(CF$42+0)</f>
        <v>#N/A</v>
      </c>
      <c r="CL51" s="38" t="s">
        <v>15</v>
      </c>
      <c r="CN51" s="46" t="e">
        <f>(1+PTrnd_Cov9)^(CQ$42+0)</f>
        <v>#N/A</v>
      </c>
      <c r="CW51" s="38" t="s">
        <v>15</v>
      </c>
      <c r="CY51" s="46" t="e">
        <f>(1+PTrnd_Cov10)^(DB$42+0)</f>
        <v>#N/A</v>
      </c>
    </row>
  </sheetData>
  <sheetProtection algorithmName="SHA-512" hashValue="dSS0nmleQb98LTbnyTSylNV8PkMTj/irvwVcP/5LZ1+DQWedH32H7wV/r0XmyzgqXpSSxoBQCHC5dboXP9vn6Q==" saltValue="gDw43KVCvlpvsOJbpjtWPQ==" spinCount="100000" sheet="1" objects="1" scenarios="1" formatColumns="0" formatRows="0" sort="0"/>
  <dataValidations count="10">
    <dataValidation type="list" allowBlank="1" showInputMessage="1" showErrorMessage="1" sqref="D40" xr:uid="{00000000-0002-0000-0400-000000000000}">
      <formula1>$K$40:$K$44</formula1>
    </dataValidation>
    <dataValidation type="list" allowBlank="1" showInputMessage="1" showErrorMessage="1" sqref="O40" xr:uid="{00000000-0002-0000-0400-000001000000}">
      <formula1>$V$40:$V$44</formula1>
    </dataValidation>
    <dataValidation type="list" allowBlank="1" showInputMessage="1" showErrorMessage="1" sqref="Z40" xr:uid="{00000000-0002-0000-0400-000002000000}">
      <formula1>$AG$40:$AG$44</formula1>
    </dataValidation>
    <dataValidation type="list" allowBlank="1" showInputMessage="1" showErrorMessage="1" sqref="AK40" xr:uid="{00000000-0002-0000-0400-000003000000}">
      <formula1>$AR$40:$AR$44</formula1>
    </dataValidation>
    <dataValidation type="list" allowBlank="1" showInputMessage="1" showErrorMessage="1" sqref="AV40" xr:uid="{00000000-0002-0000-0400-000004000000}">
      <formula1>$BC$40:$BC$44</formula1>
    </dataValidation>
    <dataValidation type="list" allowBlank="1" showInputMessage="1" showErrorMessage="1" sqref="BG40" xr:uid="{00000000-0002-0000-0400-000005000000}">
      <formula1>$BN$40:$BN$44</formula1>
    </dataValidation>
    <dataValidation type="list" allowBlank="1" showInputMessage="1" showErrorMessage="1" sqref="BR40" xr:uid="{00000000-0002-0000-0400-000006000000}">
      <formula1>$BY$40:$BY$44</formula1>
    </dataValidation>
    <dataValidation type="list" allowBlank="1" showInputMessage="1" showErrorMessage="1" sqref="CC40" xr:uid="{00000000-0002-0000-0400-000007000000}">
      <formula1>$CJ$40:$CJ$44</formula1>
    </dataValidation>
    <dataValidation type="list" allowBlank="1" showInputMessage="1" showErrorMessage="1" sqref="CN40" xr:uid="{00000000-0002-0000-0400-000008000000}">
      <formula1>$CU$40:$CU$44</formula1>
    </dataValidation>
    <dataValidation type="list" allowBlank="1" showInputMessage="1" showErrorMessage="1" sqref="CY40" xr:uid="{00000000-0002-0000-0400-000009000000}">
      <formula1>$DF$40:$DF$44</formula1>
    </dataValidation>
  </dataValidations>
  <printOptions horizontalCentered="1"/>
  <pageMargins left="0.45" right="0.45" top="0.5" bottom="0.75" header="0.3" footer="0.05"/>
  <pageSetup scale="65" orientation="portrait" useFirstPageNumber="1" r:id="rId1"/>
  <headerFooter>
    <oddHeader>&amp;R&amp;"-,Bold"&amp;12Exhibit 5</oddHeader>
    <oddFooter xml:space="preserve">&amp;L1/3/2023 Edition
&amp;CStandard Exhibits Template
Portions of the material contained in this document are protected by copyright owned by the State Farm Mutual Automobile Insurance Company, 2023&amp;RPage 2.&amp;P
</oddFooter>
  </headerFooter>
  <colBreaks count="9" manualBreakCount="9">
    <brk id="12" max="1048575" man="1"/>
    <brk id="23" max="1048575" man="1"/>
    <brk id="34" max="1048575" man="1"/>
    <brk id="45" max="1048575" man="1"/>
    <brk id="56" max="1048575" man="1"/>
    <brk id="67" max="1048575" man="1"/>
    <brk id="78" max="1048575" man="1"/>
    <brk id="89" max="1048575" man="1"/>
    <brk id="100" max="1048575"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0000FF"/>
  </sheetPr>
  <dimension ref="A1:DP454"/>
  <sheetViews>
    <sheetView showGridLines="0" view="pageBreakPreview" zoomScale="85" zoomScaleNormal="100" zoomScaleSheetLayoutView="85" workbookViewId="0">
      <selection activeCell="E9" sqref="E9"/>
    </sheetView>
  </sheetViews>
  <sheetFormatPr defaultColWidth="9.140625" defaultRowHeight="15" x14ac:dyDescent="0.25"/>
  <cols>
    <col min="1" max="1" width="25.85546875" style="17" customWidth="1"/>
    <col min="2" max="2" width="12.7109375" style="17" hidden="1" customWidth="1"/>
    <col min="3" max="12" width="12.7109375" style="17" customWidth="1"/>
    <col min="13" max="13" width="25.7109375" style="17" customWidth="1"/>
    <col min="14" max="14" width="12.7109375" style="17" hidden="1" customWidth="1"/>
    <col min="15" max="24" width="12.7109375" style="17" customWidth="1"/>
    <col min="25" max="25" width="25.7109375" style="17" customWidth="1"/>
    <col min="26" max="26" width="12.7109375" style="17" hidden="1" customWidth="1"/>
    <col min="27" max="36" width="12.7109375" style="17" customWidth="1"/>
    <col min="37" max="37" width="25.7109375" style="17" customWidth="1"/>
    <col min="38" max="38" width="12.7109375" style="17" hidden="1" customWidth="1"/>
    <col min="39" max="48" width="12.7109375" style="17" customWidth="1"/>
    <col min="49" max="49" width="25.7109375" style="17" customWidth="1"/>
    <col min="50" max="50" width="12.7109375" style="17" hidden="1" customWidth="1"/>
    <col min="51" max="60" width="12.7109375" style="17" customWidth="1"/>
    <col min="61" max="61" width="25.7109375" style="17" customWidth="1"/>
    <col min="62" max="62" width="12.7109375" style="17" hidden="1" customWidth="1"/>
    <col min="63" max="72" width="12.7109375" style="17" customWidth="1"/>
    <col min="73" max="73" width="25.7109375" style="17" customWidth="1"/>
    <col min="74" max="74" width="12.7109375" style="17" hidden="1" customWidth="1"/>
    <col min="75" max="84" width="12.7109375" style="17" customWidth="1"/>
    <col min="85" max="85" width="25.7109375" style="17" customWidth="1"/>
    <col min="86" max="86" width="12.7109375" style="17" hidden="1" customWidth="1"/>
    <col min="87" max="96" width="12.7109375" style="17" customWidth="1"/>
    <col min="97" max="97" width="25.7109375" style="17" customWidth="1"/>
    <col min="98" max="98" width="12.7109375" style="17" hidden="1" customWidth="1"/>
    <col min="99" max="108" width="12.7109375" style="17" customWidth="1"/>
    <col min="109" max="109" width="25.7109375" style="17" customWidth="1"/>
    <col min="110" max="110" width="12.7109375" style="17" hidden="1" customWidth="1"/>
    <col min="111" max="120" width="12.7109375" style="17" customWidth="1"/>
    <col min="121" max="16384" width="9.140625" style="17"/>
  </cols>
  <sheetData>
    <row r="1" spans="1:120" ht="21" x14ac:dyDescent="0.35">
      <c r="A1" s="67" t="str">
        <f>Co_Name</f>
        <v>State Farm General Insurance Company</v>
      </c>
      <c r="B1" s="68"/>
      <c r="C1" s="40"/>
      <c r="D1" s="18"/>
      <c r="E1" s="18"/>
      <c r="F1" s="18"/>
      <c r="G1" s="18"/>
      <c r="H1" s="18"/>
      <c r="I1" s="18"/>
      <c r="J1" s="18"/>
      <c r="K1" s="18"/>
      <c r="L1" s="18"/>
      <c r="M1" s="67" t="str">
        <f>Co_Name</f>
        <v>State Farm General Insurance Company</v>
      </c>
      <c r="N1" s="68"/>
      <c r="O1" s="40"/>
      <c r="P1" s="18"/>
      <c r="Q1" s="18"/>
      <c r="R1" s="18"/>
      <c r="S1" s="18"/>
      <c r="T1" s="18"/>
      <c r="U1" s="18"/>
      <c r="V1" s="18"/>
      <c r="W1" s="18"/>
      <c r="X1" s="18"/>
      <c r="Y1" s="67" t="str">
        <f>Co_Name</f>
        <v>State Farm General Insurance Company</v>
      </c>
      <c r="Z1" s="68"/>
      <c r="AA1" s="40"/>
      <c r="AB1" s="18"/>
      <c r="AC1" s="18"/>
      <c r="AD1" s="18"/>
      <c r="AE1" s="18"/>
      <c r="AF1" s="18"/>
      <c r="AG1" s="18"/>
      <c r="AH1" s="18"/>
      <c r="AI1" s="18"/>
      <c r="AJ1" s="18"/>
      <c r="AK1" s="67" t="str">
        <f>Co_Name</f>
        <v>State Farm General Insurance Company</v>
      </c>
      <c r="AL1" s="68"/>
      <c r="AM1" s="40"/>
      <c r="AN1" s="18"/>
      <c r="AO1" s="18"/>
      <c r="AP1" s="18"/>
      <c r="AQ1" s="18"/>
      <c r="AR1" s="18"/>
      <c r="AS1" s="18"/>
      <c r="AT1" s="18"/>
      <c r="AU1" s="18"/>
      <c r="AV1" s="18"/>
      <c r="AW1" s="67" t="str">
        <f>Co_Name</f>
        <v>State Farm General Insurance Company</v>
      </c>
      <c r="AX1" s="68"/>
      <c r="AY1" s="40"/>
      <c r="AZ1" s="18"/>
      <c r="BA1" s="18"/>
      <c r="BB1" s="18"/>
      <c r="BC1" s="18"/>
      <c r="BD1" s="18"/>
      <c r="BE1" s="18"/>
      <c r="BF1" s="18"/>
      <c r="BG1" s="18"/>
      <c r="BH1" s="18"/>
      <c r="BI1" s="67" t="str">
        <f>Co_Name</f>
        <v>State Farm General Insurance Company</v>
      </c>
      <c r="BJ1" s="68"/>
      <c r="BK1" s="40"/>
      <c r="BL1" s="18"/>
      <c r="BM1" s="18"/>
      <c r="BN1" s="18"/>
      <c r="BO1" s="18"/>
      <c r="BP1" s="18"/>
      <c r="BQ1" s="18"/>
      <c r="BR1" s="18"/>
      <c r="BS1" s="18"/>
      <c r="BT1" s="18"/>
      <c r="BU1" s="67" t="str">
        <f>Co_Name</f>
        <v>State Farm General Insurance Company</v>
      </c>
      <c r="BV1" s="68"/>
      <c r="BW1" s="40"/>
      <c r="BX1" s="18"/>
      <c r="BY1" s="18"/>
      <c r="BZ1" s="18"/>
      <c r="CA1" s="18"/>
      <c r="CB1" s="18"/>
      <c r="CC1" s="18"/>
      <c r="CD1" s="18"/>
      <c r="CE1" s="18"/>
      <c r="CF1" s="18"/>
      <c r="CG1" s="67" t="str">
        <f>Co_Name</f>
        <v>State Farm General Insurance Company</v>
      </c>
      <c r="CH1" s="68"/>
      <c r="CI1" s="40"/>
      <c r="CJ1" s="18"/>
      <c r="CK1" s="18"/>
      <c r="CL1" s="18"/>
      <c r="CM1" s="18"/>
      <c r="CN1" s="18"/>
      <c r="CO1" s="18"/>
      <c r="CP1" s="18"/>
      <c r="CQ1" s="18"/>
      <c r="CR1" s="18"/>
      <c r="CS1" s="67" t="str">
        <f>Co_Name</f>
        <v>State Farm General Insurance Company</v>
      </c>
      <c r="CT1" s="68"/>
      <c r="CU1" s="40"/>
      <c r="CV1" s="18"/>
      <c r="CW1" s="18"/>
      <c r="CX1" s="18"/>
      <c r="CY1" s="18"/>
      <c r="CZ1" s="18"/>
      <c r="DA1" s="18"/>
      <c r="DB1" s="18"/>
      <c r="DC1" s="18"/>
      <c r="DD1" s="18"/>
      <c r="DE1" s="67" t="str">
        <f>Co_Name</f>
        <v>State Farm General Insurance Company</v>
      </c>
      <c r="DF1" s="68"/>
      <c r="DG1" s="40"/>
      <c r="DH1" s="18"/>
      <c r="DI1" s="18"/>
      <c r="DJ1" s="18"/>
      <c r="DK1" s="18"/>
      <c r="DL1" s="18"/>
      <c r="DM1" s="18"/>
      <c r="DN1" s="18"/>
      <c r="DO1" s="18"/>
      <c r="DP1" s="18"/>
    </row>
    <row r="2" spans="1:120" ht="21" x14ac:dyDescent="0.35">
      <c r="A2" s="67" t="str">
        <f>Detailed_LineDesc01</f>
        <v>Homeowners Multiple Peril</v>
      </c>
      <c r="B2" s="68"/>
      <c r="C2" s="40"/>
      <c r="D2" s="18"/>
      <c r="E2" s="18"/>
      <c r="F2" s="18"/>
      <c r="G2" s="18"/>
      <c r="H2" s="18"/>
      <c r="I2" s="18"/>
      <c r="J2" s="18"/>
      <c r="K2" s="18"/>
      <c r="L2" s="18"/>
      <c r="M2" s="67" t="str">
        <f>Detailed_LineDesc02</f>
        <v/>
      </c>
      <c r="N2" s="68"/>
      <c r="O2" s="40"/>
      <c r="P2" s="18"/>
      <c r="Q2" s="18"/>
      <c r="R2" s="18"/>
      <c r="S2" s="18"/>
      <c r="T2" s="18"/>
      <c r="U2" s="18"/>
      <c r="V2" s="18"/>
      <c r="W2" s="18"/>
      <c r="X2" s="18"/>
      <c r="Y2" s="67" t="str">
        <f>Detailed_LineDesc03</f>
        <v/>
      </c>
      <c r="Z2" s="68"/>
      <c r="AA2" s="40"/>
      <c r="AB2" s="18"/>
      <c r="AC2" s="18"/>
      <c r="AD2" s="18"/>
      <c r="AE2" s="18"/>
      <c r="AF2" s="18"/>
      <c r="AG2" s="18"/>
      <c r="AH2" s="18"/>
      <c r="AI2" s="18"/>
      <c r="AJ2" s="18"/>
      <c r="AK2" s="67" t="str">
        <f>Detailed_LineDesc04</f>
        <v/>
      </c>
      <c r="AL2" s="68"/>
      <c r="AM2" s="40"/>
      <c r="AN2" s="18"/>
      <c r="AO2" s="18"/>
      <c r="AP2" s="18"/>
      <c r="AQ2" s="18"/>
      <c r="AR2" s="18"/>
      <c r="AS2" s="18"/>
      <c r="AT2" s="18"/>
      <c r="AU2" s="18"/>
      <c r="AV2" s="18"/>
      <c r="AW2" s="67" t="str">
        <f>Detailed_LineDesc05</f>
        <v/>
      </c>
      <c r="AX2" s="68"/>
      <c r="AY2" s="40"/>
      <c r="AZ2" s="18"/>
      <c r="BA2" s="18"/>
      <c r="BB2" s="18"/>
      <c r="BC2" s="18"/>
      <c r="BD2" s="18"/>
      <c r="BE2" s="18"/>
      <c r="BF2" s="18"/>
      <c r="BG2" s="18"/>
      <c r="BH2" s="18"/>
      <c r="BI2" s="67" t="str">
        <f>Detailed_LineDesc06</f>
        <v/>
      </c>
      <c r="BJ2" s="68"/>
      <c r="BK2" s="40"/>
      <c r="BL2" s="18"/>
      <c r="BM2" s="18"/>
      <c r="BN2" s="18"/>
      <c r="BO2" s="18"/>
      <c r="BP2" s="18"/>
      <c r="BQ2" s="18"/>
      <c r="BR2" s="18"/>
      <c r="BS2" s="18"/>
      <c r="BT2" s="18"/>
      <c r="BU2" s="67" t="str">
        <f>Detailed_LineDesc07</f>
        <v/>
      </c>
      <c r="BV2" s="68"/>
      <c r="BW2" s="40"/>
      <c r="BX2" s="18"/>
      <c r="BY2" s="18"/>
      <c r="BZ2" s="18"/>
      <c r="CA2" s="18"/>
      <c r="CB2" s="18"/>
      <c r="CC2" s="18"/>
      <c r="CD2" s="18"/>
      <c r="CE2" s="18"/>
      <c r="CF2" s="18"/>
      <c r="CG2" s="67" t="str">
        <f>Detailed_LineDesc08</f>
        <v/>
      </c>
      <c r="CH2" s="68"/>
      <c r="CI2" s="40"/>
      <c r="CJ2" s="18"/>
      <c r="CK2" s="18"/>
      <c r="CL2" s="18"/>
      <c r="CM2" s="18"/>
      <c r="CN2" s="18"/>
      <c r="CO2" s="18"/>
      <c r="CP2" s="18"/>
      <c r="CQ2" s="18"/>
      <c r="CR2" s="18"/>
      <c r="CS2" s="67" t="str">
        <f>Detailed_LineDesc09</f>
        <v/>
      </c>
      <c r="CT2" s="68"/>
      <c r="CU2" s="40"/>
      <c r="CV2" s="18"/>
      <c r="CW2" s="18"/>
      <c r="CX2" s="18"/>
      <c r="CY2" s="18"/>
      <c r="CZ2" s="18"/>
      <c r="DA2" s="18"/>
      <c r="DB2" s="18"/>
      <c r="DC2" s="18"/>
      <c r="DD2" s="18"/>
      <c r="DE2" s="67" t="str">
        <f>Detailed_LineDesc10</f>
        <v/>
      </c>
      <c r="DF2" s="68"/>
      <c r="DG2" s="40"/>
      <c r="DH2" s="18"/>
      <c r="DI2" s="18"/>
      <c r="DJ2" s="18"/>
      <c r="DK2" s="18"/>
      <c r="DL2" s="18"/>
      <c r="DM2" s="18"/>
      <c r="DN2" s="18"/>
      <c r="DO2" s="18"/>
      <c r="DP2" s="18"/>
    </row>
    <row r="3" spans="1:120" ht="21" x14ac:dyDescent="0.35">
      <c r="A3" s="67"/>
      <c r="B3" s="68"/>
      <c r="C3" s="40"/>
      <c r="D3" s="18"/>
      <c r="E3" s="18"/>
      <c r="F3" s="18"/>
      <c r="G3" s="18"/>
      <c r="H3" s="18"/>
      <c r="I3" s="18"/>
      <c r="J3" s="18"/>
      <c r="K3" s="18"/>
      <c r="L3" s="18"/>
      <c r="M3" s="67"/>
      <c r="N3" s="68"/>
      <c r="O3" s="40"/>
      <c r="P3" s="18"/>
      <c r="Q3" s="18"/>
      <c r="R3" s="18"/>
      <c r="S3" s="18"/>
      <c r="T3" s="18"/>
      <c r="U3" s="18"/>
      <c r="V3" s="18"/>
      <c r="W3" s="18"/>
      <c r="X3" s="18"/>
      <c r="Y3" s="67"/>
      <c r="Z3" s="68"/>
      <c r="AA3" s="40"/>
      <c r="AB3" s="18"/>
      <c r="AC3" s="18"/>
      <c r="AD3" s="18"/>
      <c r="AE3" s="18"/>
      <c r="AF3" s="18"/>
      <c r="AG3" s="18"/>
      <c r="AH3" s="18"/>
      <c r="AI3" s="18"/>
      <c r="AJ3" s="18"/>
      <c r="AK3" s="67"/>
      <c r="AL3" s="68"/>
      <c r="AM3" s="40"/>
      <c r="AN3" s="18"/>
      <c r="AO3" s="18"/>
      <c r="AP3" s="18"/>
      <c r="AQ3" s="18"/>
      <c r="AR3" s="18"/>
      <c r="AS3" s="18"/>
      <c r="AT3" s="18"/>
      <c r="AU3" s="18"/>
      <c r="AV3" s="18"/>
      <c r="AW3" s="67"/>
      <c r="AX3" s="68"/>
      <c r="AY3" s="40"/>
      <c r="AZ3" s="18"/>
      <c r="BA3" s="18"/>
      <c r="BB3" s="18"/>
      <c r="BC3" s="18"/>
      <c r="BD3" s="18"/>
      <c r="BE3" s="18"/>
      <c r="BF3" s="18"/>
      <c r="BG3" s="18"/>
      <c r="BH3" s="18"/>
      <c r="BI3" s="67"/>
      <c r="BJ3" s="68"/>
      <c r="BK3" s="40"/>
      <c r="BL3" s="18"/>
      <c r="BM3" s="18"/>
      <c r="BN3" s="18"/>
      <c r="BO3" s="18"/>
      <c r="BP3" s="18"/>
      <c r="BQ3" s="18"/>
      <c r="BR3" s="18"/>
      <c r="BS3" s="18"/>
      <c r="BT3" s="18"/>
      <c r="BU3" s="67"/>
      <c r="BV3" s="68"/>
      <c r="BW3" s="40"/>
      <c r="BX3" s="18"/>
      <c r="BY3" s="18"/>
      <c r="BZ3" s="18"/>
      <c r="CA3" s="18"/>
      <c r="CB3" s="18"/>
      <c r="CC3" s="18"/>
      <c r="CD3" s="18"/>
      <c r="CE3" s="18"/>
      <c r="CF3" s="18"/>
      <c r="CG3" s="67"/>
      <c r="CH3" s="68"/>
      <c r="CI3" s="40"/>
      <c r="CJ3" s="18"/>
      <c r="CK3" s="18"/>
      <c r="CL3" s="18"/>
      <c r="CM3" s="18"/>
      <c r="CN3" s="18"/>
      <c r="CO3" s="18"/>
      <c r="CP3" s="18"/>
      <c r="CQ3" s="18"/>
      <c r="CR3" s="18"/>
      <c r="CS3" s="67"/>
      <c r="CT3" s="68"/>
      <c r="CU3" s="40"/>
      <c r="CV3" s="18"/>
      <c r="CW3" s="18"/>
      <c r="CX3" s="18"/>
      <c r="CY3" s="18"/>
      <c r="CZ3" s="18"/>
      <c r="DA3" s="18"/>
      <c r="DB3" s="18"/>
      <c r="DC3" s="18"/>
      <c r="DD3" s="18"/>
      <c r="DE3" s="67"/>
      <c r="DF3" s="68"/>
      <c r="DG3" s="40"/>
      <c r="DH3" s="18"/>
      <c r="DI3" s="18"/>
      <c r="DJ3" s="18"/>
      <c r="DK3" s="18"/>
      <c r="DL3" s="18"/>
      <c r="DM3" s="18"/>
      <c r="DN3" s="18"/>
      <c r="DO3" s="18"/>
      <c r="DP3" s="18"/>
    </row>
    <row r="4" spans="1:120" ht="21" customHeight="1" x14ac:dyDescent="0.35">
      <c r="A4" s="67" t="s">
        <v>218</v>
      </c>
      <c r="B4" s="68"/>
      <c r="C4" s="40"/>
      <c r="D4" s="18"/>
      <c r="E4" s="18"/>
      <c r="F4" s="18"/>
      <c r="G4" s="18"/>
      <c r="H4" s="18"/>
      <c r="I4" s="18"/>
      <c r="J4" s="18"/>
      <c r="K4" s="18"/>
      <c r="L4" s="18"/>
      <c r="M4" s="67" t="s">
        <v>218</v>
      </c>
      <c r="N4" s="68"/>
      <c r="O4" s="40"/>
      <c r="P4" s="18"/>
      <c r="Q4" s="18"/>
      <c r="R4" s="18"/>
      <c r="S4" s="18"/>
      <c r="T4" s="18"/>
      <c r="U4" s="18"/>
      <c r="V4" s="18"/>
      <c r="W4" s="18"/>
      <c r="X4" s="18"/>
      <c r="Y4" s="67" t="s">
        <v>218</v>
      </c>
      <c r="Z4" s="68"/>
      <c r="AA4" s="40"/>
      <c r="AB4" s="18"/>
      <c r="AC4" s="18"/>
      <c r="AD4" s="18"/>
      <c r="AE4" s="18"/>
      <c r="AF4" s="18"/>
      <c r="AG4" s="18"/>
      <c r="AH4" s="18"/>
      <c r="AI4" s="18"/>
      <c r="AJ4" s="18"/>
      <c r="AK4" s="67" t="s">
        <v>218</v>
      </c>
      <c r="AL4" s="68"/>
      <c r="AM4" s="40"/>
      <c r="AN4" s="18"/>
      <c r="AO4" s="18"/>
      <c r="AP4" s="18"/>
      <c r="AQ4" s="18"/>
      <c r="AR4" s="18"/>
      <c r="AS4" s="18"/>
      <c r="AT4" s="18"/>
      <c r="AU4" s="18"/>
      <c r="AV4" s="18"/>
      <c r="AW4" s="67" t="s">
        <v>218</v>
      </c>
      <c r="AX4" s="68"/>
      <c r="AY4" s="40"/>
      <c r="AZ4" s="18"/>
      <c r="BA4" s="18"/>
      <c r="BB4" s="18"/>
      <c r="BC4" s="18"/>
      <c r="BD4" s="18"/>
      <c r="BE4" s="18"/>
      <c r="BF4" s="18"/>
      <c r="BG4" s="18"/>
      <c r="BH4" s="18"/>
      <c r="BI4" s="67" t="s">
        <v>218</v>
      </c>
      <c r="BJ4" s="68"/>
      <c r="BK4" s="40"/>
      <c r="BL4" s="18"/>
      <c r="BM4" s="18"/>
      <c r="BN4" s="18"/>
      <c r="BO4" s="18"/>
      <c r="BP4" s="18"/>
      <c r="BQ4" s="18"/>
      <c r="BR4" s="18"/>
      <c r="BS4" s="18"/>
      <c r="BT4" s="18"/>
      <c r="BU4" s="67" t="s">
        <v>218</v>
      </c>
      <c r="BV4" s="68"/>
      <c r="BW4" s="40"/>
      <c r="BX4" s="18"/>
      <c r="BY4" s="18"/>
      <c r="BZ4" s="18"/>
      <c r="CA4" s="18"/>
      <c r="CB4" s="18"/>
      <c r="CC4" s="18"/>
      <c r="CD4" s="18"/>
      <c r="CE4" s="18"/>
      <c r="CF4" s="18"/>
      <c r="CG4" s="67" t="s">
        <v>218</v>
      </c>
      <c r="CH4" s="68"/>
      <c r="CI4" s="40"/>
      <c r="CJ4" s="18"/>
      <c r="CK4" s="18"/>
      <c r="CL4" s="18"/>
      <c r="CM4" s="18"/>
      <c r="CN4" s="18"/>
      <c r="CO4" s="18"/>
      <c r="CP4" s="18"/>
      <c r="CQ4" s="18"/>
      <c r="CR4" s="18"/>
      <c r="CS4" s="67" t="s">
        <v>218</v>
      </c>
      <c r="CT4" s="68"/>
      <c r="CU4" s="40"/>
      <c r="CV4" s="18"/>
      <c r="CW4" s="18"/>
      <c r="CX4" s="18"/>
      <c r="CY4" s="18"/>
      <c r="CZ4" s="18"/>
      <c r="DA4" s="18"/>
      <c r="DB4" s="18"/>
      <c r="DC4" s="18"/>
      <c r="DD4" s="18"/>
      <c r="DE4" s="67" t="s">
        <v>218</v>
      </c>
      <c r="DF4" s="68"/>
      <c r="DG4" s="40"/>
      <c r="DH4" s="18"/>
      <c r="DI4" s="18"/>
      <c r="DJ4" s="18"/>
      <c r="DK4" s="18"/>
      <c r="DL4" s="18"/>
      <c r="DM4" s="18"/>
      <c r="DN4" s="18"/>
      <c r="DO4" s="18"/>
      <c r="DP4" s="18"/>
    </row>
    <row r="5" spans="1:120" ht="21" customHeight="1" x14ac:dyDescent="0.25">
      <c r="A5" s="279" t="str">
        <f>Covg01</f>
        <v>Rental Dwelling</v>
      </c>
      <c r="B5" s="69"/>
      <c r="C5" s="18"/>
      <c r="D5" s="18"/>
      <c r="E5" s="18"/>
      <c r="F5" s="18"/>
      <c r="G5" s="18"/>
      <c r="H5" s="18"/>
      <c r="I5" s="18"/>
      <c r="J5" s="18"/>
      <c r="K5" s="18"/>
      <c r="L5" s="18"/>
      <c r="M5" s="279">
        <f>Covg02</f>
        <v>0</v>
      </c>
      <c r="N5" s="69"/>
      <c r="O5" s="18"/>
      <c r="P5" s="18"/>
      <c r="Q5" s="18"/>
      <c r="R5" s="18"/>
      <c r="S5" s="18"/>
      <c r="T5" s="18"/>
      <c r="U5" s="18"/>
      <c r="V5" s="18"/>
      <c r="W5" s="18"/>
      <c r="X5" s="18"/>
      <c r="Y5" s="279">
        <f>Covg03</f>
        <v>0</v>
      </c>
      <c r="Z5" s="69"/>
      <c r="AA5" s="18"/>
      <c r="AB5" s="18"/>
      <c r="AC5" s="18"/>
      <c r="AD5" s="18"/>
      <c r="AE5" s="18"/>
      <c r="AF5" s="18"/>
      <c r="AG5" s="18"/>
      <c r="AH5" s="18"/>
      <c r="AI5" s="18"/>
      <c r="AJ5" s="18"/>
      <c r="AK5" s="279">
        <f>Covg04</f>
        <v>0</v>
      </c>
      <c r="AL5" s="69"/>
      <c r="AM5" s="18"/>
      <c r="AN5" s="18"/>
      <c r="AO5" s="18"/>
      <c r="AP5" s="18"/>
      <c r="AQ5" s="18"/>
      <c r="AR5" s="18"/>
      <c r="AS5" s="18"/>
      <c r="AT5" s="18"/>
      <c r="AU5" s="18"/>
      <c r="AV5" s="18"/>
      <c r="AW5" s="279">
        <f>Covg05</f>
        <v>0</v>
      </c>
      <c r="AX5" s="69"/>
      <c r="AY5" s="18"/>
      <c r="AZ5" s="18"/>
      <c r="BA5" s="18"/>
      <c r="BB5" s="18"/>
      <c r="BC5" s="18"/>
      <c r="BD5" s="18"/>
      <c r="BE5" s="18"/>
      <c r="BF5" s="18"/>
      <c r="BG5" s="18"/>
      <c r="BH5" s="18"/>
      <c r="BI5" s="279">
        <f>Covg06</f>
        <v>0</v>
      </c>
      <c r="BJ5" s="69"/>
      <c r="BK5" s="18"/>
      <c r="BL5" s="18"/>
      <c r="BM5" s="18"/>
      <c r="BN5" s="18"/>
      <c r="BO5" s="18"/>
      <c r="BP5" s="18"/>
      <c r="BQ5" s="18"/>
      <c r="BR5" s="18"/>
      <c r="BS5" s="18"/>
      <c r="BT5" s="18"/>
      <c r="BU5" s="279">
        <f>Covg07</f>
        <v>0</v>
      </c>
      <c r="BV5" s="69"/>
      <c r="BW5" s="18"/>
      <c r="BX5" s="18"/>
      <c r="BY5" s="18"/>
      <c r="BZ5" s="18"/>
      <c r="CA5" s="18"/>
      <c r="CB5" s="18"/>
      <c r="CC5" s="18"/>
      <c r="CD5" s="18"/>
      <c r="CE5" s="18"/>
      <c r="CF5" s="18"/>
      <c r="CG5" s="279">
        <f>Covg08</f>
        <v>0</v>
      </c>
      <c r="CH5" s="69"/>
      <c r="CI5" s="18"/>
      <c r="CJ5" s="18"/>
      <c r="CK5" s="18"/>
      <c r="CL5" s="18"/>
      <c r="CM5" s="18"/>
      <c r="CN5" s="18"/>
      <c r="CO5" s="18"/>
      <c r="CP5" s="18"/>
      <c r="CQ5" s="18"/>
      <c r="CR5" s="18"/>
      <c r="CS5" s="279">
        <f>Covg09</f>
        <v>0</v>
      </c>
      <c r="CT5" s="69"/>
      <c r="CU5" s="18"/>
      <c r="CV5" s="18"/>
      <c r="CW5" s="18"/>
      <c r="CX5" s="18"/>
      <c r="CY5" s="18"/>
      <c r="CZ5" s="18"/>
      <c r="DA5" s="18"/>
      <c r="DB5" s="18"/>
      <c r="DC5" s="18"/>
      <c r="DD5" s="18"/>
      <c r="DE5" s="279">
        <f>Covg10</f>
        <v>0</v>
      </c>
      <c r="DF5" s="69"/>
      <c r="DG5" s="18"/>
      <c r="DH5" s="18"/>
      <c r="DI5" s="18"/>
      <c r="DJ5" s="18"/>
      <c r="DK5" s="18"/>
      <c r="DL5" s="18"/>
      <c r="DM5" s="18"/>
      <c r="DN5" s="18"/>
      <c r="DO5" s="18"/>
      <c r="DP5" s="18"/>
    </row>
    <row r="6" spans="1:120" ht="15" customHeight="1" x14ac:dyDescent="0.35">
      <c r="A6" s="67"/>
      <c r="B6" s="68"/>
      <c r="C6" s="40"/>
      <c r="D6" s="18"/>
      <c r="E6" s="18"/>
      <c r="F6" s="18"/>
      <c r="G6" s="18"/>
      <c r="H6" s="296"/>
      <c r="I6" s="18"/>
      <c r="J6" s="18"/>
      <c r="K6" s="18"/>
      <c r="L6" s="18"/>
      <c r="M6" s="67"/>
      <c r="N6" s="68"/>
      <c r="O6" s="40"/>
      <c r="P6" s="18"/>
      <c r="Q6" s="18"/>
      <c r="R6" s="18"/>
      <c r="S6" s="18"/>
      <c r="T6" s="18"/>
      <c r="U6" s="18"/>
      <c r="V6" s="18"/>
      <c r="W6" s="18"/>
      <c r="X6" s="18"/>
      <c r="Y6" s="67"/>
      <c r="Z6" s="68"/>
      <c r="AA6" s="40"/>
      <c r="AB6" s="18"/>
      <c r="AC6" s="18"/>
      <c r="AD6" s="18"/>
      <c r="AE6" s="18"/>
      <c r="AF6" s="18"/>
      <c r="AG6" s="18"/>
      <c r="AH6" s="18"/>
      <c r="AI6" s="18"/>
      <c r="AJ6" s="18"/>
      <c r="AK6" s="67"/>
      <c r="AL6" s="68"/>
      <c r="AM6" s="40"/>
      <c r="AN6" s="18"/>
      <c r="AO6" s="18"/>
      <c r="AP6" s="18"/>
      <c r="AQ6" s="18"/>
      <c r="AR6" s="18"/>
      <c r="AS6" s="18"/>
      <c r="AT6" s="18"/>
      <c r="AU6" s="18"/>
      <c r="AV6" s="18"/>
      <c r="AW6" s="67"/>
      <c r="AX6" s="68"/>
      <c r="AY6" s="40"/>
      <c r="AZ6" s="18"/>
      <c r="BA6" s="18"/>
      <c r="BB6" s="18"/>
      <c r="BC6" s="18"/>
      <c r="BD6" s="18"/>
      <c r="BE6" s="18"/>
      <c r="BF6" s="18"/>
      <c r="BG6" s="18"/>
      <c r="BH6" s="18"/>
      <c r="BI6" s="67"/>
      <c r="BJ6" s="68"/>
      <c r="BK6" s="40"/>
      <c r="BL6" s="18"/>
      <c r="BM6" s="18"/>
      <c r="BN6" s="18"/>
      <c r="BO6" s="18"/>
      <c r="BP6" s="18"/>
      <c r="BQ6" s="18"/>
      <c r="BR6" s="18"/>
      <c r="BS6" s="18"/>
      <c r="BT6" s="18"/>
      <c r="BU6" s="67"/>
      <c r="BV6" s="68"/>
      <c r="BW6" s="40"/>
      <c r="BX6" s="18"/>
      <c r="BY6" s="18"/>
      <c r="BZ6" s="18"/>
      <c r="CA6" s="18"/>
      <c r="CB6" s="18"/>
      <c r="CC6" s="18"/>
      <c r="CD6" s="18"/>
      <c r="CE6" s="18"/>
      <c r="CF6" s="18"/>
      <c r="CG6" s="67"/>
      <c r="CH6" s="68"/>
      <c r="CI6" s="40"/>
      <c r="CJ6" s="18"/>
      <c r="CK6" s="18"/>
      <c r="CL6" s="18"/>
      <c r="CM6" s="18"/>
      <c r="CN6" s="18"/>
      <c r="CO6" s="18"/>
      <c r="CP6" s="18"/>
      <c r="CQ6" s="18"/>
      <c r="CR6" s="18"/>
      <c r="CS6" s="67"/>
      <c r="CT6" s="68"/>
      <c r="CU6" s="40"/>
      <c r="CV6" s="18"/>
      <c r="CW6" s="18"/>
      <c r="CX6" s="18"/>
      <c r="CY6" s="18"/>
      <c r="CZ6" s="18"/>
      <c r="DA6" s="18"/>
      <c r="DB6" s="18"/>
      <c r="DC6" s="18"/>
      <c r="DD6" s="18"/>
      <c r="DE6" s="67"/>
      <c r="DF6" s="68"/>
      <c r="DG6" s="40"/>
      <c r="DH6" s="18"/>
      <c r="DI6" s="18"/>
      <c r="DJ6" s="18"/>
      <c r="DK6" s="18"/>
      <c r="DL6" s="18"/>
      <c r="DM6" s="18"/>
      <c r="DN6" s="18"/>
      <c r="DO6" s="18"/>
      <c r="DP6" s="18"/>
    </row>
    <row r="7" spans="1:120" ht="15" customHeight="1" x14ac:dyDescent="0.25">
      <c r="A7" s="280" t="str">
        <f>IF(OR(D7="Paid - Loss &amp; DCCE",D7="Incurred - Loss &amp; DCCE"),"Selected Ultimate Loss &amp; DCCE:",IF(OR(D7="Paid - Pure Loss",D7="Incurred - Pure Loss"),"Selected Ultimate Loss:","Selected Ultimate Loss (&amp; DCCE):"))</f>
        <v>Selected Ultimate Loss:</v>
      </c>
      <c r="B7" s="142"/>
      <c r="C7" s="104"/>
      <c r="D7" s="321" t="s">
        <v>203</v>
      </c>
      <c r="E7" s="322"/>
      <c r="G7" s="286"/>
      <c r="J7" s="143"/>
      <c r="K7" s="143"/>
      <c r="L7" s="143"/>
      <c r="M7" s="280" t="str">
        <f>IF(OR(P7="Paid - Loss &amp; DCCE",P7="Incurred - Loss &amp; DCCE"),"Selected Ultimate Loss &amp; DCCE:",IF(OR(P7="Paid - Pure Loss",P7="Incurred - Pure Loss"),"Selected Ultimate Loss:","Selected Ultimate Loss (&amp; DCCE):"))</f>
        <v>Selected Ultimate Loss (&amp; DCCE):</v>
      </c>
      <c r="N7" s="142"/>
      <c r="O7" s="104"/>
      <c r="P7" s="321"/>
      <c r="Q7" s="322"/>
      <c r="V7" s="143"/>
      <c r="W7" s="143"/>
      <c r="X7" s="143"/>
      <c r="Y7" s="280" t="str">
        <f>IF(OR(AB7="Paid - Loss &amp; DCCE",AB7="Incurred - Loss &amp; DCCE"),"Selected Ultimate Loss &amp; DCCE:",IF(OR(AB7="Paid - Pure Loss",AB7="Incurred - Pure Loss"),"Selected Ultimate Loss:","Selected Ultimate Loss (&amp; DCCE):"))</f>
        <v>Selected Ultimate Loss (&amp; DCCE):</v>
      </c>
      <c r="Z7" s="142"/>
      <c r="AA7" s="104"/>
      <c r="AB7" s="321"/>
      <c r="AC7" s="322"/>
      <c r="AH7" s="143"/>
      <c r="AI7" s="143"/>
      <c r="AJ7" s="143"/>
      <c r="AK7" s="280" t="str">
        <f>IF(OR(AN7="Paid - Loss &amp; DCCE",AN7="Incurred - Loss &amp; DCCE"),"Selected Ultimate Loss &amp; DCCE:",IF(OR(AN7="Paid - Pure Loss",AN7="Incurred - Pure Loss"),"Selected Ultimate Loss:","Selected Ultimate Loss (&amp; DCCE):"))</f>
        <v>Selected Ultimate Loss (&amp; DCCE):</v>
      </c>
      <c r="AL7" s="142"/>
      <c r="AM7" s="104"/>
      <c r="AN7" s="321"/>
      <c r="AO7" s="322"/>
      <c r="AT7" s="143"/>
      <c r="AU7" s="143"/>
      <c r="AV7" s="143"/>
      <c r="AW7" s="280" t="str">
        <f>IF(OR(AZ7="Paid - Loss &amp; DCCE",AZ7="Incurred - Loss &amp; DCCE"),"Selected Ultimate Loss &amp; DCCE:",IF(OR(AZ7="Paid - Pure Loss",AZ7="Incurred - Pure Loss"),"Selected Ultimate Loss:","Selected Ultimate Loss (&amp; DCCE):"))</f>
        <v>Selected Ultimate Loss (&amp; DCCE):</v>
      </c>
      <c r="AX7" s="142"/>
      <c r="AY7" s="104"/>
      <c r="AZ7" s="321"/>
      <c r="BA7" s="322"/>
      <c r="BF7" s="143"/>
      <c r="BG7" s="143"/>
      <c r="BH7" s="143"/>
      <c r="BI7" s="280" t="str">
        <f>IF(OR(BL7="Paid - Loss &amp; DCCE",BL7="Incurred - Loss &amp; DCCE"),"Selected Ultimate Loss &amp; DCCE:",IF(OR(BL7="Paid - Pure Loss",BL7="Incurred - Pure Loss"),"Selected Ultimate Loss:","Selected Ultimate Loss (&amp; DCCE):"))</f>
        <v>Selected Ultimate Loss (&amp; DCCE):</v>
      </c>
      <c r="BJ7" s="142"/>
      <c r="BK7" s="104"/>
      <c r="BL7" s="321"/>
      <c r="BM7" s="322"/>
      <c r="BR7" s="143"/>
      <c r="BS7" s="143"/>
      <c r="BT7" s="143"/>
      <c r="BU7" s="280" t="str">
        <f>IF(OR(BX7="Paid - Loss &amp; DCCE",BX7="Incurred - Loss &amp; DCCE"),"Selected Ultimate Loss &amp; DCCE:",IF(OR(BX7="Paid - Pure Loss",BX7="Incurred - Pure Loss"),"Selected Ultimate Loss:","Selected Ultimate Loss (&amp; DCCE):"))</f>
        <v>Selected Ultimate Loss (&amp; DCCE):</v>
      </c>
      <c r="BV7" s="142"/>
      <c r="BW7" s="104"/>
      <c r="BX7" s="321"/>
      <c r="BY7" s="322"/>
      <c r="CD7" s="143"/>
      <c r="CE7" s="143"/>
      <c r="CF7" s="143"/>
      <c r="CG7" s="280" t="str">
        <f>IF(OR(CJ7="Paid - Loss &amp; DCCE",CJ7="Incurred - Loss &amp; DCCE"),"Selected Ultimate Loss &amp; DCCE:",IF(OR(CJ7="Paid - Pure Loss",CJ7="Incurred - Pure Loss"),"Selected Ultimate Loss:","Selected Ultimate Loss (&amp; DCCE):"))</f>
        <v>Selected Ultimate Loss (&amp; DCCE):</v>
      </c>
      <c r="CH7" s="142"/>
      <c r="CI7" s="104"/>
      <c r="CJ7" s="321"/>
      <c r="CK7" s="322"/>
      <c r="CP7" s="143"/>
      <c r="CQ7" s="143"/>
      <c r="CR7" s="143"/>
      <c r="CS7" s="280" t="str">
        <f>IF(OR(CV7="Paid - Loss &amp; DCCE",CV7="Incurred - Loss &amp; DCCE"),"Selected Ultimate Loss &amp; DCCE:",IF(OR(CV7="Paid - Pure Loss",CV7="Incurred - Pure Loss"),"Selected Ultimate Loss:","Selected Ultimate Loss (&amp; DCCE):"))</f>
        <v>Selected Ultimate Loss (&amp; DCCE):</v>
      </c>
      <c r="CT7" s="142"/>
      <c r="CU7" s="104"/>
      <c r="CV7" s="321"/>
      <c r="CW7" s="322"/>
      <c r="DB7" s="143"/>
      <c r="DC7" s="143"/>
      <c r="DD7" s="143"/>
      <c r="DE7" s="280" t="str">
        <f>IF(OR(DH7="Paid - Loss &amp; DCCE",DH7="Incurred - Loss &amp; DCCE"),"Selected Ultimate Loss &amp; DCCE:",IF(OR(DH7="Paid - Pure Loss",DH7="Incurred - Pure Loss"),"Selected Ultimate Loss:","Selected Ultimate Loss (&amp; DCCE):"))</f>
        <v>Selected Ultimate Loss (&amp; DCCE):</v>
      </c>
      <c r="DF7" s="142"/>
      <c r="DG7" s="104"/>
      <c r="DH7" s="321"/>
      <c r="DI7" s="322"/>
      <c r="DN7" s="143"/>
      <c r="DO7" s="143"/>
      <c r="DP7" s="143"/>
    </row>
    <row r="8" spans="1:120" ht="15" customHeight="1" x14ac:dyDescent="0.25">
      <c r="A8" s="104" t="str">
        <f>IF(OR(D7="Paid - Loss &amp; DCCE",D7="Incurred - Loss &amp; DCCE"),"Selected Ultimate DCCE (not applicable):",IF(OR(D7="Paid - Pure Loss",D7="Incurred - Pure Loss"),"Selected Ultimate DCCE:","Selected Ultimate DCCE (if applicable):"))</f>
        <v>Selected Ultimate DCCE:</v>
      </c>
      <c r="B8" s="143"/>
      <c r="C8" s="143"/>
      <c r="D8" s="321" t="s">
        <v>206</v>
      </c>
      <c r="E8" s="322"/>
      <c r="F8" s="277" t="str">
        <f>IF(AND(OR(D7="Paid - Loss &amp; DCCE",D7="Incurred - Loss &amp; DCCE"),AND(NOT(ISBLANK(D8)),D8&lt;&gt;"NA")),"← ERROR! You cannot select a DCCE method if you are developing losses and DCCE together.",
IF(AND(OR(D7="Paid - Pure Loss",D7="Incurred - Pure Loss"),OR(ISBLANK(D8),D8="NA")),"← ERROR! You must select a DCCE method if you are not developing losses and DCCE together.",
IF(AND(DCCEDevtBasis="No",OR(D8="Incurred - DCCE Dollar",D8="Incurred - DCCE (by Ratio)")), "←ERROR! You indicated that you do not track incurred DCCE on '1.General'.", "")))</f>
        <v/>
      </c>
      <c r="G8" s="143"/>
      <c r="H8" s="143"/>
      <c r="I8" s="143"/>
      <c r="J8" s="143"/>
      <c r="K8" s="143"/>
      <c r="L8" s="143"/>
      <c r="M8" s="104" t="str">
        <f>IF(OR(P7="Paid - Loss &amp; DCCE",P7="Incurred - Loss &amp; DCCE"),"Selected Ultimate DCCE (not applicable):",IF(OR(P7="Paid - Pure Loss",P7="Incurred - Pure Loss"),"Selected Ultimate DCCE:","Selected Ultimate DCCE (if applicable):"))</f>
        <v>Selected Ultimate DCCE (if applicable):</v>
      </c>
      <c r="N8" s="143"/>
      <c r="O8" s="143"/>
      <c r="P8" s="321"/>
      <c r="Q8" s="322"/>
      <c r="R8" s="277" t="str">
        <f>IF(AND(OR(P7="Paid - Loss &amp; DCCE",P7="Incurred - Loss &amp; DCCE"),AND(NOT(ISBLANK(P8)),P8&lt;&gt;"NA")),"← ERROR! You cannot select a DCCE method if you are developing losses and DCCE together.",
IF(AND(OR(P7="Paid - Pure Loss",P7="Incurred - Pure Loss"),OR(ISBLANK(P8),P8="NA")),"← ERROR! You must select a DCCE method if you are not developing losses and DCCE together.",
IF(AND(DCCEDevtBasis="No",OR(P8="Incurred - DCCE Dollar",P8="Incurred - DCCE (by Ratio)")), "←ERROR! You indicated that you do not track incurred DCCE on '1.General'.", "")))</f>
        <v/>
      </c>
      <c r="S8" s="143"/>
      <c r="T8" s="143"/>
      <c r="U8" s="143"/>
      <c r="V8" s="143"/>
      <c r="W8" s="143"/>
      <c r="X8" s="143"/>
      <c r="Y8" s="104" t="str">
        <f>IF(OR(AB7="Paid - Loss &amp; DCCE",AB7="Incurred - Loss &amp; DCCE"),"Selected Ultimate DCCE (not applicable):",IF(OR(AB7="Paid - Pure Loss",AB7="Incurred - Pure Loss"),"Selected Ultimate DCCE:","Selected Ultimate DCCE (if applicable):"))</f>
        <v>Selected Ultimate DCCE (if applicable):</v>
      </c>
      <c r="Z8" s="143"/>
      <c r="AA8" s="143"/>
      <c r="AB8" s="321"/>
      <c r="AC8" s="322"/>
      <c r="AD8" s="277" t="str">
        <f>IF(AND(OR(AB7="Paid - Loss &amp; DCCE",AB7="Incurred - Loss &amp; DCCE"),AND(NOT(ISBLANK(AB8)),AB8&lt;&gt;"NA")),"← ERROR! You cannot select a DCCE method if you are developing losses and DCCE together.",
IF(AND(OR(AB7="Paid - Pure Loss",AB7="Incurred - Pure Loss"),OR(ISBLANK(AB8),AB8="NA")),"← ERROR! You must select a DCCE method if you are not developing losses and DCCE together.",
IF(AND(DCCEDevtBasis="No",OR(AB8="Incurred - DCCE Dollar",AB8="Incurred - DCCE (by Ratio)")), "←ERROR! You indicated that you do not track incurred DCCE on '1.General'.", "")))</f>
        <v/>
      </c>
      <c r="AE8" s="143"/>
      <c r="AF8" s="143"/>
      <c r="AG8" s="143"/>
      <c r="AH8" s="143"/>
      <c r="AI8" s="143"/>
      <c r="AJ8" s="143"/>
      <c r="AK8" s="104" t="str">
        <f>IF(OR(AN7="Paid - Loss &amp; DCCE",AN7="Incurred - Loss &amp; DCCE"),"Selected Ultimate DCCE (not applicable):",IF(OR(AN7="Paid - Pure Loss",AN7="Incurred - Pure Loss"),"Selected Ultimate DCCE:","Selected Ultimate DCCE (if applicable):"))</f>
        <v>Selected Ultimate DCCE (if applicable):</v>
      </c>
      <c r="AL8" s="143"/>
      <c r="AM8" s="143"/>
      <c r="AN8" s="321"/>
      <c r="AO8" s="322"/>
      <c r="AP8" s="277" t="str">
        <f>IF(AND(OR(AN7="Paid - Loss &amp; DCCE",AN7="Incurred - Loss &amp; DCCE"),AND(NOT(ISBLANK(AN8)),AN8&lt;&gt;"NA")),"← ERROR! You cannot select a DCCE method if you are developing losses and DCCE together.",
IF(AND(OR(AN7="Paid - Pure Loss",AN7="Incurred - Pure Loss"),OR(ISBLANK(AN8),AN8="NA")),"← ERROR! You must select a DCCE method if you are not developing losses and DCCE together.",
IF(AND(DCCEDevtBasis="No",OR(AN8="Incurred - DCCE Dollar",AN8="Incurred - DCCE (by Ratio)")), "←ERROR! You indicated that you do not track incurred DCCE on '1.General'.", "")))</f>
        <v/>
      </c>
      <c r="AQ8" s="143"/>
      <c r="AR8" s="143"/>
      <c r="AS8" s="143"/>
      <c r="AT8" s="143"/>
      <c r="AU8" s="143"/>
      <c r="AV8" s="143"/>
      <c r="AW8" s="104" t="str">
        <f>IF(OR(AZ7="Paid - Loss &amp; DCCE",AZ7="Incurred - Loss &amp; DCCE"),"Selected Ultimate DCCE (not applicable):",IF(OR(AZ7="Paid - Pure Loss",AZ7="Incurred - Pure Loss"),"Selected Ultimate DCCE:","Selected Ultimate DCCE (if applicable):"))</f>
        <v>Selected Ultimate DCCE (if applicable):</v>
      </c>
      <c r="AX8" s="143"/>
      <c r="AY8" s="143"/>
      <c r="AZ8" s="321"/>
      <c r="BA8" s="322"/>
      <c r="BB8" s="277" t="str">
        <f>IF(AND(OR(AZ7="Paid - Loss &amp; DCCE",AZ7="Incurred - Loss &amp; DCCE"),AND(NOT(ISBLANK(AZ8)),AZ8&lt;&gt;"NA")),"← ERROR! You cannot select a DCCE method if you are developing losses and DCCE together.",
IF(AND(OR(AZ7="Paid - Pure Loss",AZ7="Incurred - Pure Loss"),OR(ISBLANK(AZ8),AZ8="NA")),"← ERROR! You must select a DCCE method if you are not developing losses and DCCE together.",
IF(AND(DCCEDevtBasis="No",OR(AZ8="Incurred - DCCE Dollar",AZ8="Incurred - DCCE (by Ratio)")), "←ERROR! You indicated that you do not track incurred DCCE on '1.General'.", "")))</f>
        <v/>
      </c>
      <c r="BC8" s="143"/>
      <c r="BD8" s="143"/>
      <c r="BE8" s="143"/>
      <c r="BF8" s="143"/>
      <c r="BG8" s="143"/>
      <c r="BH8" s="143"/>
      <c r="BI8" s="104" t="str">
        <f>IF(OR(BL7="Paid - Loss &amp; DCCE",BL7="Incurred - Loss &amp; DCCE"),"Selected Ultimate DCCE (not applicable):",IF(OR(BL7="Paid - Pure Loss",BL7="Incurred - Pure Loss"),"Selected Ultimate DCCE:","Selected Ultimate DCCE (if applicable):"))</f>
        <v>Selected Ultimate DCCE (if applicable):</v>
      </c>
      <c r="BJ8" s="143"/>
      <c r="BK8" s="143"/>
      <c r="BL8" s="321"/>
      <c r="BM8" s="322"/>
      <c r="BN8" s="277" t="str">
        <f>IF(AND(OR(BL7="Paid - Loss &amp; DCCE",BL7="Incurred - Loss &amp; DCCE"),AND(NOT(ISBLANK(BL8)),BL8&lt;&gt;"NA")),"← ERROR! You cannot select a DCCE method if you are developing losses and DCCE together.",
IF(AND(OR(BL7="Paid - Pure Loss",BL7="Incurred - Pure Loss"),OR(ISBLANK(BL8),BL8="NA")),"← ERROR! You must select a DCCE method if you are not developing losses and DCCE together.",
IF(AND(DCCEDevtBasis="No",OR(BL8="Incurred - DCCE Dollar",BL8="Incurred - DCCE (by Ratio)")), "←ERROR! You indicated that you do not track incurred DCCE on '1.General'.", "")))</f>
        <v/>
      </c>
      <c r="BO8" s="143"/>
      <c r="BP8" s="143"/>
      <c r="BQ8" s="143"/>
      <c r="BR8" s="143"/>
      <c r="BS8" s="143"/>
      <c r="BT8" s="143"/>
      <c r="BU8" s="104" t="str">
        <f>IF(OR(BX7="Paid - Loss &amp; DCCE",BX7="Incurred - Loss &amp; DCCE"),"Selected Ultimate DCCE (not applicable):",IF(OR(BX7="Paid - Pure Loss",BX7="Incurred - Pure Loss"),"Selected Ultimate DCCE:","Selected Ultimate DCCE (if applicable):"))</f>
        <v>Selected Ultimate DCCE (if applicable):</v>
      </c>
      <c r="BV8" s="143"/>
      <c r="BW8" s="143"/>
      <c r="BX8" s="321"/>
      <c r="BY8" s="322"/>
      <c r="BZ8" s="277" t="str">
        <f>IF(AND(OR(BX7="Paid - Loss &amp; DCCE",BX7="Incurred - Loss &amp; DCCE"),AND(NOT(ISBLANK(BX8)),BX8&lt;&gt;"NA")),"← ERROR! You cannot select a DCCE method if you are developing losses and DCCE together.",
IF(AND(OR(BX7="Paid - Pure Loss",BX7="Incurred - Pure Loss"),OR(ISBLANK(BX8),BX8="NA")),"← ERROR! You must select a DCCE method if you are not developing losses and DCCE together.",
IF(AND(DCCEDevtBasis="No",OR(BX8="Incurred - DCCE Dollar",BX8="Incurred - DCCE (by Ratio)")), "←ERROR! You indicated that you do not track incurred DCCE on '1.General'.", "")))</f>
        <v/>
      </c>
      <c r="CA8" s="143"/>
      <c r="CB8" s="143"/>
      <c r="CC8" s="143"/>
      <c r="CD8" s="143"/>
      <c r="CE8" s="143"/>
      <c r="CF8" s="143"/>
      <c r="CG8" s="104" t="str">
        <f>IF(OR(CJ7="Paid - Loss &amp; DCCE",CJ7="Incurred - Loss &amp; DCCE"),"Selected Ultimate DCCE (not applicable):",IF(OR(CJ7="Paid - Pure Loss",CJ7="Incurred - Pure Loss"),"Selected Ultimate DCCE:","Selected Ultimate DCCE (if applicable):"))</f>
        <v>Selected Ultimate DCCE (if applicable):</v>
      </c>
      <c r="CH8" s="143"/>
      <c r="CI8" s="143"/>
      <c r="CJ8" s="321"/>
      <c r="CK8" s="322"/>
      <c r="CL8" s="277" t="str">
        <f>IF(AND(OR(CJ7="Paid - Loss &amp; DCCE",CJ7="Incurred - Loss &amp; DCCE"),AND(NOT(ISBLANK(CJ8)),CJ8&lt;&gt;"NA")),"← ERROR! You cannot select a DCCE method if you are developing losses and DCCE together.",
IF(AND(OR(CJ7="Paid - Pure Loss",CJ7="Incurred - Pure Loss"),OR(ISBLANK(CJ8),CJ8="NA")),"← ERROR! You must select a DCCE method if you are not developing losses and DCCE together.",
IF(AND(DCCEDevtBasis="No",OR(CJ8="Incurred - DCCE Dollar",CJ8="Incurred - DCCE (by Ratio)")), "←ERROR! You indicated that you do not track incurred DCCE on '1.General'.", "")))</f>
        <v/>
      </c>
      <c r="CM8" s="143"/>
      <c r="CN8" s="143"/>
      <c r="CO8" s="143"/>
      <c r="CP8" s="143"/>
      <c r="CQ8" s="143"/>
      <c r="CR8" s="143"/>
      <c r="CS8" s="104" t="str">
        <f>IF(OR(CV7="Paid - Loss &amp; DCCE",CV7="Incurred - Loss &amp; DCCE"),"Selected Ultimate DCCE (not applicable):",IF(OR(CV7="Paid - Pure Loss",CV7="Incurred - Pure Loss"),"Selected Ultimate DCCE:","Selected Ultimate DCCE (if applicable):"))</f>
        <v>Selected Ultimate DCCE (if applicable):</v>
      </c>
      <c r="CT8" s="143"/>
      <c r="CU8" s="143"/>
      <c r="CV8" s="321"/>
      <c r="CW8" s="322"/>
      <c r="CX8" s="277" t="str">
        <f>IF(AND(OR(CV7="Paid - Loss &amp; DCCE",CV7="Incurred - Loss &amp; DCCE"),AND(NOT(ISBLANK(CV8)),CV8&lt;&gt;"NA")),"← ERROR! You cannot select a DCCE method if you are developing losses and DCCE together.",
IF(AND(OR(CV7="Paid - Pure Loss",CV7="Incurred - Pure Loss"),OR(ISBLANK(CV8),CV8="NA")),"← ERROR! You must select a DCCE method if you are not developing losses and DCCE together.",
IF(AND(DCCEDevtBasis="No",OR(CV8="Incurred - DCCE Dollar",CV8="Incurred - DCCE (by Ratio)")), "←ERROR! You indicated that you do not track incurred DCCE on '1.General'.", "")))</f>
        <v/>
      </c>
      <c r="CY8" s="143"/>
      <c r="CZ8" s="143"/>
      <c r="DA8" s="143"/>
      <c r="DB8" s="143"/>
      <c r="DC8" s="143"/>
      <c r="DD8" s="143"/>
      <c r="DE8" s="104" t="str">
        <f>IF(OR(DH7="Paid - Loss &amp; DCCE",DH7="Incurred - Loss &amp; DCCE"),"Selected Ultimate DCCE (not applicable):",IF(OR(DH7="Paid - Pure Loss",DH7="Incurred - Pure Loss"),"Selected Ultimate DCCE:","Selected Ultimate DCCE (if applicable):"))</f>
        <v>Selected Ultimate DCCE (if applicable):</v>
      </c>
      <c r="DF8" s="143"/>
      <c r="DG8" s="143"/>
      <c r="DH8" s="321"/>
      <c r="DI8" s="322"/>
      <c r="DJ8" s="277" t="str">
        <f>IF(AND(OR(DH7="Paid - Loss &amp; DCCE",DH7="Incurred - Loss &amp; DCCE"),AND(NOT(ISBLANK(DH8)),DH8&lt;&gt;"NA")),"← ERROR! You cannot select a DCCE method if you are developing losses and DCCE together.",
IF(AND(OR(DH7="Paid - Pure Loss",DH7="Incurred - Pure Loss"),OR(ISBLANK(DH8),DH8="NA")),"← ERROR! You must select a DCCE method if you are not developing losses and DCCE together.",
IF(AND(DCCEDevtBasis="No",OR(DH8="Incurred - DCCE Dollar",DH8="Incurred - DCCE (by Ratio)")), "←ERROR! You indicated that you do not track incurred DCCE on '1.General'.", "")))</f>
        <v/>
      </c>
      <c r="DK8" s="143"/>
      <c r="DL8" s="143"/>
      <c r="DM8" s="143"/>
      <c r="DN8" s="143"/>
      <c r="DO8" s="143"/>
      <c r="DP8" s="143"/>
    </row>
    <row r="9" spans="1:120" ht="15" customHeight="1" x14ac:dyDescent="0.25">
      <c r="A9" s="104"/>
      <c r="B9" s="143"/>
      <c r="C9" s="143"/>
      <c r="D9" s="143"/>
      <c r="E9" s="143"/>
      <c r="F9" s="136" t="str">
        <f>IF(ISNUMBER(SEARCH("Reminder",F46&amp;F81&amp;F116&amp;F189&amp;F224&amp;F259)),"Please scroll down for important reminder(s).","")</f>
        <v>Please scroll down for important reminder(s).</v>
      </c>
      <c r="G9" s="143"/>
      <c r="H9" s="143"/>
      <c r="I9" s="143"/>
      <c r="J9" s="143"/>
      <c r="K9" s="143"/>
      <c r="L9" s="143"/>
      <c r="M9" s="104"/>
      <c r="N9" s="143"/>
      <c r="O9" s="143"/>
      <c r="P9" s="143"/>
      <c r="Q9" s="143"/>
      <c r="R9" s="136" t="str">
        <f>IF(ISNUMBER(SEARCH("Reminder",R46&amp;R81&amp;R116&amp;R189&amp;R224&amp;R259)),"Please scroll down for important reminder(s).","")</f>
        <v/>
      </c>
      <c r="S9" s="143"/>
      <c r="T9" s="143"/>
      <c r="U9" s="143"/>
      <c r="V9" s="143"/>
      <c r="W9" s="143"/>
      <c r="X9" s="143"/>
      <c r="Y9" s="104"/>
      <c r="Z9" s="143"/>
      <c r="AA9" s="143"/>
      <c r="AB9" s="143"/>
      <c r="AC9" s="143"/>
      <c r="AD9" s="136" t="str">
        <f>IF(ISNUMBER(SEARCH("Reminder",AD46&amp;AD81&amp;AD116&amp;AD189&amp;AD224&amp;AD259)),"Please scroll down for important reminder(s).","")</f>
        <v/>
      </c>
      <c r="AE9" s="143"/>
      <c r="AF9" s="143"/>
      <c r="AG9" s="143"/>
      <c r="AH9" s="143"/>
      <c r="AI9" s="143"/>
      <c r="AJ9" s="143"/>
      <c r="AK9" s="104"/>
      <c r="AL9" s="143"/>
      <c r="AM9" s="143"/>
      <c r="AN9" s="143"/>
      <c r="AO9" s="143"/>
      <c r="AP9" s="136" t="str">
        <f>IF(ISNUMBER(SEARCH("Reminder",AP46&amp;AP81&amp;AP116&amp;AP189&amp;AP224&amp;AP259)),"Please scroll down for important reminder(s).","")</f>
        <v/>
      </c>
      <c r="AQ9" s="143"/>
      <c r="AR9" s="143"/>
      <c r="AS9" s="143"/>
      <c r="AT9" s="143"/>
      <c r="AU9" s="143"/>
      <c r="AV9" s="143"/>
      <c r="AW9" s="104"/>
      <c r="AX9" s="143"/>
      <c r="AY9" s="143"/>
      <c r="AZ9" s="143"/>
      <c r="BA9" s="143"/>
      <c r="BB9" s="136" t="str">
        <f>IF(ISNUMBER(SEARCH("Reminder",BB46&amp;BB81&amp;BB116&amp;BB189&amp;BB224&amp;BB259)),"Please scroll down for important reminder(s).","")</f>
        <v/>
      </c>
      <c r="BC9" s="143"/>
      <c r="BD9" s="143"/>
      <c r="BE9" s="143"/>
      <c r="BF9" s="143"/>
      <c r="BG9" s="143"/>
      <c r="BH9" s="143"/>
      <c r="BI9" s="104"/>
      <c r="BJ9" s="143"/>
      <c r="BK9" s="143"/>
      <c r="BL9" s="143"/>
      <c r="BM9" s="143"/>
      <c r="BN9" s="136" t="str">
        <f>IF(ISNUMBER(SEARCH("Reminder",BN46&amp;BN81&amp;BN116&amp;BN189&amp;BN224&amp;BN259)),"Please scroll down for important reminder(s).","")</f>
        <v/>
      </c>
      <c r="BO9" s="143"/>
      <c r="BP9" s="143"/>
      <c r="BQ9" s="143"/>
      <c r="BR9" s="143"/>
      <c r="BS9" s="143"/>
      <c r="BT9" s="143"/>
      <c r="BU9" s="104"/>
      <c r="BV9" s="143"/>
      <c r="BW9" s="143"/>
      <c r="BX9" s="143"/>
      <c r="BY9" s="143"/>
      <c r="BZ9" s="136" t="str">
        <f>IF(ISNUMBER(SEARCH("Reminder",BZ46&amp;BZ81&amp;BZ116&amp;BZ189&amp;BZ224&amp;BZ259)),"Please scroll down for important reminder(s).","")</f>
        <v/>
      </c>
      <c r="CA9" s="143"/>
      <c r="CB9" s="143"/>
      <c r="CC9" s="143"/>
      <c r="CD9" s="143"/>
      <c r="CE9" s="143"/>
      <c r="CF9" s="143"/>
      <c r="CG9" s="104"/>
      <c r="CH9" s="143"/>
      <c r="CI9" s="143"/>
      <c r="CJ9" s="143"/>
      <c r="CK9" s="143"/>
      <c r="CL9" s="136" t="str">
        <f>IF(ISNUMBER(SEARCH("Reminder",CL46&amp;CL81&amp;CL116&amp;CL189&amp;CL224&amp;CL259)),"Please scroll down for important reminder(s).","")</f>
        <v/>
      </c>
      <c r="CM9" s="143"/>
      <c r="CN9" s="143"/>
      <c r="CO9" s="143"/>
      <c r="CP9" s="143"/>
      <c r="CQ9" s="143"/>
      <c r="CR9" s="143"/>
      <c r="CS9" s="104"/>
      <c r="CT9" s="143"/>
      <c r="CU9" s="143"/>
      <c r="CV9" s="143"/>
      <c r="CW9" s="143"/>
      <c r="CX9" s="136" t="str">
        <f>IF(ISNUMBER(SEARCH("Reminder",CX46&amp;CX81&amp;CX116&amp;CX189&amp;CX224&amp;CX259)),"Please scroll down for important reminder(s).","")</f>
        <v/>
      </c>
      <c r="CY9" s="143"/>
      <c r="CZ9" s="143"/>
      <c r="DA9" s="143"/>
      <c r="DB9" s="143"/>
      <c r="DC9" s="143"/>
      <c r="DD9" s="143"/>
      <c r="DE9" s="104"/>
      <c r="DF9" s="143"/>
      <c r="DG9" s="143"/>
      <c r="DH9" s="143"/>
      <c r="DI9" s="143"/>
      <c r="DJ9" s="136" t="str">
        <f>IF(ISNUMBER(SEARCH("Reminder",DJ46&amp;DJ81&amp;DJ116&amp;DJ189&amp;DJ224&amp;DJ259)),"Please scroll down for important reminder(s).","")</f>
        <v/>
      </c>
      <c r="DK9" s="143"/>
      <c r="DL9" s="143"/>
      <c r="DM9" s="143"/>
      <c r="DN9" s="143"/>
      <c r="DO9" s="143"/>
      <c r="DP9" s="143"/>
    </row>
    <row r="10" spans="1:120" ht="15" customHeight="1" x14ac:dyDescent="0.25">
      <c r="A10" s="280"/>
      <c r="B10" s="142"/>
      <c r="C10" s="40" t="str">
        <f>$A$35</f>
        <v>Fiscal Accident Year Data Ending</v>
      </c>
      <c r="D10" s="150"/>
      <c r="E10" s="151"/>
      <c r="F10" s="19"/>
      <c r="G10" s="151"/>
      <c r="H10" s="151"/>
      <c r="I10" s="150"/>
      <c r="J10" s="151"/>
      <c r="K10" s="151"/>
      <c r="L10" s="151"/>
      <c r="M10" s="280"/>
      <c r="N10" s="142"/>
      <c r="O10" s="40" t="str">
        <f>$A$35</f>
        <v>Fiscal Accident Year Data Ending</v>
      </c>
      <c r="P10" s="150"/>
      <c r="Q10" s="151"/>
      <c r="R10" s="19"/>
      <c r="S10" s="151"/>
      <c r="T10" s="151"/>
      <c r="U10" s="150"/>
      <c r="V10" s="151"/>
      <c r="W10" s="151"/>
      <c r="X10" s="151"/>
      <c r="Y10" s="280"/>
      <c r="Z10" s="142"/>
      <c r="AA10" s="40" t="str">
        <f>$A$35</f>
        <v>Fiscal Accident Year Data Ending</v>
      </c>
      <c r="AB10" s="150"/>
      <c r="AC10" s="151"/>
      <c r="AD10" s="19"/>
      <c r="AE10" s="151"/>
      <c r="AF10" s="151"/>
      <c r="AG10" s="150"/>
      <c r="AH10" s="151"/>
      <c r="AI10" s="151"/>
      <c r="AJ10" s="151"/>
      <c r="AK10" s="280"/>
      <c r="AL10" s="142"/>
      <c r="AM10" s="40" t="str">
        <f>$A$35</f>
        <v>Fiscal Accident Year Data Ending</v>
      </c>
      <c r="AN10" s="150"/>
      <c r="AO10" s="151"/>
      <c r="AP10" s="19"/>
      <c r="AQ10" s="151"/>
      <c r="AR10" s="151"/>
      <c r="AS10" s="150"/>
      <c r="AT10" s="151"/>
      <c r="AU10" s="151"/>
      <c r="AV10" s="151"/>
      <c r="AW10" s="280"/>
      <c r="AX10" s="142"/>
      <c r="AY10" s="40" t="str">
        <f>$A$35</f>
        <v>Fiscal Accident Year Data Ending</v>
      </c>
      <c r="AZ10" s="150"/>
      <c r="BA10" s="151"/>
      <c r="BB10" s="19"/>
      <c r="BC10" s="151"/>
      <c r="BD10" s="151"/>
      <c r="BE10" s="150"/>
      <c r="BF10" s="151"/>
      <c r="BG10" s="151"/>
      <c r="BH10" s="151"/>
      <c r="BI10" s="280"/>
      <c r="BJ10" s="142"/>
      <c r="BK10" s="40" t="str">
        <f>$A$35</f>
        <v>Fiscal Accident Year Data Ending</v>
      </c>
      <c r="BL10" s="150"/>
      <c r="BM10" s="151"/>
      <c r="BN10" s="19"/>
      <c r="BO10" s="151"/>
      <c r="BP10" s="151"/>
      <c r="BQ10" s="150"/>
      <c r="BR10" s="151"/>
      <c r="BS10" s="151"/>
      <c r="BT10" s="151"/>
      <c r="BU10" s="280"/>
      <c r="BV10" s="142"/>
      <c r="BW10" s="40" t="str">
        <f>$A$35</f>
        <v>Fiscal Accident Year Data Ending</v>
      </c>
      <c r="BX10" s="150"/>
      <c r="BY10" s="151"/>
      <c r="BZ10" s="19"/>
      <c r="CA10" s="151"/>
      <c r="CB10" s="151"/>
      <c r="CC10" s="150"/>
      <c r="CD10" s="151"/>
      <c r="CE10" s="151"/>
      <c r="CF10" s="151"/>
      <c r="CG10" s="280"/>
      <c r="CH10" s="142"/>
      <c r="CI10" s="40" t="str">
        <f>$A$35</f>
        <v>Fiscal Accident Year Data Ending</v>
      </c>
      <c r="CJ10" s="150"/>
      <c r="CK10" s="151"/>
      <c r="CL10" s="19"/>
      <c r="CM10" s="151"/>
      <c r="CN10" s="151"/>
      <c r="CO10" s="150"/>
      <c r="CP10" s="151"/>
      <c r="CQ10" s="151"/>
      <c r="CR10" s="151"/>
      <c r="CS10" s="280"/>
      <c r="CT10" s="142"/>
      <c r="CU10" s="40" t="str">
        <f>$A$35</f>
        <v>Fiscal Accident Year Data Ending</v>
      </c>
      <c r="CV10" s="150"/>
      <c r="CW10" s="151"/>
      <c r="CX10" s="19"/>
      <c r="CY10" s="151"/>
      <c r="CZ10" s="151"/>
      <c r="DA10" s="150"/>
      <c r="DB10" s="151"/>
      <c r="DC10" s="151"/>
      <c r="DD10" s="151"/>
      <c r="DE10" s="280"/>
      <c r="DF10" s="142"/>
      <c r="DG10" s="40" t="str">
        <f>$A$35</f>
        <v>Fiscal Accident Year Data Ending</v>
      </c>
      <c r="DH10" s="150"/>
      <c r="DI10" s="151"/>
      <c r="DJ10" s="19"/>
      <c r="DK10" s="151"/>
      <c r="DL10" s="151"/>
      <c r="DM10" s="150"/>
      <c r="DN10" s="151"/>
      <c r="DO10" s="151"/>
      <c r="DP10" s="151"/>
    </row>
    <row r="11" spans="1:120" ht="15" customHeight="1" x14ac:dyDescent="0.25">
      <c r="A11" s="281" t="s">
        <v>41</v>
      </c>
      <c r="B11" s="145"/>
      <c r="C11" s="146">
        <f t="shared" ref="C11:J11" si="0">D11-10</f>
        <v>20132</v>
      </c>
      <c r="D11" s="146">
        <f t="shared" si="0"/>
        <v>20142</v>
      </c>
      <c r="E11" s="146">
        <f t="shared" si="0"/>
        <v>20152</v>
      </c>
      <c r="F11" s="146">
        <f t="shared" si="0"/>
        <v>20162</v>
      </c>
      <c r="G11" s="146">
        <f t="shared" si="0"/>
        <v>20172</v>
      </c>
      <c r="H11" s="146">
        <f t="shared" si="0"/>
        <v>20182</v>
      </c>
      <c r="I11" s="146">
        <f t="shared" si="0"/>
        <v>20192</v>
      </c>
      <c r="J11" s="146">
        <f t="shared" si="0"/>
        <v>20202</v>
      </c>
      <c r="K11" s="146">
        <f>L11-10</f>
        <v>20212</v>
      </c>
      <c r="L11" s="146">
        <f>FYQtr_LDF</f>
        <v>20222</v>
      </c>
      <c r="M11" s="281" t="s">
        <v>41</v>
      </c>
      <c r="N11" s="145"/>
      <c r="O11" s="146">
        <f t="shared" ref="O11" si="1">P11-10</f>
        <v>20132</v>
      </c>
      <c r="P11" s="146">
        <f t="shared" ref="P11" si="2">Q11-10</f>
        <v>20142</v>
      </c>
      <c r="Q11" s="146">
        <f t="shared" ref="Q11" si="3">R11-10</f>
        <v>20152</v>
      </c>
      <c r="R11" s="146">
        <f t="shared" ref="R11" si="4">S11-10</f>
        <v>20162</v>
      </c>
      <c r="S11" s="146">
        <f t="shared" ref="S11" si="5">T11-10</f>
        <v>20172</v>
      </c>
      <c r="T11" s="146">
        <f t="shared" ref="T11" si="6">U11-10</f>
        <v>20182</v>
      </c>
      <c r="U11" s="146">
        <f t="shared" ref="U11" si="7">V11-10</f>
        <v>20192</v>
      </c>
      <c r="V11" s="146">
        <f t="shared" ref="V11" si="8">W11-10</f>
        <v>20202</v>
      </c>
      <c r="W11" s="146">
        <f>X11-10</f>
        <v>20212</v>
      </c>
      <c r="X11" s="146">
        <f>FYQtr_LDF</f>
        <v>20222</v>
      </c>
      <c r="Y11" s="281" t="s">
        <v>41</v>
      </c>
      <c r="Z11" s="145"/>
      <c r="AA11" s="146">
        <f t="shared" ref="AA11" si="9">AB11-10</f>
        <v>20132</v>
      </c>
      <c r="AB11" s="146">
        <f t="shared" ref="AB11" si="10">AC11-10</f>
        <v>20142</v>
      </c>
      <c r="AC11" s="146">
        <f t="shared" ref="AC11" si="11">AD11-10</f>
        <v>20152</v>
      </c>
      <c r="AD11" s="146">
        <f t="shared" ref="AD11" si="12">AE11-10</f>
        <v>20162</v>
      </c>
      <c r="AE11" s="146">
        <f t="shared" ref="AE11" si="13">AF11-10</f>
        <v>20172</v>
      </c>
      <c r="AF11" s="146">
        <f t="shared" ref="AF11" si="14">AG11-10</f>
        <v>20182</v>
      </c>
      <c r="AG11" s="146">
        <f t="shared" ref="AG11" si="15">AH11-10</f>
        <v>20192</v>
      </c>
      <c r="AH11" s="146">
        <f t="shared" ref="AH11" si="16">AI11-10</f>
        <v>20202</v>
      </c>
      <c r="AI11" s="146">
        <f>AJ11-10</f>
        <v>20212</v>
      </c>
      <c r="AJ11" s="146">
        <f>FYQtr_LDF</f>
        <v>20222</v>
      </c>
      <c r="AK11" s="281" t="s">
        <v>41</v>
      </c>
      <c r="AL11" s="145"/>
      <c r="AM11" s="146">
        <f t="shared" ref="AM11" si="17">AN11-10</f>
        <v>20132</v>
      </c>
      <c r="AN11" s="146">
        <f t="shared" ref="AN11" si="18">AO11-10</f>
        <v>20142</v>
      </c>
      <c r="AO11" s="146">
        <f t="shared" ref="AO11" si="19">AP11-10</f>
        <v>20152</v>
      </c>
      <c r="AP11" s="146">
        <f t="shared" ref="AP11" si="20">AQ11-10</f>
        <v>20162</v>
      </c>
      <c r="AQ11" s="146">
        <f t="shared" ref="AQ11" si="21">AR11-10</f>
        <v>20172</v>
      </c>
      <c r="AR11" s="146">
        <f t="shared" ref="AR11" si="22">AS11-10</f>
        <v>20182</v>
      </c>
      <c r="AS11" s="146">
        <f t="shared" ref="AS11" si="23">AT11-10</f>
        <v>20192</v>
      </c>
      <c r="AT11" s="146">
        <f t="shared" ref="AT11" si="24">AU11-10</f>
        <v>20202</v>
      </c>
      <c r="AU11" s="146">
        <f>AV11-10</f>
        <v>20212</v>
      </c>
      <c r="AV11" s="146">
        <f>FYQtr_LDF</f>
        <v>20222</v>
      </c>
      <c r="AW11" s="281" t="s">
        <v>41</v>
      </c>
      <c r="AX11" s="145"/>
      <c r="AY11" s="146">
        <f t="shared" ref="AY11" si="25">AZ11-10</f>
        <v>20132</v>
      </c>
      <c r="AZ11" s="146">
        <f t="shared" ref="AZ11" si="26">BA11-10</f>
        <v>20142</v>
      </c>
      <c r="BA11" s="146">
        <f t="shared" ref="BA11" si="27">BB11-10</f>
        <v>20152</v>
      </c>
      <c r="BB11" s="146">
        <f t="shared" ref="BB11" si="28">BC11-10</f>
        <v>20162</v>
      </c>
      <c r="BC11" s="146">
        <f t="shared" ref="BC11" si="29">BD11-10</f>
        <v>20172</v>
      </c>
      <c r="BD11" s="146">
        <f t="shared" ref="BD11" si="30">BE11-10</f>
        <v>20182</v>
      </c>
      <c r="BE11" s="146">
        <f t="shared" ref="BE11" si="31">BF11-10</f>
        <v>20192</v>
      </c>
      <c r="BF11" s="146">
        <f t="shared" ref="BF11" si="32">BG11-10</f>
        <v>20202</v>
      </c>
      <c r="BG11" s="146">
        <f>BH11-10</f>
        <v>20212</v>
      </c>
      <c r="BH11" s="146">
        <f>FYQtr_LDF</f>
        <v>20222</v>
      </c>
      <c r="BI11" s="281" t="s">
        <v>41</v>
      </c>
      <c r="BJ11" s="145"/>
      <c r="BK11" s="146">
        <f t="shared" ref="BK11" si="33">BL11-10</f>
        <v>20132</v>
      </c>
      <c r="BL11" s="146">
        <f t="shared" ref="BL11" si="34">BM11-10</f>
        <v>20142</v>
      </c>
      <c r="BM11" s="146">
        <f t="shared" ref="BM11" si="35">BN11-10</f>
        <v>20152</v>
      </c>
      <c r="BN11" s="146">
        <f t="shared" ref="BN11" si="36">BO11-10</f>
        <v>20162</v>
      </c>
      <c r="BO11" s="146">
        <f t="shared" ref="BO11" si="37">BP11-10</f>
        <v>20172</v>
      </c>
      <c r="BP11" s="146">
        <f t="shared" ref="BP11" si="38">BQ11-10</f>
        <v>20182</v>
      </c>
      <c r="BQ11" s="146">
        <f t="shared" ref="BQ11" si="39">BR11-10</f>
        <v>20192</v>
      </c>
      <c r="BR11" s="146">
        <f t="shared" ref="BR11" si="40">BS11-10</f>
        <v>20202</v>
      </c>
      <c r="BS11" s="146">
        <f>BT11-10</f>
        <v>20212</v>
      </c>
      <c r="BT11" s="146">
        <f>FYQtr_LDF</f>
        <v>20222</v>
      </c>
      <c r="BU11" s="281" t="s">
        <v>41</v>
      </c>
      <c r="BV11" s="145"/>
      <c r="BW11" s="146">
        <f t="shared" ref="BW11" si="41">BX11-10</f>
        <v>20132</v>
      </c>
      <c r="BX11" s="146">
        <f t="shared" ref="BX11" si="42">BY11-10</f>
        <v>20142</v>
      </c>
      <c r="BY11" s="146">
        <f t="shared" ref="BY11" si="43">BZ11-10</f>
        <v>20152</v>
      </c>
      <c r="BZ11" s="146">
        <f t="shared" ref="BZ11" si="44">CA11-10</f>
        <v>20162</v>
      </c>
      <c r="CA11" s="146">
        <f t="shared" ref="CA11" si="45">CB11-10</f>
        <v>20172</v>
      </c>
      <c r="CB11" s="146">
        <f t="shared" ref="CB11" si="46">CC11-10</f>
        <v>20182</v>
      </c>
      <c r="CC11" s="146">
        <f t="shared" ref="CC11" si="47">CD11-10</f>
        <v>20192</v>
      </c>
      <c r="CD11" s="146">
        <f t="shared" ref="CD11" si="48">CE11-10</f>
        <v>20202</v>
      </c>
      <c r="CE11" s="146">
        <f>CF11-10</f>
        <v>20212</v>
      </c>
      <c r="CF11" s="146">
        <f>FYQtr_LDF</f>
        <v>20222</v>
      </c>
      <c r="CG11" s="281" t="s">
        <v>41</v>
      </c>
      <c r="CH11" s="145"/>
      <c r="CI11" s="146">
        <f t="shared" ref="CI11" si="49">CJ11-10</f>
        <v>20132</v>
      </c>
      <c r="CJ11" s="146">
        <f t="shared" ref="CJ11" si="50">CK11-10</f>
        <v>20142</v>
      </c>
      <c r="CK11" s="146">
        <f t="shared" ref="CK11" si="51">CL11-10</f>
        <v>20152</v>
      </c>
      <c r="CL11" s="146">
        <f t="shared" ref="CL11" si="52">CM11-10</f>
        <v>20162</v>
      </c>
      <c r="CM11" s="146">
        <f t="shared" ref="CM11" si="53">CN11-10</f>
        <v>20172</v>
      </c>
      <c r="CN11" s="146">
        <f t="shared" ref="CN11" si="54">CO11-10</f>
        <v>20182</v>
      </c>
      <c r="CO11" s="146">
        <f t="shared" ref="CO11" si="55">CP11-10</f>
        <v>20192</v>
      </c>
      <c r="CP11" s="146">
        <f t="shared" ref="CP11" si="56">CQ11-10</f>
        <v>20202</v>
      </c>
      <c r="CQ11" s="146">
        <f>CR11-10</f>
        <v>20212</v>
      </c>
      <c r="CR11" s="146">
        <f>FYQtr_LDF</f>
        <v>20222</v>
      </c>
      <c r="CS11" s="281" t="s">
        <v>41</v>
      </c>
      <c r="CT11" s="145"/>
      <c r="CU11" s="146">
        <f t="shared" ref="CU11" si="57">CV11-10</f>
        <v>20132</v>
      </c>
      <c r="CV11" s="146">
        <f t="shared" ref="CV11" si="58">CW11-10</f>
        <v>20142</v>
      </c>
      <c r="CW11" s="146">
        <f t="shared" ref="CW11" si="59">CX11-10</f>
        <v>20152</v>
      </c>
      <c r="CX11" s="146">
        <f t="shared" ref="CX11" si="60">CY11-10</f>
        <v>20162</v>
      </c>
      <c r="CY11" s="146">
        <f t="shared" ref="CY11" si="61">CZ11-10</f>
        <v>20172</v>
      </c>
      <c r="CZ11" s="146">
        <f t="shared" ref="CZ11" si="62">DA11-10</f>
        <v>20182</v>
      </c>
      <c r="DA11" s="146">
        <f t="shared" ref="DA11" si="63">DB11-10</f>
        <v>20192</v>
      </c>
      <c r="DB11" s="146">
        <f t="shared" ref="DB11" si="64">DC11-10</f>
        <v>20202</v>
      </c>
      <c r="DC11" s="146">
        <f>DD11-10</f>
        <v>20212</v>
      </c>
      <c r="DD11" s="146">
        <f>FYQtr_LDF</f>
        <v>20222</v>
      </c>
      <c r="DE11" s="281" t="s">
        <v>41</v>
      </c>
      <c r="DF11" s="145"/>
      <c r="DG11" s="146">
        <f t="shared" ref="DG11" si="65">DH11-10</f>
        <v>20132</v>
      </c>
      <c r="DH11" s="146">
        <f t="shared" ref="DH11" si="66">DI11-10</f>
        <v>20142</v>
      </c>
      <c r="DI11" s="146">
        <f t="shared" ref="DI11" si="67">DJ11-10</f>
        <v>20152</v>
      </c>
      <c r="DJ11" s="146">
        <f t="shared" ref="DJ11" si="68">DK11-10</f>
        <v>20162</v>
      </c>
      <c r="DK11" s="146">
        <f t="shared" ref="DK11" si="69">DL11-10</f>
        <v>20172</v>
      </c>
      <c r="DL11" s="146">
        <f t="shared" ref="DL11" si="70">DM11-10</f>
        <v>20182</v>
      </c>
      <c r="DM11" s="146">
        <f t="shared" ref="DM11" si="71">DN11-10</f>
        <v>20192</v>
      </c>
      <c r="DN11" s="146">
        <f t="shared" ref="DN11" si="72">DO11-10</f>
        <v>20202</v>
      </c>
      <c r="DO11" s="146">
        <f>DP11-10</f>
        <v>20212</v>
      </c>
      <c r="DP11" s="146">
        <f>FYQtr_LDF</f>
        <v>20222</v>
      </c>
    </row>
    <row r="12" spans="1:120" ht="15" customHeight="1" x14ac:dyDescent="0.25">
      <c r="A12" s="287" t="s">
        <v>204</v>
      </c>
      <c r="B12" s="142"/>
      <c r="C12" s="144">
        <f>IF(COUNTA(B36:L45)=0,"",INDEX(C62:L62,1,11-MATCH(C11,C11:L11,0)))</f>
        <v>79676770.210000008</v>
      </c>
      <c r="D12" s="144">
        <f>IF(COUNTA(B36:L45)=0,"",INDEX(C62:L62,1,11-MATCH(D11,C11:L11,0)))</f>
        <v>80502631.907623485</v>
      </c>
      <c r="E12" s="144">
        <f>IF(COUNTA(B36:L45)=0,"",INDEX(C62:L62,1,11-MATCH(E11,C11:L11,0)))</f>
        <v>90604462.565469101</v>
      </c>
      <c r="F12" s="144">
        <f>IF(COUNTA(B36:L45)=0,"",INDEX(C62:L62,1,11-MATCH(F11,C11:L11,0)))</f>
        <v>93102045.272314966</v>
      </c>
      <c r="G12" s="144">
        <f>IF(COUNTA(B36:L45)=0,"",INDEX(C62:L62,1,11-MATCH(G11,C11:L11,0)))</f>
        <v>107967430.40975107</v>
      </c>
      <c r="H12" s="144">
        <f>IF(COUNTA(B36:L45)=0,"",INDEX(C62:L62,1,11-MATCH(H11,C11:L11,0)))</f>
        <v>82947605.489827082</v>
      </c>
      <c r="I12" s="144">
        <f>IF(COUNTA(B36:L45)=0,"",INDEX(C62:L62,1,11-MATCH(I11,C11:L11,0)))</f>
        <v>99053602.384950519</v>
      </c>
      <c r="J12" s="144">
        <f>IF(COUNTA(B36:L45)=0,"",INDEX(C62:L62,1,11-MATCH(J11,C11:L11,0)))</f>
        <v>94114069.866338044</v>
      </c>
      <c r="K12" s="144">
        <f>IF(COUNTA(B36:L45)=0,"",INDEX(C62:L62,1,11-MATCH(K11,C11:L11,0)))</f>
        <v>99836883.773262396</v>
      </c>
      <c r="L12" s="144">
        <f>IF(COUNTA(B36:L45)=0,"",INDEX(C62:L62,1,11-MATCH(L11,C11:L11,0)))</f>
        <v>116539849.64685184</v>
      </c>
      <c r="M12" s="289" t="s">
        <v>204</v>
      </c>
      <c r="N12" s="142"/>
      <c r="O12" s="144" t="str">
        <f>IF(COUNTA(N36:X45)=0,"",INDEX(O62:X62,1,11-MATCH(O11,O11:X11,0)))</f>
        <v/>
      </c>
      <c r="P12" s="144" t="str">
        <f>IF(COUNTA(N36:X45)=0,"",INDEX(O62:X62,1,11-MATCH(P11,O11:X11,0)))</f>
        <v/>
      </c>
      <c r="Q12" s="144" t="str">
        <f>IF(COUNTA(N36:X45)=0,"",INDEX(O62:X62,1,11-MATCH(Q11,O11:X11,0)))</f>
        <v/>
      </c>
      <c r="R12" s="144" t="str">
        <f>IF(COUNTA(N36:X45)=0,"",INDEX(O62:X62,1,11-MATCH(R11,O11:X11,0)))</f>
        <v/>
      </c>
      <c r="S12" s="144" t="str">
        <f>IF(COUNTA(N36:X45)=0,"",INDEX(O62:X62,1,11-MATCH(S11,O11:X11,0)))</f>
        <v/>
      </c>
      <c r="T12" s="144" t="str">
        <f>IF(COUNTA(N36:X45)=0,"",INDEX(O62:X62,1,11-MATCH(T11,O11:X11,0)))</f>
        <v/>
      </c>
      <c r="U12" s="144" t="str">
        <f>IF(COUNTA(N36:X45)=0,"",INDEX(O62:X62,1,11-MATCH(U11,O11:X11,0)))</f>
        <v/>
      </c>
      <c r="V12" s="144" t="str">
        <f>IF(COUNTA(N36:X45)=0,"",INDEX(O62:X62,1,11-MATCH(V11,O11:X11,0)))</f>
        <v/>
      </c>
      <c r="W12" s="144" t="str">
        <f>IF(COUNTA(N36:X45)=0,"",INDEX(O62:X62,1,11-MATCH(W11,O11:X11,0)))</f>
        <v/>
      </c>
      <c r="X12" s="144" t="str">
        <f>IF(COUNTA(N36:X45)=0,"",INDEX(O62:X62,1,11-MATCH(X11,O11:X11,0)))</f>
        <v/>
      </c>
      <c r="Y12" s="289" t="s">
        <v>204</v>
      </c>
      <c r="Z12" s="142"/>
      <c r="AA12" s="144" t="str">
        <f>IF(COUNTA(Z36:AJ45)=0,"",INDEX(AA62:AJ62,1,11-MATCH(AA11,AA11:AJ11,0)))</f>
        <v/>
      </c>
      <c r="AB12" s="144" t="str">
        <f>IF(COUNTA(Z36:AJ45)=0,"",INDEX(AA62:AJ62,1,11-MATCH(AB11,AA11:AJ11,0)))</f>
        <v/>
      </c>
      <c r="AC12" s="144" t="str">
        <f>IF(COUNTA(Z36:AJ45)=0,"",INDEX(AA62:AJ62,1,11-MATCH(AC11,AA11:AJ11,0)))</f>
        <v/>
      </c>
      <c r="AD12" s="144" t="str">
        <f>IF(COUNTA(Z36:AJ45)=0,"",INDEX(AA62:AJ62,1,11-MATCH(AD11,AA11:AJ11,0)))</f>
        <v/>
      </c>
      <c r="AE12" s="144" t="str">
        <f>IF(COUNTA(Z36:AJ45)=0,"",INDEX(AA62:AJ62,1,11-MATCH(AE11,AA11:AJ11,0)))</f>
        <v/>
      </c>
      <c r="AF12" s="144" t="str">
        <f>IF(COUNTA(Z36:AJ45)=0,"",INDEX(AA62:AJ62,1,11-MATCH(AF11,AA11:AJ11,0)))</f>
        <v/>
      </c>
      <c r="AG12" s="144" t="str">
        <f>IF(COUNTA(Z36:AJ45)=0,"",INDEX(AA62:AJ62,1,11-MATCH(AG11,AA11:AJ11,0)))</f>
        <v/>
      </c>
      <c r="AH12" s="144" t="str">
        <f>IF(COUNTA(Z36:AJ45)=0,"",INDEX(AA62:AJ62,1,11-MATCH(AH11,AA11:AJ11,0)))</f>
        <v/>
      </c>
      <c r="AI12" s="144" t="str">
        <f>IF(COUNTA(Z36:AJ45)=0,"",INDEX(AA62:AJ62,1,11-MATCH(AI11,AA11:AJ11,0)))</f>
        <v/>
      </c>
      <c r="AJ12" s="144" t="str">
        <f>IF(COUNTA(Z36:AJ45)=0,"",INDEX(AA62:AJ62,1,11-MATCH(AJ11,AA11:AJ11,0)))</f>
        <v/>
      </c>
      <c r="AK12" s="289" t="s">
        <v>204</v>
      </c>
      <c r="AL12" s="142"/>
      <c r="AM12" s="144" t="str">
        <f>IF(COUNTA(AL36:AV45)=0,"",INDEX(AM62:AV62,1,11-MATCH(AM11,AM11:AV11,0)))</f>
        <v/>
      </c>
      <c r="AN12" s="144" t="str">
        <f>IF(COUNTA(AL36:AV45)=0,"",INDEX(AM62:AV62,1,11-MATCH(AN11,AM11:AV11,0)))</f>
        <v/>
      </c>
      <c r="AO12" s="144" t="str">
        <f>IF(COUNTA(AL36:AV45)=0,"",INDEX(AM62:AV62,1,11-MATCH(AO11,AM11:AV11,0)))</f>
        <v/>
      </c>
      <c r="AP12" s="144" t="str">
        <f>IF(COUNTA(AL36:AV45)=0,"",INDEX(AM62:AV62,1,11-MATCH(AP11,AM11:AV11,0)))</f>
        <v/>
      </c>
      <c r="AQ12" s="144" t="str">
        <f>IF(COUNTA(AL36:AV45)=0,"",INDEX(AM62:AV62,1,11-MATCH(AQ11,AM11:AV11,0)))</f>
        <v/>
      </c>
      <c r="AR12" s="144" t="str">
        <f>IF(COUNTA(AL36:AV45)=0,"",INDEX(AM62:AV62,1,11-MATCH(AR11,AM11:AV11,0)))</f>
        <v/>
      </c>
      <c r="AS12" s="144" t="str">
        <f>IF(COUNTA(AL36:AV45)=0,"",INDEX(AM62:AV62,1,11-MATCH(AS11,AM11:AV11,0)))</f>
        <v/>
      </c>
      <c r="AT12" s="144" t="str">
        <f>IF(COUNTA(AL36:AV45)=0,"",INDEX(AM62:AV62,1,11-MATCH(AT11,AM11:AV11,0)))</f>
        <v/>
      </c>
      <c r="AU12" s="144" t="str">
        <f>IF(COUNTA(AL36:AV45)=0,"",INDEX(AM62:AV62,1,11-MATCH(AU11,AM11:AV11,0)))</f>
        <v/>
      </c>
      <c r="AV12" s="144" t="str">
        <f>IF(COUNTA(AL36:AV45)=0,"",INDEX(AM62:AV62,1,11-MATCH(AV11,AM11:AV11,0)))</f>
        <v/>
      </c>
      <c r="AW12" s="289" t="s">
        <v>204</v>
      </c>
      <c r="AX12" s="142"/>
      <c r="AY12" s="144" t="str">
        <f>IF(COUNTA(AX36:BH45)=0,"",INDEX(AY62:BH62,1,11-MATCH(AY11,AY11:BH11,0)))</f>
        <v/>
      </c>
      <c r="AZ12" s="144" t="str">
        <f>IF(COUNTA(AX36:BH45)=0,"",INDEX(AY62:BH62,1,11-MATCH(AZ11,AY11:BH11,0)))</f>
        <v/>
      </c>
      <c r="BA12" s="144" t="str">
        <f>IF(COUNTA(AX36:BH45)=0,"",INDEX(AY62:BH62,1,11-MATCH(BA11,AY11:BH11,0)))</f>
        <v/>
      </c>
      <c r="BB12" s="144" t="str">
        <f>IF(COUNTA(AX36:BH45)=0,"",INDEX(AY62:BH62,1,11-MATCH(BB11,AY11:BH11,0)))</f>
        <v/>
      </c>
      <c r="BC12" s="144" t="str">
        <f>IF(COUNTA(AX36:BH45)=0,"",INDEX(AY62:BH62,1,11-MATCH(BC11,AY11:BH11,0)))</f>
        <v/>
      </c>
      <c r="BD12" s="144" t="str">
        <f>IF(COUNTA(AX36:BH45)=0,"",INDEX(AY62:BH62,1,11-MATCH(BD11,AY11:BH11,0)))</f>
        <v/>
      </c>
      <c r="BE12" s="144" t="str">
        <f>IF(COUNTA(AX36:BH45)=0,"",INDEX(AY62:BH62,1,11-MATCH(BE11,AY11:BH11,0)))</f>
        <v/>
      </c>
      <c r="BF12" s="144" t="str">
        <f>IF(COUNTA(AX36:BH45)=0,"",INDEX(AY62:BH62,1,11-MATCH(BF11,AY11:BH11,0)))</f>
        <v/>
      </c>
      <c r="BG12" s="144" t="str">
        <f>IF(COUNTA(AX36:BH45)=0,"",INDEX(AY62:BH62,1,11-MATCH(BG11,AY11:BH11,0)))</f>
        <v/>
      </c>
      <c r="BH12" s="144" t="str">
        <f>IF(COUNTA(AX36:BH45)=0,"",INDEX(AY62:BH62,1,11-MATCH(BH11,AY11:BH11,0)))</f>
        <v/>
      </c>
      <c r="BI12" s="289" t="s">
        <v>204</v>
      </c>
      <c r="BJ12" s="142"/>
      <c r="BK12" s="144" t="str">
        <f>IF(COUNTA(BJ36:BT45)=0,"",INDEX(BK62:BT62,1,11-MATCH(BK11,BK11:BT11,0)))</f>
        <v/>
      </c>
      <c r="BL12" s="144" t="str">
        <f>IF(COUNTA(BJ36:BT45)=0,"",INDEX(BK62:BT62,1,11-MATCH(BL11,BK11:BT11,0)))</f>
        <v/>
      </c>
      <c r="BM12" s="144" t="str">
        <f>IF(COUNTA(BJ36:BT45)=0,"",INDEX(BK62:BT62,1,11-MATCH(BM11,BK11:BT11,0)))</f>
        <v/>
      </c>
      <c r="BN12" s="144" t="str">
        <f>IF(COUNTA(BJ36:BT45)=0,"",INDEX(BK62:BT62,1,11-MATCH(BN11,BK11:BT11,0)))</f>
        <v/>
      </c>
      <c r="BO12" s="144" t="str">
        <f>IF(COUNTA(BJ36:BT45)=0,"",INDEX(BK62:BT62,1,11-MATCH(BO11,BK11:BT11,0)))</f>
        <v/>
      </c>
      <c r="BP12" s="144" t="str">
        <f>IF(COUNTA(BJ36:BT45)=0,"",INDEX(BK62:BT62,1,11-MATCH(BP11,BK11:BT11,0)))</f>
        <v/>
      </c>
      <c r="BQ12" s="144" t="str">
        <f>IF(COUNTA(BJ36:BT45)=0,"",INDEX(BK62:BT62,1,11-MATCH(BQ11,BK11:BT11,0)))</f>
        <v/>
      </c>
      <c r="BR12" s="144" t="str">
        <f>IF(COUNTA(BJ36:BT45)=0,"",INDEX(BK62:BT62,1,11-MATCH(BR11,BK11:BT11,0)))</f>
        <v/>
      </c>
      <c r="BS12" s="144" t="str">
        <f>IF(COUNTA(BJ36:BT45)=0,"",INDEX(BK62:BT62,1,11-MATCH(BS11,BK11:BT11,0)))</f>
        <v/>
      </c>
      <c r="BT12" s="144" t="str">
        <f>IF(COUNTA(BJ36:BT45)=0,"",INDEX(BK62:BT62,1,11-MATCH(BT11,BK11:BT11,0)))</f>
        <v/>
      </c>
      <c r="BU12" s="289" t="s">
        <v>204</v>
      </c>
      <c r="BV12" s="142"/>
      <c r="BW12" s="144" t="str">
        <f>IF(COUNTA(BV36:CF45)=0,"",INDEX(BW62:CF62,1,11-MATCH(BW11,BW11:CF11,0)))</f>
        <v/>
      </c>
      <c r="BX12" s="144" t="str">
        <f>IF(COUNTA(BV36:CF45)=0,"",INDEX(BW62:CF62,1,11-MATCH(BX11,BW11:CF11,0)))</f>
        <v/>
      </c>
      <c r="BY12" s="144" t="str">
        <f>IF(COUNTA(BV36:CF45)=0,"",INDEX(BW62:CF62,1,11-MATCH(BY11,BW11:CF11,0)))</f>
        <v/>
      </c>
      <c r="BZ12" s="144" t="str">
        <f>IF(COUNTA(BV36:CF45)=0,"",INDEX(BW62:CF62,1,11-MATCH(BZ11,BW11:CF11,0)))</f>
        <v/>
      </c>
      <c r="CA12" s="144" t="str">
        <f>IF(COUNTA(BV36:CF45)=0,"",INDEX(BW62:CF62,1,11-MATCH(CA11,BW11:CF11,0)))</f>
        <v/>
      </c>
      <c r="CB12" s="144" t="str">
        <f>IF(COUNTA(BV36:CF45)=0,"",INDEX(BW62:CF62,1,11-MATCH(CB11,BW11:CF11,0)))</f>
        <v/>
      </c>
      <c r="CC12" s="144" t="str">
        <f>IF(COUNTA(BV36:CF45)=0,"",INDEX(BW62:CF62,1,11-MATCH(CC11,BW11:CF11,0)))</f>
        <v/>
      </c>
      <c r="CD12" s="144" t="str">
        <f>IF(COUNTA(BV36:CF45)=0,"",INDEX(BW62:CF62,1,11-MATCH(CD11,BW11:CF11,0)))</f>
        <v/>
      </c>
      <c r="CE12" s="144" t="str">
        <f>IF(COUNTA(BV36:CF45)=0,"",INDEX(BW62:CF62,1,11-MATCH(CE11,BW11:CF11,0)))</f>
        <v/>
      </c>
      <c r="CF12" s="144" t="str">
        <f>IF(COUNTA(BV36:CF45)=0,"",INDEX(BW62:CF62,1,11-MATCH(CF11,BW11:CF11,0)))</f>
        <v/>
      </c>
      <c r="CG12" s="289" t="s">
        <v>204</v>
      </c>
      <c r="CH12" s="142"/>
      <c r="CI12" s="144" t="str">
        <f>IF(COUNTA(CH36:CR45)=0,"",INDEX(CI62:CR62,1,11-MATCH(CI11,CI11:CR11,0)))</f>
        <v/>
      </c>
      <c r="CJ12" s="144" t="str">
        <f>IF(COUNTA(CH36:CR45)=0,"",INDEX(CI62:CR62,1,11-MATCH(CJ11,CI11:CR11,0)))</f>
        <v/>
      </c>
      <c r="CK12" s="144" t="str">
        <f>IF(COUNTA(CH36:CR45)=0,"",INDEX(CI62:CR62,1,11-MATCH(CK11,CI11:CR11,0)))</f>
        <v/>
      </c>
      <c r="CL12" s="144" t="str">
        <f>IF(COUNTA(CH36:CR45)=0,"",INDEX(CI62:CR62,1,11-MATCH(CL11,CI11:CR11,0)))</f>
        <v/>
      </c>
      <c r="CM12" s="144" t="str">
        <f>IF(COUNTA(CH36:CR45)=0,"",INDEX(CI62:CR62,1,11-MATCH(CM11,CI11:CR11,0)))</f>
        <v/>
      </c>
      <c r="CN12" s="144" t="str">
        <f>IF(COUNTA(CH36:CR45)=0,"",INDEX(CI62:CR62,1,11-MATCH(CN11,CI11:CR11,0)))</f>
        <v/>
      </c>
      <c r="CO12" s="144" t="str">
        <f>IF(COUNTA(CH36:CR45)=0,"",INDEX(CI62:CR62,1,11-MATCH(CO11,CI11:CR11,0)))</f>
        <v/>
      </c>
      <c r="CP12" s="144" t="str">
        <f>IF(COUNTA(CH36:CR45)=0,"",INDEX(CI62:CR62,1,11-MATCH(CP11,CI11:CR11,0)))</f>
        <v/>
      </c>
      <c r="CQ12" s="144" t="str">
        <f>IF(COUNTA(CH36:CR45)=0,"",INDEX(CI62:CR62,1,11-MATCH(CQ11,CI11:CR11,0)))</f>
        <v/>
      </c>
      <c r="CR12" s="144" t="str">
        <f>IF(COUNTA(CH36:CR45)=0,"",INDEX(CI62:CR62,1,11-MATCH(CR11,CI11:CR11,0)))</f>
        <v/>
      </c>
      <c r="CS12" s="289" t="s">
        <v>204</v>
      </c>
      <c r="CT12" s="142"/>
      <c r="CU12" s="144" t="str">
        <f>IF(COUNTA(CT36:DD45)=0,"",INDEX(CU62:DD62,1,11-MATCH(CU11,CU11:DD11,0)))</f>
        <v/>
      </c>
      <c r="CV12" s="144" t="str">
        <f>IF(COUNTA(CT36:DD45)=0,"",INDEX(CU62:DD62,1,11-MATCH(CV11,CU11:DD11,0)))</f>
        <v/>
      </c>
      <c r="CW12" s="144" t="str">
        <f>IF(COUNTA(CT36:DD45)=0,"",INDEX(CU62:DD62,1,11-MATCH(CW11,CU11:DD11,0)))</f>
        <v/>
      </c>
      <c r="CX12" s="144" t="str">
        <f>IF(COUNTA(CT36:DD45)=0,"",INDEX(CU62:DD62,1,11-MATCH(CX11,CU11:DD11,0)))</f>
        <v/>
      </c>
      <c r="CY12" s="144" t="str">
        <f>IF(COUNTA(CT36:DD45)=0,"",INDEX(CU62:DD62,1,11-MATCH(CY11,CU11:DD11,0)))</f>
        <v/>
      </c>
      <c r="CZ12" s="144" t="str">
        <f>IF(COUNTA(CT36:DD45)=0,"",INDEX(CU62:DD62,1,11-MATCH(CZ11,CU11:DD11,0)))</f>
        <v/>
      </c>
      <c r="DA12" s="144" t="str">
        <f>IF(COUNTA(CT36:DD45)=0,"",INDEX(CU62:DD62,1,11-MATCH(DA11,CU11:DD11,0)))</f>
        <v/>
      </c>
      <c r="DB12" s="144" t="str">
        <f>IF(COUNTA(CT36:DD45)=0,"",INDEX(CU62:DD62,1,11-MATCH(DB11,CU11:DD11,0)))</f>
        <v/>
      </c>
      <c r="DC12" s="144" t="str">
        <f>IF(COUNTA(CT36:DD45)=0,"",INDEX(CU62:DD62,1,11-MATCH(DC11,CU11:DD11,0)))</f>
        <v/>
      </c>
      <c r="DD12" s="144" t="str">
        <f>IF(COUNTA(CT36:DD45)=0,"",INDEX(CU62:DD62,1,11-MATCH(DD11,CU11:DD11,0)))</f>
        <v/>
      </c>
      <c r="DE12" s="289" t="s">
        <v>204</v>
      </c>
      <c r="DF12" s="142"/>
      <c r="DG12" s="144" t="str">
        <f>IF(COUNTA(DF36:DP45)=0,"",INDEX(DG62:DP62,1,11-MATCH(DG11,DG11:DP11,0)))</f>
        <v/>
      </c>
      <c r="DH12" s="144" t="str">
        <f>IF(COUNTA(DF36:DP45)=0,"",INDEX(DG62:DP62,1,11-MATCH(DH11,DG11:DP11,0)))</f>
        <v/>
      </c>
      <c r="DI12" s="144" t="str">
        <f>IF(COUNTA(DF36:DP45)=0,"",INDEX(DG62:DP62,1,11-MATCH(DI11,DG11:DP11,0)))</f>
        <v/>
      </c>
      <c r="DJ12" s="144" t="str">
        <f>IF(COUNTA(DF36:DP45)=0,"",INDEX(DG62:DP62,1,11-MATCH(DJ11,DG11:DP11,0)))</f>
        <v/>
      </c>
      <c r="DK12" s="144" t="str">
        <f>IF(COUNTA(DF36:DP45)=0,"",INDEX(DG62:DP62,1,11-MATCH(DK11,DG11:DP11,0)))</f>
        <v/>
      </c>
      <c r="DL12" s="144" t="str">
        <f>IF(COUNTA(DF36:DP45)=0,"",INDEX(DG62:DP62,1,11-MATCH(DL11,DG11:DP11,0)))</f>
        <v/>
      </c>
      <c r="DM12" s="144" t="str">
        <f>IF(COUNTA(DF36:DP45)=0,"",INDEX(DG62:DP62,1,11-MATCH(DM11,DG11:DP11,0)))</f>
        <v/>
      </c>
      <c r="DN12" s="144" t="str">
        <f>IF(COUNTA(DF36:DP45)=0,"",INDEX(DG62:DP62,1,11-MATCH(DN11,DG11:DP11,0)))</f>
        <v/>
      </c>
      <c r="DO12" s="144" t="str">
        <f>IF(COUNTA(DF36:DP45)=0,"",INDEX(DG62:DP62,1,11-MATCH(DO11,DG11:DP11,0)))</f>
        <v/>
      </c>
      <c r="DP12" s="144" t="str">
        <f>IF(COUNTA(DF36:DP45)=0,"",INDEX(DG62:DP62,1,11-MATCH(DP11,DG11:DP11,0)))</f>
        <v/>
      </c>
    </row>
    <row r="13" spans="1:120" ht="15" customHeight="1" x14ac:dyDescent="0.25">
      <c r="A13" s="287" t="s">
        <v>202</v>
      </c>
      <c r="B13" s="142"/>
      <c r="C13" s="144">
        <f>IF(COUNTA(B71:L80)=0,"",INDEX(C97:L97,1,11-MATCH(C11,C11:L11,0)))</f>
        <v>71490670.010000005</v>
      </c>
      <c r="D13" s="144">
        <f>IF(COUNTA(B71:L80)=0,"",INDEX(C97:L97,1,11-MATCH(D11,C11:L11,0)))</f>
        <v>72006575.729514524</v>
      </c>
      <c r="E13" s="144">
        <f>IF(COUNTA(B71:L80)=0,"",INDEX(C97:L97,1,11-MATCH(E11,C11:L11,0)))</f>
        <v>79921273.778593704</v>
      </c>
      <c r="F13" s="144">
        <f>IF(COUNTA(B71:L80)=0,"",INDEX(C97:L97,1,11-MATCH(F11,C11:L11,0)))</f>
        <v>84131828.144371435</v>
      </c>
      <c r="G13" s="144">
        <f>IF(COUNTA(B71:L80)=0,"",INDEX(C97:L97,1,11-MATCH(G11,C11:L11,0)))</f>
        <v>97126036.795688435</v>
      </c>
      <c r="H13" s="144">
        <f>IF(COUNTA(B71:L80)=0,"",INDEX(C97:L97,1,11-MATCH(H11,C11:L11,0)))</f>
        <v>74222237.296960652</v>
      </c>
      <c r="I13" s="144">
        <f>IF(COUNTA(B71:L80)=0,"",INDEX(C97:L97,1,11-MATCH(I11,C11:L11,0)))</f>
        <v>89545201.756408915</v>
      </c>
      <c r="J13" s="144">
        <f>IF(COUNTA(B71:L80)=0,"",INDEX(C97:L97,1,11-MATCH(J11,C11:L11,0)))</f>
        <v>84871873.329777747</v>
      </c>
      <c r="K13" s="144">
        <f>IF(COUNTA(B71:L80)=0,"",INDEX(C97:L97,1,11-MATCH(K11,C11:L11,0)))</f>
        <v>89623257.543083966</v>
      </c>
      <c r="L13" s="144">
        <f>IF(COUNTA(B71:L80)=0,"",INDEX(C97:L97,1,11-MATCH(L11,C11:L11,0)))</f>
        <v>105122111.33978815</v>
      </c>
      <c r="M13" s="289" t="s">
        <v>202</v>
      </c>
      <c r="N13" s="142"/>
      <c r="O13" s="144" t="str">
        <f>IF(COUNTA(N71:X80)=0,"",INDEX(O97:X97,1,11-MATCH(O11,O11:X11,0)))</f>
        <v/>
      </c>
      <c r="P13" s="144" t="str">
        <f>IF(COUNTA(N71:X80)=0,"",INDEX(O97:X97,1,11-MATCH(P11,O11:X11,0)))</f>
        <v/>
      </c>
      <c r="Q13" s="144" t="str">
        <f>IF(COUNTA(N71:X80)=0,"",INDEX(O97:X97,1,11-MATCH(Q11,O11:X11,0)))</f>
        <v/>
      </c>
      <c r="R13" s="144" t="str">
        <f>IF(COUNTA(N71:X80)=0,"",INDEX(O97:X97,1,11-MATCH(R11,O11:X11,0)))</f>
        <v/>
      </c>
      <c r="S13" s="144" t="str">
        <f>IF(COUNTA(N71:X80)=0,"",INDEX(O97:X97,1,11-MATCH(S11,O11:X11,0)))</f>
        <v/>
      </c>
      <c r="T13" s="144" t="str">
        <f>IF(COUNTA(N71:X80)=0,"",INDEX(O97:X97,1,11-MATCH(T11,O11:X11,0)))</f>
        <v/>
      </c>
      <c r="U13" s="144" t="str">
        <f>IF(COUNTA(N71:X80)=0,"",INDEX(O97:X97,1,11-MATCH(U11,O11:X11,0)))</f>
        <v/>
      </c>
      <c r="V13" s="144" t="str">
        <f>IF(COUNTA(N71:X80)=0,"",INDEX(O97:X97,1,11-MATCH(V11,O11:X11,0)))</f>
        <v/>
      </c>
      <c r="W13" s="144" t="str">
        <f>IF(COUNTA(N71:X80)=0,"",INDEX(O97:X97,1,11-MATCH(W11,O11:X11,0)))</f>
        <v/>
      </c>
      <c r="X13" s="144" t="str">
        <f>IF(COUNTA(N71:X80)=0,"",INDEX(O97:X97,1,11-MATCH(X11,O11:X11,0)))</f>
        <v/>
      </c>
      <c r="Y13" s="289" t="s">
        <v>202</v>
      </c>
      <c r="Z13" s="142"/>
      <c r="AA13" s="144" t="str">
        <f>IF(COUNTA(Z71:AJ80)=0,"",INDEX(AA97:AJ97,1,11-MATCH(AA11,AA11:AJ11,0)))</f>
        <v/>
      </c>
      <c r="AB13" s="144" t="str">
        <f>IF(COUNTA(Z71:AJ80)=0,"",INDEX(AA97:AJ97,1,11-MATCH(AB11,AA11:AJ11,0)))</f>
        <v/>
      </c>
      <c r="AC13" s="144" t="str">
        <f>IF(COUNTA(Z71:AJ80)=0,"",INDEX(AA97:AJ97,1,11-MATCH(AC11,AA11:AJ11,0)))</f>
        <v/>
      </c>
      <c r="AD13" s="144" t="str">
        <f>IF(COUNTA(Z71:AJ80)=0,"",INDEX(AA97:AJ97,1,11-MATCH(AD11,AA11:AJ11,0)))</f>
        <v/>
      </c>
      <c r="AE13" s="144" t="str">
        <f>IF(COUNTA(Z71:AJ80)=0,"",INDEX(AA97:AJ97,1,11-MATCH(AE11,AA11:AJ11,0)))</f>
        <v/>
      </c>
      <c r="AF13" s="144" t="str">
        <f>IF(COUNTA(Z71:AJ80)=0,"",INDEX(AA97:AJ97,1,11-MATCH(AF11,AA11:AJ11,0)))</f>
        <v/>
      </c>
      <c r="AG13" s="144" t="str">
        <f>IF(COUNTA(Z71:AJ80)=0,"",INDEX(AA97:AJ97,1,11-MATCH(AG11,AA11:AJ11,0)))</f>
        <v/>
      </c>
      <c r="AH13" s="144" t="str">
        <f>IF(COUNTA(Z71:AJ80)=0,"",INDEX(AA97:AJ97,1,11-MATCH(AH11,AA11:AJ11,0)))</f>
        <v/>
      </c>
      <c r="AI13" s="144" t="str">
        <f>IF(COUNTA(Z71:AJ80)=0,"",INDEX(AA97:AJ97,1,11-MATCH(AI11,AA11:AJ11,0)))</f>
        <v/>
      </c>
      <c r="AJ13" s="144" t="str">
        <f>IF(COUNTA(Z71:AJ80)=0,"",INDEX(AA97:AJ97,1,11-MATCH(AJ11,AA11:AJ11,0)))</f>
        <v/>
      </c>
      <c r="AK13" s="289" t="s">
        <v>202</v>
      </c>
      <c r="AL13" s="142"/>
      <c r="AM13" s="144" t="str">
        <f>IF(COUNTA(AL71:AV80)=0,"",INDEX(AM97:AV97,1,11-MATCH(AM11,AM11:AV11,0)))</f>
        <v/>
      </c>
      <c r="AN13" s="144" t="str">
        <f>IF(COUNTA(AL71:AV80)=0,"",INDEX(AM97:AV97,1,11-MATCH(AN11,AM11:AV11,0)))</f>
        <v/>
      </c>
      <c r="AO13" s="144" t="str">
        <f>IF(COUNTA(AL71:AV80)=0,"",INDEX(AM97:AV97,1,11-MATCH(AO11,AM11:AV11,0)))</f>
        <v/>
      </c>
      <c r="AP13" s="144" t="str">
        <f>IF(COUNTA(AL71:AV80)=0,"",INDEX(AM97:AV97,1,11-MATCH(AP11,AM11:AV11,0)))</f>
        <v/>
      </c>
      <c r="AQ13" s="144" t="str">
        <f>IF(COUNTA(AL71:AV80)=0,"",INDEX(AM97:AV97,1,11-MATCH(AQ11,AM11:AV11,0)))</f>
        <v/>
      </c>
      <c r="AR13" s="144" t="str">
        <f>IF(COUNTA(AL71:AV80)=0,"",INDEX(AM97:AV97,1,11-MATCH(AR11,AM11:AV11,0)))</f>
        <v/>
      </c>
      <c r="AS13" s="144" t="str">
        <f>IF(COUNTA(AL71:AV80)=0,"",INDEX(AM97:AV97,1,11-MATCH(AS11,AM11:AV11,0)))</f>
        <v/>
      </c>
      <c r="AT13" s="144" t="str">
        <f>IF(COUNTA(AL71:AV80)=0,"",INDEX(AM97:AV97,1,11-MATCH(AT11,AM11:AV11,0)))</f>
        <v/>
      </c>
      <c r="AU13" s="144" t="str">
        <f>IF(COUNTA(AL71:AV80)=0,"",INDEX(AM97:AV97,1,11-MATCH(AU11,AM11:AV11,0)))</f>
        <v/>
      </c>
      <c r="AV13" s="144" t="str">
        <f>IF(COUNTA(AL71:AV80)=0,"",INDEX(AM97:AV97,1,11-MATCH(AV11,AM11:AV11,0)))</f>
        <v/>
      </c>
      <c r="AW13" s="289" t="s">
        <v>202</v>
      </c>
      <c r="AX13" s="142"/>
      <c r="AY13" s="144" t="str">
        <f>IF(COUNTA(AX71:BH80)=0,"",INDEX(AY97:BH97,1,11-MATCH(AY11,AY11:BH11,0)))</f>
        <v/>
      </c>
      <c r="AZ13" s="144" t="str">
        <f>IF(COUNTA(AX71:BH80)=0,"",INDEX(AY97:BH97,1,11-MATCH(AZ11,AY11:BH11,0)))</f>
        <v/>
      </c>
      <c r="BA13" s="144" t="str">
        <f>IF(COUNTA(AX71:BH80)=0,"",INDEX(AY97:BH97,1,11-MATCH(BA11,AY11:BH11,0)))</f>
        <v/>
      </c>
      <c r="BB13" s="144" t="str">
        <f>IF(COUNTA(AX71:BH80)=0,"",INDEX(AY97:BH97,1,11-MATCH(BB11,AY11:BH11,0)))</f>
        <v/>
      </c>
      <c r="BC13" s="144" t="str">
        <f>IF(COUNTA(AX71:BH80)=0,"",INDEX(AY97:BH97,1,11-MATCH(BC11,AY11:BH11,0)))</f>
        <v/>
      </c>
      <c r="BD13" s="144" t="str">
        <f>IF(COUNTA(AX71:BH80)=0,"",INDEX(AY97:BH97,1,11-MATCH(BD11,AY11:BH11,0)))</f>
        <v/>
      </c>
      <c r="BE13" s="144" t="str">
        <f>IF(COUNTA(AX71:BH80)=0,"",INDEX(AY97:BH97,1,11-MATCH(BE11,AY11:BH11,0)))</f>
        <v/>
      </c>
      <c r="BF13" s="144" t="str">
        <f>IF(COUNTA(AX71:BH80)=0,"",INDEX(AY97:BH97,1,11-MATCH(BF11,AY11:BH11,0)))</f>
        <v/>
      </c>
      <c r="BG13" s="144" t="str">
        <f>IF(COUNTA(AX71:BH80)=0,"",INDEX(AY97:BH97,1,11-MATCH(BG11,AY11:BH11,0)))</f>
        <v/>
      </c>
      <c r="BH13" s="144" t="str">
        <f>IF(COUNTA(AX71:BH80)=0,"",INDEX(AY97:BH97,1,11-MATCH(BH11,AY11:BH11,0)))</f>
        <v/>
      </c>
      <c r="BI13" s="289" t="s">
        <v>202</v>
      </c>
      <c r="BJ13" s="142"/>
      <c r="BK13" s="144" t="str">
        <f>IF(COUNTA(BJ71:BT80)=0,"",INDEX(BK97:BT97,1,11-MATCH(BK11,BK11:BT11,0)))</f>
        <v/>
      </c>
      <c r="BL13" s="144" t="str">
        <f>IF(COUNTA(BJ71:BT80)=0,"",INDEX(BK97:BT97,1,11-MATCH(BL11,BK11:BT11,0)))</f>
        <v/>
      </c>
      <c r="BM13" s="144" t="str">
        <f>IF(COUNTA(BJ71:BT80)=0,"",INDEX(BK97:BT97,1,11-MATCH(BM11,BK11:BT11,0)))</f>
        <v/>
      </c>
      <c r="BN13" s="144" t="str">
        <f>IF(COUNTA(BJ71:BT80)=0,"",INDEX(BK97:BT97,1,11-MATCH(BN11,BK11:BT11,0)))</f>
        <v/>
      </c>
      <c r="BO13" s="144" t="str">
        <f>IF(COUNTA(BJ71:BT80)=0,"",INDEX(BK97:BT97,1,11-MATCH(BO11,BK11:BT11,0)))</f>
        <v/>
      </c>
      <c r="BP13" s="144" t="str">
        <f>IF(COUNTA(BJ71:BT80)=0,"",INDEX(BK97:BT97,1,11-MATCH(BP11,BK11:BT11,0)))</f>
        <v/>
      </c>
      <c r="BQ13" s="144" t="str">
        <f>IF(COUNTA(BJ71:BT80)=0,"",INDEX(BK97:BT97,1,11-MATCH(BQ11,BK11:BT11,0)))</f>
        <v/>
      </c>
      <c r="BR13" s="144" t="str">
        <f>IF(COUNTA(BJ71:BT80)=0,"",INDEX(BK97:BT97,1,11-MATCH(BR11,BK11:BT11,0)))</f>
        <v/>
      </c>
      <c r="BS13" s="144" t="str">
        <f>IF(COUNTA(BJ71:BT80)=0,"",INDEX(BK97:BT97,1,11-MATCH(BS11,BK11:BT11,0)))</f>
        <v/>
      </c>
      <c r="BT13" s="144" t="str">
        <f>IF(COUNTA(BJ71:BT80)=0,"",INDEX(BK97:BT97,1,11-MATCH(BT11,BK11:BT11,0)))</f>
        <v/>
      </c>
      <c r="BU13" s="289" t="s">
        <v>202</v>
      </c>
      <c r="BV13" s="142"/>
      <c r="BW13" s="144" t="str">
        <f>IF(COUNTA(BV71:CF80)=0,"",INDEX(BW97:CF97,1,11-MATCH(BW11,BW11:CF11,0)))</f>
        <v/>
      </c>
      <c r="BX13" s="144" t="str">
        <f>IF(COUNTA(BV71:CF80)=0,"",INDEX(BW97:CF97,1,11-MATCH(BX11,BW11:CF11,0)))</f>
        <v/>
      </c>
      <c r="BY13" s="144" t="str">
        <f>IF(COUNTA(BV71:CF80)=0,"",INDEX(BW97:CF97,1,11-MATCH(BY11,BW11:CF11,0)))</f>
        <v/>
      </c>
      <c r="BZ13" s="144" t="str">
        <f>IF(COUNTA(BV71:CF80)=0,"",INDEX(BW97:CF97,1,11-MATCH(BZ11,BW11:CF11,0)))</f>
        <v/>
      </c>
      <c r="CA13" s="144" t="str">
        <f>IF(COUNTA(BV71:CF80)=0,"",INDEX(BW97:CF97,1,11-MATCH(CA11,BW11:CF11,0)))</f>
        <v/>
      </c>
      <c r="CB13" s="144" t="str">
        <f>IF(COUNTA(BV71:CF80)=0,"",INDEX(BW97:CF97,1,11-MATCH(CB11,BW11:CF11,0)))</f>
        <v/>
      </c>
      <c r="CC13" s="144" t="str">
        <f>IF(COUNTA(BV71:CF80)=0,"",INDEX(BW97:CF97,1,11-MATCH(CC11,BW11:CF11,0)))</f>
        <v/>
      </c>
      <c r="CD13" s="144" t="str">
        <f>IF(COUNTA(BV71:CF80)=0,"",INDEX(BW97:CF97,1,11-MATCH(CD11,BW11:CF11,0)))</f>
        <v/>
      </c>
      <c r="CE13" s="144" t="str">
        <f>IF(COUNTA(BV71:CF80)=0,"",INDEX(BW97:CF97,1,11-MATCH(CE11,BW11:CF11,0)))</f>
        <v/>
      </c>
      <c r="CF13" s="144" t="str">
        <f>IF(COUNTA(BV71:CF80)=0,"",INDEX(BW97:CF97,1,11-MATCH(CF11,BW11:CF11,0)))</f>
        <v/>
      </c>
      <c r="CG13" s="289" t="s">
        <v>202</v>
      </c>
      <c r="CH13" s="142"/>
      <c r="CI13" s="144" t="str">
        <f>IF(COUNTA(CH71:CR80)=0,"",INDEX(CI97:CR97,1,11-MATCH(CI11,CI11:CR11,0)))</f>
        <v/>
      </c>
      <c r="CJ13" s="144" t="str">
        <f>IF(COUNTA(CH71:CR80)=0,"",INDEX(CI97:CR97,1,11-MATCH(CJ11,CI11:CR11,0)))</f>
        <v/>
      </c>
      <c r="CK13" s="144" t="str">
        <f>IF(COUNTA(CH71:CR80)=0,"",INDEX(CI97:CR97,1,11-MATCH(CK11,CI11:CR11,0)))</f>
        <v/>
      </c>
      <c r="CL13" s="144" t="str">
        <f>IF(COUNTA(CH71:CR80)=0,"",INDEX(CI97:CR97,1,11-MATCH(CL11,CI11:CR11,0)))</f>
        <v/>
      </c>
      <c r="CM13" s="144" t="str">
        <f>IF(COUNTA(CH71:CR80)=0,"",INDEX(CI97:CR97,1,11-MATCH(CM11,CI11:CR11,0)))</f>
        <v/>
      </c>
      <c r="CN13" s="144" t="str">
        <f>IF(COUNTA(CH71:CR80)=0,"",INDEX(CI97:CR97,1,11-MATCH(CN11,CI11:CR11,0)))</f>
        <v/>
      </c>
      <c r="CO13" s="144" t="str">
        <f>IF(COUNTA(CH71:CR80)=0,"",INDEX(CI97:CR97,1,11-MATCH(CO11,CI11:CR11,0)))</f>
        <v/>
      </c>
      <c r="CP13" s="144" t="str">
        <f>IF(COUNTA(CH71:CR80)=0,"",INDEX(CI97:CR97,1,11-MATCH(CP11,CI11:CR11,0)))</f>
        <v/>
      </c>
      <c r="CQ13" s="144" t="str">
        <f>IF(COUNTA(CH71:CR80)=0,"",INDEX(CI97:CR97,1,11-MATCH(CQ11,CI11:CR11,0)))</f>
        <v/>
      </c>
      <c r="CR13" s="144" t="str">
        <f>IF(COUNTA(CH71:CR80)=0,"",INDEX(CI97:CR97,1,11-MATCH(CR11,CI11:CR11,0)))</f>
        <v/>
      </c>
      <c r="CS13" s="289" t="s">
        <v>202</v>
      </c>
      <c r="CT13" s="142"/>
      <c r="CU13" s="144" t="str">
        <f>IF(COUNTA(CT71:DD80)=0,"",INDEX(CU97:DD97,1,11-MATCH(CU11,CU11:DD11,0)))</f>
        <v/>
      </c>
      <c r="CV13" s="144" t="str">
        <f>IF(COUNTA(CT71:DD80)=0,"",INDEX(CU97:DD97,1,11-MATCH(CV11,CU11:DD11,0)))</f>
        <v/>
      </c>
      <c r="CW13" s="144" t="str">
        <f>IF(COUNTA(CT71:DD80)=0,"",INDEX(CU97:DD97,1,11-MATCH(CW11,CU11:DD11,0)))</f>
        <v/>
      </c>
      <c r="CX13" s="144" t="str">
        <f>IF(COUNTA(CT71:DD80)=0,"",INDEX(CU97:DD97,1,11-MATCH(CX11,CU11:DD11,0)))</f>
        <v/>
      </c>
      <c r="CY13" s="144" t="str">
        <f>IF(COUNTA(CT71:DD80)=0,"",INDEX(CU97:DD97,1,11-MATCH(CY11,CU11:DD11,0)))</f>
        <v/>
      </c>
      <c r="CZ13" s="144" t="str">
        <f>IF(COUNTA(CT71:DD80)=0,"",INDEX(CU97:DD97,1,11-MATCH(CZ11,CU11:DD11,0)))</f>
        <v/>
      </c>
      <c r="DA13" s="144" t="str">
        <f>IF(COUNTA(CT71:DD80)=0,"",INDEX(CU97:DD97,1,11-MATCH(DA11,CU11:DD11,0)))</f>
        <v/>
      </c>
      <c r="DB13" s="144" t="str">
        <f>IF(COUNTA(CT71:DD80)=0,"",INDEX(CU97:DD97,1,11-MATCH(DB11,CU11:DD11,0)))</f>
        <v/>
      </c>
      <c r="DC13" s="144" t="str">
        <f>IF(COUNTA(CT71:DD80)=0,"",INDEX(CU97:DD97,1,11-MATCH(DC11,CU11:DD11,0)))</f>
        <v/>
      </c>
      <c r="DD13" s="144" t="str">
        <f>IF(COUNTA(CT71:DD80)=0,"",INDEX(CU97:DD97,1,11-MATCH(DD11,CU11:DD11,0)))</f>
        <v/>
      </c>
      <c r="DE13" s="289" t="s">
        <v>202</v>
      </c>
      <c r="DF13" s="142"/>
      <c r="DG13" s="144" t="str">
        <f>IF(COUNTA(DF71:DP80)=0,"",INDEX(DG97:DP97,1,11-MATCH(DG11,DG11:DP11,0)))</f>
        <v/>
      </c>
      <c r="DH13" s="144" t="str">
        <f>IF(COUNTA(DF71:DP80)=0,"",INDEX(DG97:DP97,1,11-MATCH(DH11,DG11:DP11,0)))</f>
        <v/>
      </c>
      <c r="DI13" s="144" t="str">
        <f>IF(COUNTA(DF71:DP80)=0,"",INDEX(DG97:DP97,1,11-MATCH(DI11,DG11:DP11,0)))</f>
        <v/>
      </c>
      <c r="DJ13" s="144" t="str">
        <f>IF(COUNTA(DF71:DP80)=0,"",INDEX(DG97:DP97,1,11-MATCH(DJ11,DG11:DP11,0)))</f>
        <v/>
      </c>
      <c r="DK13" s="144" t="str">
        <f>IF(COUNTA(DF71:DP80)=0,"",INDEX(DG97:DP97,1,11-MATCH(DK11,DG11:DP11,0)))</f>
        <v/>
      </c>
      <c r="DL13" s="144" t="str">
        <f>IF(COUNTA(DF71:DP80)=0,"",INDEX(DG97:DP97,1,11-MATCH(DL11,DG11:DP11,0)))</f>
        <v/>
      </c>
      <c r="DM13" s="144" t="str">
        <f>IF(COUNTA(DF71:DP80)=0,"",INDEX(DG97:DP97,1,11-MATCH(DM11,DG11:DP11,0)))</f>
        <v/>
      </c>
      <c r="DN13" s="144" t="str">
        <f>IF(COUNTA(DF71:DP80)=0,"",INDEX(DG97:DP97,1,11-MATCH(DN11,DG11:DP11,0)))</f>
        <v/>
      </c>
      <c r="DO13" s="144" t="str">
        <f>IF(COUNTA(DF71:DP80)=0,"",INDEX(DG97:DP97,1,11-MATCH(DO11,DG11:DP11,0)))</f>
        <v/>
      </c>
      <c r="DP13" s="144" t="str">
        <f>IF(COUNTA(DF71:DP80)=0,"",INDEX(DG97:DP97,1,11-MATCH(DP11,DG11:DP11,0)))</f>
        <v/>
      </c>
    </row>
    <row r="14" spans="1:120" ht="15" customHeight="1" x14ac:dyDescent="0.25">
      <c r="A14" s="287" t="s">
        <v>205</v>
      </c>
      <c r="B14" s="142"/>
      <c r="C14" s="144">
        <f>IF(COUNTA(B179:L188)=0,"",INDEX(C205:L205,1,11-MATCH(C11,C11:L11,0)))</f>
        <v>79707563.210000008</v>
      </c>
      <c r="D14" s="144">
        <f>IF(COUNTA(B179:L188)=0,"",INDEX(C205:L205,1,11-MATCH(D11,C11:L11,0)))</f>
        <v>81610957.366070017</v>
      </c>
      <c r="E14" s="144">
        <f>IF(COUNTA(B179:L188)=0,"",INDEX(C205:L205,1,11-MATCH(E11,C11:L11,0)))</f>
        <v>91855888.098223269</v>
      </c>
      <c r="F14" s="144">
        <f>IF(COUNTA(B179:L188)=0,"",INDEX(C205:L205,1,11-MATCH(F11,C11:L11,0)))</f>
        <v>93374064.230353624</v>
      </c>
      <c r="G14" s="144">
        <f>IF(COUNTA(B179:L188)=0,"",INDEX(C205:L205,1,11-MATCH(G11,C11:L11,0)))</f>
        <v>109022070.62051119</v>
      </c>
      <c r="H14" s="144">
        <f>IF(COUNTA(B179:L188)=0,"",INDEX(C205:L205,1,11-MATCH(H11,C11:L11,0)))</f>
        <v>84334137.875767395</v>
      </c>
      <c r="I14" s="144">
        <f>IF(COUNTA(B179:L188)=0,"",INDEX(C205:L205,1,11-MATCH(I11,C11:L11,0)))</f>
        <v>101351530.7556181</v>
      </c>
      <c r="J14" s="144">
        <f>IF(COUNTA(B179:L188)=0,"",INDEX(C205:L205,1,11-MATCH(J11,C11:L11,0)))</f>
        <v>97284289.397230968</v>
      </c>
      <c r="K14" s="144">
        <f>IF(COUNTA(B179:L188)=0,"",INDEX(C205:L205,1,11-MATCH(K11,C11:L11,0)))</f>
        <v>103912002.0137559</v>
      </c>
      <c r="L14" s="144">
        <f>IF(COUNTA(B179:L188)=0,"",INDEX(C205:L205,1,11-MATCH(L11,C11:L11,0)))</f>
        <v>120038218.19220529</v>
      </c>
      <c r="M14" s="289" t="s">
        <v>205</v>
      </c>
      <c r="N14" s="142"/>
      <c r="O14" s="144" t="str">
        <f>IF(COUNTA(N179:X188)=0,"",INDEX(O205:X205,1,11-MATCH(O11,O11:X11,0)))</f>
        <v/>
      </c>
      <c r="P14" s="144" t="str">
        <f>IF(COUNTA(N179:X188)=0,"",INDEX(O205:X205,1,11-MATCH(P11,O11:X11,0)))</f>
        <v/>
      </c>
      <c r="Q14" s="144" t="str">
        <f>IF(COUNTA(N179:X188)=0,"",INDEX(O205:X205,1,11-MATCH(Q11,O11:X11,0)))</f>
        <v/>
      </c>
      <c r="R14" s="144" t="str">
        <f>IF(COUNTA(N179:X188)=0,"",INDEX(O205:X205,1,11-MATCH(R11,O11:X11,0)))</f>
        <v/>
      </c>
      <c r="S14" s="144" t="str">
        <f>IF(COUNTA(N179:X188)=0,"",INDEX(O205:X205,1,11-MATCH(S11,O11:X11,0)))</f>
        <v/>
      </c>
      <c r="T14" s="144" t="str">
        <f>IF(COUNTA(N179:X188)=0,"",INDEX(O205:X205,1,11-MATCH(T11,O11:X11,0)))</f>
        <v/>
      </c>
      <c r="U14" s="144" t="str">
        <f>IF(COUNTA(N179:X188)=0,"",INDEX(O205:X205,1,11-MATCH(U11,O11:X11,0)))</f>
        <v/>
      </c>
      <c r="V14" s="144" t="str">
        <f>IF(COUNTA(N179:X188)=0,"",INDEX(O205:X205,1,11-MATCH(V11,O11:X11,0)))</f>
        <v/>
      </c>
      <c r="W14" s="144" t="str">
        <f>IF(COUNTA(N179:X188)=0,"",INDEX(O205:X205,1,11-MATCH(W11,O11:X11,0)))</f>
        <v/>
      </c>
      <c r="X14" s="144" t="str">
        <f>IF(COUNTA(N179:X188)=0,"",INDEX(O205:X205,1,11-MATCH(X11,O11:X11,0)))</f>
        <v/>
      </c>
      <c r="Y14" s="289" t="s">
        <v>205</v>
      </c>
      <c r="Z14" s="142"/>
      <c r="AA14" s="144" t="str">
        <f>IF(COUNTA(Z179:AJ188)=0,"",INDEX(AA205:AJ205,1,11-MATCH(AA11,AA11:AJ11,0)))</f>
        <v/>
      </c>
      <c r="AB14" s="144" t="str">
        <f>IF(COUNTA(Z179:AJ188)=0,"",INDEX(AA205:AJ205,1,11-MATCH(AB11,AA11:AJ11,0)))</f>
        <v/>
      </c>
      <c r="AC14" s="144" t="str">
        <f>IF(COUNTA(Z179:AJ188)=0,"",INDEX(AA205:AJ205,1,11-MATCH(AC11,AA11:AJ11,0)))</f>
        <v/>
      </c>
      <c r="AD14" s="144" t="str">
        <f>IF(COUNTA(Z179:AJ188)=0,"",INDEX(AA205:AJ205,1,11-MATCH(AD11,AA11:AJ11,0)))</f>
        <v/>
      </c>
      <c r="AE14" s="144" t="str">
        <f>IF(COUNTA(Z179:AJ188)=0,"",INDEX(AA205:AJ205,1,11-MATCH(AE11,AA11:AJ11,0)))</f>
        <v/>
      </c>
      <c r="AF14" s="144" t="str">
        <f>IF(COUNTA(Z179:AJ188)=0,"",INDEX(AA205:AJ205,1,11-MATCH(AF11,AA11:AJ11,0)))</f>
        <v/>
      </c>
      <c r="AG14" s="144" t="str">
        <f>IF(COUNTA(Z179:AJ188)=0,"",INDEX(AA205:AJ205,1,11-MATCH(AG11,AA11:AJ11,0)))</f>
        <v/>
      </c>
      <c r="AH14" s="144" t="str">
        <f>IF(COUNTA(Z179:AJ188)=0,"",INDEX(AA205:AJ205,1,11-MATCH(AH11,AA11:AJ11,0)))</f>
        <v/>
      </c>
      <c r="AI14" s="144" t="str">
        <f>IF(COUNTA(Z179:AJ188)=0,"",INDEX(AA205:AJ205,1,11-MATCH(AI11,AA11:AJ11,0)))</f>
        <v/>
      </c>
      <c r="AJ14" s="144" t="str">
        <f>IF(COUNTA(Z179:AJ188)=0,"",INDEX(AA205:AJ205,1,11-MATCH(AJ11,AA11:AJ11,0)))</f>
        <v/>
      </c>
      <c r="AK14" s="289" t="s">
        <v>205</v>
      </c>
      <c r="AL14" s="142"/>
      <c r="AM14" s="144" t="str">
        <f>IF(COUNTA(AL179:AV188)=0,"",INDEX(AM205:AV205,1,11-MATCH(AM11,AM11:AV11,0)))</f>
        <v/>
      </c>
      <c r="AN14" s="144" t="str">
        <f>IF(COUNTA(AL179:AV188)=0,"",INDEX(AM205:AV205,1,11-MATCH(AN11,AM11:AV11,0)))</f>
        <v/>
      </c>
      <c r="AO14" s="144" t="str">
        <f>IF(COUNTA(AL179:AV188)=0,"",INDEX(AM205:AV205,1,11-MATCH(AO11,AM11:AV11,0)))</f>
        <v/>
      </c>
      <c r="AP14" s="144" t="str">
        <f>IF(COUNTA(AL179:AV188)=0,"",INDEX(AM205:AV205,1,11-MATCH(AP11,AM11:AV11,0)))</f>
        <v/>
      </c>
      <c r="AQ14" s="144" t="str">
        <f>IF(COUNTA(AL179:AV188)=0,"",INDEX(AM205:AV205,1,11-MATCH(AQ11,AM11:AV11,0)))</f>
        <v/>
      </c>
      <c r="AR14" s="144" t="str">
        <f>IF(COUNTA(AL179:AV188)=0,"",INDEX(AM205:AV205,1,11-MATCH(AR11,AM11:AV11,0)))</f>
        <v/>
      </c>
      <c r="AS14" s="144" t="str">
        <f>IF(COUNTA(AL179:AV188)=0,"",INDEX(AM205:AV205,1,11-MATCH(AS11,AM11:AV11,0)))</f>
        <v/>
      </c>
      <c r="AT14" s="144" t="str">
        <f>IF(COUNTA(AL179:AV188)=0,"",INDEX(AM205:AV205,1,11-MATCH(AT11,AM11:AV11,0)))</f>
        <v/>
      </c>
      <c r="AU14" s="144" t="str">
        <f>IF(COUNTA(AL179:AV188)=0,"",INDEX(AM205:AV205,1,11-MATCH(AU11,AM11:AV11,0)))</f>
        <v/>
      </c>
      <c r="AV14" s="144" t="str">
        <f>IF(COUNTA(AL179:AV188)=0,"",INDEX(AM205:AV205,1,11-MATCH(AV11,AM11:AV11,0)))</f>
        <v/>
      </c>
      <c r="AW14" s="289" t="s">
        <v>205</v>
      </c>
      <c r="AX14" s="142"/>
      <c r="AY14" s="144" t="str">
        <f>IF(COUNTA(AX179:BH188)=0,"",INDEX(AY205:BH205,1,11-MATCH(AY11,AY11:BH11,0)))</f>
        <v/>
      </c>
      <c r="AZ14" s="144" t="str">
        <f>IF(COUNTA(AX179:BH188)=0,"",INDEX(AY205:BH205,1,11-MATCH(AZ11,AY11:BH11,0)))</f>
        <v/>
      </c>
      <c r="BA14" s="144" t="str">
        <f>IF(COUNTA(AX179:BH188)=0,"",INDEX(AY205:BH205,1,11-MATCH(BA11,AY11:BH11,0)))</f>
        <v/>
      </c>
      <c r="BB14" s="144" t="str">
        <f>IF(COUNTA(AX179:BH188)=0,"",INDEX(AY205:BH205,1,11-MATCH(BB11,AY11:BH11,0)))</f>
        <v/>
      </c>
      <c r="BC14" s="144" t="str">
        <f>IF(COUNTA(AX179:BH188)=0,"",INDEX(AY205:BH205,1,11-MATCH(BC11,AY11:BH11,0)))</f>
        <v/>
      </c>
      <c r="BD14" s="144" t="str">
        <f>IF(COUNTA(AX179:BH188)=0,"",INDEX(AY205:BH205,1,11-MATCH(BD11,AY11:BH11,0)))</f>
        <v/>
      </c>
      <c r="BE14" s="144" t="str">
        <f>IF(COUNTA(AX179:BH188)=0,"",INDEX(AY205:BH205,1,11-MATCH(BE11,AY11:BH11,0)))</f>
        <v/>
      </c>
      <c r="BF14" s="144" t="str">
        <f>IF(COUNTA(AX179:BH188)=0,"",INDEX(AY205:BH205,1,11-MATCH(BF11,AY11:BH11,0)))</f>
        <v/>
      </c>
      <c r="BG14" s="144" t="str">
        <f>IF(COUNTA(AX179:BH188)=0,"",INDEX(AY205:BH205,1,11-MATCH(BG11,AY11:BH11,0)))</f>
        <v/>
      </c>
      <c r="BH14" s="144" t="str">
        <f>IF(COUNTA(AX179:BH188)=0,"",INDEX(AY205:BH205,1,11-MATCH(BH11,AY11:BH11,0)))</f>
        <v/>
      </c>
      <c r="BI14" s="289" t="s">
        <v>205</v>
      </c>
      <c r="BJ14" s="142"/>
      <c r="BK14" s="144" t="str">
        <f>IF(COUNTA(BJ179:BT188)=0,"",INDEX(BK205:BT205,1,11-MATCH(BK11,BK11:BT11,0)))</f>
        <v/>
      </c>
      <c r="BL14" s="144" t="str">
        <f>IF(COUNTA(BJ179:BT188)=0,"",INDEX(BK205:BT205,1,11-MATCH(BL11,BK11:BT11,0)))</f>
        <v/>
      </c>
      <c r="BM14" s="144" t="str">
        <f>IF(COUNTA(BJ179:BT188)=0,"",INDEX(BK205:BT205,1,11-MATCH(BM11,BK11:BT11,0)))</f>
        <v/>
      </c>
      <c r="BN14" s="144" t="str">
        <f>IF(COUNTA(BJ179:BT188)=0,"",INDEX(BK205:BT205,1,11-MATCH(BN11,BK11:BT11,0)))</f>
        <v/>
      </c>
      <c r="BO14" s="144" t="str">
        <f>IF(COUNTA(BJ179:BT188)=0,"",INDEX(BK205:BT205,1,11-MATCH(BO11,BK11:BT11,0)))</f>
        <v/>
      </c>
      <c r="BP14" s="144" t="str">
        <f>IF(COUNTA(BJ179:BT188)=0,"",INDEX(BK205:BT205,1,11-MATCH(BP11,BK11:BT11,0)))</f>
        <v/>
      </c>
      <c r="BQ14" s="144" t="str">
        <f>IF(COUNTA(BJ179:BT188)=0,"",INDEX(BK205:BT205,1,11-MATCH(BQ11,BK11:BT11,0)))</f>
        <v/>
      </c>
      <c r="BR14" s="144" t="str">
        <f>IF(COUNTA(BJ179:BT188)=0,"",INDEX(BK205:BT205,1,11-MATCH(BR11,BK11:BT11,0)))</f>
        <v/>
      </c>
      <c r="BS14" s="144" t="str">
        <f>IF(COUNTA(BJ179:BT188)=0,"",INDEX(BK205:BT205,1,11-MATCH(BS11,BK11:BT11,0)))</f>
        <v/>
      </c>
      <c r="BT14" s="144" t="str">
        <f>IF(COUNTA(BJ179:BT188)=0,"",INDEX(BK205:BT205,1,11-MATCH(BT11,BK11:BT11,0)))</f>
        <v/>
      </c>
      <c r="BU14" s="289" t="s">
        <v>205</v>
      </c>
      <c r="BV14" s="142"/>
      <c r="BW14" s="144" t="str">
        <f>IF(COUNTA(BV179:CF188)=0,"",INDEX(BW205:CF205,1,11-MATCH(BW11,BW11:CF11,0)))</f>
        <v/>
      </c>
      <c r="BX14" s="144" t="str">
        <f>IF(COUNTA(BV179:CF188)=0,"",INDEX(BW205:CF205,1,11-MATCH(BX11,BW11:CF11,0)))</f>
        <v/>
      </c>
      <c r="BY14" s="144" t="str">
        <f>IF(COUNTA(BV179:CF188)=0,"",INDEX(BW205:CF205,1,11-MATCH(BY11,BW11:CF11,0)))</f>
        <v/>
      </c>
      <c r="BZ14" s="144" t="str">
        <f>IF(COUNTA(BV179:CF188)=0,"",INDEX(BW205:CF205,1,11-MATCH(BZ11,BW11:CF11,0)))</f>
        <v/>
      </c>
      <c r="CA14" s="144" t="str">
        <f>IF(COUNTA(BV179:CF188)=0,"",INDEX(BW205:CF205,1,11-MATCH(CA11,BW11:CF11,0)))</f>
        <v/>
      </c>
      <c r="CB14" s="144" t="str">
        <f>IF(COUNTA(BV179:CF188)=0,"",INDEX(BW205:CF205,1,11-MATCH(CB11,BW11:CF11,0)))</f>
        <v/>
      </c>
      <c r="CC14" s="144" t="str">
        <f>IF(COUNTA(BV179:CF188)=0,"",INDEX(BW205:CF205,1,11-MATCH(CC11,BW11:CF11,0)))</f>
        <v/>
      </c>
      <c r="CD14" s="144" t="str">
        <f>IF(COUNTA(BV179:CF188)=0,"",INDEX(BW205:CF205,1,11-MATCH(CD11,BW11:CF11,0)))</f>
        <v/>
      </c>
      <c r="CE14" s="144" t="str">
        <f>IF(COUNTA(BV179:CF188)=0,"",INDEX(BW205:CF205,1,11-MATCH(CE11,BW11:CF11,0)))</f>
        <v/>
      </c>
      <c r="CF14" s="144" t="str">
        <f>IF(COUNTA(BV179:CF188)=0,"",INDEX(BW205:CF205,1,11-MATCH(CF11,BW11:CF11,0)))</f>
        <v/>
      </c>
      <c r="CG14" s="289" t="s">
        <v>205</v>
      </c>
      <c r="CH14" s="142"/>
      <c r="CI14" s="144" t="str">
        <f>IF(COUNTA(CH179:CR188)=0,"",INDEX(CI205:CR205,1,11-MATCH(CI11,CI11:CR11,0)))</f>
        <v/>
      </c>
      <c r="CJ14" s="144" t="str">
        <f>IF(COUNTA(CH179:CR188)=0,"",INDEX(CI205:CR205,1,11-MATCH(CJ11,CI11:CR11,0)))</f>
        <v/>
      </c>
      <c r="CK14" s="144" t="str">
        <f>IF(COUNTA(CH179:CR188)=0,"",INDEX(CI205:CR205,1,11-MATCH(CK11,CI11:CR11,0)))</f>
        <v/>
      </c>
      <c r="CL14" s="144" t="str">
        <f>IF(COUNTA(CH179:CR188)=0,"",INDEX(CI205:CR205,1,11-MATCH(CL11,CI11:CR11,0)))</f>
        <v/>
      </c>
      <c r="CM14" s="144" t="str">
        <f>IF(COUNTA(CH179:CR188)=0,"",INDEX(CI205:CR205,1,11-MATCH(CM11,CI11:CR11,0)))</f>
        <v/>
      </c>
      <c r="CN14" s="144" t="str">
        <f>IF(COUNTA(CH179:CR188)=0,"",INDEX(CI205:CR205,1,11-MATCH(CN11,CI11:CR11,0)))</f>
        <v/>
      </c>
      <c r="CO14" s="144" t="str">
        <f>IF(COUNTA(CH179:CR188)=0,"",INDEX(CI205:CR205,1,11-MATCH(CO11,CI11:CR11,0)))</f>
        <v/>
      </c>
      <c r="CP14" s="144" t="str">
        <f>IF(COUNTA(CH179:CR188)=0,"",INDEX(CI205:CR205,1,11-MATCH(CP11,CI11:CR11,0)))</f>
        <v/>
      </c>
      <c r="CQ14" s="144" t="str">
        <f>IF(COUNTA(CH179:CR188)=0,"",INDEX(CI205:CR205,1,11-MATCH(CQ11,CI11:CR11,0)))</f>
        <v/>
      </c>
      <c r="CR14" s="144" t="str">
        <f>IF(COUNTA(CH179:CR188)=0,"",INDEX(CI205:CR205,1,11-MATCH(CR11,CI11:CR11,0)))</f>
        <v/>
      </c>
      <c r="CS14" s="289" t="s">
        <v>205</v>
      </c>
      <c r="CT14" s="142"/>
      <c r="CU14" s="144" t="str">
        <f>IF(COUNTA(CT179:DD188)=0,"",INDEX(CU205:DD205,1,11-MATCH(CU11,CU11:DD11,0)))</f>
        <v/>
      </c>
      <c r="CV14" s="144" t="str">
        <f>IF(COUNTA(CT179:DD188)=0,"",INDEX(CU205:DD205,1,11-MATCH(CV11,CU11:DD11,0)))</f>
        <v/>
      </c>
      <c r="CW14" s="144" t="str">
        <f>IF(COUNTA(CT179:DD188)=0,"",INDEX(CU205:DD205,1,11-MATCH(CW11,CU11:DD11,0)))</f>
        <v/>
      </c>
      <c r="CX14" s="144" t="str">
        <f>IF(COUNTA(CT179:DD188)=0,"",INDEX(CU205:DD205,1,11-MATCH(CX11,CU11:DD11,0)))</f>
        <v/>
      </c>
      <c r="CY14" s="144" t="str">
        <f>IF(COUNTA(CT179:DD188)=0,"",INDEX(CU205:DD205,1,11-MATCH(CY11,CU11:DD11,0)))</f>
        <v/>
      </c>
      <c r="CZ14" s="144" t="str">
        <f>IF(COUNTA(CT179:DD188)=0,"",INDEX(CU205:DD205,1,11-MATCH(CZ11,CU11:DD11,0)))</f>
        <v/>
      </c>
      <c r="DA14" s="144" t="str">
        <f>IF(COUNTA(CT179:DD188)=0,"",INDEX(CU205:DD205,1,11-MATCH(DA11,CU11:DD11,0)))</f>
        <v/>
      </c>
      <c r="DB14" s="144" t="str">
        <f>IF(COUNTA(CT179:DD188)=0,"",INDEX(CU205:DD205,1,11-MATCH(DB11,CU11:DD11,0)))</f>
        <v/>
      </c>
      <c r="DC14" s="144" t="str">
        <f>IF(COUNTA(CT179:DD188)=0,"",INDEX(CU205:DD205,1,11-MATCH(DC11,CU11:DD11,0)))</f>
        <v/>
      </c>
      <c r="DD14" s="144" t="str">
        <f>IF(COUNTA(CT179:DD188)=0,"",INDEX(CU205:DD205,1,11-MATCH(DD11,CU11:DD11,0)))</f>
        <v/>
      </c>
      <c r="DE14" s="289" t="s">
        <v>205</v>
      </c>
      <c r="DF14" s="142"/>
      <c r="DG14" s="144" t="str">
        <f>IF(COUNTA(DF179:DP188)=0,"",INDEX(DG205:DP205,1,11-MATCH(DG11,DG11:DP11,0)))</f>
        <v/>
      </c>
      <c r="DH14" s="144" t="str">
        <f>IF(COUNTA(DF179:DP188)=0,"",INDEX(DG205:DP205,1,11-MATCH(DH11,DG11:DP11,0)))</f>
        <v/>
      </c>
      <c r="DI14" s="144" t="str">
        <f>IF(COUNTA(DF179:DP188)=0,"",INDEX(DG205:DP205,1,11-MATCH(DI11,DG11:DP11,0)))</f>
        <v/>
      </c>
      <c r="DJ14" s="144" t="str">
        <f>IF(COUNTA(DF179:DP188)=0,"",INDEX(DG205:DP205,1,11-MATCH(DJ11,DG11:DP11,0)))</f>
        <v/>
      </c>
      <c r="DK14" s="144" t="str">
        <f>IF(COUNTA(DF179:DP188)=0,"",INDEX(DG205:DP205,1,11-MATCH(DK11,DG11:DP11,0)))</f>
        <v/>
      </c>
      <c r="DL14" s="144" t="str">
        <f>IF(COUNTA(DF179:DP188)=0,"",INDEX(DG205:DP205,1,11-MATCH(DL11,DG11:DP11,0)))</f>
        <v/>
      </c>
      <c r="DM14" s="144" t="str">
        <f>IF(COUNTA(DF179:DP188)=0,"",INDEX(DG205:DP205,1,11-MATCH(DM11,DG11:DP11,0)))</f>
        <v/>
      </c>
      <c r="DN14" s="144" t="str">
        <f>IF(COUNTA(DF179:DP188)=0,"",INDEX(DG205:DP205,1,11-MATCH(DN11,DG11:DP11,0)))</f>
        <v/>
      </c>
      <c r="DO14" s="144" t="str">
        <f>IF(COUNTA(DF179:DP188)=0,"",INDEX(DG205:DP205,1,11-MATCH(DO11,DG11:DP11,0)))</f>
        <v/>
      </c>
      <c r="DP14" s="144" t="str">
        <f>IF(COUNTA(DF179:DP188)=0,"",INDEX(DG205:DP205,1,11-MATCH(DP11,DG11:DP11,0)))</f>
        <v/>
      </c>
    </row>
    <row r="15" spans="1:120" ht="15" customHeight="1" x14ac:dyDescent="0.35">
      <c r="A15" s="287" t="s">
        <v>203</v>
      </c>
      <c r="B15" s="68"/>
      <c r="C15" s="144">
        <f>IF(COUNTA(B214:L223)=0,"",INDEX(C240:L240,1,11-MATCH(C11,C11:L11,0)))</f>
        <v>71521463.010000005</v>
      </c>
      <c r="D15" s="144">
        <f>IF(COUNTA(B214:L223)=0,"",INDEX(C240:L240,1,11-MATCH(D11,C11:L11,0)))</f>
        <v>73113592.024011627</v>
      </c>
      <c r="E15" s="144">
        <f>IF(COUNTA(B214:L223)=0,"",INDEX(C240:L240,1,11-MATCH(E11,C11:L11,0)))</f>
        <v>81166665.40276368</v>
      </c>
      <c r="F15" s="144">
        <f>IF(COUNTA(B214:L223)=0,"",INDEX(C240:L240,1,11-MATCH(F11,C11:L11,0)))</f>
        <v>84407898.638094425</v>
      </c>
      <c r="G15" s="144">
        <f>IF(COUNTA(B214:L223)=0,"",INDEX(C240:L240,1,11-MATCH(G11,C11:L11,0)))</f>
        <v>98177956.524754599</v>
      </c>
      <c r="H15" s="144">
        <f>IF(COUNTA(B214:L223)=0,"",INDEX(C240:L240,1,11-MATCH(H11,C11:L11,0)))</f>
        <v>75596362.607096598</v>
      </c>
      <c r="I15" s="144">
        <f>IF(COUNTA(B214:L223)=0,"",INDEX(C240:L240,1,11-MATCH(I11,C11:L11,0)))</f>
        <v>91802602.512395576</v>
      </c>
      <c r="J15" s="144">
        <f>IF(COUNTA(B214:L223)=0,"",INDEX(C240:L240,1,11-MATCH(J11,C11:L11,0)))</f>
        <v>87951745.652846664</v>
      </c>
      <c r="K15" s="144">
        <f>IF(COUNTA(B214:L223)=0,"",INDEX(C240:L240,1,11-MATCH(K11,C11:L11,0)))</f>
        <v>93539877.889635563</v>
      </c>
      <c r="L15" s="144">
        <f>IF(COUNTA(B214:L223)=0,"",INDEX(C240:L240,1,11-MATCH(L11,C11:L11,0)))</f>
        <v>108505646.99555196</v>
      </c>
      <c r="M15" s="289" t="s">
        <v>203</v>
      </c>
      <c r="N15" s="68"/>
      <c r="O15" s="144" t="str">
        <f>IF(COUNTA(N214:X223)=0,"",INDEX(O240:X240,1,11-MATCH(O11,O11:X11,0)))</f>
        <v/>
      </c>
      <c r="P15" s="144" t="str">
        <f>IF(COUNTA(N214:X223)=0,"",INDEX(O240:X240,1,11-MATCH(P11,O11:X11,0)))</f>
        <v/>
      </c>
      <c r="Q15" s="144" t="str">
        <f>IF(COUNTA(N214:X223)=0,"",INDEX(O240:X240,1,11-MATCH(Q11,O11:X11,0)))</f>
        <v/>
      </c>
      <c r="R15" s="144" t="str">
        <f>IF(COUNTA(N214:X223)=0,"",INDEX(O240:X240,1,11-MATCH(R11,O11:X11,0)))</f>
        <v/>
      </c>
      <c r="S15" s="144" t="str">
        <f>IF(COUNTA(N214:X223)=0,"",INDEX(O240:X240,1,11-MATCH(S11,O11:X11,0)))</f>
        <v/>
      </c>
      <c r="T15" s="144" t="str">
        <f>IF(COUNTA(N214:X223)=0,"",INDEX(O240:X240,1,11-MATCH(T11,O11:X11,0)))</f>
        <v/>
      </c>
      <c r="U15" s="144" t="str">
        <f>IF(COUNTA(N214:X223)=0,"",INDEX(O240:X240,1,11-MATCH(U11,O11:X11,0)))</f>
        <v/>
      </c>
      <c r="V15" s="144" t="str">
        <f>IF(COUNTA(N214:X223)=0,"",INDEX(O240:X240,1,11-MATCH(V11,O11:X11,0)))</f>
        <v/>
      </c>
      <c r="W15" s="144" t="str">
        <f>IF(COUNTA(N214:X223)=0,"",INDEX(O240:X240,1,11-MATCH(W11,O11:X11,0)))</f>
        <v/>
      </c>
      <c r="X15" s="144" t="str">
        <f>IF(COUNTA(N214:X223)=0,"",INDEX(O240:X240,1,11-MATCH(X11,O11:X11,0)))</f>
        <v/>
      </c>
      <c r="Y15" s="289" t="s">
        <v>203</v>
      </c>
      <c r="Z15" s="68"/>
      <c r="AA15" s="144" t="str">
        <f>IF(COUNTA(Z214:AJ223)=0,"",INDEX(AA240:AJ240,1,11-MATCH(AA11,AA11:AJ11,0)))</f>
        <v/>
      </c>
      <c r="AB15" s="144" t="str">
        <f>IF(COUNTA(Z214:AJ223)=0,"",INDEX(AA240:AJ240,1,11-MATCH(AB11,AA11:AJ11,0)))</f>
        <v/>
      </c>
      <c r="AC15" s="144" t="str">
        <f>IF(COUNTA(Z214:AJ223)=0,"",INDEX(AA240:AJ240,1,11-MATCH(AC11,AA11:AJ11,0)))</f>
        <v/>
      </c>
      <c r="AD15" s="144" t="str">
        <f>IF(COUNTA(Z214:AJ223)=0,"",INDEX(AA240:AJ240,1,11-MATCH(AD11,AA11:AJ11,0)))</f>
        <v/>
      </c>
      <c r="AE15" s="144" t="str">
        <f>IF(COUNTA(Z214:AJ223)=0,"",INDEX(AA240:AJ240,1,11-MATCH(AE11,AA11:AJ11,0)))</f>
        <v/>
      </c>
      <c r="AF15" s="144" t="str">
        <f>IF(COUNTA(Z214:AJ223)=0,"",INDEX(AA240:AJ240,1,11-MATCH(AF11,AA11:AJ11,0)))</f>
        <v/>
      </c>
      <c r="AG15" s="144" t="str">
        <f>IF(COUNTA(Z214:AJ223)=0,"",INDEX(AA240:AJ240,1,11-MATCH(AG11,AA11:AJ11,0)))</f>
        <v/>
      </c>
      <c r="AH15" s="144" t="str">
        <f>IF(COUNTA(Z214:AJ223)=0,"",INDEX(AA240:AJ240,1,11-MATCH(AH11,AA11:AJ11,0)))</f>
        <v/>
      </c>
      <c r="AI15" s="144" t="str">
        <f>IF(COUNTA(Z214:AJ223)=0,"",INDEX(AA240:AJ240,1,11-MATCH(AI11,AA11:AJ11,0)))</f>
        <v/>
      </c>
      <c r="AJ15" s="144" t="str">
        <f>IF(COUNTA(Z214:AJ223)=0,"",INDEX(AA240:AJ240,1,11-MATCH(AJ11,AA11:AJ11,0)))</f>
        <v/>
      </c>
      <c r="AK15" s="289" t="s">
        <v>203</v>
      </c>
      <c r="AL15" s="68"/>
      <c r="AM15" s="144" t="str">
        <f>IF(COUNTA(AL214:AV223)=0,"",INDEX(AM240:AV240,1,11-MATCH(AM11,AM11:AV11,0)))</f>
        <v/>
      </c>
      <c r="AN15" s="144" t="str">
        <f>IF(COUNTA(AL214:AV223)=0,"",INDEX(AM240:AV240,1,11-MATCH(AN11,AM11:AV11,0)))</f>
        <v/>
      </c>
      <c r="AO15" s="144" t="str">
        <f>IF(COUNTA(AL214:AV223)=0,"",INDEX(AM240:AV240,1,11-MATCH(AO11,AM11:AV11,0)))</f>
        <v/>
      </c>
      <c r="AP15" s="144" t="str">
        <f>IF(COUNTA(AL214:AV223)=0,"",INDEX(AM240:AV240,1,11-MATCH(AP11,AM11:AV11,0)))</f>
        <v/>
      </c>
      <c r="AQ15" s="144" t="str">
        <f>IF(COUNTA(AL214:AV223)=0,"",INDEX(AM240:AV240,1,11-MATCH(AQ11,AM11:AV11,0)))</f>
        <v/>
      </c>
      <c r="AR15" s="144" t="str">
        <f>IF(COUNTA(AL214:AV223)=0,"",INDEX(AM240:AV240,1,11-MATCH(AR11,AM11:AV11,0)))</f>
        <v/>
      </c>
      <c r="AS15" s="144" t="str">
        <f>IF(COUNTA(AL214:AV223)=0,"",INDEX(AM240:AV240,1,11-MATCH(AS11,AM11:AV11,0)))</f>
        <v/>
      </c>
      <c r="AT15" s="144" t="str">
        <f>IF(COUNTA(AL214:AV223)=0,"",INDEX(AM240:AV240,1,11-MATCH(AT11,AM11:AV11,0)))</f>
        <v/>
      </c>
      <c r="AU15" s="144" t="str">
        <f>IF(COUNTA(AL214:AV223)=0,"",INDEX(AM240:AV240,1,11-MATCH(AU11,AM11:AV11,0)))</f>
        <v/>
      </c>
      <c r="AV15" s="144" t="str">
        <f>IF(COUNTA(AL214:AV223)=0,"",INDEX(AM240:AV240,1,11-MATCH(AV11,AM11:AV11,0)))</f>
        <v/>
      </c>
      <c r="AW15" s="289" t="s">
        <v>203</v>
      </c>
      <c r="AX15" s="68"/>
      <c r="AY15" s="144" t="str">
        <f>IF(COUNTA(AX214:BH223)=0,"",INDEX(AY240:BH240,1,11-MATCH(AY11,AY11:BH11,0)))</f>
        <v/>
      </c>
      <c r="AZ15" s="144" t="str">
        <f>IF(COUNTA(AX214:BH223)=0,"",INDEX(AY240:BH240,1,11-MATCH(AZ11,AY11:BH11,0)))</f>
        <v/>
      </c>
      <c r="BA15" s="144" t="str">
        <f>IF(COUNTA(AX214:BH223)=0,"",INDEX(AY240:BH240,1,11-MATCH(BA11,AY11:BH11,0)))</f>
        <v/>
      </c>
      <c r="BB15" s="144" t="str">
        <f>IF(COUNTA(AX214:BH223)=0,"",INDEX(AY240:BH240,1,11-MATCH(BB11,AY11:BH11,0)))</f>
        <v/>
      </c>
      <c r="BC15" s="144" t="str">
        <f>IF(COUNTA(AX214:BH223)=0,"",INDEX(AY240:BH240,1,11-MATCH(BC11,AY11:BH11,0)))</f>
        <v/>
      </c>
      <c r="BD15" s="144" t="str">
        <f>IF(COUNTA(AX214:BH223)=0,"",INDEX(AY240:BH240,1,11-MATCH(BD11,AY11:BH11,0)))</f>
        <v/>
      </c>
      <c r="BE15" s="144" t="str">
        <f>IF(COUNTA(AX214:BH223)=0,"",INDEX(AY240:BH240,1,11-MATCH(BE11,AY11:BH11,0)))</f>
        <v/>
      </c>
      <c r="BF15" s="144" t="str">
        <f>IF(COUNTA(AX214:BH223)=0,"",INDEX(AY240:BH240,1,11-MATCH(BF11,AY11:BH11,0)))</f>
        <v/>
      </c>
      <c r="BG15" s="144" t="str">
        <f>IF(COUNTA(AX214:BH223)=0,"",INDEX(AY240:BH240,1,11-MATCH(BG11,AY11:BH11,0)))</f>
        <v/>
      </c>
      <c r="BH15" s="144" t="str">
        <f>IF(COUNTA(AX214:BH223)=0,"",INDEX(AY240:BH240,1,11-MATCH(BH11,AY11:BH11,0)))</f>
        <v/>
      </c>
      <c r="BI15" s="289" t="s">
        <v>203</v>
      </c>
      <c r="BJ15" s="68"/>
      <c r="BK15" s="144" t="str">
        <f>IF(COUNTA(BJ214:BT223)=0,"",INDEX(BK240:BT240,1,11-MATCH(BK11,BK11:BT11,0)))</f>
        <v/>
      </c>
      <c r="BL15" s="144" t="str">
        <f>IF(COUNTA(BJ214:BT223)=0,"",INDEX(BK240:BT240,1,11-MATCH(BL11,BK11:BT11,0)))</f>
        <v/>
      </c>
      <c r="BM15" s="144" t="str">
        <f>IF(COUNTA(BJ214:BT223)=0,"",INDEX(BK240:BT240,1,11-MATCH(BM11,BK11:BT11,0)))</f>
        <v/>
      </c>
      <c r="BN15" s="144" t="str">
        <f>IF(COUNTA(BJ214:BT223)=0,"",INDEX(BK240:BT240,1,11-MATCH(BN11,BK11:BT11,0)))</f>
        <v/>
      </c>
      <c r="BO15" s="144" t="str">
        <f>IF(COUNTA(BJ214:BT223)=0,"",INDEX(BK240:BT240,1,11-MATCH(BO11,BK11:BT11,0)))</f>
        <v/>
      </c>
      <c r="BP15" s="144" t="str">
        <f>IF(COUNTA(BJ214:BT223)=0,"",INDEX(BK240:BT240,1,11-MATCH(BP11,BK11:BT11,0)))</f>
        <v/>
      </c>
      <c r="BQ15" s="144" t="str">
        <f>IF(COUNTA(BJ214:BT223)=0,"",INDEX(BK240:BT240,1,11-MATCH(BQ11,BK11:BT11,0)))</f>
        <v/>
      </c>
      <c r="BR15" s="144" t="str">
        <f>IF(COUNTA(BJ214:BT223)=0,"",INDEX(BK240:BT240,1,11-MATCH(BR11,BK11:BT11,0)))</f>
        <v/>
      </c>
      <c r="BS15" s="144" t="str">
        <f>IF(COUNTA(BJ214:BT223)=0,"",INDEX(BK240:BT240,1,11-MATCH(BS11,BK11:BT11,0)))</f>
        <v/>
      </c>
      <c r="BT15" s="144" t="str">
        <f>IF(COUNTA(BJ214:BT223)=0,"",INDEX(BK240:BT240,1,11-MATCH(BT11,BK11:BT11,0)))</f>
        <v/>
      </c>
      <c r="BU15" s="289" t="s">
        <v>203</v>
      </c>
      <c r="BV15" s="68"/>
      <c r="BW15" s="144" t="str">
        <f>IF(COUNTA(BV214:CF223)=0,"",INDEX(BW240:CF240,1,11-MATCH(BW11,BW11:CF11,0)))</f>
        <v/>
      </c>
      <c r="BX15" s="144" t="str">
        <f>IF(COUNTA(BV214:CF223)=0,"",INDEX(BW240:CF240,1,11-MATCH(BX11,BW11:CF11,0)))</f>
        <v/>
      </c>
      <c r="BY15" s="144" t="str">
        <f>IF(COUNTA(BV214:CF223)=0,"",INDEX(BW240:CF240,1,11-MATCH(BY11,BW11:CF11,0)))</f>
        <v/>
      </c>
      <c r="BZ15" s="144" t="str">
        <f>IF(COUNTA(BV214:CF223)=0,"",INDEX(BW240:CF240,1,11-MATCH(BZ11,BW11:CF11,0)))</f>
        <v/>
      </c>
      <c r="CA15" s="144" t="str">
        <f>IF(COUNTA(BV214:CF223)=0,"",INDEX(BW240:CF240,1,11-MATCH(CA11,BW11:CF11,0)))</f>
        <v/>
      </c>
      <c r="CB15" s="144" t="str">
        <f>IF(COUNTA(BV214:CF223)=0,"",INDEX(BW240:CF240,1,11-MATCH(CB11,BW11:CF11,0)))</f>
        <v/>
      </c>
      <c r="CC15" s="144" t="str">
        <f>IF(COUNTA(BV214:CF223)=0,"",INDEX(BW240:CF240,1,11-MATCH(CC11,BW11:CF11,0)))</f>
        <v/>
      </c>
      <c r="CD15" s="144" t="str">
        <f>IF(COUNTA(BV214:CF223)=0,"",INDEX(BW240:CF240,1,11-MATCH(CD11,BW11:CF11,0)))</f>
        <v/>
      </c>
      <c r="CE15" s="144" t="str">
        <f>IF(COUNTA(BV214:CF223)=0,"",INDEX(BW240:CF240,1,11-MATCH(CE11,BW11:CF11,0)))</f>
        <v/>
      </c>
      <c r="CF15" s="144" t="str">
        <f>IF(COUNTA(BV214:CF223)=0,"",INDEX(BW240:CF240,1,11-MATCH(CF11,BW11:CF11,0)))</f>
        <v/>
      </c>
      <c r="CG15" s="289" t="s">
        <v>203</v>
      </c>
      <c r="CH15" s="68"/>
      <c r="CI15" s="144" t="str">
        <f>IF(COUNTA(CH214:CR223)=0,"",INDEX(CI240:CR240,1,11-MATCH(CI11,CI11:CR11,0)))</f>
        <v/>
      </c>
      <c r="CJ15" s="144" t="str">
        <f>IF(COUNTA(CH214:CR223)=0,"",INDEX(CI240:CR240,1,11-MATCH(CJ11,CI11:CR11,0)))</f>
        <v/>
      </c>
      <c r="CK15" s="144" t="str">
        <f>IF(COUNTA(CH214:CR223)=0,"",INDEX(CI240:CR240,1,11-MATCH(CK11,CI11:CR11,0)))</f>
        <v/>
      </c>
      <c r="CL15" s="144" t="str">
        <f>IF(COUNTA(CH214:CR223)=0,"",INDEX(CI240:CR240,1,11-MATCH(CL11,CI11:CR11,0)))</f>
        <v/>
      </c>
      <c r="CM15" s="144" t="str">
        <f>IF(COUNTA(CH214:CR223)=0,"",INDEX(CI240:CR240,1,11-MATCH(CM11,CI11:CR11,0)))</f>
        <v/>
      </c>
      <c r="CN15" s="144" t="str">
        <f>IF(COUNTA(CH214:CR223)=0,"",INDEX(CI240:CR240,1,11-MATCH(CN11,CI11:CR11,0)))</f>
        <v/>
      </c>
      <c r="CO15" s="144" t="str">
        <f>IF(COUNTA(CH214:CR223)=0,"",INDEX(CI240:CR240,1,11-MATCH(CO11,CI11:CR11,0)))</f>
        <v/>
      </c>
      <c r="CP15" s="144" t="str">
        <f>IF(COUNTA(CH214:CR223)=0,"",INDEX(CI240:CR240,1,11-MATCH(CP11,CI11:CR11,0)))</f>
        <v/>
      </c>
      <c r="CQ15" s="144" t="str">
        <f>IF(COUNTA(CH214:CR223)=0,"",INDEX(CI240:CR240,1,11-MATCH(CQ11,CI11:CR11,0)))</f>
        <v/>
      </c>
      <c r="CR15" s="144" t="str">
        <f>IF(COUNTA(CH214:CR223)=0,"",INDEX(CI240:CR240,1,11-MATCH(CR11,CI11:CR11,0)))</f>
        <v/>
      </c>
      <c r="CS15" s="289" t="s">
        <v>203</v>
      </c>
      <c r="CT15" s="68"/>
      <c r="CU15" s="144" t="str">
        <f>IF(COUNTA(CT214:DD223)=0,"",INDEX(CU240:DD240,1,11-MATCH(CU11,CU11:DD11,0)))</f>
        <v/>
      </c>
      <c r="CV15" s="144" t="str">
        <f>IF(COUNTA(CT214:DD223)=0,"",INDEX(CU240:DD240,1,11-MATCH(CV11,CU11:DD11,0)))</f>
        <v/>
      </c>
      <c r="CW15" s="144" t="str">
        <f>IF(COUNTA(CT214:DD223)=0,"",INDEX(CU240:DD240,1,11-MATCH(CW11,CU11:DD11,0)))</f>
        <v/>
      </c>
      <c r="CX15" s="144" t="str">
        <f>IF(COUNTA(CT214:DD223)=0,"",INDEX(CU240:DD240,1,11-MATCH(CX11,CU11:DD11,0)))</f>
        <v/>
      </c>
      <c r="CY15" s="144" t="str">
        <f>IF(COUNTA(CT214:DD223)=0,"",INDEX(CU240:DD240,1,11-MATCH(CY11,CU11:DD11,0)))</f>
        <v/>
      </c>
      <c r="CZ15" s="144" t="str">
        <f>IF(COUNTA(CT214:DD223)=0,"",INDEX(CU240:DD240,1,11-MATCH(CZ11,CU11:DD11,0)))</f>
        <v/>
      </c>
      <c r="DA15" s="144" t="str">
        <f>IF(COUNTA(CT214:DD223)=0,"",INDEX(CU240:DD240,1,11-MATCH(DA11,CU11:DD11,0)))</f>
        <v/>
      </c>
      <c r="DB15" s="144" t="str">
        <f>IF(COUNTA(CT214:DD223)=0,"",INDEX(CU240:DD240,1,11-MATCH(DB11,CU11:DD11,0)))</f>
        <v/>
      </c>
      <c r="DC15" s="144" t="str">
        <f>IF(COUNTA(CT214:DD223)=0,"",INDEX(CU240:DD240,1,11-MATCH(DC11,CU11:DD11,0)))</f>
        <v/>
      </c>
      <c r="DD15" s="144" t="str">
        <f>IF(COUNTA(CT214:DD223)=0,"",INDEX(CU240:DD240,1,11-MATCH(DD11,CU11:DD11,0)))</f>
        <v/>
      </c>
      <c r="DE15" s="289" t="s">
        <v>203</v>
      </c>
      <c r="DF15" s="68"/>
      <c r="DG15" s="144" t="str">
        <f>IF(COUNTA(DF214:DP223)=0,"",INDEX(DG240:DP240,1,11-MATCH(DG11,DG11:DP11,0)))</f>
        <v/>
      </c>
      <c r="DH15" s="144" t="str">
        <f>IF(COUNTA(DF214:DP223)=0,"",INDEX(DG240:DP240,1,11-MATCH(DH11,DG11:DP11,0)))</f>
        <v/>
      </c>
      <c r="DI15" s="144" t="str">
        <f>IF(COUNTA(DF214:DP223)=0,"",INDEX(DG240:DP240,1,11-MATCH(DI11,DG11:DP11,0)))</f>
        <v/>
      </c>
      <c r="DJ15" s="144" t="str">
        <f>IF(COUNTA(DF214:DP223)=0,"",INDEX(DG240:DP240,1,11-MATCH(DJ11,DG11:DP11,0)))</f>
        <v/>
      </c>
      <c r="DK15" s="144" t="str">
        <f>IF(COUNTA(DF214:DP223)=0,"",INDEX(DG240:DP240,1,11-MATCH(DK11,DG11:DP11,0)))</f>
        <v/>
      </c>
      <c r="DL15" s="144" t="str">
        <f>IF(COUNTA(DF214:DP223)=0,"",INDEX(DG240:DP240,1,11-MATCH(DL11,DG11:DP11,0)))</f>
        <v/>
      </c>
      <c r="DM15" s="144" t="str">
        <f>IF(COUNTA(DF214:DP223)=0,"",INDEX(DG240:DP240,1,11-MATCH(DM11,DG11:DP11,0)))</f>
        <v/>
      </c>
      <c r="DN15" s="144" t="str">
        <f>IF(COUNTA(DF214:DP223)=0,"",INDEX(DG240:DP240,1,11-MATCH(DN11,DG11:DP11,0)))</f>
        <v/>
      </c>
      <c r="DO15" s="144" t="str">
        <f>IF(COUNTA(DF214:DP223)=0,"",INDEX(DG240:DP240,1,11-MATCH(DO11,DG11:DP11,0)))</f>
        <v/>
      </c>
      <c r="DP15" s="144" t="str">
        <f>IF(COUNTA(DF214:DP223)=0,"",INDEX(DG240:DP240,1,11-MATCH(DP11,DG11:DP11,0)))</f>
        <v/>
      </c>
    </row>
    <row r="16" spans="1:120" ht="15" customHeight="1" x14ac:dyDescent="0.35">
      <c r="A16" s="282" t="s">
        <v>40</v>
      </c>
      <c r="B16" s="68"/>
      <c r="C16" s="147">
        <f>IF(D7="Paid - Loss &amp; DCCE",C12,IF(D7="Paid - Pure Loss",C13,IF(D7="Incurred - Loss &amp; DCCE",C14,IF(D7="Incurred - Pure Loss",C15,""))))</f>
        <v>71521463.010000005</v>
      </c>
      <c r="D16" s="147">
        <f>IF(D7="Paid - Loss &amp; DCCE",D12,IF(D7="Paid - Pure Loss",D13,IF(D7="Incurred - Loss &amp; DCCE",D14,IF(D7="Incurred - Pure Loss",D15,""))))</f>
        <v>73113592.024011627</v>
      </c>
      <c r="E16" s="147">
        <f>IF(D7="Paid - Loss &amp; DCCE",E12,IF(D7="Paid - Pure Loss",E13,IF(D7="Incurred - Loss &amp; DCCE",E14,IF(D7="Incurred - Pure Loss",E15,""))))</f>
        <v>81166665.40276368</v>
      </c>
      <c r="F16" s="147">
        <f>IF(D7="Paid - Loss &amp; DCCE",F12,IF(D7="Paid - Pure Loss",F13,IF(D7="Incurred - Loss &amp; DCCE",F14,IF(D7="Incurred - Pure Loss",F15,""))))</f>
        <v>84407898.638094425</v>
      </c>
      <c r="G16" s="147">
        <f>IF(D7="Paid - Loss &amp; DCCE",G12,IF(D7="Paid - Pure Loss",G13,IF(D7="Incurred - Loss &amp; DCCE",G14,IF(D7="Incurred - Pure Loss",G15,""))))</f>
        <v>98177956.524754599</v>
      </c>
      <c r="H16" s="147">
        <f>IF(D7="Paid - Loss &amp; DCCE",H12,IF(D7="Paid - Pure Loss",H13,IF(D7="Incurred - Loss &amp; DCCE",H14,IF(D7="Incurred - Pure Loss",H15,""))))</f>
        <v>75596362.607096598</v>
      </c>
      <c r="I16" s="147">
        <f>IF(D7="Paid - Loss &amp; DCCE",I12,IF(D7="Paid - Pure Loss",I13,IF(D7="Incurred - Loss &amp; DCCE",I14,IF(D7="Incurred - Pure Loss",I15,""))))</f>
        <v>91802602.512395576</v>
      </c>
      <c r="J16" s="147">
        <f>IF(D7="Paid - Loss &amp; DCCE",J12,IF(D7="Paid - Pure Loss",J13,IF(D7="Incurred - Loss &amp; DCCE",J14,IF(D7="Incurred - Pure Loss",J15,""))))</f>
        <v>87951745.652846664</v>
      </c>
      <c r="K16" s="147">
        <f>IF(D7="Paid - Loss &amp; DCCE",K12,IF(D7="Paid - Pure Loss",K13,IF(D7="Incurred - Loss &amp; DCCE",K14,IF(D7="Incurred - Pure Loss",K15,""))))</f>
        <v>93539877.889635563</v>
      </c>
      <c r="L16" s="147">
        <f>IF(D7="Paid - Loss &amp; DCCE",L12,IF(D7="Paid - Pure Loss",L13,IF(D7="Incurred - Loss &amp; DCCE",L14,IF(D7="Incurred - Pure Loss",L15,""))))</f>
        <v>108505646.99555196</v>
      </c>
      <c r="M16" s="282" t="s">
        <v>40</v>
      </c>
      <c r="N16" s="68"/>
      <c r="O16" s="147" t="str">
        <f>IF(P7="Paid - Loss &amp; DCCE",O12,IF(P7="Paid - Pure Loss",O13,IF(P7="Incurred - Loss &amp; DCCE",O14,IF(P7="Incurred - Pure Loss",O15,""))))</f>
        <v/>
      </c>
      <c r="P16" s="147" t="str">
        <f>IF(P7="Paid - Loss &amp; DCCE",P12,IF(P7="Paid - Pure Loss",P13,IF(P7="Incurred - Loss &amp; DCCE",P14,IF(P7="Incurred - Pure Loss",P15,""))))</f>
        <v/>
      </c>
      <c r="Q16" s="147" t="str">
        <f>IF(P7="Paid - Loss &amp; DCCE",Q12,IF(P7="Paid - Pure Loss",Q13,IF(P7="Incurred - Loss &amp; DCCE",Q14,IF(P7="Incurred - Pure Loss",Q15,""))))</f>
        <v/>
      </c>
      <c r="R16" s="147" t="str">
        <f>IF(P7="Paid - Loss &amp; DCCE",R12,IF(P7="Paid - Pure Loss",R13,IF(P7="Incurred - Loss &amp; DCCE",R14,IF(P7="Incurred - Pure Loss",R15,""))))</f>
        <v/>
      </c>
      <c r="S16" s="147" t="str">
        <f>IF(P7="Paid - Loss &amp; DCCE",S12,IF(P7="Paid - Pure Loss",S13,IF(P7="Incurred - Loss &amp; DCCE",S14,IF(P7="Incurred - Pure Loss",S15,""))))</f>
        <v/>
      </c>
      <c r="T16" s="147" t="str">
        <f>IF(P7="Paid - Loss &amp; DCCE",T12,IF(P7="Paid - Pure Loss",T13,IF(P7="Incurred - Loss &amp; DCCE",T14,IF(P7="Incurred - Pure Loss",T15,""))))</f>
        <v/>
      </c>
      <c r="U16" s="147" t="str">
        <f>IF(P7="Paid - Loss &amp; DCCE",U12,IF(P7="Paid - Pure Loss",U13,IF(P7="Incurred - Loss &amp; DCCE",U14,IF(P7="Incurred - Pure Loss",U15,""))))</f>
        <v/>
      </c>
      <c r="V16" s="147" t="str">
        <f>IF(P7="Paid - Loss &amp; DCCE",V12,IF(P7="Paid - Pure Loss",V13,IF(P7="Incurred - Loss &amp; DCCE",V14,IF(P7="Incurred - Pure Loss",V15,""))))</f>
        <v/>
      </c>
      <c r="W16" s="147" t="str">
        <f>IF(P7="Paid - Loss &amp; DCCE",W12,IF(P7="Paid - Pure Loss",W13,IF(P7="Incurred - Loss &amp; DCCE",W14,IF(P7="Incurred - Pure Loss",W15,""))))</f>
        <v/>
      </c>
      <c r="X16" s="147" t="str">
        <f>IF(P7="Paid - Loss &amp; DCCE",X12,IF(P7="Paid - Pure Loss",X13,IF(P7="Incurred - Loss &amp; DCCE",X14,IF(P7="Incurred - Pure Loss",X15,""))))</f>
        <v/>
      </c>
      <c r="Y16" s="282" t="s">
        <v>40</v>
      </c>
      <c r="Z16" s="68"/>
      <c r="AA16" s="147" t="str">
        <f>IF(AB7="Paid - Loss &amp; DCCE",AA12,IF(AB7="Paid - Pure Loss",AA13,IF(AB7="Incurred - Loss &amp; DCCE",AA14,IF(AB7="Incurred - Pure Loss",AA15,""))))</f>
        <v/>
      </c>
      <c r="AB16" s="147" t="str">
        <f>IF(AB7="Paid - Loss &amp; DCCE",AB12,IF(AB7="Paid - Pure Loss",AB13,IF(AB7="Incurred - Loss &amp; DCCE",AB14,IF(AB7="Incurred - Pure Loss",AB15,""))))</f>
        <v/>
      </c>
      <c r="AC16" s="147" t="str">
        <f>IF(AB7="Paid - Loss &amp; DCCE",AC12,IF(AB7="Paid - Pure Loss",AC13,IF(AB7="Incurred - Loss &amp; DCCE",AC14,IF(AB7="Incurred - Pure Loss",AC15,""))))</f>
        <v/>
      </c>
      <c r="AD16" s="147" t="str">
        <f>IF(AB7="Paid - Loss &amp; DCCE",AD12,IF(AB7="Paid - Pure Loss",AD13,IF(AB7="Incurred - Loss &amp; DCCE",AD14,IF(AB7="Incurred - Pure Loss",AD15,""))))</f>
        <v/>
      </c>
      <c r="AE16" s="147" t="str">
        <f>IF(AB7="Paid - Loss &amp; DCCE",AE12,IF(AB7="Paid - Pure Loss",AE13,IF(AB7="Incurred - Loss &amp; DCCE",AE14,IF(AB7="Incurred - Pure Loss",AE15,""))))</f>
        <v/>
      </c>
      <c r="AF16" s="147" t="str">
        <f>IF(AB7="Paid - Loss &amp; DCCE",AF12,IF(AB7="Paid - Pure Loss",AF13,IF(AB7="Incurred - Loss &amp; DCCE",AF14,IF(AB7="Incurred - Pure Loss",AF15,""))))</f>
        <v/>
      </c>
      <c r="AG16" s="147" t="str">
        <f>IF(AB7="Paid - Loss &amp; DCCE",AG12,IF(AB7="Paid - Pure Loss",AG13,IF(AB7="Incurred - Loss &amp; DCCE",AG14,IF(AB7="Incurred - Pure Loss",AG15,""))))</f>
        <v/>
      </c>
      <c r="AH16" s="147" t="str">
        <f>IF(AB7="Paid - Loss &amp; DCCE",AH12,IF(AB7="Paid - Pure Loss",AH13,IF(AB7="Incurred - Loss &amp; DCCE",AH14,IF(AB7="Incurred - Pure Loss",AH15,""))))</f>
        <v/>
      </c>
      <c r="AI16" s="147" t="str">
        <f>IF(AB7="Paid - Loss &amp; DCCE",AI12,IF(AB7="Paid - Pure Loss",AI13,IF(AB7="Incurred - Loss &amp; DCCE",AI14,IF(AB7="Incurred - Pure Loss",AI15,""))))</f>
        <v/>
      </c>
      <c r="AJ16" s="147" t="str">
        <f>IF(AB7="Paid - Loss &amp; DCCE",AJ12,IF(AB7="Paid - Pure Loss",AJ13,IF(AB7="Incurred - Loss &amp; DCCE",AJ14,IF(AB7="Incurred - Pure Loss",AJ15,""))))</f>
        <v/>
      </c>
      <c r="AK16" s="282" t="s">
        <v>40</v>
      </c>
      <c r="AL16" s="68"/>
      <c r="AM16" s="147" t="str">
        <f>IF(AN7="Paid - Loss &amp; DCCE",AM12,IF(AN7="Paid - Pure Loss",AM13,IF(AN7="Incurred - Loss &amp; DCCE",AM14,IF(AN7="Incurred - Pure Loss",AM15,""))))</f>
        <v/>
      </c>
      <c r="AN16" s="147" t="str">
        <f>IF(AN7="Paid - Loss &amp; DCCE",AN12,IF(AN7="Paid - Pure Loss",AN13,IF(AN7="Incurred - Loss &amp; DCCE",AN14,IF(AN7="Incurred - Pure Loss",AN15,""))))</f>
        <v/>
      </c>
      <c r="AO16" s="147" t="str">
        <f>IF(AN7="Paid - Loss &amp; DCCE",AO12,IF(AN7="Paid - Pure Loss",AO13,IF(AN7="Incurred - Loss &amp; DCCE",AO14,IF(AN7="Incurred - Pure Loss",AO15,""))))</f>
        <v/>
      </c>
      <c r="AP16" s="147" t="str">
        <f>IF(AN7="Paid - Loss &amp; DCCE",AP12,IF(AN7="Paid - Pure Loss",AP13,IF(AN7="Incurred - Loss &amp; DCCE",AP14,IF(AN7="Incurred - Pure Loss",AP15,""))))</f>
        <v/>
      </c>
      <c r="AQ16" s="147" t="str">
        <f>IF(AN7="Paid - Loss &amp; DCCE",AQ12,IF(AN7="Paid - Pure Loss",AQ13,IF(AN7="Incurred - Loss &amp; DCCE",AQ14,IF(AN7="Incurred - Pure Loss",AQ15,""))))</f>
        <v/>
      </c>
      <c r="AR16" s="147" t="str">
        <f>IF(AN7="Paid - Loss &amp; DCCE",AR12,IF(AN7="Paid - Pure Loss",AR13,IF(AN7="Incurred - Loss &amp; DCCE",AR14,IF(AN7="Incurred - Pure Loss",AR15,""))))</f>
        <v/>
      </c>
      <c r="AS16" s="147" t="str">
        <f>IF(AN7="Paid - Loss &amp; DCCE",AS12,IF(AN7="Paid - Pure Loss",AS13,IF(AN7="Incurred - Loss &amp; DCCE",AS14,IF(AN7="Incurred - Pure Loss",AS15,""))))</f>
        <v/>
      </c>
      <c r="AT16" s="147" t="str">
        <f>IF(AN7="Paid - Loss &amp; DCCE",AT12,IF(AN7="Paid - Pure Loss",AT13,IF(AN7="Incurred - Loss &amp; DCCE",AT14,IF(AN7="Incurred - Pure Loss",AT15,""))))</f>
        <v/>
      </c>
      <c r="AU16" s="147" t="str">
        <f>IF(AN7="Paid - Loss &amp; DCCE",AU12,IF(AN7="Paid - Pure Loss",AU13,IF(AN7="Incurred - Loss &amp; DCCE",AU14,IF(AN7="Incurred - Pure Loss",AU15,""))))</f>
        <v/>
      </c>
      <c r="AV16" s="147" t="str">
        <f>IF(AN7="Paid - Loss &amp; DCCE",AV12,IF(AN7="Paid - Pure Loss",AV13,IF(AN7="Incurred - Loss &amp; DCCE",AV14,IF(AN7="Incurred - Pure Loss",AV15,""))))</f>
        <v/>
      </c>
      <c r="AW16" s="282" t="s">
        <v>40</v>
      </c>
      <c r="AX16" s="68"/>
      <c r="AY16" s="147" t="str">
        <f>IF(AZ7="Paid - Loss &amp; DCCE",AY12,IF(AZ7="Paid - Pure Loss",AY13,IF(AZ7="Incurred - Loss &amp; DCCE",AY14,IF(AZ7="Incurred - Pure Loss",AY15,""))))</f>
        <v/>
      </c>
      <c r="AZ16" s="147" t="str">
        <f>IF(AZ7="Paid - Loss &amp; DCCE",AZ12,IF(AZ7="Paid - Pure Loss",AZ13,IF(AZ7="Incurred - Loss &amp; DCCE",AZ14,IF(AZ7="Incurred - Pure Loss",AZ15,""))))</f>
        <v/>
      </c>
      <c r="BA16" s="147" t="str">
        <f>IF(AZ7="Paid - Loss &amp; DCCE",BA12,IF(AZ7="Paid - Pure Loss",BA13,IF(AZ7="Incurred - Loss &amp; DCCE",BA14,IF(AZ7="Incurred - Pure Loss",BA15,""))))</f>
        <v/>
      </c>
      <c r="BB16" s="147" t="str">
        <f>IF(AZ7="Paid - Loss &amp; DCCE",BB12,IF(AZ7="Paid - Pure Loss",BB13,IF(AZ7="Incurred - Loss &amp; DCCE",BB14,IF(AZ7="Incurred - Pure Loss",BB15,""))))</f>
        <v/>
      </c>
      <c r="BC16" s="147" t="str">
        <f>IF(AZ7="Paid - Loss &amp; DCCE",BC12,IF(AZ7="Paid - Pure Loss",BC13,IF(AZ7="Incurred - Loss &amp; DCCE",BC14,IF(AZ7="Incurred - Pure Loss",BC15,""))))</f>
        <v/>
      </c>
      <c r="BD16" s="147" t="str">
        <f>IF(AZ7="Paid - Loss &amp; DCCE",BD12,IF(AZ7="Paid - Pure Loss",BD13,IF(AZ7="Incurred - Loss &amp; DCCE",BD14,IF(AZ7="Incurred - Pure Loss",BD15,""))))</f>
        <v/>
      </c>
      <c r="BE16" s="147" t="str">
        <f>IF(AZ7="Paid - Loss &amp; DCCE",BE12,IF(AZ7="Paid - Pure Loss",BE13,IF(AZ7="Incurred - Loss &amp; DCCE",BE14,IF(AZ7="Incurred - Pure Loss",BE15,""))))</f>
        <v/>
      </c>
      <c r="BF16" s="147" t="str">
        <f>IF(AZ7="Paid - Loss &amp; DCCE",BF12,IF(AZ7="Paid - Pure Loss",BF13,IF(AZ7="Incurred - Loss &amp; DCCE",BF14,IF(AZ7="Incurred - Pure Loss",BF15,""))))</f>
        <v/>
      </c>
      <c r="BG16" s="147" t="str">
        <f>IF(AZ7="Paid - Loss &amp; DCCE",BG12,IF(AZ7="Paid - Pure Loss",BG13,IF(AZ7="Incurred - Loss &amp; DCCE",BG14,IF(AZ7="Incurred - Pure Loss",BG15,""))))</f>
        <v/>
      </c>
      <c r="BH16" s="147" t="str">
        <f>IF(AZ7="Paid - Loss &amp; DCCE",BH12,IF(AZ7="Paid - Pure Loss",BH13,IF(AZ7="Incurred - Loss &amp; DCCE",BH14,IF(AZ7="Incurred - Pure Loss",BH15,""))))</f>
        <v/>
      </c>
      <c r="BI16" s="282" t="s">
        <v>40</v>
      </c>
      <c r="BJ16" s="68"/>
      <c r="BK16" s="147" t="str">
        <f>IF(BL7="Paid - Loss &amp; DCCE",BK12,IF(BL7="Paid - Pure Loss",BK13,IF(BL7="Incurred - Loss &amp; DCCE",BK14,IF(BL7="Incurred - Pure Loss",BK15,""))))</f>
        <v/>
      </c>
      <c r="BL16" s="147" t="str">
        <f>IF(BL7="Paid - Loss &amp; DCCE",BL12,IF(BL7="Paid - Pure Loss",BL13,IF(BL7="Incurred - Loss &amp; DCCE",BL14,IF(BL7="Incurred - Pure Loss",BL15,""))))</f>
        <v/>
      </c>
      <c r="BM16" s="147" t="str">
        <f>IF(BL7="Paid - Loss &amp; DCCE",BM12,IF(BL7="Paid - Pure Loss",BM13,IF(BL7="Incurred - Loss &amp; DCCE",BM14,IF(BL7="Incurred - Pure Loss",BM15,""))))</f>
        <v/>
      </c>
      <c r="BN16" s="147" t="str">
        <f>IF(BL7="Paid - Loss &amp; DCCE",BN12,IF(BL7="Paid - Pure Loss",BN13,IF(BL7="Incurred - Loss &amp; DCCE",BN14,IF(BL7="Incurred - Pure Loss",BN15,""))))</f>
        <v/>
      </c>
      <c r="BO16" s="147" t="str">
        <f>IF(BL7="Paid - Loss &amp; DCCE",BO12,IF(BL7="Paid - Pure Loss",BO13,IF(BL7="Incurred - Loss &amp; DCCE",BO14,IF(BL7="Incurred - Pure Loss",BO15,""))))</f>
        <v/>
      </c>
      <c r="BP16" s="147" t="str">
        <f>IF(BL7="Paid - Loss &amp; DCCE",BP12,IF(BL7="Paid - Pure Loss",BP13,IF(BL7="Incurred - Loss &amp; DCCE",BP14,IF(BL7="Incurred - Pure Loss",BP15,""))))</f>
        <v/>
      </c>
      <c r="BQ16" s="147" t="str">
        <f>IF(BL7="Paid - Loss &amp; DCCE",BQ12,IF(BL7="Paid - Pure Loss",BQ13,IF(BL7="Incurred - Loss &amp; DCCE",BQ14,IF(BL7="Incurred - Pure Loss",BQ15,""))))</f>
        <v/>
      </c>
      <c r="BR16" s="147" t="str">
        <f>IF(BL7="Paid - Loss &amp; DCCE",BR12,IF(BL7="Paid - Pure Loss",BR13,IF(BL7="Incurred - Loss &amp; DCCE",BR14,IF(BL7="Incurred - Pure Loss",BR15,""))))</f>
        <v/>
      </c>
      <c r="BS16" s="147" t="str">
        <f>IF(BL7="Paid - Loss &amp; DCCE",BS12,IF(BL7="Paid - Pure Loss",BS13,IF(BL7="Incurred - Loss &amp; DCCE",BS14,IF(BL7="Incurred - Pure Loss",BS15,""))))</f>
        <v/>
      </c>
      <c r="BT16" s="147" t="str">
        <f>IF(BL7="Paid - Loss &amp; DCCE",BT12,IF(BL7="Paid - Pure Loss",BT13,IF(BL7="Incurred - Loss &amp; DCCE",BT14,IF(BL7="Incurred - Pure Loss",BT15,""))))</f>
        <v/>
      </c>
      <c r="BU16" s="282" t="s">
        <v>40</v>
      </c>
      <c r="BV16" s="68"/>
      <c r="BW16" s="147" t="str">
        <f>IF(BX7="Paid - Loss &amp; DCCE",BW12,IF(BX7="Paid - Pure Loss",BW13,IF(BX7="Incurred - Loss &amp; DCCE",BW14,IF(BX7="Incurred - Pure Loss",BW15,""))))</f>
        <v/>
      </c>
      <c r="BX16" s="147" t="str">
        <f>IF(BX7="Paid - Loss &amp; DCCE",BX12,IF(BX7="Paid - Pure Loss",BX13,IF(BX7="Incurred - Loss &amp; DCCE",BX14,IF(BX7="Incurred - Pure Loss",BX15,""))))</f>
        <v/>
      </c>
      <c r="BY16" s="147" t="str">
        <f>IF(BX7="Paid - Loss &amp; DCCE",BY12,IF(BX7="Paid - Pure Loss",BY13,IF(BX7="Incurred - Loss &amp; DCCE",BY14,IF(BX7="Incurred - Pure Loss",BY15,""))))</f>
        <v/>
      </c>
      <c r="BZ16" s="147" t="str">
        <f>IF(BX7="Paid - Loss &amp; DCCE",BZ12,IF(BX7="Paid - Pure Loss",BZ13,IF(BX7="Incurred - Loss &amp; DCCE",BZ14,IF(BX7="Incurred - Pure Loss",BZ15,""))))</f>
        <v/>
      </c>
      <c r="CA16" s="147" t="str">
        <f>IF(BX7="Paid - Loss &amp; DCCE",CA12,IF(BX7="Paid - Pure Loss",CA13,IF(BX7="Incurred - Loss &amp; DCCE",CA14,IF(BX7="Incurred - Pure Loss",CA15,""))))</f>
        <v/>
      </c>
      <c r="CB16" s="147" t="str">
        <f>IF(BX7="Paid - Loss &amp; DCCE",CB12,IF(BX7="Paid - Pure Loss",CB13,IF(BX7="Incurred - Loss &amp; DCCE",CB14,IF(BX7="Incurred - Pure Loss",CB15,""))))</f>
        <v/>
      </c>
      <c r="CC16" s="147" t="str">
        <f>IF(BX7="Paid - Loss &amp; DCCE",CC12,IF(BX7="Paid - Pure Loss",CC13,IF(BX7="Incurred - Loss &amp; DCCE",CC14,IF(BX7="Incurred - Pure Loss",CC15,""))))</f>
        <v/>
      </c>
      <c r="CD16" s="147" t="str">
        <f>IF(BX7="Paid - Loss &amp; DCCE",CD12,IF(BX7="Paid - Pure Loss",CD13,IF(BX7="Incurred - Loss &amp; DCCE",CD14,IF(BX7="Incurred - Pure Loss",CD15,""))))</f>
        <v/>
      </c>
      <c r="CE16" s="147" t="str">
        <f>IF(BX7="Paid - Loss &amp; DCCE",CE12,IF(BX7="Paid - Pure Loss",CE13,IF(BX7="Incurred - Loss &amp; DCCE",CE14,IF(BX7="Incurred - Pure Loss",CE15,""))))</f>
        <v/>
      </c>
      <c r="CF16" s="147" t="str">
        <f>IF(BX7="Paid - Loss &amp; DCCE",CF12,IF(BX7="Paid - Pure Loss",CF13,IF(BX7="Incurred - Loss &amp; DCCE",CF14,IF(BX7="Incurred - Pure Loss",CF15,""))))</f>
        <v/>
      </c>
      <c r="CG16" s="282" t="s">
        <v>40</v>
      </c>
      <c r="CH16" s="68"/>
      <c r="CI16" s="147" t="str">
        <f>IF(CJ7="Paid - Loss &amp; DCCE",CI12,IF(CJ7="Paid - Pure Loss",CI13,IF(CJ7="Incurred - Loss &amp; DCCE",CI14,IF(CJ7="Incurred - Pure Loss",CI15,""))))</f>
        <v/>
      </c>
      <c r="CJ16" s="147" t="str">
        <f>IF(CJ7="Paid - Loss &amp; DCCE",CJ12,IF(CJ7="Paid - Pure Loss",CJ13,IF(CJ7="Incurred - Loss &amp; DCCE",CJ14,IF(CJ7="Incurred - Pure Loss",CJ15,""))))</f>
        <v/>
      </c>
      <c r="CK16" s="147" t="str">
        <f>IF(CJ7="Paid - Loss &amp; DCCE",CK12,IF(CJ7="Paid - Pure Loss",CK13,IF(CJ7="Incurred - Loss &amp; DCCE",CK14,IF(CJ7="Incurred - Pure Loss",CK15,""))))</f>
        <v/>
      </c>
      <c r="CL16" s="147" t="str">
        <f>IF(CJ7="Paid - Loss &amp; DCCE",CL12,IF(CJ7="Paid - Pure Loss",CL13,IF(CJ7="Incurred - Loss &amp; DCCE",CL14,IF(CJ7="Incurred - Pure Loss",CL15,""))))</f>
        <v/>
      </c>
      <c r="CM16" s="147" t="str">
        <f>IF(CJ7="Paid - Loss &amp; DCCE",CM12,IF(CJ7="Paid - Pure Loss",CM13,IF(CJ7="Incurred - Loss &amp; DCCE",CM14,IF(CJ7="Incurred - Pure Loss",CM15,""))))</f>
        <v/>
      </c>
      <c r="CN16" s="147" t="str">
        <f>IF(CJ7="Paid - Loss &amp; DCCE",CN12,IF(CJ7="Paid - Pure Loss",CN13,IF(CJ7="Incurred - Loss &amp; DCCE",CN14,IF(CJ7="Incurred - Pure Loss",CN15,""))))</f>
        <v/>
      </c>
      <c r="CO16" s="147" t="str">
        <f>IF(CJ7="Paid - Loss &amp; DCCE",CO12,IF(CJ7="Paid - Pure Loss",CO13,IF(CJ7="Incurred - Loss &amp; DCCE",CO14,IF(CJ7="Incurred - Pure Loss",CO15,""))))</f>
        <v/>
      </c>
      <c r="CP16" s="147" t="str">
        <f>IF(CJ7="Paid - Loss &amp; DCCE",CP12,IF(CJ7="Paid - Pure Loss",CP13,IF(CJ7="Incurred - Loss &amp; DCCE",CP14,IF(CJ7="Incurred - Pure Loss",CP15,""))))</f>
        <v/>
      </c>
      <c r="CQ16" s="147" t="str">
        <f>IF(CJ7="Paid - Loss &amp; DCCE",CQ12,IF(CJ7="Paid - Pure Loss",CQ13,IF(CJ7="Incurred - Loss &amp; DCCE",CQ14,IF(CJ7="Incurred - Pure Loss",CQ15,""))))</f>
        <v/>
      </c>
      <c r="CR16" s="147" t="str">
        <f>IF(CJ7="Paid - Loss &amp; DCCE",CR12,IF(CJ7="Paid - Pure Loss",CR13,IF(CJ7="Incurred - Loss &amp; DCCE",CR14,IF(CJ7="Incurred - Pure Loss",CR15,""))))</f>
        <v/>
      </c>
      <c r="CS16" s="282" t="s">
        <v>40</v>
      </c>
      <c r="CT16" s="68"/>
      <c r="CU16" s="147" t="str">
        <f>IF(CV7="Paid - Loss &amp; DCCE",CU12,IF(CV7="Paid - Pure Loss",CU13,IF(CV7="Incurred - Loss &amp; DCCE",CU14,IF(CV7="Incurred - Pure Loss",CU15,""))))</f>
        <v/>
      </c>
      <c r="CV16" s="147" t="str">
        <f>IF(CV7="Paid - Loss &amp; DCCE",CV12,IF(CV7="Paid - Pure Loss",CV13,IF(CV7="Incurred - Loss &amp; DCCE",CV14,IF(CV7="Incurred - Pure Loss",CV15,""))))</f>
        <v/>
      </c>
      <c r="CW16" s="147" t="str">
        <f>IF(CV7="Paid - Loss &amp; DCCE",CW12,IF(CV7="Paid - Pure Loss",CW13,IF(CV7="Incurred - Loss &amp; DCCE",CW14,IF(CV7="Incurred - Pure Loss",CW15,""))))</f>
        <v/>
      </c>
      <c r="CX16" s="147" t="str">
        <f>IF(CV7="Paid - Loss &amp; DCCE",CX12,IF(CV7="Paid - Pure Loss",CX13,IF(CV7="Incurred - Loss &amp; DCCE",CX14,IF(CV7="Incurred - Pure Loss",CX15,""))))</f>
        <v/>
      </c>
      <c r="CY16" s="147" t="str">
        <f>IF(CV7="Paid - Loss &amp; DCCE",CY12,IF(CV7="Paid - Pure Loss",CY13,IF(CV7="Incurred - Loss &amp; DCCE",CY14,IF(CV7="Incurred - Pure Loss",CY15,""))))</f>
        <v/>
      </c>
      <c r="CZ16" s="147" t="str">
        <f>IF(CV7="Paid - Loss &amp; DCCE",CZ12,IF(CV7="Paid - Pure Loss",CZ13,IF(CV7="Incurred - Loss &amp; DCCE",CZ14,IF(CV7="Incurred - Pure Loss",CZ15,""))))</f>
        <v/>
      </c>
      <c r="DA16" s="147" t="str">
        <f>IF(CV7="Paid - Loss &amp; DCCE",DA12,IF(CV7="Paid - Pure Loss",DA13,IF(CV7="Incurred - Loss &amp; DCCE",DA14,IF(CV7="Incurred - Pure Loss",DA15,""))))</f>
        <v/>
      </c>
      <c r="DB16" s="147" t="str">
        <f>IF(CV7="Paid - Loss &amp; DCCE",DB12,IF(CV7="Paid - Pure Loss",DB13,IF(CV7="Incurred - Loss &amp; DCCE",DB14,IF(CV7="Incurred - Pure Loss",DB15,""))))</f>
        <v/>
      </c>
      <c r="DC16" s="147" t="str">
        <f>IF(CV7="Paid - Loss &amp; DCCE",DC12,IF(CV7="Paid - Pure Loss",DC13,IF(CV7="Incurred - Loss &amp; DCCE",DC14,IF(CV7="Incurred - Pure Loss",DC15,""))))</f>
        <v/>
      </c>
      <c r="DD16" s="147" t="str">
        <f>IF(CV7="Paid - Loss &amp; DCCE",DD12,IF(CV7="Paid - Pure Loss",DD13,IF(CV7="Incurred - Loss &amp; DCCE",DD14,IF(CV7="Incurred - Pure Loss",DD15,""))))</f>
        <v/>
      </c>
      <c r="DE16" s="282" t="s">
        <v>40</v>
      </c>
      <c r="DF16" s="68"/>
      <c r="DG16" s="147" t="str">
        <f>IF(DH7="Paid - Loss &amp; DCCE",DG12,IF(DH7="Paid - Pure Loss",DG13,IF(DH7="Incurred - Loss &amp; DCCE",DG14,IF(DH7="Incurred - Pure Loss",DG15,""))))</f>
        <v/>
      </c>
      <c r="DH16" s="147" t="str">
        <f>IF(DH7="Paid - Loss &amp; DCCE",DH12,IF(DH7="Paid - Pure Loss",DH13,IF(DH7="Incurred - Loss &amp; DCCE",DH14,IF(DH7="Incurred - Pure Loss",DH15,""))))</f>
        <v/>
      </c>
      <c r="DI16" s="147" t="str">
        <f>IF(DH7="Paid - Loss &amp; DCCE",DI12,IF(DH7="Paid - Pure Loss",DI13,IF(DH7="Incurred - Loss &amp; DCCE",DI14,IF(DH7="Incurred - Pure Loss",DI15,""))))</f>
        <v/>
      </c>
      <c r="DJ16" s="147" t="str">
        <f>IF(DH7="Paid - Loss &amp; DCCE",DJ12,IF(DH7="Paid - Pure Loss",DJ13,IF(DH7="Incurred - Loss &amp; DCCE",DJ14,IF(DH7="Incurred - Pure Loss",DJ15,""))))</f>
        <v/>
      </c>
      <c r="DK16" s="147" t="str">
        <f>IF(DH7="Paid - Loss &amp; DCCE",DK12,IF(DH7="Paid - Pure Loss",DK13,IF(DH7="Incurred - Loss &amp; DCCE",DK14,IF(DH7="Incurred - Pure Loss",DK15,""))))</f>
        <v/>
      </c>
      <c r="DL16" s="147" t="str">
        <f>IF(DH7="Paid - Loss &amp; DCCE",DL12,IF(DH7="Paid - Pure Loss",DL13,IF(DH7="Incurred - Loss &amp; DCCE",DL14,IF(DH7="Incurred - Pure Loss",DL15,""))))</f>
        <v/>
      </c>
      <c r="DM16" s="147" t="str">
        <f>IF(DH7="Paid - Loss &amp; DCCE",DM12,IF(DH7="Paid - Pure Loss",DM13,IF(DH7="Incurred - Loss &amp; DCCE",DM14,IF(DH7="Incurred - Pure Loss",DM15,""))))</f>
        <v/>
      </c>
      <c r="DN16" s="147" t="str">
        <f>IF(DH7="Paid - Loss &amp; DCCE",DN12,IF(DH7="Paid - Pure Loss",DN13,IF(DH7="Incurred - Loss &amp; DCCE",DN14,IF(DH7="Incurred - Pure Loss",DN15,""))))</f>
        <v/>
      </c>
      <c r="DO16" s="147" t="str">
        <f>IF(DH7="Paid - Loss &amp; DCCE",DO12,IF(DH7="Paid - Pure Loss",DO13,IF(DH7="Incurred - Loss &amp; DCCE",DO14,IF(DH7="Incurred - Pure Loss",DO15,""))))</f>
        <v/>
      </c>
      <c r="DP16" s="147" t="str">
        <f>IF(DH7="Paid - Loss &amp; DCCE",DP12,IF(DH7="Paid - Pure Loss",DP13,IF(DH7="Incurred - Loss &amp; DCCE",DP14,IF(DH7="Incurred - Pure Loss",DP15,""))))</f>
        <v/>
      </c>
    </row>
    <row r="17" spans="1:120" s="295" customFormat="1" ht="15" customHeight="1" x14ac:dyDescent="0.35">
      <c r="A17" s="291" t="s">
        <v>206</v>
      </c>
      <c r="B17" s="292"/>
      <c r="C17" s="293">
        <f>IF(OR(D7="Paid - Loss &amp; DCCE",D7="Incurred - Loss &amp; DCCE"),"N/A",IF(COUNTA(B106:L115)=0,"",INDEX(C132:L132,1,11-MATCH(C11,C11:L11,0))))</f>
        <v>8186100.2000000002</v>
      </c>
      <c r="D17" s="293">
        <f>IF(OR(D7="Paid - Loss &amp; DCCE",D7="Incurred - Loss &amp; DCCE"),"N/A",IF(COUNTA(B106:L115)=0,"",INDEX(C132:L132,1,11-MATCH(D11,C11:L11,0))))</f>
        <v>8499084.8072538022</v>
      </c>
      <c r="E17" s="293">
        <f>IF(OR(D7="Paid - Loss &amp; DCCE",D7="Incurred - Loss &amp; DCCE"),"N/A",IF(COUNTA(B106:L115)=0,"",INDEX(C132:L132,1,11-MATCH(E11,C11:L11,0))))</f>
        <v>10741992.925248126</v>
      </c>
      <c r="F17" s="293">
        <f>IF(OR(D7="Paid - Loss &amp; DCCE",D7="Incurred - Loss &amp; DCCE"),"N/A",IF(COUNTA(B106:L115)=0,"",INDEX(C132:L132,1,11-MATCH(F11,C11:L11,0))))</f>
        <v>8893491.1234304607</v>
      </c>
      <c r="G17" s="293">
        <f>IF(OR(D7="Paid - Loss &amp; DCCE",D7="Incurred - Loss &amp; DCCE"),"N/A",IF(COUNTA(B106:L115)=0,"",INDEX(C132:L132,1,11-MATCH(G11,C11:L11,0))))</f>
        <v>10764738.55543234</v>
      </c>
      <c r="H17" s="293">
        <f>IF(OR(D7="Paid - Loss &amp; DCCE",D7="Incurred - Loss &amp; DCCE"),"N/A",IF(COUNTA(B106:L115)=0,"",INDEX(C132:L132,1,11-MATCH(H11,C11:L11,0))))</f>
        <v>8723190.6785433125</v>
      </c>
      <c r="I17" s="293">
        <f>IF(OR(D7="Paid - Loss &amp; DCCE",D7="Incurred - Loss &amp; DCCE"),"N/A",IF(COUNTA(B106:L115)=0,"",INDEX(C132:L132,1,11-MATCH(I11,C11:L11,0))))</f>
        <v>9216663.1742638852</v>
      </c>
      <c r="J17" s="293">
        <f>IF(OR(D7="Paid - Loss &amp; DCCE",D7="Incurred - Loss &amp; DCCE"),"N/A",IF(COUNTA(B106:L115)=0,"",INDEX(C132:L132,1,11-MATCH(J11,C11:L11,0))))</f>
        <v>8959823.4943410754</v>
      </c>
      <c r="K17" s="293">
        <f>IF(OR(D7="Paid - Loss &amp; DCCE",D7="Incurred - Loss &amp; DCCE"),"N/A",IF(COUNTA(B106:L115)=0,"",INDEX(C132:L132,1,11-MATCH(K11,C11:L11,0))))</f>
        <v>10837511.649401009</v>
      </c>
      <c r="L17" s="293">
        <f>IF(OR(D7="Paid - Loss &amp; DCCE",D7="Incurred - Loss &amp; DCCE"),"N/A",IF(COUNTA(B106:L115)=0,"",INDEX(C132:L132,1,11-MATCH(L11,C11:L11,0))))</f>
        <v>10556931.981619893</v>
      </c>
      <c r="M17" s="294" t="s">
        <v>206</v>
      </c>
      <c r="N17" s="292"/>
      <c r="O17" s="293" t="str">
        <f>IF(OR(P7="Paid - Loss &amp; DCCE",P7="Incurred - Loss &amp; DCCE"),"N/A",IF(COUNTA(N106:X115)=0,"",INDEX(O132:X132,1,11-MATCH(O11,O11:X11,0))))</f>
        <v/>
      </c>
      <c r="P17" s="293" t="str">
        <f>IF(OR(P7="Paid - Loss &amp; DCCE",P7="Incurred - Loss &amp; DCCE"),"N/A",IF(COUNTA(N106:X115)=0,"",INDEX(O132:X132,1,11-MATCH(P11,O11:X11,0))))</f>
        <v/>
      </c>
      <c r="Q17" s="293" t="str">
        <f>IF(OR(P7="Paid - Loss &amp; DCCE",P7="Incurred - Loss &amp; DCCE"),"N/A",IF(COUNTA(N106:X115)=0,"",INDEX(O132:X132,1,11-MATCH(Q11,O11:X11,0))))</f>
        <v/>
      </c>
      <c r="R17" s="293" t="str">
        <f>IF(OR(P7="Paid - Loss &amp; DCCE",P7="Incurred - Loss &amp; DCCE"),"N/A",IF(COUNTA(N106:X115)=0,"",INDEX(O132:X132,1,11-MATCH(R11,O11:X11,0))))</f>
        <v/>
      </c>
      <c r="S17" s="293" t="str">
        <f>IF(OR(P7="Paid - Loss &amp; DCCE",P7="Incurred - Loss &amp; DCCE"),"N/A",IF(COUNTA(N106:X115)=0,"",INDEX(O132:X132,1,11-MATCH(S11,O11:X11,0))))</f>
        <v/>
      </c>
      <c r="T17" s="293" t="str">
        <f>IF(OR(P7="Paid - Loss &amp; DCCE",P7="Incurred - Loss &amp; DCCE"),"N/A",IF(COUNTA(N106:X115)=0,"",INDEX(O132:X132,1,11-MATCH(T11,O11:X11,0))))</f>
        <v/>
      </c>
      <c r="U17" s="293" t="str">
        <f>IF(OR(P7="Paid - Loss &amp; DCCE",P7="Incurred - Loss &amp; DCCE"),"N/A",IF(COUNTA(N106:X115)=0,"",INDEX(O132:X132,1,11-MATCH(U11,O11:X11,0))))</f>
        <v/>
      </c>
      <c r="V17" s="293" t="str">
        <f>IF(OR(P7="Paid - Loss &amp; DCCE",P7="Incurred - Loss &amp; DCCE"),"N/A",IF(COUNTA(N106:X115)=0,"",INDEX(O132:X132,1,11-MATCH(V11,O11:X11,0))))</f>
        <v/>
      </c>
      <c r="W17" s="293" t="str">
        <f>IF(OR(P7="Paid - Loss &amp; DCCE",P7="Incurred - Loss &amp; DCCE"),"N/A",IF(COUNTA(N106:X115)=0,"",INDEX(O132:X132,1,11-MATCH(W11,O11:X11,0))))</f>
        <v/>
      </c>
      <c r="X17" s="293" t="str">
        <f>IF(OR(P7="Paid - Loss &amp; DCCE",P7="Incurred - Loss &amp; DCCE"),"N/A",IF(COUNTA(N106:X115)=0,"",INDEX(O132:X132,1,11-MATCH(X11,O11:X11,0))))</f>
        <v/>
      </c>
      <c r="Y17" s="294" t="s">
        <v>206</v>
      </c>
      <c r="Z17" s="292"/>
      <c r="AA17" s="293" t="str">
        <f>IF(OR(AB7="Paid - Loss &amp; DCCE",AB7="Incurred - Loss &amp; DCCE"),"N/A",IF(COUNTA(Z106:AJ115)=0,"",INDEX(AA132:AJ132,1,11-MATCH(AA11,AA11:AJ11,0))))</f>
        <v/>
      </c>
      <c r="AB17" s="293" t="str">
        <f>IF(OR(AB7="Paid - Loss &amp; DCCE",AB7="Incurred - Loss &amp; DCCE"),"N/A",IF(COUNTA(Z106:AJ115)=0,"",INDEX(AA132:AJ132,1,11-MATCH(AB11,AA11:AJ11,0))))</f>
        <v/>
      </c>
      <c r="AC17" s="293" t="str">
        <f>IF(OR(AB7="Paid - Loss &amp; DCCE",AB7="Incurred - Loss &amp; DCCE"),"N/A",IF(COUNTA(Z106:AJ115)=0,"",INDEX(AA132:AJ132,1,11-MATCH(AC11,AA11:AJ11,0))))</f>
        <v/>
      </c>
      <c r="AD17" s="293" t="str">
        <f>IF(OR(AB7="Paid - Loss &amp; DCCE",AB7="Incurred - Loss &amp; DCCE"),"N/A",IF(COUNTA(Z106:AJ115)=0,"",INDEX(AA132:AJ132,1,11-MATCH(AD11,AA11:AJ11,0))))</f>
        <v/>
      </c>
      <c r="AE17" s="293" t="str">
        <f>IF(OR(AB7="Paid - Loss &amp; DCCE",AB7="Incurred - Loss &amp; DCCE"),"N/A",IF(COUNTA(Z106:AJ115)=0,"",INDEX(AA132:AJ132,1,11-MATCH(AE11,AA11:AJ11,0))))</f>
        <v/>
      </c>
      <c r="AF17" s="293" t="str">
        <f>IF(OR(AB7="Paid - Loss &amp; DCCE",AB7="Incurred - Loss &amp; DCCE"),"N/A",IF(COUNTA(Z106:AJ115)=0,"",INDEX(AA132:AJ132,1,11-MATCH(AF11,AA11:AJ11,0))))</f>
        <v/>
      </c>
      <c r="AG17" s="293" t="str">
        <f>IF(OR(AB7="Paid - Loss &amp; DCCE",AB7="Incurred - Loss &amp; DCCE"),"N/A",IF(COUNTA(Z106:AJ115)=0,"",INDEX(AA132:AJ132,1,11-MATCH(AG11,AA11:AJ11,0))))</f>
        <v/>
      </c>
      <c r="AH17" s="293" t="str">
        <f>IF(OR(AB7="Paid - Loss &amp; DCCE",AB7="Incurred - Loss &amp; DCCE"),"N/A",IF(COUNTA(Z106:AJ115)=0,"",INDEX(AA132:AJ132,1,11-MATCH(AH11,AA11:AJ11,0))))</f>
        <v/>
      </c>
      <c r="AI17" s="293" t="str">
        <f>IF(OR(AB7="Paid - Loss &amp; DCCE",AB7="Incurred - Loss &amp; DCCE"),"N/A",IF(COUNTA(Z106:AJ115)=0,"",INDEX(AA132:AJ132,1,11-MATCH(AI11,AA11:AJ11,0))))</f>
        <v/>
      </c>
      <c r="AJ17" s="293" t="str">
        <f>IF(OR(AB7="Paid - Loss &amp; DCCE",AB7="Incurred - Loss &amp; DCCE"),"N/A",IF(COUNTA(Z106:AJ115)=0,"",INDEX(AA132:AJ132,1,11-MATCH(AJ11,AA11:AJ11,0))))</f>
        <v/>
      </c>
      <c r="AK17" s="294" t="s">
        <v>206</v>
      </c>
      <c r="AL17" s="292"/>
      <c r="AM17" s="293" t="str">
        <f>IF(OR(AN7="Paid - Loss &amp; DCCE",AN7="Incurred - Loss &amp; DCCE"),"N/A",IF(COUNTA(AL106:AV115)=0,"",INDEX(AM132:AV132,1,11-MATCH(AM11,AM11:AV11,0))))</f>
        <v/>
      </c>
      <c r="AN17" s="293" t="str">
        <f>IF(OR(AN7="Paid - Loss &amp; DCCE",AN7="Incurred - Loss &amp; DCCE"),"N/A",IF(COUNTA(AL106:AV115)=0,"",INDEX(AM132:AV132,1,11-MATCH(AN11,AM11:AV11,0))))</f>
        <v/>
      </c>
      <c r="AO17" s="293" t="str">
        <f>IF(OR(AN7="Paid - Loss &amp; DCCE",AN7="Incurred - Loss &amp; DCCE"),"N/A",IF(COUNTA(AL106:AV115)=0,"",INDEX(AM132:AV132,1,11-MATCH(AO11,AM11:AV11,0))))</f>
        <v/>
      </c>
      <c r="AP17" s="293" t="str">
        <f>IF(OR(AN7="Paid - Loss &amp; DCCE",AN7="Incurred - Loss &amp; DCCE"),"N/A",IF(COUNTA(AL106:AV115)=0,"",INDEX(AM132:AV132,1,11-MATCH(AP11,AM11:AV11,0))))</f>
        <v/>
      </c>
      <c r="AQ17" s="293" t="str">
        <f>IF(OR(AN7="Paid - Loss &amp; DCCE",AN7="Incurred - Loss &amp; DCCE"),"N/A",IF(COUNTA(AL106:AV115)=0,"",INDEX(AM132:AV132,1,11-MATCH(AQ11,AM11:AV11,0))))</f>
        <v/>
      </c>
      <c r="AR17" s="293" t="str">
        <f>IF(OR(AN7="Paid - Loss &amp; DCCE",AN7="Incurred - Loss &amp; DCCE"),"N/A",IF(COUNTA(AL106:AV115)=0,"",INDEX(AM132:AV132,1,11-MATCH(AR11,AM11:AV11,0))))</f>
        <v/>
      </c>
      <c r="AS17" s="293" t="str">
        <f>IF(OR(AN7="Paid - Loss &amp; DCCE",AN7="Incurred - Loss &amp; DCCE"),"N/A",IF(COUNTA(AL106:AV115)=0,"",INDEX(AM132:AV132,1,11-MATCH(AS11,AM11:AV11,0))))</f>
        <v/>
      </c>
      <c r="AT17" s="293" t="str">
        <f>IF(OR(AN7="Paid - Loss &amp; DCCE",AN7="Incurred - Loss &amp; DCCE"),"N/A",IF(COUNTA(AL106:AV115)=0,"",INDEX(AM132:AV132,1,11-MATCH(AT11,AM11:AV11,0))))</f>
        <v/>
      </c>
      <c r="AU17" s="293" t="str">
        <f>IF(OR(AN7="Paid - Loss &amp; DCCE",AN7="Incurred - Loss &amp; DCCE"),"N/A",IF(COUNTA(AL106:AV115)=0,"",INDEX(AM132:AV132,1,11-MATCH(AU11,AM11:AV11,0))))</f>
        <v/>
      </c>
      <c r="AV17" s="293" t="str">
        <f>IF(OR(AN7="Paid - Loss &amp; DCCE",AN7="Incurred - Loss &amp; DCCE"),"N/A",IF(COUNTA(AL106:AV115)=0,"",INDEX(AM132:AV132,1,11-MATCH(AV11,AM11:AV11,0))))</f>
        <v/>
      </c>
      <c r="AW17" s="294" t="s">
        <v>206</v>
      </c>
      <c r="AX17" s="292"/>
      <c r="AY17" s="293" t="str">
        <f>IF(OR(AZ7="Paid - Loss &amp; DCCE",AZ7="Incurred - Loss &amp; DCCE"),"N/A",IF(COUNTA(AX106:BH115)=0,"",INDEX(AY132:BH132,1,11-MATCH(AY11,AY11:BH11,0))))</f>
        <v/>
      </c>
      <c r="AZ17" s="293" t="str">
        <f>IF(OR(AZ7="Paid - Loss &amp; DCCE",AZ7="Incurred - Loss &amp; DCCE"),"N/A",IF(COUNTA(AX106:BH115)=0,"",INDEX(AY132:BH132,1,11-MATCH(AZ11,AY11:BH11,0))))</f>
        <v/>
      </c>
      <c r="BA17" s="293" t="str">
        <f>IF(OR(AZ7="Paid - Loss &amp; DCCE",AZ7="Incurred - Loss &amp; DCCE"),"N/A",IF(COUNTA(AX106:BH115)=0,"",INDEX(AY132:BH132,1,11-MATCH(BA11,AY11:BH11,0))))</f>
        <v/>
      </c>
      <c r="BB17" s="293" t="str">
        <f>IF(OR(AZ7="Paid - Loss &amp; DCCE",AZ7="Incurred - Loss &amp; DCCE"),"N/A",IF(COUNTA(AX106:BH115)=0,"",INDEX(AY132:BH132,1,11-MATCH(BB11,AY11:BH11,0))))</f>
        <v/>
      </c>
      <c r="BC17" s="293" t="str">
        <f>IF(OR(AZ7="Paid - Loss &amp; DCCE",AZ7="Incurred - Loss &amp; DCCE"),"N/A",IF(COUNTA(AX106:BH115)=0,"",INDEX(AY132:BH132,1,11-MATCH(BC11,AY11:BH11,0))))</f>
        <v/>
      </c>
      <c r="BD17" s="293" t="str">
        <f>IF(OR(AZ7="Paid - Loss &amp; DCCE",AZ7="Incurred - Loss &amp; DCCE"),"N/A",IF(COUNTA(AX106:BH115)=0,"",INDEX(AY132:BH132,1,11-MATCH(BD11,AY11:BH11,0))))</f>
        <v/>
      </c>
      <c r="BE17" s="293" t="str">
        <f>IF(OR(AZ7="Paid - Loss &amp; DCCE",AZ7="Incurred - Loss &amp; DCCE"),"N/A",IF(COUNTA(AX106:BH115)=0,"",INDEX(AY132:BH132,1,11-MATCH(BE11,AY11:BH11,0))))</f>
        <v/>
      </c>
      <c r="BF17" s="293" t="str">
        <f>IF(OR(AZ7="Paid - Loss &amp; DCCE",AZ7="Incurred - Loss &amp; DCCE"),"N/A",IF(COUNTA(AX106:BH115)=0,"",INDEX(AY132:BH132,1,11-MATCH(BF11,AY11:BH11,0))))</f>
        <v/>
      </c>
      <c r="BG17" s="293" t="str">
        <f>IF(OR(AZ7="Paid - Loss &amp; DCCE",AZ7="Incurred - Loss &amp; DCCE"),"N/A",IF(COUNTA(AX106:BH115)=0,"",INDEX(AY132:BH132,1,11-MATCH(BG11,AY11:BH11,0))))</f>
        <v/>
      </c>
      <c r="BH17" s="293" t="str">
        <f>IF(OR(AZ7="Paid - Loss &amp; DCCE",AZ7="Incurred - Loss &amp; DCCE"),"N/A",IF(COUNTA(AX106:BH115)=0,"",INDEX(AY132:BH132,1,11-MATCH(BH11,AY11:BH11,0))))</f>
        <v/>
      </c>
      <c r="BI17" s="294" t="s">
        <v>206</v>
      </c>
      <c r="BJ17" s="292"/>
      <c r="BK17" s="293" t="str">
        <f>IF(OR(BL7="Paid - Loss &amp; DCCE",BL7="Incurred - Loss &amp; DCCE"),"N/A",IF(COUNTA(BJ106:BT115)=0,"",INDEX(BK132:BT132,1,11-MATCH(BK11,BK11:BT11,0))))</f>
        <v/>
      </c>
      <c r="BL17" s="293" t="str">
        <f>IF(OR(BL7="Paid - Loss &amp; DCCE",BL7="Incurred - Loss &amp; DCCE"),"N/A",IF(COUNTA(BJ106:BT115)=0,"",INDEX(BK132:BT132,1,11-MATCH(BL11,BK11:BT11,0))))</f>
        <v/>
      </c>
      <c r="BM17" s="293" t="str">
        <f>IF(OR(BL7="Paid - Loss &amp; DCCE",BL7="Incurred - Loss &amp; DCCE"),"N/A",IF(COUNTA(BJ106:BT115)=0,"",INDEX(BK132:BT132,1,11-MATCH(BM11,BK11:BT11,0))))</f>
        <v/>
      </c>
      <c r="BN17" s="293" t="str">
        <f>IF(OR(BL7="Paid - Loss &amp; DCCE",BL7="Incurred - Loss &amp; DCCE"),"N/A",IF(COUNTA(BJ106:BT115)=0,"",INDEX(BK132:BT132,1,11-MATCH(BN11,BK11:BT11,0))))</f>
        <v/>
      </c>
      <c r="BO17" s="293" t="str">
        <f>IF(OR(BL7="Paid - Loss &amp; DCCE",BL7="Incurred - Loss &amp; DCCE"),"N/A",IF(COUNTA(BJ106:BT115)=0,"",INDEX(BK132:BT132,1,11-MATCH(BO11,BK11:BT11,0))))</f>
        <v/>
      </c>
      <c r="BP17" s="293" t="str">
        <f>IF(OR(BL7="Paid - Loss &amp; DCCE",BL7="Incurred - Loss &amp; DCCE"),"N/A",IF(COUNTA(BJ106:BT115)=0,"",INDEX(BK132:BT132,1,11-MATCH(BP11,BK11:BT11,0))))</f>
        <v/>
      </c>
      <c r="BQ17" s="293" t="str">
        <f>IF(OR(BL7="Paid - Loss &amp; DCCE",BL7="Incurred - Loss &amp; DCCE"),"N/A",IF(COUNTA(BJ106:BT115)=0,"",INDEX(BK132:BT132,1,11-MATCH(BQ11,BK11:BT11,0))))</f>
        <v/>
      </c>
      <c r="BR17" s="293" t="str">
        <f>IF(OR(BL7="Paid - Loss &amp; DCCE",BL7="Incurred - Loss &amp; DCCE"),"N/A",IF(COUNTA(BJ106:BT115)=0,"",INDEX(BK132:BT132,1,11-MATCH(BR11,BK11:BT11,0))))</f>
        <v/>
      </c>
      <c r="BS17" s="293" t="str">
        <f>IF(OR(BL7="Paid - Loss &amp; DCCE",BL7="Incurred - Loss &amp; DCCE"),"N/A",IF(COUNTA(BJ106:BT115)=0,"",INDEX(BK132:BT132,1,11-MATCH(BS11,BK11:BT11,0))))</f>
        <v/>
      </c>
      <c r="BT17" s="293" t="str">
        <f>IF(OR(BL7="Paid - Loss &amp; DCCE",BL7="Incurred - Loss &amp; DCCE"),"N/A",IF(COUNTA(BJ106:BT115)=0,"",INDEX(BK132:BT132,1,11-MATCH(BT11,BK11:BT11,0))))</f>
        <v/>
      </c>
      <c r="BU17" s="294" t="s">
        <v>206</v>
      </c>
      <c r="BV17" s="292"/>
      <c r="BW17" s="293" t="str">
        <f>IF(OR(BX7="Paid - Loss &amp; DCCE",BX7="Incurred - Loss &amp; DCCE"),"N/A",IF(COUNTA(BV106:CF115)=0,"",INDEX(BW132:CF132,1,11-MATCH(BW11,BW11:CF11,0))))</f>
        <v/>
      </c>
      <c r="BX17" s="293" t="str">
        <f>IF(OR(BX7="Paid - Loss &amp; DCCE",BX7="Incurred - Loss &amp; DCCE"),"N/A",IF(COUNTA(BV106:CF115)=0,"",INDEX(BW132:CF132,1,11-MATCH(BX11,BW11:CF11,0))))</f>
        <v/>
      </c>
      <c r="BY17" s="293" t="str">
        <f>IF(OR(BX7="Paid - Loss &amp; DCCE",BX7="Incurred - Loss &amp; DCCE"),"N/A",IF(COUNTA(BV106:CF115)=0,"",INDEX(BW132:CF132,1,11-MATCH(BY11,BW11:CF11,0))))</f>
        <v/>
      </c>
      <c r="BZ17" s="293" t="str">
        <f>IF(OR(BX7="Paid - Loss &amp; DCCE",BX7="Incurred - Loss &amp; DCCE"),"N/A",IF(COUNTA(BV106:CF115)=0,"",INDEX(BW132:CF132,1,11-MATCH(BZ11,BW11:CF11,0))))</f>
        <v/>
      </c>
      <c r="CA17" s="293" t="str">
        <f>IF(OR(BX7="Paid - Loss &amp; DCCE",BX7="Incurred - Loss &amp; DCCE"),"N/A",IF(COUNTA(BV106:CF115)=0,"",INDEX(BW132:CF132,1,11-MATCH(CA11,BW11:CF11,0))))</f>
        <v/>
      </c>
      <c r="CB17" s="293" t="str">
        <f>IF(OR(BX7="Paid - Loss &amp; DCCE",BX7="Incurred - Loss &amp; DCCE"),"N/A",IF(COUNTA(BV106:CF115)=0,"",INDEX(BW132:CF132,1,11-MATCH(CB11,BW11:CF11,0))))</f>
        <v/>
      </c>
      <c r="CC17" s="293" t="str">
        <f>IF(OR(BX7="Paid - Loss &amp; DCCE",BX7="Incurred - Loss &amp; DCCE"),"N/A",IF(COUNTA(BV106:CF115)=0,"",INDEX(BW132:CF132,1,11-MATCH(CC11,BW11:CF11,0))))</f>
        <v/>
      </c>
      <c r="CD17" s="293" t="str">
        <f>IF(OR(BX7="Paid - Loss &amp; DCCE",BX7="Incurred - Loss &amp; DCCE"),"N/A",IF(COUNTA(BV106:CF115)=0,"",INDEX(BW132:CF132,1,11-MATCH(CD11,BW11:CF11,0))))</f>
        <v/>
      </c>
      <c r="CE17" s="293" t="str">
        <f>IF(OR(BX7="Paid - Loss &amp; DCCE",BX7="Incurred - Loss &amp; DCCE"),"N/A",IF(COUNTA(BV106:CF115)=0,"",INDEX(BW132:CF132,1,11-MATCH(CE11,BW11:CF11,0))))</f>
        <v/>
      </c>
      <c r="CF17" s="293" t="str">
        <f>IF(OR(BX7="Paid - Loss &amp; DCCE",BX7="Incurred - Loss &amp; DCCE"),"N/A",IF(COUNTA(BV106:CF115)=0,"",INDEX(BW132:CF132,1,11-MATCH(CF11,BW11:CF11,0))))</f>
        <v/>
      </c>
      <c r="CG17" s="294" t="s">
        <v>206</v>
      </c>
      <c r="CH17" s="292"/>
      <c r="CI17" s="293" t="str">
        <f>IF(OR(CJ7="Paid - Loss &amp; DCCE",CJ7="Incurred - Loss &amp; DCCE"),"N/A",IF(COUNTA(CH106:CR115)=0,"",INDEX(CI132:CR132,1,11-MATCH(CI11,CI11:CR11,0))))</f>
        <v/>
      </c>
      <c r="CJ17" s="293" t="str">
        <f>IF(OR(CJ7="Paid - Loss &amp; DCCE",CJ7="Incurred - Loss &amp; DCCE"),"N/A",IF(COUNTA(CH106:CR115)=0,"",INDEX(CI132:CR132,1,11-MATCH(CJ11,CI11:CR11,0))))</f>
        <v/>
      </c>
      <c r="CK17" s="293" t="str">
        <f>IF(OR(CJ7="Paid - Loss &amp; DCCE",CJ7="Incurred - Loss &amp; DCCE"),"N/A",IF(COUNTA(CH106:CR115)=0,"",INDEX(CI132:CR132,1,11-MATCH(CK11,CI11:CR11,0))))</f>
        <v/>
      </c>
      <c r="CL17" s="293" t="str">
        <f>IF(OR(CJ7="Paid - Loss &amp; DCCE",CJ7="Incurred - Loss &amp; DCCE"),"N/A",IF(COUNTA(CH106:CR115)=0,"",INDEX(CI132:CR132,1,11-MATCH(CL11,CI11:CR11,0))))</f>
        <v/>
      </c>
      <c r="CM17" s="293" t="str">
        <f>IF(OR(CJ7="Paid - Loss &amp; DCCE",CJ7="Incurred - Loss &amp; DCCE"),"N/A",IF(COUNTA(CH106:CR115)=0,"",INDEX(CI132:CR132,1,11-MATCH(CM11,CI11:CR11,0))))</f>
        <v/>
      </c>
      <c r="CN17" s="293" t="str">
        <f>IF(OR(CJ7="Paid - Loss &amp; DCCE",CJ7="Incurred - Loss &amp; DCCE"),"N/A",IF(COUNTA(CH106:CR115)=0,"",INDEX(CI132:CR132,1,11-MATCH(CN11,CI11:CR11,0))))</f>
        <v/>
      </c>
      <c r="CO17" s="293" t="str">
        <f>IF(OR(CJ7="Paid - Loss &amp; DCCE",CJ7="Incurred - Loss &amp; DCCE"),"N/A",IF(COUNTA(CH106:CR115)=0,"",INDEX(CI132:CR132,1,11-MATCH(CO11,CI11:CR11,0))))</f>
        <v/>
      </c>
      <c r="CP17" s="293" t="str">
        <f>IF(OR(CJ7="Paid - Loss &amp; DCCE",CJ7="Incurred - Loss &amp; DCCE"),"N/A",IF(COUNTA(CH106:CR115)=0,"",INDEX(CI132:CR132,1,11-MATCH(CP11,CI11:CR11,0))))</f>
        <v/>
      </c>
      <c r="CQ17" s="293" t="str">
        <f>IF(OR(CJ7="Paid - Loss &amp; DCCE",CJ7="Incurred - Loss &amp; DCCE"),"N/A",IF(COUNTA(CH106:CR115)=0,"",INDEX(CI132:CR132,1,11-MATCH(CQ11,CI11:CR11,0))))</f>
        <v/>
      </c>
      <c r="CR17" s="293" t="str">
        <f>IF(OR(CJ7="Paid - Loss &amp; DCCE",CJ7="Incurred - Loss &amp; DCCE"),"N/A",IF(COUNTA(CH106:CR115)=0,"",INDEX(CI132:CR132,1,11-MATCH(CR11,CI11:CR11,0))))</f>
        <v/>
      </c>
      <c r="CS17" s="294" t="s">
        <v>206</v>
      </c>
      <c r="CT17" s="292"/>
      <c r="CU17" s="293" t="str">
        <f>IF(OR(CV7="Paid - Loss &amp; DCCE",CV7="Incurred - Loss &amp; DCCE"),"N/A",IF(COUNTA(CT106:DD115)=0,"",INDEX(CU132:DD132,1,11-MATCH(CU11,CU11:DD11,0))))</f>
        <v/>
      </c>
      <c r="CV17" s="293" t="str">
        <f>IF(OR(CV7="Paid - Loss &amp; DCCE",CV7="Incurred - Loss &amp; DCCE"),"N/A",IF(COUNTA(CT106:DD115)=0,"",INDEX(CU132:DD132,1,11-MATCH(CV11,CU11:DD11,0))))</f>
        <v/>
      </c>
      <c r="CW17" s="293" t="str">
        <f>IF(OR(CV7="Paid - Loss &amp; DCCE",CV7="Incurred - Loss &amp; DCCE"),"N/A",IF(COUNTA(CT106:DD115)=0,"",INDEX(CU132:DD132,1,11-MATCH(CW11,CU11:DD11,0))))</f>
        <v/>
      </c>
      <c r="CX17" s="293" t="str">
        <f>IF(OR(CV7="Paid - Loss &amp; DCCE",CV7="Incurred - Loss &amp; DCCE"),"N/A",IF(COUNTA(CT106:DD115)=0,"",INDEX(CU132:DD132,1,11-MATCH(CX11,CU11:DD11,0))))</f>
        <v/>
      </c>
      <c r="CY17" s="293" t="str">
        <f>IF(OR(CV7="Paid - Loss &amp; DCCE",CV7="Incurred - Loss &amp; DCCE"),"N/A",IF(COUNTA(CT106:DD115)=0,"",INDEX(CU132:DD132,1,11-MATCH(CY11,CU11:DD11,0))))</f>
        <v/>
      </c>
      <c r="CZ17" s="293" t="str">
        <f>IF(OR(CV7="Paid - Loss &amp; DCCE",CV7="Incurred - Loss &amp; DCCE"),"N/A",IF(COUNTA(CT106:DD115)=0,"",INDEX(CU132:DD132,1,11-MATCH(CZ11,CU11:DD11,0))))</f>
        <v/>
      </c>
      <c r="DA17" s="293" t="str">
        <f>IF(OR(CV7="Paid - Loss &amp; DCCE",CV7="Incurred - Loss &amp; DCCE"),"N/A",IF(COUNTA(CT106:DD115)=0,"",INDEX(CU132:DD132,1,11-MATCH(DA11,CU11:DD11,0))))</f>
        <v/>
      </c>
      <c r="DB17" s="293" t="str">
        <f>IF(OR(CV7="Paid - Loss &amp; DCCE",CV7="Incurred - Loss &amp; DCCE"),"N/A",IF(COUNTA(CT106:DD115)=0,"",INDEX(CU132:DD132,1,11-MATCH(DB11,CU11:DD11,0))))</f>
        <v/>
      </c>
      <c r="DC17" s="293" t="str">
        <f>IF(OR(CV7="Paid - Loss &amp; DCCE",CV7="Incurred - Loss &amp; DCCE"),"N/A",IF(COUNTA(CT106:DD115)=0,"",INDEX(CU132:DD132,1,11-MATCH(DC11,CU11:DD11,0))))</f>
        <v/>
      </c>
      <c r="DD17" s="293" t="str">
        <f>IF(OR(CV7="Paid - Loss &amp; DCCE",CV7="Incurred - Loss &amp; DCCE"),"N/A",IF(COUNTA(CT106:DD115)=0,"",INDEX(CU132:DD132,1,11-MATCH(DD11,CU11:DD11,0))))</f>
        <v/>
      </c>
      <c r="DE17" s="294" t="s">
        <v>206</v>
      </c>
      <c r="DF17" s="292"/>
      <c r="DG17" s="293" t="str">
        <f>IF(OR(DH7="Paid - Loss &amp; DCCE",DH7="Incurred - Loss &amp; DCCE"),"N/A",IF(COUNTA(DF106:DP115)=0,"",INDEX(DG132:DP132,1,11-MATCH(DG11,DG11:DP11,0))))</f>
        <v/>
      </c>
      <c r="DH17" s="293" t="str">
        <f>IF(OR(DH7="Paid - Loss &amp; DCCE",DH7="Incurred - Loss &amp; DCCE"),"N/A",IF(COUNTA(DF106:DP115)=0,"",INDEX(DG132:DP132,1,11-MATCH(DH11,DG11:DP11,0))))</f>
        <v/>
      </c>
      <c r="DI17" s="293" t="str">
        <f>IF(OR(DH7="Paid - Loss &amp; DCCE",DH7="Incurred - Loss &amp; DCCE"),"N/A",IF(COUNTA(DF106:DP115)=0,"",INDEX(DG132:DP132,1,11-MATCH(DI11,DG11:DP11,0))))</f>
        <v/>
      </c>
      <c r="DJ17" s="293" t="str">
        <f>IF(OR(DH7="Paid - Loss &amp; DCCE",DH7="Incurred - Loss &amp; DCCE"),"N/A",IF(COUNTA(DF106:DP115)=0,"",INDEX(DG132:DP132,1,11-MATCH(DJ11,DG11:DP11,0))))</f>
        <v/>
      </c>
      <c r="DK17" s="293" t="str">
        <f>IF(OR(DH7="Paid - Loss &amp; DCCE",DH7="Incurred - Loss &amp; DCCE"),"N/A",IF(COUNTA(DF106:DP115)=0,"",INDEX(DG132:DP132,1,11-MATCH(DK11,DG11:DP11,0))))</f>
        <v/>
      </c>
      <c r="DL17" s="293" t="str">
        <f>IF(OR(DH7="Paid - Loss &amp; DCCE",DH7="Incurred - Loss &amp; DCCE"),"N/A",IF(COUNTA(DF106:DP115)=0,"",INDEX(DG132:DP132,1,11-MATCH(DL11,DG11:DP11,0))))</f>
        <v/>
      </c>
      <c r="DM17" s="293" t="str">
        <f>IF(OR(DH7="Paid - Loss &amp; DCCE",DH7="Incurred - Loss &amp; DCCE"),"N/A",IF(COUNTA(DF106:DP115)=0,"",INDEX(DG132:DP132,1,11-MATCH(DM11,DG11:DP11,0))))</f>
        <v/>
      </c>
      <c r="DN17" s="293" t="str">
        <f>IF(OR(DH7="Paid - Loss &amp; DCCE",DH7="Incurred - Loss &amp; DCCE"),"N/A",IF(COUNTA(DF106:DP115)=0,"",INDEX(DG132:DP132,1,11-MATCH(DN11,DG11:DP11,0))))</f>
        <v/>
      </c>
      <c r="DO17" s="293" t="str">
        <f>IF(OR(DH7="Paid - Loss &amp; DCCE",DH7="Incurred - Loss &amp; DCCE"),"N/A",IF(COUNTA(DF106:DP115)=0,"",INDEX(DG132:DP132,1,11-MATCH(DO11,DG11:DP11,0))))</f>
        <v/>
      </c>
      <c r="DP17" s="293" t="str">
        <f>IF(OR(DH7="Paid - Loss &amp; DCCE",DH7="Incurred - Loss &amp; DCCE"),"N/A",IF(COUNTA(DF106:DP115)=0,"",INDEX(DG132:DP132,1,11-MATCH(DP11,DG11:DP11,0))))</f>
        <v/>
      </c>
    </row>
    <row r="18" spans="1:120" ht="15" customHeight="1" x14ac:dyDescent="0.35">
      <c r="A18" s="287" t="s">
        <v>219</v>
      </c>
      <c r="B18" s="68"/>
      <c r="C18" s="144">
        <f>IF(OR(D7="Paid - Loss &amp; DCCE",D7="Incurred - Loss &amp; DCCE"),"N/A",IF(OR(COUNTA(B106:L115)=0,COUNTA(B71:L80)=0),"",INDEX(C169:L169,1,11-MATCH(C11,C11:L11,0))))</f>
        <v>8189626.1787525192</v>
      </c>
      <c r="D18" s="144">
        <f>IF(OR(D7="Paid - Loss &amp; DCCE",D7="Incurred - Loss &amp; DCCE"),"N/A",IF(OR(COUNTA(B106:L115)=0,COUNTA(B71:L80)=0),"",INDEX(C169:L169,1,11-MATCH(D11,C11:L11,0))))</f>
        <v>8629748.2261793911</v>
      </c>
      <c r="E18" s="144">
        <f>IF(OR(D7="Paid - Loss &amp; DCCE",D7="Incurred - Loss &amp; DCCE"),"N/A",IF(OR(COUNTA(B106:L115)=0,COUNTA(B71:L80)=0),"",INDEX(C169:L169,1,11-MATCH(E11,C11:L11,0))))</f>
        <v>10909833.942277079</v>
      </c>
      <c r="F18" s="144">
        <f>IF(OR(D7="Paid - Loss &amp; DCCE",D7="Incurred - Loss &amp; DCCE"),"N/A",IF(OR(COUNTA(B106:L115)=0,COUNTA(B71:L80)=0),"",INDEX(C169:L169,1,11-MATCH(F11,C11:L11,0))))</f>
        <v>8929771.6767566521</v>
      </c>
      <c r="G18" s="144">
        <f>IF(OR(D7="Paid - Loss &amp; DCCE",D7="Incurred - Loss &amp; DCCE"),"N/A",IF(OR(COUNTA(B106:L115)=0,COUNTA(B71:L80)=0),"",INDEX(C169:L169,1,11-MATCH(G11,C11:L11,0))))</f>
        <v>10880459.451043883</v>
      </c>
      <c r="H18" s="144">
        <f>IF(OR(D7="Paid - Loss &amp; DCCE",D7="Incurred - Loss &amp; DCCE"),"N/A",IF(OR(COUNTA(B106:L115)=0,COUNTA(B71:L80)=0),"",INDEX(C169:L169,1,11-MATCH(H11,C11:L11,0))))</f>
        <v>8880425.4699105397</v>
      </c>
      <c r="I18" s="144">
        <f>IF(OR(D7="Paid - Loss &amp; DCCE",D7="Incurred - Loss &amp; DCCE"),"N/A",IF(OR(COUNTA(B106:L115)=0,COUNTA(B71:L80)=0),"",INDEX(C169:L169,1,11-MATCH(I11,C11:L11,0))))</f>
        <v>9463271.6245466415</v>
      </c>
      <c r="J18" s="144">
        <f>IF(OR(D7="Paid - Loss &amp; DCCE",D7="Incurred - Loss &amp; DCCE"),"N/A",IF(OR(COUNTA(B106:L115)=0,COUNTA(B71:L80)=0),"",INDEX(C169:L169,1,11-MATCH(J11,C11:L11,0))))</f>
        <v>9325637.4385666158</v>
      </c>
      <c r="K18" s="144">
        <f>IF(OR(D7="Paid - Loss &amp; DCCE",D7="Incurred - Loss &amp; DCCE"),"N/A",IF(OR(COUNTA(B106:L115)=0,COUNTA(B71:L80)=0),"",INDEX(C169:L169,1,11-MATCH(K11,C11:L11,0))))</f>
        <v>11443086.348294634</v>
      </c>
      <c r="L18" s="144">
        <f>IF(OR(D7="Paid - Loss &amp; DCCE",D7="Incurred - Loss &amp; DCCE"),"N/A",IF(OR(COUNTA(B106:L115)=0,COUNTA(B71:L80)=0),"",INDEX(C169:L169,1,11-MATCH(L11,C11:L11,0))))</f>
        <v>11757888.721943334</v>
      </c>
      <c r="M18" s="290" t="s">
        <v>219</v>
      </c>
      <c r="N18" s="68"/>
      <c r="O18" s="144" t="str">
        <f>IF(OR(P7="Paid - Loss &amp; DCCE",P7="Incurred - Loss &amp; DCCE"),"N/A",IF(OR(COUNTA(N106:X115)=0,COUNTA(N71:X80)=0),"",INDEX(O169:X169,1,11-MATCH(O11,O11:X11,0))))</f>
        <v/>
      </c>
      <c r="P18" s="144" t="str">
        <f>IF(OR(P7="Paid - Loss &amp; DCCE",P7="Incurred - Loss &amp; DCCE"),"N/A",IF(OR(COUNTA(N106:X115)=0,COUNTA(N71:X80)=0),"",INDEX(O169:X169,1,11-MATCH(P11,O11:X11,0))))</f>
        <v/>
      </c>
      <c r="Q18" s="144" t="str">
        <f>IF(OR(P7="Paid - Loss &amp; DCCE",P7="Incurred - Loss &amp; DCCE"),"N/A",IF(OR(COUNTA(N106:X115)=0,COUNTA(N71:X80)=0),"",INDEX(O169:X169,1,11-MATCH(Q11,O11:X11,0))))</f>
        <v/>
      </c>
      <c r="R18" s="144" t="str">
        <f>IF(OR(P7="Paid - Loss &amp; DCCE",P7="Incurred - Loss &amp; DCCE"),"N/A",IF(OR(COUNTA(N106:X115)=0,COUNTA(N71:X80)=0),"",INDEX(O169:X169,1,11-MATCH(R11,O11:X11,0))))</f>
        <v/>
      </c>
      <c r="S18" s="144" t="str">
        <f>IF(OR(P7="Paid - Loss &amp; DCCE",P7="Incurred - Loss &amp; DCCE"),"N/A",IF(OR(COUNTA(N106:X115)=0,COUNTA(N71:X80)=0),"",INDEX(O169:X169,1,11-MATCH(S11,O11:X11,0))))</f>
        <v/>
      </c>
      <c r="T18" s="144" t="str">
        <f>IF(OR(P7="Paid - Loss &amp; DCCE",P7="Incurred - Loss &amp; DCCE"),"N/A",IF(OR(COUNTA(N106:X115)=0,COUNTA(N71:X80)=0),"",INDEX(O169:X169,1,11-MATCH(T11,O11:X11,0))))</f>
        <v/>
      </c>
      <c r="U18" s="144" t="str">
        <f>IF(OR(P7="Paid - Loss &amp; DCCE",P7="Incurred - Loss &amp; DCCE"),"N/A",IF(OR(COUNTA(N106:X115)=0,COUNTA(N71:X80)=0),"",INDEX(O169:X169,1,11-MATCH(U11,O11:X11,0))))</f>
        <v/>
      </c>
      <c r="V18" s="144" t="str">
        <f>IF(OR(P7="Paid - Loss &amp; DCCE",P7="Incurred - Loss &amp; DCCE"),"N/A",IF(OR(COUNTA(N106:X115)=0,COUNTA(N71:X80)=0),"",INDEX(O169:X169,1,11-MATCH(V11,O11:X11,0))))</f>
        <v/>
      </c>
      <c r="W18" s="144" t="str">
        <f>IF(OR(P7="Paid - Loss &amp; DCCE",P7="Incurred - Loss &amp; DCCE"),"N/A",IF(OR(COUNTA(N106:X115)=0,COUNTA(N71:X80)=0),"",INDEX(O169:X169,1,11-MATCH(W11,O11:X11,0))))</f>
        <v/>
      </c>
      <c r="X18" s="144" t="str">
        <f>IF(OR(P7="Paid - Loss &amp; DCCE",P7="Incurred - Loss &amp; DCCE"),"N/A",IF(OR(COUNTA(N106:X115)=0,COUNTA(N71:X80)=0),"",INDEX(O169:X169,1,11-MATCH(X11,O11:X11,0))))</f>
        <v/>
      </c>
      <c r="Y18" s="289" t="s">
        <v>219</v>
      </c>
      <c r="Z18" s="68"/>
      <c r="AA18" s="144" t="str">
        <f>IF(OR(AB7="Paid - Loss &amp; DCCE",AB7="Incurred - Loss &amp; DCCE"),"N/A",IF(OR(COUNTA(Z106:AJ115)=0,COUNTA(Z71:AJ80)=0),"",INDEX(AA169:AJ169,1,11-MATCH(AA11,AA11:AJ11,0))))</f>
        <v/>
      </c>
      <c r="AB18" s="144" t="str">
        <f>IF(OR(AB7="Paid - Loss &amp; DCCE",AB7="Incurred - Loss &amp; DCCE"),"N/A",IF(OR(COUNTA(Z106:AJ115)=0,COUNTA(Z71:AJ80)=0),"",INDEX(AA169:AJ169,1,11-MATCH(AB11,AA11:AJ11,0))))</f>
        <v/>
      </c>
      <c r="AC18" s="144" t="str">
        <f>IF(OR(AB7="Paid - Loss &amp; DCCE",AB7="Incurred - Loss &amp; DCCE"),"N/A",IF(OR(COUNTA(Z106:AJ115)=0,COUNTA(Z71:AJ80)=0),"",INDEX(AA169:AJ169,1,11-MATCH(AC11,AA11:AJ11,0))))</f>
        <v/>
      </c>
      <c r="AD18" s="144" t="str">
        <f>IF(OR(AB7="Paid - Loss &amp; DCCE",AB7="Incurred - Loss &amp; DCCE"),"N/A",IF(OR(COUNTA(Z106:AJ115)=0,COUNTA(Z71:AJ80)=0),"",INDEX(AA169:AJ169,1,11-MATCH(AD11,AA11:AJ11,0))))</f>
        <v/>
      </c>
      <c r="AE18" s="144" t="str">
        <f>IF(OR(AB7="Paid - Loss &amp; DCCE",AB7="Incurred - Loss &amp; DCCE"),"N/A",IF(OR(COUNTA(Z106:AJ115)=0,COUNTA(Z71:AJ80)=0),"",INDEX(AA169:AJ169,1,11-MATCH(AE11,AA11:AJ11,0))))</f>
        <v/>
      </c>
      <c r="AF18" s="144" t="str">
        <f>IF(OR(AB7="Paid - Loss &amp; DCCE",AB7="Incurred - Loss &amp; DCCE"),"N/A",IF(OR(COUNTA(Z106:AJ115)=0,COUNTA(Z71:AJ80)=0),"",INDEX(AA169:AJ169,1,11-MATCH(AF11,AA11:AJ11,0))))</f>
        <v/>
      </c>
      <c r="AG18" s="144" t="str">
        <f>IF(OR(AB7="Paid - Loss &amp; DCCE",AB7="Incurred - Loss &amp; DCCE"),"N/A",IF(OR(COUNTA(Z106:AJ115)=0,COUNTA(Z71:AJ80)=0),"",INDEX(AA169:AJ169,1,11-MATCH(AG11,AA11:AJ11,0))))</f>
        <v/>
      </c>
      <c r="AH18" s="144" t="str">
        <f>IF(OR(AB7="Paid - Loss &amp; DCCE",AB7="Incurred - Loss &amp; DCCE"),"N/A",IF(OR(COUNTA(Z106:AJ115)=0,COUNTA(Z71:AJ80)=0),"",INDEX(AA169:AJ169,1,11-MATCH(AH11,AA11:AJ11,0))))</f>
        <v/>
      </c>
      <c r="AI18" s="144" t="str">
        <f>IF(OR(AB7="Paid - Loss &amp; DCCE",AB7="Incurred - Loss &amp; DCCE"),"N/A",IF(OR(COUNTA(Z106:AJ115)=0,COUNTA(Z71:AJ80)=0),"",INDEX(AA169:AJ169,1,11-MATCH(AI11,AA11:AJ11,0))))</f>
        <v/>
      </c>
      <c r="AJ18" s="144" t="str">
        <f>IF(OR(AB7="Paid - Loss &amp; DCCE",AB7="Incurred - Loss &amp; DCCE"),"N/A",IF(OR(COUNTA(Z106:AJ115)=0,COUNTA(Z71:AJ80)=0),"",INDEX(AA169:AJ169,1,11-MATCH(AJ11,AA11:AJ11,0))))</f>
        <v/>
      </c>
      <c r="AK18" s="289" t="s">
        <v>219</v>
      </c>
      <c r="AL18" s="68"/>
      <c r="AM18" s="144" t="str">
        <f>IF(OR(AN7="Paid - Loss &amp; DCCE",AN7="Incurred - Loss &amp; DCCE"),"N/A",IF(OR(COUNTA(AL106:AV115)=0,COUNTA(AL71:AV80)=0),"",INDEX(AM169:AV169,1,11-MATCH(AM11,AM11:AV11,0))))</f>
        <v/>
      </c>
      <c r="AN18" s="144" t="str">
        <f>IF(OR(AN7="Paid - Loss &amp; DCCE",AN7="Incurred - Loss &amp; DCCE"),"N/A",IF(OR(COUNTA(AL106:AV115)=0,COUNTA(AL71:AV80)=0),"",INDEX(AM169:AV169,1,11-MATCH(AN11,AM11:AV11,0))))</f>
        <v/>
      </c>
      <c r="AO18" s="144" t="str">
        <f>IF(OR(AN7="Paid - Loss &amp; DCCE",AN7="Incurred - Loss &amp; DCCE"),"N/A",IF(OR(COUNTA(AL106:AV115)=0,COUNTA(AL71:AV80)=0),"",INDEX(AM169:AV169,1,11-MATCH(AO11,AM11:AV11,0))))</f>
        <v/>
      </c>
      <c r="AP18" s="144" t="str">
        <f>IF(OR(AN7="Paid - Loss &amp; DCCE",AN7="Incurred - Loss &amp; DCCE"),"N/A",IF(OR(COUNTA(AL106:AV115)=0,COUNTA(AL71:AV80)=0),"",INDEX(AM169:AV169,1,11-MATCH(AP11,AM11:AV11,0))))</f>
        <v/>
      </c>
      <c r="AQ18" s="144" t="str">
        <f>IF(OR(AN7="Paid - Loss &amp; DCCE",AN7="Incurred - Loss &amp; DCCE"),"N/A",IF(OR(COUNTA(AL106:AV115)=0,COUNTA(AL71:AV80)=0),"",INDEX(AM169:AV169,1,11-MATCH(AQ11,AM11:AV11,0))))</f>
        <v/>
      </c>
      <c r="AR18" s="144" t="str">
        <f>IF(OR(AN7="Paid - Loss &amp; DCCE",AN7="Incurred - Loss &amp; DCCE"),"N/A",IF(OR(COUNTA(AL106:AV115)=0,COUNTA(AL71:AV80)=0),"",INDEX(AM169:AV169,1,11-MATCH(AR11,AM11:AV11,0))))</f>
        <v/>
      </c>
      <c r="AS18" s="144" t="str">
        <f>IF(OR(AN7="Paid - Loss &amp; DCCE",AN7="Incurred - Loss &amp; DCCE"),"N/A",IF(OR(COUNTA(AL106:AV115)=0,COUNTA(AL71:AV80)=0),"",INDEX(AM169:AV169,1,11-MATCH(AS11,AM11:AV11,0))))</f>
        <v/>
      </c>
      <c r="AT18" s="144" t="str">
        <f>IF(OR(AN7="Paid - Loss &amp; DCCE",AN7="Incurred - Loss &amp; DCCE"),"N/A",IF(OR(COUNTA(AL106:AV115)=0,COUNTA(AL71:AV80)=0),"",INDEX(AM169:AV169,1,11-MATCH(AT11,AM11:AV11,0))))</f>
        <v/>
      </c>
      <c r="AU18" s="144" t="str">
        <f>IF(OR(AN7="Paid - Loss &amp; DCCE",AN7="Incurred - Loss &amp; DCCE"),"N/A",IF(OR(COUNTA(AL106:AV115)=0,COUNTA(AL71:AV80)=0),"",INDEX(AM169:AV169,1,11-MATCH(AU11,AM11:AV11,0))))</f>
        <v/>
      </c>
      <c r="AV18" s="144" t="str">
        <f>IF(OR(AN7="Paid - Loss &amp; DCCE",AN7="Incurred - Loss &amp; DCCE"),"N/A",IF(OR(COUNTA(AL106:AV115)=0,COUNTA(AL71:AV80)=0),"",INDEX(AM169:AV169,1,11-MATCH(AV11,AM11:AV11,0))))</f>
        <v/>
      </c>
      <c r="AW18" s="289" t="s">
        <v>219</v>
      </c>
      <c r="AX18" s="68"/>
      <c r="AY18" s="144" t="str">
        <f>IF(OR(AZ7="Paid - Loss &amp; DCCE",AZ7="Incurred - Loss &amp; DCCE"),"N/A",IF(OR(COUNTA(AX106:BH115)=0,COUNTA(AX71:BH80)=0),"",INDEX(AY169:BH169,1,11-MATCH(AY11,AY11:BH11,0))))</f>
        <v/>
      </c>
      <c r="AZ18" s="144" t="str">
        <f>IF(OR(AZ7="Paid - Loss &amp; DCCE",AZ7="Incurred - Loss &amp; DCCE"),"N/A",IF(OR(COUNTA(AX106:BH115)=0,COUNTA(AX71:BH80)=0),"",INDEX(AY169:BH169,1,11-MATCH(AZ11,AY11:BH11,0))))</f>
        <v/>
      </c>
      <c r="BA18" s="144" t="str">
        <f>IF(OR(AZ7="Paid - Loss &amp; DCCE",AZ7="Incurred - Loss &amp; DCCE"),"N/A",IF(OR(COUNTA(AX106:BH115)=0,COUNTA(AX71:BH80)=0),"",INDEX(AY169:BH169,1,11-MATCH(BA11,AY11:BH11,0))))</f>
        <v/>
      </c>
      <c r="BB18" s="144" t="str">
        <f>IF(OR(AZ7="Paid - Loss &amp; DCCE",AZ7="Incurred - Loss &amp; DCCE"),"N/A",IF(OR(COUNTA(AX106:BH115)=0,COUNTA(AX71:BH80)=0),"",INDEX(AY169:BH169,1,11-MATCH(BB11,AY11:BH11,0))))</f>
        <v/>
      </c>
      <c r="BC18" s="144" t="str">
        <f>IF(OR(AZ7="Paid - Loss &amp; DCCE",AZ7="Incurred - Loss &amp; DCCE"),"N/A",IF(OR(COUNTA(AX106:BH115)=0,COUNTA(AX71:BH80)=0),"",INDEX(AY169:BH169,1,11-MATCH(BC11,AY11:BH11,0))))</f>
        <v/>
      </c>
      <c r="BD18" s="144" t="str">
        <f>IF(OR(AZ7="Paid - Loss &amp; DCCE",AZ7="Incurred - Loss &amp; DCCE"),"N/A",IF(OR(COUNTA(AX106:BH115)=0,COUNTA(AX71:BH80)=0),"",INDEX(AY169:BH169,1,11-MATCH(BD11,AY11:BH11,0))))</f>
        <v/>
      </c>
      <c r="BE18" s="144" t="str">
        <f>IF(OR(AZ7="Paid - Loss &amp; DCCE",AZ7="Incurred - Loss &amp; DCCE"),"N/A",IF(OR(COUNTA(AX106:BH115)=0,COUNTA(AX71:BH80)=0),"",INDEX(AY169:BH169,1,11-MATCH(BE11,AY11:BH11,0))))</f>
        <v/>
      </c>
      <c r="BF18" s="144" t="str">
        <f>IF(OR(AZ7="Paid - Loss &amp; DCCE",AZ7="Incurred - Loss &amp; DCCE"),"N/A",IF(OR(COUNTA(AX106:BH115)=0,COUNTA(AX71:BH80)=0),"",INDEX(AY169:BH169,1,11-MATCH(BF11,AY11:BH11,0))))</f>
        <v/>
      </c>
      <c r="BG18" s="144" t="str">
        <f>IF(OR(AZ7="Paid - Loss &amp; DCCE",AZ7="Incurred - Loss &amp; DCCE"),"N/A",IF(OR(COUNTA(AX106:BH115)=0,COUNTA(AX71:BH80)=0),"",INDEX(AY169:BH169,1,11-MATCH(BG11,AY11:BH11,0))))</f>
        <v/>
      </c>
      <c r="BH18" s="144" t="str">
        <f>IF(OR(AZ7="Paid - Loss &amp; DCCE",AZ7="Incurred - Loss &amp; DCCE"),"N/A",IF(OR(COUNTA(AX106:BH115)=0,COUNTA(AX71:BH80)=0),"",INDEX(AY169:BH169,1,11-MATCH(BH11,AY11:BH11,0))))</f>
        <v/>
      </c>
      <c r="BI18" s="289" t="s">
        <v>219</v>
      </c>
      <c r="BJ18" s="68"/>
      <c r="BK18" s="144" t="str">
        <f>IF(OR(BL7="Paid - Loss &amp; DCCE",BL7="Incurred - Loss &amp; DCCE"),"N/A",IF(OR(COUNTA(BJ106:BT115)=0,COUNTA(BJ71:BT80)=0),"",INDEX(BK169:BT169,1,11-MATCH(BK11,BK11:BT11,0))))</f>
        <v/>
      </c>
      <c r="BL18" s="144" t="str">
        <f>IF(OR(BL7="Paid - Loss &amp; DCCE",BL7="Incurred - Loss &amp; DCCE"),"N/A",IF(OR(COUNTA(BJ106:BT115)=0,COUNTA(BJ71:BT80)=0),"",INDEX(BK169:BT169,1,11-MATCH(BL11,BK11:BT11,0))))</f>
        <v/>
      </c>
      <c r="BM18" s="144" t="str">
        <f>IF(OR(BL7="Paid - Loss &amp; DCCE",BL7="Incurred - Loss &amp; DCCE"),"N/A",IF(OR(COUNTA(BJ106:BT115)=0,COUNTA(BJ71:BT80)=0),"",INDEX(BK169:BT169,1,11-MATCH(BM11,BK11:BT11,0))))</f>
        <v/>
      </c>
      <c r="BN18" s="144" t="str">
        <f>IF(OR(BL7="Paid - Loss &amp; DCCE",BL7="Incurred - Loss &amp; DCCE"),"N/A",IF(OR(COUNTA(BJ106:BT115)=0,COUNTA(BJ71:BT80)=0),"",INDEX(BK169:BT169,1,11-MATCH(BN11,BK11:BT11,0))))</f>
        <v/>
      </c>
      <c r="BO18" s="144" t="str">
        <f>IF(OR(BL7="Paid - Loss &amp; DCCE",BL7="Incurred - Loss &amp; DCCE"),"N/A",IF(OR(COUNTA(BJ106:BT115)=0,COUNTA(BJ71:BT80)=0),"",INDEX(BK169:BT169,1,11-MATCH(BO11,BK11:BT11,0))))</f>
        <v/>
      </c>
      <c r="BP18" s="144" t="str">
        <f>IF(OR(BL7="Paid - Loss &amp; DCCE",BL7="Incurred - Loss &amp; DCCE"),"N/A",IF(OR(COUNTA(BJ106:BT115)=0,COUNTA(BJ71:BT80)=0),"",INDEX(BK169:BT169,1,11-MATCH(BP11,BK11:BT11,0))))</f>
        <v/>
      </c>
      <c r="BQ18" s="144" t="str">
        <f>IF(OR(BL7="Paid - Loss &amp; DCCE",BL7="Incurred - Loss &amp; DCCE"),"N/A",IF(OR(COUNTA(BJ106:BT115)=0,COUNTA(BJ71:BT80)=0),"",INDEX(BK169:BT169,1,11-MATCH(BQ11,BK11:BT11,0))))</f>
        <v/>
      </c>
      <c r="BR18" s="144" t="str">
        <f>IF(OR(BL7="Paid - Loss &amp; DCCE",BL7="Incurred - Loss &amp; DCCE"),"N/A",IF(OR(COUNTA(BJ106:BT115)=0,COUNTA(BJ71:BT80)=0),"",INDEX(BK169:BT169,1,11-MATCH(BR11,BK11:BT11,0))))</f>
        <v/>
      </c>
      <c r="BS18" s="144" t="str">
        <f>IF(OR(BL7="Paid - Loss &amp; DCCE",BL7="Incurred - Loss &amp; DCCE"),"N/A",IF(OR(COUNTA(BJ106:BT115)=0,COUNTA(BJ71:BT80)=0),"",INDEX(BK169:BT169,1,11-MATCH(BS11,BK11:BT11,0))))</f>
        <v/>
      </c>
      <c r="BT18" s="144" t="str">
        <f>IF(OR(BL7="Paid - Loss &amp; DCCE",BL7="Incurred - Loss &amp; DCCE"),"N/A",IF(OR(COUNTA(BJ106:BT115)=0,COUNTA(BJ71:BT80)=0),"",INDEX(BK169:BT169,1,11-MATCH(BT11,BK11:BT11,0))))</f>
        <v/>
      </c>
      <c r="BU18" s="289" t="s">
        <v>219</v>
      </c>
      <c r="BV18" s="68"/>
      <c r="BW18" s="144" t="str">
        <f>IF(OR(BX7="Paid - Loss &amp; DCCE",BX7="Incurred - Loss &amp; DCCE"),"N/A",IF(OR(COUNTA(BV106:CF115)=0,COUNTA(BV71:CF80)=0),"",INDEX(BW169:CF169,1,11-MATCH(BW11,BW11:CF11,0))))</f>
        <v/>
      </c>
      <c r="BX18" s="144" t="str">
        <f>IF(OR(BX7="Paid - Loss &amp; DCCE",BX7="Incurred - Loss &amp; DCCE"),"N/A",IF(OR(COUNTA(BV106:CF115)=0,COUNTA(BV71:CF80)=0),"",INDEX(BW169:CF169,1,11-MATCH(BX11,BW11:CF11,0))))</f>
        <v/>
      </c>
      <c r="BY18" s="144" t="str">
        <f>IF(OR(BX7="Paid - Loss &amp; DCCE",BX7="Incurred - Loss &amp; DCCE"),"N/A",IF(OR(COUNTA(BV106:CF115)=0,COUNTA(BV71:CF80)=0),"",INDEX(BW169:CF169,1,11-MATCH(BY11,BW11:CF11,0))))</f>
        <v/>
      </c>
      <c r="BZ18" s="144" t="str">
        <f>IF(OR(BX7="Paid - Loss &amp; DCCE",BX7="Incurred - Loss &amp; DCCE"),"N/A",IF(OR(COUNTA(BV106:CF115)=0,COUNTA(BV71:CF80)=0),"",INDEX(BW169:CF169,1,11-MATCH(BZ11,BW11:CF11,0))))</f>
        <v/>
      </c>
      <c r="CA18" s="144" t="str">
        <f>IF(OR(BX7="Paid - Loss &amp; DCCE",BX7="Incurred - Loss &amp; DCCE"),"N/A",IF(OR(COUNTA(BV106:CF115)=0,COUNTA(BV71:CF80)=0),"",INDEX(BW169:CF169,1,11-MATCH(CA11,BW11:CF11,0))))</f>
        <v/>
      </c>
      <c r="CB18" s="144" t="str">
        <f>IF(OR(BX7="Paid - Loss &amp; DCCE",BX7="Incurred - Loss &amp; DCCE"),"N/A",IF(OR(COUNTA(BV106:CF115)=0,COUNTA(BV71:CF80)=0),"",INDEX(BW169:CF169,1,11-MATCH(CB11,BW11:CF11,0))))</f>
        <v/>
      </c>
      <c r="CC18" s="144" t="str">
        <f>IF(OR(BX7="Paid - Loss &amp; DCCE",BX7="Incurred - Loss &amp; DCCE"),"N/A",IF(OR(COUNTA(BV106:CF115)=0,COUNTA(BV71:CF80)=0),"",INDEX(BW169:CF169,1,11-MATCH(CC11,BW11:CF11,0))))</f>
        <v/>
      </c>
      <c r="CD18" s="144" t="str">
        <f>IF(OR(BX7="Paid - Loss &amp; DCCE",BX7="Incurred - Loss &amp; DCCE"),"N/A",IF(OR(COUNTA(BV106:CF115)=0,COUNTA(BV71:CF80)=0),"",INDEX(BW169:CF169,1,11-MATCH(CD11,BW11:CF11,0))))</f>
        <v/>
      </c>
      <c r="CE18" s="144" t="str">
        <f>IF(OR(BX7="Paid - Loss &amp; DCCE",BX7="Incurred - Loss &amp; DCCE"),"N/A",IF(OR(COUNTA(BV106:CF115)=0,COUNTA(BV71:CF80)=0),"",INDEX(BW169:CF169,1,11-MATCH(CE11,BW11:CF11,0))))</f>
        <v/>
      </c>
      <c r="CF18" s="144" t="str">
        <f>IF(OR(BX7="Paid - Loss &amp; DCCE",BX7="Incurred - Loss &amp; DCCE"),"N/A",IF(OR(COUNTA(BV106:CF115)=0,COUNTA(BV71:CF80)=0),"",INDEX(BW169:CF169,1,11-MATCH(CF11,BW11:CF11,0))))</f>
        <v/>
      </c>
      <c r="CG18" s="289" t="s">
        <v>219</v>
      </c>
      <c r="CH18" s="68"/>
      <c r="CI18" s="144" t="str">
        <f>IF(OR(CJ7="Paid - Loss &amp; DCCE",CJ7="Incurred - Loss &amp; DCCE"),"N/A",IF(OR(COUNTA(CH106:CR115)=0,COUNTA(CH71:CR80)=0),"",INDEX(CI169:CR169,1,11-MATCH(CI11,CI11:CR11,0))))</f>
        <v/>
      </c>
      <c r="CJ18" s="144" t="str">
        <f>IF(OR(CJ7="Paid - Loss &amp; DCCE",CJ7="Incurred - Loss &amp; DCCE"),"N/A",IF(OR(COUNTA(CH106:CR115)=0,COUNTA(CH71:CR80)=0),"",INDEX(CI169:CR169,1,11-MATCH(CJ11,CI11:CR11,0))))</f>
        <v/>
      </c>
      <c r="CK18" s="144" t="str">
        <f>IF(OR(CJ7="Paid - Loss &amp; DCCE",CJ7="Incurred - Loss &amp; DCCE"),"N/A",IF(OR(COUNTA(CH106:CR115)=0,COUNTA(CH71:CR80)=0),"",INDEX(CI169:CR169,1,11-MATCH(CK11,CI11:CR11,0))))</f>
        <v/>
      </c>
      <c r="CL18" s="144" t="str">
        <f>IF(OR(CJ7="Paid - Loss &amp; DCCE",CJ7="Incurred - Loss &amp; DCCE"),"N/A",IF(OR(COUNTA(CH106:CR115)=0,COUNTA(CH71:CR80)=0),"",INDEX(CI169:CR169,1,11-MATCH(CL11,CI11:CR11,0))))</f>
        <v/>
      </c>
      <c r="CM18" s="144" t="str">
        <f>IF(OR(CJ7="Paid - Loss &amp; DCCE",CJ7="Incurred - Loss &amp; DCCE"),"N/A",IF(OR(COUNTA(CH106:CR115)=0,COUNTA(CH71:CR80)=0),"",INDEX(CI169:CR169,1,11-MATCH(CM11,CI11:CR11,0))))</f>
        <v/>
      </c>
      <c r="CN18" s="144" t="str">
        <f>IF(OR(CJ7="Paid - Loss &amp; DCCE",CJ7="Incurred - Loss &amp; DCCE"),"N/A",IF(OR(COUNTA(CH106:CR115)=0,COUNTA(CH71:CR80)=0),"",INDEX(CI169:CR169,1,11-MATCH(CN11,CI11:CR11,0))))</f>
        <v/>
      </c>
      <c r="CO18" s="144" t="str">
        <f>IF(OR(CJ7="Paid - Loss &amp; DCCE",CJ7="Incurred - Loss &amp; DCCE"),"N/A",IF(OR(COUNTA(CH106:CR115)=0,COUNTA(CH71:CR80)=0),"",INDEX(CI169:CR169,1,11-MATCH(CO11,CI11:CR11,0))))</f>
        <v/>
      </c>
      <c r="CP18" s="144" t="str">
        <f>IF(OR(CJ7="Paid - Loss &amp; DCCE",CJ7="Incurred - Loss &amp; DCCE"),"N/A",IF(OR(COUNTA(CH106:CR115)=0,COUNTA(CH71:CR80)=0),"",INDEX(CI169:CR169,1,11-MATCH(CP11,CI11:CR11,0))))</f>
        <v/>
      </c>
      <c r="CQ18" s="144" t="str">
        <f>IF(OR(CJ7="Paid - Loss &amp; DCCE",CJ7="Incurred - Loss &amp; DCCE"),"N/A",IF(OR(COUNTA(CH106:CR115)=0,COUNTA(CH71:CR80)=0),"",INDEX(CI169:CR169,1,11-MATCH(CQ11,CI11:CR11,0))))</f>
        <v/>
      </c>
      <c r="CR18" s="144" t="str">
        <f>IF(OR(CJ7="Paid - Loss &amp; DCCE",CJ7="Incurred - Loss &amp; DCCE"),"N/A",IF(OR(COUNTA(CH106:CR115)=0,COUNTA(CH71:CR80)=0),"",INDEX(CI169:CR169,1,11-MATCH(CR11,CI11:CR11,0))))</f>
        <v/>
      </c>
      <c r="CS18" s="289" t="s">
        <v>219</v>
      </c>
      <c r="CT18" s="68"/>
      <c r="CU18" s="144" t="str">
        <f>IF(OR(CV7="Paid - Loss &amp; DCCE",CV7="Incurred - Loss &amp; DCCE"),"N/A",IF(OR(COUNTA(CT106:DD115)=0,COUNTA(CT71:DD80)=0),"",INDEX(CU169:DD169,1,11-MATCH(CU11,CU11:DD11,0))))</f>
        <v/>
      </c>
      <c r="CV18" s="144" t="str">
        <f>IF(OR(CV7="Paid - Loss &amp; DCCE",CV7="Incurred - Loss &amp; DCCE"),"N/A",IF(OR(COUNTA(CT106:DD115)=0,COUNTA(CT71:DD80)=0),"",INDEX(CU169:DD169,1,11-MATCH(CV11,CU11:DD11,0))))</f>
        <v/>
      </c>
      <c r="CW18" s="144" t="str">
        <f>IF(OR(CV7="Paid - Loss &amp; DCCE",CV7="Incurred - Loss &amp; DCCE"),"N/A",IF(OR(COUNTA(CT106:DD115)=0,COUNTA(CT71:DD80)=0),"",INDEX(CU169:DD169,1,11-MATCH(CW11,CU11:DD11,0))))</f>
        <v/>
      </c>
      <c r="CX18" s="144" t="str">
        <f>IF(OR(CV7="Paid - Loss &amp; DCCE",CV7="Incurred - Loss &amp; DCCE"),"N/A",IF(OR(COUNTA(CT106:DD115)=0,COUNTA(CT71:DD80)=0),"",INDEX(CU169:DD169,1,11-MATCH(CX11,CU11:DD11,0))))</f>
        <v/>
      </c>
      <c r="CY18" s="144" t="str">
        <f>IF(OR(CV7="Paid - Loss &amp; DCCE",CV7="Incurred - Loss &amp; DCCE"),"N/A",IF(OR(COUNTA(CT106:DD115)=0,COUNTA(CT71:DD80)=0),"",INDEX(CU169:DD169,1,11-MATCH(CY11,CU11:DD11,0))))</f>
        <v/>
      </c>
      <c r="CZ18" s="144" t="str">
        <f>IF(OR(CV7="Paid - Loss &amp; DCCE",CV7="Incurred - Loss &amp; DCCE"),"N/A",IF(OR(COUNTA(CT106:DD115)=0,COUNTA(CT71:DD80)=0),"",INDEX(CU169:DD169,1,11-MATCH(CZ11,CU11:DD11,0))))</f>
        <v/>
      </c>
      <c r="DA18" s="144" t="str">
        <f>IF(OR(CV7="Paid - Loss &amp; DCCE",CV7="Incurred - Loss &amp; DCCE"),"N/A",IF(OR(COUNTA(CT106:DD115)=0,COUNTA(CT71:DD80)=0),"",INDEX(CU169:DD169,1,11-MATCH(DA11,CU11:DD11,0))))</f>
        <v/>
      </c>
      <c r="DB18" s="144" t="str">
        <f>IF(OR(CV7="Paid - Loss &amp; DCCE",CV7="Incurred - Loss &amp; DCCE"),"N/A",IF(OR(COUNTA(CT106:DD115)=0,COUNTA(CT71:DD80)=0),"",INDEX(CU169:DD169,1,11-MATCH(DB11,CU11:DD11,0))))</f>
        <v/>
      </c>
      <c r="DC18" s="144" t="str">
        <f>IF(OR(CV7="Paid - Loss &amp; DCCE",CV7="Incurred - Loss &amp; DCCE"),"N/A",IF(OR(COUNTA(CT106:DD115)=0,COUNTA(CT71:DD80)=0),"",INDEX(CU169:DD169,1,11-MATCH(DC11,CU11:DD11,0))))</f>
        <v/>
      </c>
      <c r="DD18" s="144" t="str">
        <f>IF(OR(CV7="Paid - Loss &amp; DCCE",CV7="Incurred - Loss &amp; DCCE"),"N/A",IF(OR(COUNTA(CT106:DD115)=0,COUNTA(CT71:DD80)=0),"",INDEX(CU169:DD169,1,11-MATCH(DD11,CU11:DD11,0))))</f>
        <v/>
      </c>
      <c r="DE18" s="289" t="s">
        <v>219</v>
      </c>
      <c r="DF18" s="68"/>
      <c r="DG18" s="144" t="str">
        <f>IF(OR(DH7="Paid - Loss &amp; DCCE",DH7="Incurred - Loss &amp; DCCE"),"N/A",IF(OR(COUNTA(DF106:DP115)=0,COUNTA(DF71:DP80)=0),"",INDEX(DG169:DP169,1,11-MATCH(DG11,DG11:DP11,0))))</f>
        <v/>
      </c>
      <c r="DH18" s="144" t="str">
        <f>IF(OR(DH7="Paid - Loss &amp; DCCE",DH7="Incurred - Loss &amp; DCCE"),"N/A",IF(OR(COUNTA(DF106:DP115)=0,COUNTA(DF71:DP80)=0),"",INDEX(DG169:DP169,1,11-MATCH(DH11,DG11:DP11,0))))</f>
        <v/>
      </c>
      <c r="DI18" s="144" t="str">
        <f>IF(OR(DH7="Paid - Loss &amp; DCCE",DH7="Incurred - Loss &amp; DCCE"),"N/A",IF(OR(COUNTA(DF106:DP115)=0,COUNTA(DF71:DP80)=0),"",INDEX(DG169:DP169,1,11-MATCH(DI11,DG11:DP11,0))))</f>
        <v/>
      </c>
      <c r="DJ18" s="144" t="str">
        <f>IF(OR(DH7="Paid - Loss &amp; DCCE",DH7="Incurred - Loss &amp; DCCE"),"N/A",IF(OR(COUNTA(DF106:DP115)=0,COUNTA(DF71:DP80)=0),"",INDEX(DG169:DP169,1,11-MATCH(DJ11,DG11:DP11,0))))</f>
        <v/>
      </c>
      <c r="DK18" s="144" t="str">
        <f>IF(OR(DH7="Paid - Loss &amp; DCCE",DH7="Incurred - Loss &amp; DCCE"),"N/A",IF(OR(COUNTA(DF106:DP115)=0,COUNTA(DF71:DP80)=0),"",INDEX(DG169:DP169,1,11-MATCH(DK11,DG11:DP11,0))))</f>
        <v/>
      </c>
      <c r="DL18" s="144" t="str">
        <f>IF(OR(DH7="Paid - Loss &amp; DCCE",DH7="Incurred - Loss &amp; DCCE"),"N/A",IF(OR(COUNTA(DF106:DP115)=0,COUNTA(DF71:DP80)=0),"",INDEX(DG169:DP169,1,11-MATCH(DL11,DG11:DP11,0))))</f>
        <v/>
      </c>
      <c r="DM18" s="144" t="str">
        <f>IF(OR(DH7="Paid - Loss &amp; DCCE",DH7="Incurred - Loss &amp; DCCE"),"N/A",IF(OR(COUNTA(DF106:DP115)=0,COUNTA(DF71:DP80)=0),"",INDEX(DG169:DP169,1,11-MATCH(DM11,DG11:DP11,0))))</f>
        <v/>
      </c>
      <c r="DN18" s="144" t="str">
        <f>IF(OR(DH7="Paid - Loss &amp; DCCE",DH7="Incurred - Loss &amp; DCCE"),"N/A",IF(OR(COUNTA(DF106:DP115)=0,COUNTA(DF71:DP80)=0),"",INDEX(DG169:DP169,1,11-MATCH(DN11,DG11:DP11,0))))</f>
        <v/>
      </c>
      <c r="DO18" s="144" t="str">
        <f>IF(OR(DH7="Paid - Loss &amp; DCCE",DH7="Incurred - Loss &amp; DCCE"),"N/A",IF(OR(COUNTA(DF106:DP115)=0,COUNTA(DF71:DP80)=0),"",INDEX(DG169:DP169,1,11-MATCH(DO11,DG11:DP11,0))))</f>
        <v/>
      </c>
      <c r="DP18" s="144" t="str">
        <f>IF(OR(DH7="Paid - Loss &amp; DCCE",DH7="Incurred - Loss &amp; DCCE"),"N/A",IF(OR(COUNTA(DF106:DP115)=0,COUNTA(DF71:DP80)=0),"",INDEX(DG169:DP169,1,11-MATCH(DP11,DG11:DP11,0))))</f>
        <v/>
      </c>
    </row>
    <row r="19" spans="1:120" ht="15" customHeight="1" x14ac:dyDescent="0.35">
      <c r="A19" s="287" t="s">
        <v>207</v>
      </c>
      <c r="B19" s="68"/>
      <c r="C19" s="144" t="str">
        <f>IF(OR(D7="Paid - Loss &amp; DCCE",D7="Incurred - Loss &amp; DCCE"),"N/A",IF(COUNTA(B249:L258)=0,"",INDEX(C275:L275,1,11-MATCH(C11,C11:L11,0))))</f>
        <v/>
      </c>
      <c r="D19" s="144" t="str">
        <f>IF(OR(D7="Paid - Loss &amp; DCCE",D7="Incurred - Loss &amp; DCCE"),"N/A",IF(COUNTA(B249:L258)=0,"",INDEX(C275:L275,1,11-MATCH(D11,C11:L11,0))))</f>
        <v/>
      </c>
      <c r="E19" s="144" t="str">
        <f>IF(OR(D7="Paid - Loss &amp; DCCE",D7="Incurred - Loss &amp; DCCE"),"N/A",IF(COUNTA(B249:L258)=0,"",INDEX(C275:L275,1,11-MATCH(E11,C11:L11,0))))</f>
        <v/>
      </c>
      <c r="F19" s="144" t="str">
        <f>IF(OR(D7="Paid - Loss &amp; DCCE",D7="Incurred - Loss &amp; DCCE"),"N/A",IF(COUNTA(B249:L258)=0,"",INDEX(C275:L275,1,11-MATCH(F11,C11:L11,0))))</f>
        <v/>
      </c>
      <c r="G19" s="144" t="str">
        <f>IF(OR(D7="Paid - Loss &amp; DCCE",D7="Incurred - Loss &amp; DCCE"),"N/A",IF(COUNTA(B249:L258)=0,"",INDEX(C275:L275,1,11-MATCH(G11,C11:L11,0))))</f>
        <v/>
      </c>
      <c r="H19" s="144" t="str">
        <f>IF(OR(D7="Paid - Loss &amp; DCCE",D7="Incurred - Loss &amp; DCCE"),"N/A",IF(COUNTA(B249:L258)=0,"",INDEX(C275:L275,1,11-MATCH(H11,C11:L11,0))))</f>
        <v/>
      </c>
      <c r="I19" s="144" t="str">
        <f>IF(OR(D7="Paid - Loss &amp; DCCE",D7="Incurred - Loss &amp; DCCE"),"N/A",IF(COUNTA(B249:L258)=0,"",INDEX(C275:L275,1,11-MATCH(I11,C11:L11,0))))</f>
        <v/>
      </c>
      <c r="J19" s="144" t="str">
        <f>IF(OR(D7="Paid - Loss &amp; DCCE",D7="Incurred - Loss &amp; DCCE"),"N/A",IF(COUNTA(B249:L258)=0,"",INDEX(C275:L275,1,11-MATCH(J11,C11:L11,0))))</f>
        <v/>
      </c>
      <c r="K19" s="144" t="str">
        <f>IF(OR(D7="Paid - Loss &amp; DCCE",D7="Incurred - Loss &amp; DCCE"),"N/A",IF(COUNTA(B249:L258)=0,"",INDEX(C275:L275,1,11-MATCH(K11,C11:L11,0))))</f>
        <v/>
      </c>
      <c r="L19" s="144" t="str">
        <f>IF(OR(D7="Paid - Loss &amp; DCCE",D7="Incurred - Loss &amp; DCCE"),"N/A",IF(COUNTA(B249:L258)=0,"",INDEX(C275:L275,1,11-MATCH(L11,C11:L11,0))))</f>
        <v/>
      </c>
      <c r="M19" s="289" t="s">
        <v>207</v>
      </c>
      <c r="N19" s="68"/>
      <c r="O19" s="144" t="str">
        <f>IF(OR(P7="Paid - Loss &amp; DCCE",P7="Incurred - Loss &amp; DCCE"),"N/A",IF(COUNTA(N249:X258)=0,"",INDEX(O275:X275,1,11-MATCH(O11,O11:X11,0))))</f>
        <v/>
      </c>
      <c r="P19" s="144" t="str">
        <f>IF(OR(P7="Paid - Loss &amp; DCCE",P7="Incurred - Loss &amp; DCCE"),"N/A",IF(COUNTA(N249:X258)=0,"",INDEX(O275:X275,1,11-MATCH(P11,O11:X11,0))))</f>
        <v/>
      </c>
      <c r="Q19" s="144" t="str">
        <f>IF(OR(P7="Paid - Loss &amp; DCCE",P7="Incurred - Loss &amp; DCCE"),"N/A",IF(COUNTA(N249:X258)=0,"",INDEX(O275:X275,1,11-MATCH(Q11,O11:X11,0))))</f>
        <v/>
      </c>
      <c r="R19" s="144" t="str">
        <f>IF(OR(P7="Paid - Loss &amp; DCCE",P7="Incurred - Loss &amp; DCCE"),"N/A",IF(COUNTA(N249:X258)=0,"",INDEX(O275:X275,1,11-MATCH(R11,O11:X11,0))))</f>
        <v/>
      </c>
      <c r="S19" s="144" t="str">
        <f>IF(OR(P7="Paid - Loss &amp; DCCE",P7="Incurred - Loss &amp; DCCE"),"N/A",IF(COUNTA(N249:X258)=0,"",INDEX(O275:X275,1,11-MATCH(S11,O11:X11,0))))</f>
        <v/>
      </c>
      <c r="T19" s="144" t="str">
        <f>IF(OR(P7="Paid - Loss &amp; DCCE",P7="Incurred - Loss &amp; DCCE"),"N/A",IF(COUNTA(N249:X258)=0,"",INDEX(O275:X275,1,11-MATCH(T11,O11:X11,0))))</f>
        <v/>
      </c>
      <c r="U19" s="144" t="str">
        <f>IF(OR(P7="Paid - Loss &amp; DCCE",P7="Incurred - Loss &amp; DCCE"),"N/A",IF(COUNTA(N249:X258)=0,"",INDEX(O275:X275,1,11-MATCH(U11,O11:X11,0))))</f>
        <v/>
      </c>
      <c r="V19" s="144" t="str">
        <f>IF(OR(P7="Paid - Loss &amp; DCCE",P7="Incurred - Loss &amp; DCCE"),"N/A",IF(COUNTA(N249:X258)=0,"",INDEX(O275:X275,1,11-MATCH(V11,O11:X11,0))))</f>
        <v/>
      </c>
      <c r="W19" s="144" t="str">
        <f>IF(OR(P7="Paid - Loss &amp; DCCE",P7="Incurred - Loss &amp; DCCE"),"N/A",IF(COUNTA(N249:X258)=0,"",INDEX(O275:X275,1,11-MATCH(W11,O11:X11,0))))</f>
        <v/>
      </c>
      <c r="X19" s="144" t="str">
        <f>IF(OR(P7="Paid - Loss &amp; DCCE",P7="Incurred - Loss &amp; DCCE"),"N/A",IF(COUNTA(N249:X258)=0,"",INDEX(O275:X275,1,11-MATCH(X11,O11:X11,0))))</f>
        <v/>
      </c>
      <c r="Y19" s="289" t="s">
        <v>207</v>
      </c>
      <c r="Z19" s="68"/>
      <c r="AA19" s="144" t="str">
        <f>IF(OR(AB7="Paid - Loss &amp; DCCE",AB7="Incurred - Loss &amp; DCCE"),"N/A",IF(COUNTA(Z249:AJ258)=0,"",INDEX(AA275:AJ275,1,11-MATCH(AA11,AA11:AJ11,0))))</f>
        <v/>
      </c>
      <c r="AB19" s="144" t="str">
        <f>IF(OR(AB7="Paid - Loss &amp; DCCE",AB7="Incurred - Loss &amp; DCCE"),"N/A",IF(COUNTA(Z249:AJ258)=0,"",INDEX(AA275:AJ275,1,11-MATCH(AB11,AA11:AJ11,0))))</f>
        <v/>
      </c>
      <c r="AC19" s="144" t="str">
        <f>IF(OR(AB7="Paid - Loss &amp; DCCE",AB7="Incurred - Loss &amp; DCCE"),"N/A",IF(COUNTA(Z249:AJ258)=0,"",INDEX(AA275:AJ275,1,11-MATCH(AC11,AA11:AJ11,0))))</f>
        <v/>
      </c>
      <c r="AD19" s="144" t="str">
        <f>IF(OR(AB7="Paid - Loss &amp; DCCE",AB7="Incurred - Loss &amp; DCCE"),"N/A",IF(COUNTA(Z249:AJ258)=0,"",INDEX(AA275:AJ275,1,11-MATCH(AD11,AA11:AJ11,0))))</f>
        <v/>
      </c>
      <c r="AE19" s="144" t="str">
        <f>IF(OR(AB7="Paid - Loss &amp; DCCE",AB7="Incurred - Loss &amp; DCCE"),"N/A",IF(COUNTA(Z249:AJ258)=0,"",INDEX(AA275:AJ275,1,11-MATCH(AE11,AA11:AJ11,0))))</f>
        <v/>
      </c>
      <c r="AF19" s="144" t="str">
        <f>IF(OR(AB7="Paid - Loss &amp; DCCE",AB7="Incurred - Loss &amp; DCCE"),"N/A",IF(COUNTA(Z249:AJ258)=0,"",INDEX(AA275:AJ275,1,11-MATCH(AF11,AA11:AJ11,0))))</f>
        <v/>
      </c>
      <c r="AG19" s="144" t="str">
        <f>IF(OR(AB7="Paid - Loss &amp; DCCE",AB7="Incurred - Loss &amp; DCCE"),"N/A",IF(COUNTA(Z249:AJ258)=0,"",INDEX(AA275:AJ275,1,11-MATCH(AG11,AA11:AJ11,0))))</f>
        <v/>
      </c>
      <c r="AH19" s="144" t="str">
        <f>IF(OR(AB7="Paid - Loss &amp; DCCE",AB7="Incurred - Loss &amp; DCCE"),"N/A",IF(COUNTA(Z249:AJ258)=0,"",INDEX(AA275:AJ275,1,11-MATCH(AH11,AA11:AJ11,0))))</f>
        <v/>
      </c>
      <c r="AI19" s="144" t="str">
        <f>IF(OR(AB7="Paid - Loss &amp; DCCE",AB7="Incurred - Loss &amp; DCCE"),"N/A",IF(COUNTA(Z249:AJ258)=0,"",INDEX(AA275:AJ275,1,11-MATCH(AI11,AA11:AJ11,0))))</f>
        <v/>
      </c>
      <c r="AJ19" s="144" t="str">
        <f>IF(OR(AB7="Paid - Loss &amp; DCCE",AB7="Incurred - Loss &amp; DCCE"),"N/A",IF(COUNTA(Z249:AJ258)=0,"",INDEX(AA275:AJ275,1,11-MATCH(AJ11,AA11:AJ11,0))))</f>
        <v/>
      </c>
      <c r="AK19" s="289" t="s">
        <v>207</v>
      </c>
      <c r="AL19" s="68"/>
      <c r="AM19" s="144" t="str">
        <f>IF(OR(AN7="Paid - Loss &amp; DCCE",AN7="Incurred - Loss &amp; DCCE"),"N/A",IF(COUNTA(AL249:AV258)=0,"",INDEX(AM275:AV275,1,11-MATCH(AM11,AM11:AV11,0))))</f>
        <v/>
      </c>
      <c r="AN19" s="144" t="str">
        <f>IF(OR(AN7="Paid - Loss &amp; DCCE",AN7="Incurred - Loss &amp; DCCE"),"N/A",IF(COUNTA(AL249:AV258)=0,"",INDEX(AM275:AV275,1,11-MATCH(AN11,AM11:AV11,0))))</f>
        <v/>
      </c>
      <c r="AO19" s="144" t="str">
        <f>IF(OR(AN7="Paid - Loss &amp; DCCE",AN7="Incurred - Loss &amp; DCCE"),"N/A",IF(COUNTA(AL249:AV258)=0,"",INDEX(AM275:AV275,1,11-MATCH(AO11,AM11:AV11,0))))</f>
        <v/>
      </c>
      <c r="AP19" s="144" t="str">
        <f>IF(OR(AN7="Paid - Loss &amp; DCCE",AN7="Incurred - Loss &amp; DCCE"),"N/A",IF(COUNTA(AL249:AV258)=0,"",INDEX(AM275:AV275,1,11-MATCH(AP11,AM11:AV11,0))))</f>
        <v/>
      </c>
      <c r="AQ19" s="144" t="str">
        <f>IF(OR(AN7="Paid - Loss &amp; DCCE",AN7="Incurred - Loss &amp; DCCE"),"N/A",IF(COUNTA(AL249:AV258)=0,"",INDEX(AM275:AV275,1,11-MATCH(AQ11,AM11:AV11,0))))</f>
        <v/>
      </c>
      <c r="AR19" s="144" t="str">
        <f>IF(OR(AN7="Paid - Loss &amp; DCCE",AN7="Incurred - Loss &amp; DCCE"),"N/A",IF(COUNTA(AL249:AV258)=0,"",INDEX(AM275:AV275,1,11-MATCH(AR11,AM11:AV11,0))))</f>
        <v/>
      </c>
      <c r="AS19" s="144" t="str">
        <f>IF(OR(AN7="Paid - Loss &amp; DCCE",AN7="Incurred - Loss &amp; DCCE"),"N/A",IF(COUNTA(AL249:AV258)=0,"",INDEX(AM275:AV275,1,11-MATCH(AS11,AM11:AV11,0))))</f>
        <v/>
      </c>
      <c r="AT19" s="144" t="str">
        <f>IF(OR(AN7="Paid - Loss &amp; DCCE",AN7="Incurred - Loss &amp; DCCE"),"N/A",IF(COUNTA(AL249:AV258)=0,"",INDEX(AM275:AV275,1,11-MATCH(AT11,AM11:AV11,0))))</f>
        <v/>
      </c>
      <c r="AU19" s="144" t="str">
        <f>IF(OR(AN7="Paid - Loss &amp; DCCE",AN7="Incurred - Loss &amp; DCCE"),"N/A",IF(COUNTA(AL249:AV258)=0,"",INDEX(AM275:AV275,1,11-MATCH(AU11,AM11:AV11,0))))</f>
        <v/>
      </c>
      <c r="AV19" s="144" t="str">
        <f>IF(OR(AN7="Paid - Loss &amp; DCCE",AN7="Incurred - Loss &amp; DCCE"),"N/A",IF(COUNTA(AL249:AV258)=0,"",INDEX(AM275:AV275,1,11-MATCH(AV11,AM11:AV11,0))))</f>
        <v/>
      </c>
      <c r="AW19" s="289" t="s">
        <v>207</v>
      </c>
      <c r="AX19" s="68"/>
      <c r="AY19" s="144" t="str">
        <f>IF(OR(AZ7="Paid - Loss &amp; DCCE",AZ7="Incurred - Loss &amp; DCCE"),"N/A",IF(COUNTA(AX249:BH258)=0,"",INDEX(AY275:BH275,1,11-MATCH(AY11,AY11:BH11,0))))</f>
        <v/>
      </c>
      <c r="AZ19" s="144" t="str">
        <f>IF(OR(AZ7="Paid - Loss &amp; DCCE",AZ7="Incurred - Loss &amp; DCCE"),"N/A",IF(COUNTA(AX249:BH258)=0,"",INDEX(AY275:BH275,1,11-MATCH(AZ11,AY11:BH11,0))))</f>
        <v/>
      </c>
      <c r="BA19" s="144" t="str">
        <f>IF(OR(AZ7="Paid - Loss &amp; DCCE",AZ7="Incurred - Loss &amp; DCCE"),"N/A",IF(COUNTA(AX249:BH258)=0,"",INDEX(AY275:BH275,1,11-MATCH(BA11,AY11:BH11,0))))</f>
        <v/>
      </c>
      <c r="BB19" s="144" t="str">
        <f>IF(OR(AZ7="Paid - Loss &amp; DCCE",AZ7="Incurred - Loss &amp; DCCE"),"N/A",IF(COUNTA(AX249:BH258)=0,"",INDEX(AY275:BH275,1,11-MATCH(BB11,AY11:BH11,0))))</f>
        <v/>
      </c>
      <c r="BC19" s="144" t="str">
        <f>IF(OR(AZ7="Paid - Loss &amp; DCCE",AZ7="Incurred - Loss &amp; DCCE"),"N/A",IF(COUNTA(AX249:BH258)=0,"",INDEX(AY275:BH275,1,11-MATCH(BC11,AY11:BH11,0))))</f>
        <v/>
      </c>
      <c r="BD19" s="144" t="str">
        <f>IF(OR(AZ7="Paid - Loss &amp; DCCE",AZ7="Incurred - Loss &amp; DCCE"),"N/A",IF(COUNTA(AX249:BH258)=0,"",INDEX(AY275:BH275,1,11-MATCH(BD11,AY11:BH11,0))))</f>
        <v/>
      </c>
      <c r="BE19" s="144" t="str">
        <f>IF(OR(AZ7="Paid - Loss &amp; DCCE",AZ7="Incurred - Loss &amp; DCCE"),"N/A",IF(COUNTA(AX249:BH258)=0,"",INDEX(AY275:BH275,1,11-MATCH(BE11,AY11:BH11,0))))</f>
        <v/>
      </c>
      <c r="BF19" s="144" t="str">
        <f>IF(OR(AZ7="Paid - Loss &amp; DCCE",AZ7="Incurred - Loss &amp; DCCE"),"N/A",IF(COUNTA(AX249:BH258)=0,"",INDEX(AY275:BH275,1,11-MATCH(BF11,AY11:BH11,0))))</f>
        <v/>
      </c>
      <c r="BG19" s="144" t="str">
        <f>IF(OR(AZ7="Paid - Loss &amp; DCCE",AZ7="Incurred - Loss &amp; DCCE"),"N/A",IF(COUNTA(AX249:BH258)=0,"",INDEX(AY275:BH275,1,11-MATCH(BG11,AY11:BH11,0))))</f>
        <v/>
      </c>
      <c r="BH19" s="144" t="str">
        <f>IF(OR(AZ7="Paid - Loss &amp; DCCE",AZ7="Incurred - Loss &amp; DCCE"),"N/A",IF(COUNTA(AX249:BH258)=0,"",INDEX(AY275:BH275,1,11-MATCH(BH11,AY11:BH11,0))))</f>
        <v/>
      </c>
      <c r="BI19" s="289" t="s">
        <v>207</v>
      </c>
      <c r="BJ19" s="68"/>
      <c r="BK19" s="144" t="str">
        <f>IF(OR(BL7="Paid - Loss &amp; DCCE",BL7="Incurred - Loss &amp; DCCE"),"N/A",IF(COUNTA(BJ249:BT258)=0,"",INDEX(BK275:BT275,1,11-MATCH(BK11,BK11:BT11,0))))</f>
        <v/>
      </c>
      <c r="BL19" s="144" t="str">
        <f>IF(OR(BL7="Paid - Loss &amp; DCCE",BL7="Incurred - Loss &amp; DCCE"),"N/A",IF(COUNTA(BJ249:BT258)=0,"",INDEX(BK275:BT275,1,11-MATCH(BL11,BK11:BT11,0))))</f>
        <v/>
      </c>
      <c r="BM19" s="144" t="str">
        <f>IF(OR(BL7="Paid - Loss &amp; DCCE",BL7="Incurred - Loss &amp; DCCE"),"N/A",IF(COUNTA(BJ249:BT258)=0,"",INDEX(BK275:BT275,1,11-MATCH(BM11,BK11:BT11,0))))</f>
        <v/>
      </c>
      <c r="BN19" s="144" t="str">
        <f>IF(OR(BL7="Paid - Loss &amp; DCCE",BL7="Incurred - Loss &amp; DCCE"),"N/A",IF(COUNTA(BJ249:BT258)=0,"",INDEX(BK275:BT275,1,11-MATCH(BN11,BK11:BT11,0))))</f>
        <v/>
      </c>
      <c r="BO19" s="144" t="str">
        <f>IF(OR(BL7="Paid - Loss &amp; DCCE",BL7="Incurred - Loss &amp; DCCE"),"N/A",IF(COUNTA(BJ249:BT258)=0,"",INDEX(BK275:BT275,1,11-MATCH(BO11,BK11:BT11,0))))</f>
        <v/>
      </c>
      <c r="BP19" s="144" t="str">
        <f>IF(OR(BL7="Paid - Loss &amp; DCCE",BL7="Incurred - Loss &amp; DCCE"),"N/A",IF(COUNTA(BJ249:BT258)=0,"",INDEX(BK275:BT275,1,11-MATCH(BP11,BK11:BT11,0))))</f>
        <v/>
      </c>
      <c r="BQ19" s="144" t="str">
        <f>IF(OR(BL7="Paid - Loss &amp; DCCE",BL7="Incurred - Loss &amp; DCCE"),"N/A",IF(COUNTA(BJ249:BT258)=0,"",INDEX(BK275:BT275,1,11-MATCH(BQ11,BK11:BT11,0))))</f>
        <v/>
      </c>
      <c r="BR19" s="144" t="str">
        <f>IF(OR(BL7="Paid - Loss &amp; DCCE",BL7="Incurred - Loss &amp; DCCE"),"N/A",IF(COUNTA(BJ249:BT258)=0,"",INDEX(BK275:BT275,1,11-MATCH(BR11,BK11:BT11,0))))</f>
        <v/>
      </c>
      <c r="BS19" s="144" t="str">
        <f>IF(OR(BL7="Paid - Loss &amp; DCCE",BL7="Incurred - Loss &amp; DCCE"),"N/A",IF(COUNTA(BJ249:BT258)=0,"",INDEX(BK275:BT275,1,11-MATCH(BS11,BK11:BT11,0))))</f>
        <v/>
      </c>
      <c r="BT19" s="144" t="str">
        <f>IF(OR(BL7="Paid - Loss &amp; DCCE",BL7="Incurred - Loss &amp; DCCE"),"N/A",IF(COUNTA(BJ249:BT258)=0,"",INDEX(BK275:BT275,1,11-MATCH(BT11,BK11:BT11,0))))</f>
        <v/>
      </c>
      <c r="BU19" s="289" t="s">
        <v>207</v>
      </c>
      <c r="BV19" s="68"/>
      <c r="BW19" s="144" t="str">
        <f>IF(OR(BX7="Paid - Loss &amp; DCCE",BX7="Incurred - Loss &amp; DCCE"),"N/A",IF(COUNTA(BV249:CF258)=0,"",INDEX(BW275:CF275,1,11-MATCH(BW11,BW11:CF11,0))))</f>
        <v/>
      </c>
      <c r="BX19" s="144" t="str">
        <f>IF(OR(BX7="Paid - Loss &amp; DCCE",BX7="Incurred - Loss &amp; DCCE"),"N/A",IF(COUNTA(BV249:CF258)=0,"",INDEX(BW275:CF275,1,11-MATCH(BX11,BW11:CF11,0))))</f>
        <v/>
      </c>
      <c r="BY19" s="144" t="str">
        <f>IF(OR(BX7="Paid - Loss &amp; DCCE",BX7="Incurred - Loss &amp; DCCE"),"N/A",IF(COUNTA(BV249:CF258)=0,"",INDEX(BW275:CF275,1,11-MATCH(BY11,BW11:CF11,0))))</f>
        <v/>
      </c>
      <c r="BZ19" s="144" t="str">
        <f>IF(OR(BX7="Paid - Loss &amp; DCCE",BX7="Incurred - Loss &amp; DCCE"),"N/A",IF(COUNTA(BV249:CF258)=0,"",INDEX(BW275:CF275,1,11-MATCH(BZ11,BW11:CF11,0))))</f>
        <v/>
      </c>
      <c r="CA19" s="144" t="str">
        <f>IF(OR(BX7="Paid - Loss &amp; DCCE",BX7="Incurred - Loss &amp; DCCE"),"N/A",IF(COUNTA(BV249:CF258)=0,"",INDEX(BW275:CF275,1,11-MATCH(CA11,BW11:CF11,0))))</f>
        <v/>
      </c>
      <c r="CB19" s="144" t="str">
        <f>IF(OR(BX7="Paid - Loss &amp; DCCE",BX7="Incurred - Loss &amp; DCCE"),"N/A",IF(COUNTA(BV249:CF258)=0,"",INDEX(BW275:CF275,1,11-MATCH(CB11,BW11:CF11,0))))</f>
        <v/>
      </c>
      <c r="CC19" s="144" t="str">
        <f>IF(OR(BX7="Paid - Loss &amp; DCCE",BX7="Incurred - Loss &amp; DCCE"),"N/A",IF(COUNTA(BV249:CF258)=0,"",INDEX(BW275:CF275,1,11-MATCH(CC11,BW11:CF11,0))))</f>
        <v/>
      </c>
      <c r="CD19" s="144" t="str">
        <f>IF(OR(BX7="Paid - Loss &amp; DCCE",BX7="Incurred - Loss &amp; DCCE"),"N/A",IF(COUNTA(BV249:CF258)=0,"",INDEX(BW275:CF275,1,11-MATCH(CD11,BW11:CF11,0))))</f>
        <v/>
      </c>
      <c r="CE19" s="144" t="str">
        <f>IF(OR(BX7="Paid - Loss &amp; DCCE",BX7="Incurred - Loss &amp; DCCE"),"N/A",IF(COUNTA(BV249:CF258)=0,"",INDEX(BW275:CF275,1,11-MATCH(CE11,BW11:CF11,0))))</f>
        <v/>
      </c>
      <c r="CF19" s="144" t="str">
        <f>IF(OR(BX7="Paid - Loss &amp; DCCE",BX7="Incurred - Loss &amp; DCCE"),"N/A",IF(COUNTA(BV249:CF258)=0,"",INDEX(BW275:CF275,1,11-MATCH(CF11,BW11:CF11,0))))</f>
        <v/>
      </c>
      <c r="CG19" s="289" t="s">
        <v>207</v>
      </c>
      <c r="CH19" s="68"/>
      <c r="CI19" s="144" t="str">
        <f>IF(OR(CJ7="Paid - Loss &amp; DCCE",CJ7="Incurred - Loss &amp; DCCE"),"N/A",IF(COUNTA(CH249:CR258)=0,"",INDEX(CI275:CR275,1,11-MATCH(CI11,CI11:CR11,0))))</f>
        <v/>
      </c>
      <c r="CJ19" s="144" t="str">
        <f>IF(OR(CJ7="Paid - Loss &amp; DCCE",CJ7="Incurred - Loss &amp; DCCE"),"N/A",IF(COUNTA(CH249:CR258)=0,"",INDEX(CI275:CR275,1,11-MATCH(CJ11,CI11:CR11,0))))</f>
        <v/>
      </c>
      <c r="CK19" s="144" t="str">
        <f>IF(OR(CJ7="Paid - Loss &amp; DCCE",CJ7="Incurred - Loss &amp; DCCE"),"N/A",IF(COUNTA(CH249:CR258)=0,"",INDEX(CI275:CR275,1,11-MATCH(CK11,CI11:CR11,0))))</f>
        <v/>
      </c>
      <c r="CL19" s="144" t="str">
        <f>IF(OR(CJ7="Paid - Loss &amp; DCCE",CJ7="Incurred - Loss &amp; DCCE"),"N/A",IF(COUNTA(CH249:CR258)=0,"",INDEX(CI275:CR275,1,11-MATCH(CL11,CI11:CR11,0))))</f>
        <v/>
      </c>
      <c r="CM19" s="144" t="str">
        <f>IF(OR(CJ7="Paid - Loss &amp; DCCE",CJ7="Incurred - Loss &amp; DCCE"),"N/A",IF(COUNTA(CH249:CR258)=0,"",INDEX(CI275:CR275,1,11-MATCH(CM11,CI11:CR11,0))))</f>
        <v/>
      </c>
      <c r="CN19" s="144" t="str">
        <f>IF(OR(CJ7="Paid - Loss &amp; DCCE",CJ7="Incurred - Loss &amp; DCCE"),"N/A",IF(COUNTA(CH249:CR258)=0,"",INDEX(CI275:CR275,1,11-MATCH(CN11,CI11:CR11,0))))</f>
        <v/>
      </c>
      <c r="CO19" s="144" t="str">
        <f>IF(OR(CJ7="Paid - Loss &amp; DCCE",CJ7="Incurred - Loss &amp; DCCE"),"N/A",IF(COUNTA(CH249:CR258)=0,"",INDEX(CI275:CR275,1,11-MATCH(CO11,CI11:CR11,0))))</f>
        <v/>
      </c>
      <c r="CP19" s="144" t="str">
        <f>IF(OR(CJ7="Paid - Loss &amp; DCCE",CJ7="Incurred - Loss &amp; DCCE"),"N/A",IF(COUNTA(CH249:CR258)=0,"",INDEX(CI275:CR275,1,11-MATCH(CP11,CI11:CR11,0))))</f>
        <v/>
      </c>
      <c r="CQ19" s="144" t="str">
        <f>IF(OR(CJ7="Paid - Loss &amp; DCCE",CJ7="Incurred - Loss &amp; DCCE"),"N/A",IF(COUNTA(CH249:CR258)=0,"",INDEX(CI275:CR275,1,11-MATCH(CQ11,CI11:CR11,0))))</f>
        <v/>
      </c>
      <c r="CR19" s="144" t="str">
        <f>IF(OR(CJ7="Paid - Loss &amp; DCCE",CJ7="Incurred - Loss &amp; DCCE"),"N/A",IF(COUNTA(CH249:CR258)=0,"",INDEX(CI275:CR275,1,11-MATCH(CR11,CI11:CR11,0))))</f>
        <v/>
      </c>
      <c r="CS19" s="289" t="s">
        <v>207</v>
      </c>
      <c r="CT19" s="68"/>
      <c r="CU19" s="144" t="str">
        <f>IF(OR(CV7="Paid - Loss &amp; DCCE",CV7="Incurred - Loss &amp; DCCE"),"N/A",IF(COUNTA(CT249:DD258)=0,"",INDEX(CU275:DD275,1,11-MATCH(CU11,CU11:DD11,0))))</f>
        <v/>
      </c>
      <c r="CV19" s="144" t="str">
        <f>IF(OR(CV7="Paid - Loss &amp; DCCE",CV7="Incurred - Loss &amp; DCCE"),"N/A",IF(COUNTA(CT249:DD258)=0,"",INDEX(CU275:DD275,1,11-MATCH(CV11,CU11:DD11,0))))</f>
        <v/>
      </c>
      <c r="CW19" s="144" t="str">
        <f>IF(OR(CV7="Paid - Loss &amp; DCCE",CV7="Incurred - Loss &amp; DCCE"),"N/A",IF(COUNTA(CT249:DD258)=0,"",INDEX(CU275:DD275,1,11-MATCH(CW11,CU11:DD11,0))))</f>
        <v/>
      </c>
      <c r="CX19" s="144" t="str">
        <f>IF(OR(CV7="Paid - Loss &amp; DCCE",CV7="Incurred - Loss &amp; DCCE"),"N/A",IF(COUNTA(CT249:DD258)=0,"",INDEX(CU275:DD275,1,11-MATCH(CX11,CU11:DD11,0))))</f>
        <v/>
      </c>
      <c r="CY19" s="144" t="str">
        <f>IF(OR(CV7="Paid - Loss &amp; DCCE",CV7="Incurred - Loss &amp; DCCE"),"N/A",IF(COUNTA(CT249:DD258)=0,"",INDEX(CU275:DD275,1,11-MATCH(CY11,CU11:DD11,0))))</f>
        <v/>
      </c>
      <c r="CZ19" s="144" t="str">
        <f>IF(OR(CV7="Paid - Loss &amp; DCCE",CV7="Incurred - Loss &amp; DCCE"),"N/A",IF(COUNTA(CT249:DD258)=0,"",INDEX(CU275:DD275,1,11-MATCH(CZ11,CU11:DD11,0))))</f>
        <v/>
      </c>
      <c r="DA19" s="144" t="str">
        <f>IF(OR(CV7="Paid - Loss &amp; DCCE",CV7="Incurred - Loss &amp; DCCE"),"N/A",IF(COUNTA(CT249:DD258)=0,"",INDEX(CU275:DD275,1,11-MATCH(DA11,CU11:DD11,0))))</f>
        <v/>
      </c>
      <c r="DB19" s="144" t="str">
        <f>IF(OR(CV7="Paid - Loss &amp; DCCE",CV7="Incurred - Loss &amp; DCCE"),"N/A",IF(COUNTA(CT249:DD258)=0,"",INDEX(CU275:DD275,1,11-MATCH(DB11,CU11:DD11,0))))</f>
        <v/>
      </c>
      <c r="DC19" s="144" t="str">
        <f>IF(OR(CV7="Paid - Loss &amp; DCCE",CV7="Incurred - Loss &amp; DCCE"),"N/A",IF(COUNTA(CT249:DD258)=0,"",INDEX(CU275:DD275,1,11-MATCH(DC11,CU11:DD11,0))))</f>
        <v/>
      </c>
      <c r="DD19" s="144" t="str">
        <f>IF(OR(CV7="Paid - Loss &amp; DCCE",CV7="Incurred - Loss &amp; DCCE"),"N/A",IF(COUNTA(CT249:DD258)=0,"",INDEX(CU275:DD275,1,11-MATCH(DD11,CU11:DD11,0))))</f>
        <v/>
      </c>
      <c r="DE19" s="289" t="s">
        <v>207</v>
      </c>
      <c r="DF19" s="68"/>
      <c r="DG19" s="144" t="str">
        <f>IF(OR(DH7="Paid - Loss &amp; DCCE",DH7="Incurred - Loss &amp; DCCE"),"N/A",IF(COUNTA(DF249:DP258)=0,"",INDEX(DG275:DP275,1,11-MATCH(DG11,DG11:DP11,0))))</f>
        <v/>
      </c>
      <c r="DH19" s="144" t="str">
        <f>IF(OR(DH7="Paid - Loss &amp; DCCE",DH7="Incurred - Loss &amp; DCCE"),"N/A",IF(COUNTA(DF249:DP258)=0,"",INDEX(DG275:DP275,1,11-MATCH(DH11,DG11:DP11,0))))</f>
        <v/>
      </c>
      <c r="DI19" s="144" t="str">
        <f>IF(OR(DH7="Paid - Loss &amp; DCCE",DH7="Incurred - Loss &amp; DCCE"),"N/A",IF(COUNTA(DF249:DP258)=0,"",INDEX(DG275:DP275,1,11-MATCH(DI11,DG11:DP11,0))))</f>
        <v/>
      </c>
      <c r="DJ19" s="144" t="str">
        <f>IF(OR(DH7="Paid - Loss &amp; DCCE",DH7="Incurred - Loss &amp; DCCE"),"N/A",IF(COUNTA(DF249:DP258)=0,"",INDEX(DG275:DP275,1,11-MATCH(DJ11,DG11:DP11,0))))</f>
        <v/>
      </c>
      <c r="DK19" s="144" t="str">
        <f>IF(OR(DH7="Paid - Loss &amp; DCCE",DH7="Incurred - Loss &amp; DCCE"),"N/A",IF(COUNTA(DF249:DP258)=0,"",INDEX(DG275:DP275,1,11-MATCH(DK11,DG11:DP11,0))))</f>
        <v/>
      </c>
      <c r="DL19" s="144" t="str">
        <f>IF(OR(DH7="Paid - Loss &amp; DCCE",DH7="Incurred - Loss &amp; DCCE"),"N/A",IF(COUNTA(DF249:DP258)=0,"",INDEX(DG275:DP275,1,11-MATCH(DL11,DG11:DP11,0))))</f>
        <v/>
      </c>
      <c r="DM19" s="144" t="str">
        <f>IF(OR(DH7="Paid - Loss &amp; DCCE",DH7="Incurred - Loss &amp; DCCE"),"N/A",IF(COUNTA(DF249:DP258)=0,"",INDEX(DG275:DP275,1,11-MATCH(DM11,DG11:DP11,0))))</f>
        <v/>
      </c>
      <c r="DN19" s="144" t="str">
        <f>IF(OR(DH7="Paid - Loss &amp; DCCE",DH7="Incurred - Loss &amp; DCCE"),"N/A",IF(COUNTA(DF249:DP258)=0,"",INDEX(DG275:DP275,1,11-MATCH(DN11,DG11:DP11,0))))</f>
        <v/>
      </c>
      <c r="DO19" s="144" t="str">
        <f>IF(OR(DH7="Paid - Loss &amp; DCCE",DH7="Incurred - Loss &amp; DCCE"),"N/A",IF(COUNTA(DF249:DP258)=0,"",INDEX(DG275:DP275,1,11-MATCH(DO11,DG11:DP11,0))))</f>
        <v/>
      </c>
      <c r="DP19" s="144" t="str">
        <f>IF(OR(DH7="Paid - Loss &amp; DCCE",DH7="Incurred - Loss &amp; DCCE"),"N/A",IF(COUNTA(DF249:DP258)=0,"",INDEX(DG275:DP275,1,11-MATCH(DP11,DG11:DP11,0))))</f>
        <v/>
      </c>
    </row>
    <row r="20" spans="1:120" ht="15" customHeight="1" x14ac:dyDescent="0.35">
      <c r="A20" s="287" t="s">
        <v>220</v>
      </c>
      <c r="B20" s="68"/>
      <c r="C20" s="144" t="str">
        <f>IF(OR(D7="Paid - Loss &amp; DCCE",D7="Incurred - Loss &amp; DCCE"),"N/A",IF(OR(COUNTA(B249:L258)=0,COUNTA(B214:L223)=0),"",INDEX(C312:L312,1,11-MATCH(C11,C11:L11,0))))</f>
        <v/>
      </c>
      <c r="D20" s="144" t="str">
        <f>IF(OR(D7="Paid - Loss &amp; DCCE",D7="Incurred - Loss &amp; DCCE"),"N/A",IF(OR(COUNTA(B249:L258)=0,COUNTA(B214:L223)=0),"",INDEX(C312:L312,1,11-MATCH(D11,C11:L11,0))))</f>
        <v/>
      </c>
      <c r="E20" s="144" t="str">
        <f>IF(OR(D7="Paid - Loss &amp; DCCE",D7="Incurred - Loss &amp; DCCE"),"N/A",IF(OR(COUNTA(B249:L258)=0,COUNTA(B214:L223)=0),"",INDEX(C312:L312,1,11-MATCH(E11,C11:L11,0))))</f>
        <v/>
      </c>
      <c r="F20" s="144" t="str">
        <f>IF(OR(D7="Paid - Loss &amp; DCCE",D7="Incurred - Loss &amp; DCCE"),"N/A",IF(OR(COUNTA(B249:L258)=0,COUNTA(B214:L223)=0),"",INDEX(C312:L312,1,11-MATCH(F11,C11:L11,0))))</f>
        <v/>
      </c>
      <c r="G20" s="144" t="str">
        <f>IF(OR(D7="Paid - Loss &amp; DCCE",D7="Incurred - Loss &amp; DCCE"),"N/A",IF(OR(COUNTA(B249:L258)=0,COUNTA(B214:L223)=0),"",INDEX(C312:L312,1,11-MATCH(G11,C11:L11,0))))</f>
        <v/>
      </c>
      <c r="H20" s="144" t="str">
        <f>IF(OR(D7="Paid - Loss &amp; DCCE",D7="Incurred - Loss &amp; DCCE"),"N/A",IF(OR(COUNTA(B249:L258)=0,COUNTA(B214:L223)=0),"",INDEX(C312:L312,1,11-MATCH(H11,C11:L11,0))))</f>
        <v/>
      </c>
      <c r="I20" s="144" t="str">
        <f>IF(OR(D7="Paid - Loss &amp; DCCE",D7="Incurred - Loss &amp; DCCE"),"N/A",IF(OR(COUNTA(B249:L258)=0,COUNTA(B214:L223)=0),"",INDEX(C312:L312,1,11-MATCH(I11,C11:L11,0))))</f>
        <v/>
      </c>
      <c r="J20" s="144" t="str">
        <f>IF(OR(D7="Paid - Loss &amp; DCCE",D7="Incurred - Loss &amp; DCCE"),"N/A",IF(OR(COUNTA(B249:L258)=0,COUNTA(B214:L223)=0),"",INDEX(C312:L312,1,11-MATCH(J11,C11:L11,0))))</f>
        <v/>
      </c>
      <c r="K20" s="144" t="str">
        <f>IF(OR(D7="Paid - Loss &amp; DCCE",D7="Incurred - Loss &amp; DCCE"),"N/A",IF(OR(COUNTA(B249:L258)=0,COUNTA(B214:L223)=0),"",INDEX(C312:L312,1,11-MATCH(K11,C11:L11,0))))</f>
        <v/>
      </c>
      <c r="L20" s="144" t="str">
        <f>IF(OR(D7="Paid - Loss &amp; DCCE",D7="Incurred - Loss &amp; DCCE"),"N/A",IF(OR(COUNTA(B249:L258)=0,COUNTA(B214:L223)=0),"",INDEX(C312:L312,1,11-MATCH(L11,C11:L11,0))))</f>
        <v/>
      </c>
      <c r="M20" s="289" t="s">
        <v>220</v>
      </c>
      <c r="N20" s="68"/>
      <c r="O20" s="144" t="str">
        <f>IF(OR(P7="Paid - Loss &amp; DCCE",P7="Incurred - Loss &amp; DCCE"),"N/A",IF(OR(COUNTA(N249:X258)=0,COUNTA(N214:X223)=0),"",INDEX(O312:X312,1,11-MATCH(O11,O11:X11,0))))</f>
        <v/>
      </c>
      <c r="P20" s="144" t="str">
        <f>IF(OR(P7="Paid - Loss &amp; DCCE",P7="Incurred - Loss &amp; DCCE"),"N/A",IF(OR(COUNTA(N249:X258)=0,COUNTA(N214:X223)=0),"",INDEX(O312:X312,1,11-MATCH(P11,O11:X11,0))))</f>
        <v/>
      </c>
      <c r="Q20" s="144" t="str">
        <f>IF(OR(P7="Paid - Loss &amp; DCCE",P7="Incurred - Loss &amp; DCCE"),"N/A",IF(OR(COUNTA(N249:X258)=0,COUNTA(N214:X223)=0),"",INDEX(O312:X312,1,11-MATCH(Q11,O11:X11,0))))</f>
        <v/>
      </c>
      <c r="R20" s="144" t="str">
        <f>IF(OR(P7="Paid - Loss &amp; DCCE",P7="Incurred - Loss &amp; DCCE"),"N/A",IF(OR(COUNTA(N249:X258)=0,COUNTA(N214:X223)=0),"",INDEX(O312:X312,1,11-MATCH(R11,O11:X11,0))))</f>
        <v/>
      </c>
      <c r="S20" s="144" t="str">
        <f>IF(OR(P7="Paid - Loss &amp; DCCE",P7="Incurred - Loss &amp; DCCE"),"N/A",IF(OR(COUNTA(N249:X258)=0,COUNTA(N214:X223)=0),"",INDEX(O312:X312,1,11-MATCH(S11,O11:X11,0))))</f>
        <v/>
      </c>
      <c r="T20" s="144" t="str">
        <f>IF(OR(P7="Paid - Loss &amp; DCCE",P7="Incurred - Loss &amp; DCCE"),"N/A",IF(OR(COUNTA(N249:X258)=0,COUNTA(N214:X223)=0),"",INDEX(O312:X312,1,11-MATCH(T11,O11:X11,0))))</f>
        <v/>
      </c>
      <c r="U20" s="144" t="str">
        <f>IF(OR(P7="Paid - Loss &amp; DCCE",P7="Incurred - Loss &amp; DCCE"),"N/A",IF(OR(COUNTA(N249:X258)=0,COUNTA(N214:X223)=0),"",INDEX(O312:X312,1,11-MATCH(U11,O11:X11,0))))</f>
        <v/>
      </c>
      <c r="V20" s="144" t="str">
        <f>IF(OR(P7="Paid - Loss &amp; DCCE",P7="Incurred - Loss &amp; DCCE"),"N/A",IF(OR(COUNTA(N249:X258)=0,COUNTA(N214:X223)=0),"",INDEX(O312:X312,1,11-MATCH(V11,O11:X11,0))))</f>
        <v/>
      </c>
      <c r="W20" s="144" t="str">
        <f>IF(OR(P7="Paid - Loss &amp; DCCE",P7="Incurred - Loss &amp; DCCE"),"N/A",IF(OR(COUNTA(N249:X258)=0,COUNTA(N214:X223)=0),"",INDEX(O312:X312,1,11-MATCH(W11,O11:X11,0))))</f>
        <v/>
      </c>
      <c r="X20" s="144" t="str">
        <f>IF(OR(P7="Paid - Loss &amp; DCCE",P7="Incurred - Loss &amp; DCCE"),"N/A",IF(OR(COUNTA(N249:X258)=0,COUNTA(N214:X223)=0),"",INDEX(O312:X312,1,11-MATCH(X11,O11:X11,0))))</f>
        <v/>
      </c>
      <c r="Y20" s="289" t="s">
        <v>220</v>
      </c>
      <c r="Z20" s="68"/>
      <c r="AA20" s="144" t="str">
        <f>IF(OR(AB7="Paid - Loss &amp; DCCE",AB7="Incurred - Loss &amp; DCCE"),"N/A",IF(OR(COUNTA(Z249:AJ258)=0,COUNTA(Z214:AJ223)=0),"",INDEX(AA312:AJ312,1,11-MATCH(AA11,AA11:AJ11,0))))</f>
        <v/>
      </c>
      <c r="AB20" s="144" t="str">
        <f>IF(OR(AB7="Paid - Loss &amp; DCCE",AB7="Incurred - Loss &amp; DCCE"),"N/A",IF(OR(COUNTA(Z249:AJ258)=0,COUNTA(Z214:AJ223)=0),"",INDEX(AA312:AJ312,1,11-MATCH(AB11,AA11:AJ11,0))))</f>
        <v/>
      </c>
      <c r="AC20" s="144" t="str">
        <f>IF(OR(AB7="Paid - Loss &amp; DCCE",AB7="Incurred - Loss &amp; DCCE"),"N/A",IF(OR(COUNTA(Z249:AJ258)=0,COUNTA(Z214:AJ223)=0),"",INDEX(AA312:AJ312,1,11-MATCH(AC11,AA11:AJ11,0))))</f>
        <v/>
      </c>
      <c r="AD20" s="144" t="str">
        <f>IF(OR(AB7="Paid - Loss &amp; DCCE",AB7="Incurred - Loss &amp; DCCE"),"N/A",IF(OR(COUNTA(Z249:AJ258)=0,COUNTA(Z214:AJ223)=0),"",INDEX(AA312:AJ312,1,11-MATCH(AD11,AA11:AJ11,0))))</f>
        <v/>
      </c>
      <c r="AE20" s="144" t="str">
        <f>IF(OR(AB7="Paid - Loss &amp; DCCE",AB7="Incurred - Loss &amp; DCCE"),"N/A",IF(OR(COUNTA(Z249:AJ258)=0,COUNTA(Z214:AJ223)=0),"",INDEX(AA312:AJ312,1,11-MATCH(AE11,AA11:AJ11,0))))</f>
        <v/>
      </c>
      <c r="AF20" s="144" t="str">
        <f>IF(OR(AB7="Paid - Loss &amp; DCCE",AB7="Incurred - Loss &amp; DCCE"),"N/A",IF(OR(COUNTA(Z249:AJ258)=0,COUNTA(Z214:AJ223)=0),"",INDEX(AA312:AJ312,1,11-MATCH(AF11,AA11:AJ11,0))))</f>
        <v/>
      </c>
      <c r="AG20" s="144" t="str">
        <f>IF(OR(AB7="Paid - Loss &amp; DCCE",AB7="Incurred - Loss &amp; DCCE"),"N/A",IF(OR(COUNTA(Z249:AJ258)=0,COUNTA(Z214:AJ223)=0),"",INDEX(AA312:AJ312,1,11-MATCH(AG11,AA11:AJ11,0))))</f>
        <v/>
      </c>
      <c r="AH20" s="144" t="str">
        <f>IF(OR(AB7="Paid - Loss &amp; DCCE",AB7="Incurred - Loss &amp; DCCE"),"N/A",IF(OR(COUNTA(Z249:AJ258)=0,COUNTA(Z214:AJ223)=0),"",INDEX(AA312:AJ312,1,11-MATCH(AH11,AA11:AJ11,0))))</f>
        <v/>
      </c>
      <c r="AI20" s="144" t="str">
        <f>IF(OR(AB7="Paid - Loss &amp; DCCE",AB7="Incurred - Loss &amp; DCCE"),"N/A",IF(OR(COUNTA(Z249:AJ258)=0,COUNTA(Z214:AJ223)=0),"",INDEX(AA312:AJ312,1,11-MATCH(AI11,AA11:AJ11,0))))</f>
        <v/>
      </c>
      <c r="AJ20" s="144" t="str">
        <f>IF(OR(AB7="Paid - Loss &amp; DCCE",AB7="Incurred - Loss &amp; DCCE"),"N/A",IF(OR(COUNTA(Z249:AJ258)=0,COUNTA(Z214:AJ223)=0),"",INDEX(AA312:AJ312,1,11-MATCH(AJ11,AA11:AJ11,0))))</f>
        <v/>
      </c>
      <c r="AK20" s="289" t="s">
        <v>220</v>
      </c>
      <c r="AL20" s="68"/>
      <c r="AM20" s="144" t="str">
        <f>IF(OR(AN7="Paid - Loss &amp; DCCE",AN7="Incurred - Loss &amp; DCCE"),"N/A",IF(OR(COUNTA(AL249:AV258)=0,COUNTA(AL214:AV223)=0),"",INDEX(AM312:AV312,1,11-MATCH(AM11,AM11:AV11,0))))</f>
        <v/>
      </c>
      <c r="AN20" s="144" t="str">
        <f>IF(OR(AN7="Paid - Loss &amp; DCCE",AN7="Incurred - Loss &amp; DCCE"),"N/A",IF(OR(COUNTA(AL249:AV258)=0,COUNTA(AL214:AV223)=0),"",INDEX(AM312:AV312,1,11-MATCH(AN11,AM11:AV11,0))))</f>
        <v/>
      </c>
      <c r="AO20" s="144" t="str">
        <f>IF(OR(AN7="Paid - Loss &amp; DCCE",AN7="Incurred - Loss &amp; DCCE"),"N/A",IF(OR(COUNTA(AL249:AV258)=0,COUNTA(AL214:AV223)=0),"",INDEX(AM312:AV312,1,11-MATCH(AO11,AM11:AV11,0))))</f>
        <v/>
      </c>
      <c r="AP20" s="144" t="str">
        <f>IF(OR(AN7="Paid - Loss &amp; DCCE",AN7="Incurred - Loss &amp; DCCE"),"N/A",IF(OR(COUNTA(AL249:AV258)=0,COUNTA(AL214:AV223)=0),"",INDEX(AM312:AV312,1,11-MATCH(AP11,AM11:AV11,0))))</f>
        <v/>
      </c>
      <c r="AQ20" s="144" t="str">
        <f>IF(OR(AN7="Paid - Loss &amp; DCCE",AN7="Incurred - Loss &amp; DCCE"),"N/A",IF(OR(COUNTA(AL249:AV258)=0,COUNTA(AL214:AV223)=0),"",INDEX(AM312:AV312,1,11-MATCH(AQ11,AM11:AV11,0))))</f>
        <v/>
      </c>
      <c r="AR20" s="144" t="str">
        <f>IF(OR(AN7="Paid - Loss &amp; DCCE",AN7="Incurred - Loss &amp; DCCE"),"N/A",IF(OR(COUNTA(AL249:AV258)=0,COUNTA(AL214:AV223)=0),"",INDEX(AM312:AV312,1,11-MATCH(AR11,AM11:AV11,0))))</f>
        <v/>
      </c>
      <c r="AS20" s="144" t="str">
        <f>IF(OR(AN7="Paid - Loss &amp; DCCE",AN7="Incurred - Loss &amp; DCCE"),"N/A",IF(OR(COUNTA(AL249:AV258)=0,COUNTA(AL214:AV223)=0),"",INDEX(AM312:AV312,1,11-MATCH(AS11,AM11:AV11,0))))</f>
        <v/>
      </c>
      <c r="AT20" s="144" t="str">
        <f>IF(OR(AN7="Paid - Loss &amp; DCCE",AN7="Incurred - Loss &amp; DCCE"),"N/A",IF(OR(COUNTA(AL249:AV258)=0,COUNTA(AL214:AV223)=0),"",INDEX(AM312:AV312,1,11-MATCH(AT11,AM11:AV11,0))))</f>
        <v/>
      </c>
      <c r="AU20" s="144" t="str">
        <f>IF(OR(AN7="Paid - Loss &amp; DCCE",AN7="Incurred - Loss &amp; DCCE"),"N/A",IF(OR(COUNTA(AL249:AV258)=0,COUNTA(AL214:AV223)=0),"",INDEX(AM312:AV312,1,11-MATCH(AU11,AM11:AV11,0))))</f>
        <v/>
      </c>
      <c r="AV20" s="144" t="str">
        <f>IF(OR(AN7="Paid - Loss &amp; DCCE",AN7="Incurred - Loss &amp; DCCE"),"N/A",IF(OR(COUNTA(AL249:AV258)=0,COUNTA(AL214:AV223)=0),"",INDEX(AM312:AV312,1,11-MATCH(AV11,AM11:AV11,0))))</f>
        <v/>
      </c>
      <c r="AW20" s="289" t="s">
        <v>220</v>
      </c>
      <c r="AX20" s="68"/>
      <c r="AY20" s="144" t="str">
        <f>IF(OR(AZ7="Paid - Loss &amp; DCCE",AZ7="Incurred - Loss &amp; DCCE"),"N/A",IF(OR(COUNTA(AX249:BH258)=0,COUNTA(AX214:BH223)=0),"",INDEX(AY312:BH312,1,11-MATCH(AY11,AY11:BH11,0))))</f>
        <v/>
      </c>
      <c r="AZ20" s="144" t="str">
        <f>IF(OR(AZ7="Paid - Loss &amp; DCCE",AZ7="Incurred - Loss &amp; DCCE"),"N/A",IF(OR(COUNTA(AX249:BH258)=0,COUNTA(AX214:BH223)=0),"",INDEX(AY312:BH312,1,11-MATCH(AZ11,AY11:BH11,0))))</f>
        <v/>
      </c>
      <c r="BA20" s="144" t="str">
        <f>IF(OR(AZ7="Paid - Loss &amp; DCCE",AZ7="Incurred - Loss &amp; DCCE"),"N/A",IF(OR(COUNTA(AX249:BH258)=0,COUNTA(AX214:BH223)=0),"",INDEX(AY312:BH312,1,11-MATCH(BA11,AY11:BH11,0))))</f>
        <v/>
      </c>
      <c r="BB20" s="144" t="str">
        <f>IF(OR(AZ7="Paid - Loss &amp; DCCE",AZ7="Incurred - Loss &amp; DCCE"),"N/A",IF(OR(COUNTA(AX249:BH258)=0,COUNTA(AX214:BH223)=0),"",INDEX(AY312:BH312,1,11-MATCH(BB11,AY11:BH11,0))))</f>
        <v/>
      </c>
      <c r="BC20" s="144" t="str">
        <f>IF(OR(AZ7="Paid - Loss &amp; DCCE",AZ7="Incurred - Loss &amp; DCCE"),"N/A",IF(OR(COUNTA(AX249:BH258)=0,COUNTA(AX214:BH223)=0),"",INDEX(AY312:BH312,1,11-MATCH(BC11,AY11:BH11,0))))</f>
        <v/>
      </c>
      <c r="BD20" s="144" t="str">
        <f>IF(OR(AZ7="Paid - Loss &amp; DCCE",AZ7="Incurred - Loss &amp; DCCE"),"N/A",IF(OR(COUNTA(AX249:BH258)=0,COUNTA(AX214:BH223)=0),"",INDEX(AY312:BH312,1,11-MATCH(BD11,AY11:BH11,0))))</f>
        <v/>
      </c>
      <c r="BE20" s="144" t="str">
        <f>IF(OR(AZ7="Paid - Loss &amp; DCCE",AZ7="Incurred - Loss &amp; DCCE"),"N/A",IF(OR(COUNTA(AX249:BH258)=0,COUNTA(AX214:BH223)=0),"",INDEX(AY312:BH312,1,11-MATCH(BE11,AY11:BH11,0))))</f>
        <v/>
      </c>
      <c r="BF20" s="144" t="str">
        <f>IF(OR(AZ7="Paid - Loss &amp; DCCE",AZ7="Incurred - Loss &amp; DCCE"),"N/A",IF(OR(COUNTA(AX249:BH258)=0,COUNTA(AX214:BH223)=0),"",INDEX(AY312:BH312,1,11-MATCH(BF11,AY11:BH11,0))))</f>
        <v/>
      </c>
      <c r="BG20" s="144" t="str">
        <f>IF(OR(AZ7="Paid - Loss &amp; DCCE",AZ7="Incurred - Loss &amp; DCCE"),"N/A",IF(OR(COUNTA(AX249:BH258)=0,COUNTA(AX214:BH223)=0),"",INDEX(AY312:BH312,1,11-MATCH(BG11,AY11:BH11,0))))</f>
        <v/>
      </c>
      <c r="BH20" s="144" t="str">
        <f>IF(OR(AZ7="Paid - Loss &amp; DCCE",AZ7="Incurred - Loss &amp; DCCE"),"N/A",IF(OR(COUNTA(AX249:BH258)=0,COUNTA(AX214:BH223)=0),"",INDEX(AY312:BH312,1,11-MATCH(BH11,AY11:BH11,0))))</f>
        <v/>
      </c>
      <c r="BI20" s="289" t="s">
        <v>220</v>
      </c>
      <c r="BJ20" s="68"/>
      <c r="BK20" s="144" t="str">
        <f>IF(OR(BL7="Paid - Loss &amp; DCCE",BL7="Incurred - Loss &amp; DCCE"),"N/A",IF(OR(COUNTA(BJ249:BT258)=0,COUNTA(BJ214:BT223)=0),"",INDEX(BK312:BT312,1,11-MATCH(BK11,BK11:BT11,0))))</f>
        <v/>
      </c>
      <c r="BL20" s="144" t="str">
        <f>IF(OR(BL7="Paid - Loss &amp; DCCE",BL7="Incurred - Loss &amp; DCCE"),"N/A",IF(OR(COUNTA(BJ249:BT258)=0,COUNTA(BJ214:BT223)=0),"",INDEX(BK312:BT312,1,11-MATCH(BL11,BK11:BT11,0))))</f>
        <v/>
      </c>
      <c r="BM20" s="144" t="str">
        <f>IF(OR(BL7="Paid - Loss &amp; DCCE",BL7="Incurred - Loss &amp; DCCE"),"N/A",IF(OR(COUNTA(BJ249:BT258)=0,COUNTA(BJ214:BT223)=0),"",INDEX(BK312:BT312,1,11-MATCH(BM11,BK11:BT11,0))))</f>
        <v/>
      </c>
      <c r="BN20" s="144" t="str">
        <f>IF(OR(BL7="Paid - Loss &amp; DCCE",BL7="Incurred - Loss &amp; DCCE"),"N/A",IF(OR(COUNTA(BJ249:BT258)=0,COUNTA(BJ214:BT223)=0),"",INDEX(BK312:BT312,1,11-MATCH(BN11,BK11:BT11,0))))</f>
        <v/>
      </c>
      <c r="BO20" s="144" t="str">
        <f>IF(OR(BL7="Paid - Loss &amp; DCCE",BL7="Incurred - Loss &amp; DCCE"),"N/A",IF(OR(COUNTA(BJ249:BT258)=0,COUNTA(BJ214:BT223)=0),"",INDEX(BK312:BT312,1,11-MATCH(BO11,BK11:BT11,0))))</f>
        <v/>
      </c>
      <c r="BP20" s="144" t="str">
        <f>IF(OR(BL7="Paid - Loss &amp; DCCE",BL7="Incurred - Loss &amp; DCCE"),"N/A",IF(OR(COUNTA(BJ249:BT258)=0,COUNTA(BJ214:BT223)=0),"",INDEX(BK312:BT312,1,11-MATCH(BP11,BK11:BT11,0))))</f>
        <v/>
      </c>
      <c r="BQ20" s="144" t="str">
        <f>IF(OR(BL7="Paid - Loss &amp; DCCE",BL7="Incurred - Loss &amp; DCCE"),"N/A",IF(OR(COUNTA(BJ249:BT258)=0,COUNTA(BJ214:BT223)=0),"",INDEX(BK312:BT312,1,11-MATCH(BQ11,BK11:BT11,0))))</f>
        <v/>
      </c>
      <c r="BR20" s="144" t="str">
        <f>IF(OR(BL7="Paid - Loss &amp; DCCE",BL7="Incurred - Loss &amp; DCCE"),"N/A",IF(OR(COUNTA(BJ249:BT258)=0,COUNTA(BJ214:BT223)=0),"",INDEX(BK312:BT312,1,11-MATCH(BR11,BK11:BT11,0))))</f>
        <v/>
      </c>
      <c r="BS20" s="144" t="str">
        <f>IF(OR(BL7="Paid - Loss &amp; DCCE",BL7="Incurred - Loss &amp; DCCE"),"N/A",IF(OR(COUNTA(BJ249:BT258)=0,COUNTA(BJ214:BT223)=0),"",INDEX(BK312:BT312,1,11-MATCH(BS11,BK11:BT11,0))))</f>
        <v/>
      </c>
      <c r="BT20" s="144" t="str">
        <f>IF(OR(BL7="Paid - Loss &amp; DCCE",BL7="Incurred - Loss &amp; DCCE"),"N/A",IF(OR(COUNTA(BJ249:BT258)=0,COUNTA(BJ214:BT223)=0),"",INDEX(BK312:BT312,1,11-MATCH(BT11,BK11:BT11,0))))</f>
        <v/>
      </c>
      <c r="BU20" s="289" t="s">
        <v>220</v>
      </c>
      <c r="BV20" s="68"/>
      <c r="BW20" s="144" t="str">
        <f>IF(OR(BX7="Paid - Loss &amp; DCCE",BX7="Incurred - Loss &amp; DCCE"),"N/A",IF(OR(COUNTA(BV249:CF258)=0,COUNTA(BV214:CF223)=0),"",INDEX(BW312:CF312,1,11-MATCH(BW11,BW11:CF11,0))))</f>
        <v/>
      </c>
      <c r="BX20" s="144" t="str">
        <f>IF(OR(BX7="Paid - Loss &amp; DCCE",BX7="Incurred - Loss &amp; DCCE"),"N/A",IF(OR(COUNTA(BV249:CF258)=0,COUNTA(BV214:CF223)=0),"",INDEX(BW312:CF312,1,11-MATCH(BX11,BW11:CF11,0))))</f>
        <v/>
      </c>
      <c r="BY20" s="144" t="str">
        <f>IF(OR(BX7="Paid - Loss &amp; DCCE",BX7="Incurred - Loss &amp; DCCE"),"N/A",IF(OR(COUNTA(BV249:CF258)=0,COUNTA(BV214:CF223)=0),"",INDEX(BW312:CF312,1,11-MATCH(BY11,BW11:CF11,0))))</f>
        <v/>
      </c>
      <c r="BZ20" s="144" t="str">
        <f>IF(OR(BX7="Paid - Loss &amp; DCCE",BX7="Incurred - Loss &amp; DCCE"),"N/A",IF(OR(COUNTA(BV249:CF258)=0,COUNTA(BV214:CF223)=0),"",INDEX(BW312:CF312,1,11-MATCH(BZ11,BW11:CF11,0))))</f>
        <v/>
      </c>
      <c r="CA20" s="144" t="str">
        <f>IF(OR(BX7="Paid - Loss &amp; DCCE",BX7="Incurred - Loss &amp; DCCE"),"N/A",IF(OR(COUNTA(BV249:CF258)=0,COUNTA(BV214:CF223)=0),"",INDEX(BW312:CF312,1,11-MATCH(CA11,BW11:CF11,0))))</f>
        <v/>
      </c>
      <c r="CB20" s="144" t="str">
        <f>IF(OR(BX7="Paid - Loss &amp; DCCE",BX7="Incurred - Loss &amp; DCCE"),"N/A",IF(OR(COUNTA(BV249:CF258)=0,COUNTA(BV214:CF223)=0),"",INDEX(BW312:CF312,1,11-MATCH(CB11,BW11:CF11,0))))</f>
        <v/>
      </c>
      <c r="CC20" s="144" t="str">
        <f>IF(OR(BX7="Paid - Loss &amp; DCCE",BX7="Incurred - Loss &amp; DCCE"),"N/A",IF(OR(COUNTA(BV249:CF258)=0,COUNTA(BV214:CF223)=0),"",INDEX(BW312:CF312,1,11-MATCH(CC11,BW11:CF11,0))))</f>
        <v/>
      </c>
      <c r="CD20" s="144" t="str">
        <f>IF(OR(BX7="Paid - Loss &amp; DCCE",BX7="Incurred - Loss &amp; DCCE"),"N/A",IF(OR(COUNTA(BV249:CF258)=0,COUNTA(BV214:CF223)=0),"",INDEX(BW312:CF312,1,11-MATCH(CD11,BW11:CF11,0))))</f>
        <v/>
      </c>
      <c r="CE20" s="144" t="str">
        <f>IF(OR(BX7="Paid - Loss &amp; DCCE",BX7="Incurred - Loss &amp; DCCE"),"N/A",IF(OR(COUNTA(BV249:CF258)=0,COUNTA(BV214:CF223)=0),"",INDEX(BW312:CF312,1,11-MATCH(CE11,BW11:CF11,0))))</f>
        <v/>
      </c>
      <c r="CF20" s="144" t="str">
        <f>IF(OR(BX7="Paid - Loss &amp; DCCE",BX7="Incurred - Loss &amp; DCCE"),"N/A",IF(OR(COUNTA(BV249:CF258)=0,COUNTA(BV214:CF223)=0),"",INDEX(BW312:CF312,1,11-MATCH(CF11,BW11:CF11,0))))</f>
        <v/>
      </c>
      <c r="CG20" s="289" t="s">
        <v>220</v>
      </c>
      <c r="CH20" s="68"/>
      <c r="CI20" s="144" t="str">
        <f>IF(OR(CJ7="Paid - Loss &amp; DCCE",CJ7="Incurred - Loss &amp; DCCE"),"N/A",IF(OR(COUNTA(CH249:CR258)=0,COUNTA(CH214:CR223)=0),"",INDEX(CI312:CR312,1,11-MATCH(CI11,CI11:CR11,0))))</f>
        <v/>
      </c>
      <c r="CJ20" s="144" t="str">
        <f>IF(OR(CJ7="Paid - Loss &amp; DCCE",CJ7="Incurred - Loss &amp; DCCE"),"N/A",IF(OR(COUNTA(CH249:CR258)=0,COUNTA(CH214:CR223)=0),"",INDEX(CI312:CR312,1,11-MATCH(CJ11,CI11:CR11,0))))</f>
        <v/>
      </c>
      <c r="CK20" s="144" t="str">
        <f>IF(OR(CJ7="Paid - Loss &amp; DCCE",CJ7="Incurred - Loss &amp; DCCE"),"N/A",IF(OR(COUNTA(CH249:CR258)=0,COUNTA(CH214:CR223)=0),"",INDEX(CI312:CR312,1,11-MATCH(CK11,CI11:CR11,0))))</f>
        <v/>
      </c>
      <c r="CL20" s="144" t="str">
        <f>IF(OR(CJ7="Paid - Loss &amp; DCCE",CJ7="Incurred - Loss &amp; DCCE"),"N/A",IF(OR(COUNTA(CH249:CR258)=0,COUNTA(CH214:CR223)=0),"",INDEX(CI312:CR312,1,11-MATCH(CL11,CI11:CR11,0))))</f>
        <v/>
      </c>
      <c r="CM20" s="144" t="str">
        <f>IF(OR(CJ7="Paid - Loss &amp; DCCE",CJ7="Incurred - Loss &amp; DCCE"),"N/A",IF(OR(COUNTA(CH249:CR258)=0,COUNTA(CH214:CR223)=0),"",INDEX(CI312:CR312,1,11-MATCH(CM11,CI11:CR11,0))))</f>
        <v/>
      </c>
      <c r="CN20" s="144" t="str">
        <f>IF(OR(CJ7="Paid - Loss &amp; DCCE",CJ7="Incurred - Loss &amp; DCCE"),"N/A",IF(OR(COUNTA(CH249:CR258)=0,COUNTA(CH214:CR223)=0),"",INDEX(CI312:CR312,1,11-MATCH(CN11,CI11:CR11,0))))</f>
        <v/>
      </c>
      <c r="CO20" s="144" t="str">
        <f>IF(OR(CJ7="Paid - Loss &amp; DCCE",CJ7="Incurred - Loss &amp; DCCE"),"N/A",IF(OR(COUNTA(CH249:CR258)=0,COUNTA(CH214:CR223)=0),"",INDEX(CI312:CR312,1,11-MATCH(CO11,CI11:CR11,0))))</f>
        <v/>
      </c>
      <c r="CP20" s="144" t="str">
        <f>IF(OR(CJ7="Paid - Loss &amp; DCCE",CJ7="Incurred - Loss &amp; DCCE"),"N/A",IF(OR(COUNTA(CH249:CR258)=0,COUNTA(CH214:CR223)=0),"",INDEX(CI312:CR312,1,11-MATCH(CP11,CI11:CR11,0))))</f>
        <v/>
      </c>
      <c r="CQ20" s="144" t="str">
        <f>IF(OR(CJ7="Paid - Loss &amp; DCCE",CJ7="Incurred - Loss &amp; DCCE"),"N/A",IF(OR(COUNTA(CH249:CR258)=0,COUNTA(CH214:CR223)=0),"",INDEX(CI312:CR312,1,11-MATCH(CQ11,CI11:CR11,0))))</f>
        <v/>
      </c>
      <c r="CR20" s="144" t="str">
        <f>IF(OR(CJ7="Paid - Loss &amp; DCCE",CJ7="Incurred - Loss &amp; DCCE"),"N/A",IF(OR(COUNTA(CH249:CR258)=0,COUNTA(CH214:CR223)=0),"",INDEX(CI312:CR312,1,11-MATCH(CR11,CI11:CR11,0))))</f>
        <v/>
      </c>
      <c r="CS20" s="289" t="s">
        <v>220</v>
      </c>
      <c r="CT20" s="68"/>
      <c r="CU20" s="144" t="str">
        <f>IF(OR(CV7="Paid - Loss &amp; DCCE",CV7="Incurred - Loss &amp; DCCE"),"N/A",IF(OR(COUNTA(CT249:DD258)=0,COUNTA(CT214:DD223)=0),"",INDEX(CU312:DD312,1,11-MATCH(CU11,CU11:DD11,0))))</f>
        <v/>
      </c>
      <c r="CV20" s="144" t="str">
        <f>IF(OR(CV7="Paid - Loss &amp; DCCE",CV7="Incurred - Loss &amp; DCCE"),"N/A",IF(OR(COUNTA(CT249:DD258)=0,COUNTA(CT214:DD223)=0),"",INDEX(CU312:DD312,1,11-MATCH(CV11,CU11:DD11,0))))</f>
        <v/>
      </c>
      <c r="CW20" s="144" t="str">
        <f>IF(OR(CV7="Paid - Loss &amp; DCCE",CV7="Incurred - Loss &amp; DCCE"),"N/A",IF(OR(COUNTA(CT249:DD258)=0,COUNTA(CT214:DD223)=0),"",INDEX(CU312:DD312,1,11-MATCH(CW11,CU11:DD11,0))))</f>
        <v/>
      </c>
      <c r="CX20" s="144" t="str">
        <f>IF(OR(CV7="Paid - Loss &amp; DCCE",CV7="Incurred - Loss &amp; DCCE"),"N/A",IF(OR(COUNTA(CT249:DD258)=0,COUNTA(CT214:DD223)=0),"",INDEX(CU312:DD312,1,11-MATCH(CX11,CU11:DD11,0))))</f>
        <v/>
      </c>
      <c r="CY20" s="144" t="str">
        <f>IF(OR(CV7="Paid - Loss &amp; DCCE",CV7="Incurred - Loss &amp; DCCE"),"N/A",IF(OR(COUNTA(CT249:DD258)=0,COUNTA(CT214:DD223)=0),"",INDEX(CU312:DD312,1,11-MATCH(CY11,CU11:DD11,0))))</f>
        <v/>
      </c>
      <c r="CZ20" s="144" t="str">
        <f>IF(OR(CV7="Paid - Loss &amp; DCCE",CV7="Incurred - Loss &amp; DCCE"),"N/A",IF(OR(COUNTA(CT249:DD258)=0,COUNTA(CT214:DD223)=0),"",INDEX(CU312:DD312,1,11-MATCH(CZ11,CU11:DD11,0))))</f>
        <v/>
      </c>
      <c r="DA20" s="144" t="str">
        <f>IF(OR(CV7="Paid - Loss &amp; DCCE",CV7="Incurred - Loss &amp; DCCE"),"N/A",IF(OR(COUNTA(CT249:DD258)=0,COUNTA(CT214:DD223)=0),"",INDEX(CU312:DD312,1,11-MATCH(DA11,CU11:DD11,0))))</f>
        <v/>
      </c>
      <c r="DB20" s="144" t="str">
        <f>IF(OR(CV7="Paid - Loss &amp; DCCE",CV7="Incurred - Loss &amp; DCCE"),"N/A",IF(OR(COUNTA(CT249:DD258)=0,COUNTA(CT214:DD223)=0),"",INDEX(CU312:DD312,1,11-MATCH(DB11,CU11:DD11,0))))</f>
        <v/>
      </c>
      <c r="DC20" s="144" t="str">
        <f>IF(OR(CV7="Paid - Loss &amp; DCCE",CV7="Incurred - Loss &amp; DCCE"),"N/A",IF(OR(COUNTA(CT249:DD258)=0,COUNTA(CT214:DD223)=0),"",INDEX(CU312:DD312,1,11-MATCH(DC11,CU11:DD11,0))))</f>
        <v/>
      </c>
      <c r="DD20" s="144" t="str">
        <f>IF(OR(CV7="Paid - Loss &amp; DCCE",CV7="Incurred - Loss &amp; DCCE"),"N/A",IF(OR(COUNTA(CT249:DD258)=0,COUNTA(CT214:DD223)=0),"",INDEX(CU312:DD312,1,11-MATCH(DD11,CU11:DD11,0))))</f>
        <v/>
      </c>
      <c r="DE20" s="289" t="s">
        <v>220</v>
      </c>
      <c r="DF20" s="68"/>
      <c r="DG20" s="144" t="str">
        <f>IF(OR(DH7="Paid - Loss &amp; DCCE",DH7="Incurred - Loss &amp; DCCE"),"N/A",IF(OR(COUNTA(DF249:DP258)=0,COUNTA(DF214:DP223)=0),"",INDEX(DG312:DP312,1,11-MATCH(DG11,DG11:DP11,0))))</f>
        <v/>
      </c>
      <c r="DH20" s="144" t="str">
        <f>IF(OR(DH7="Paid - Loss &amp; DCCE",DH7="Incurred - Loss &amp; DCCE"),"N/A",IF(OR(COUNTA(DF249:DP258)=0,COUNTA(DF214:DP223)=0),"",INDEX(DG312:DP312,1,11-MATCH(DH11,DG11:DP11,0))))</f>
        <v/>
      </c>
      <c r="DI20" s="144" t="str">
        <f>IF(OR(DH7="Paid - Loss &amp; DCCE",DH7="Incurred - Loss &amp; DCCE"),"N/A",IF(OR(COUNTA(DF249:DP258)=0,COUNTA(DF214:DP223)=0),"",INDEX(DG312:DP312,1,11-MATCH(DI11,DG11:DP11,0))))</f>
        <v/>
      </c>
      <c r="DJ20" s="144" t="str">
        <f>IF(OR(DH7="Paid - Loss &amp; DCCE",DH7="Incurred - Loss &amp; DCCE"),"N/A",IF(OR(COUNTA(DF249:DP258)=0,COUNTA(DF214:DP223)=0),"",INDEX(DG312:DP312,1,11-MATCH(DJ11,DG11:DP11,0))))</f>
        <v/>
      </c>
      <c r="DK20" s="144" t="str">
        <f>IF(OR(DH7="Paid - Loss &amp; DCCE",DH7="Incurred - Loss &amp; DCCE"),"N/A",IF(OR(COUNTA(DF249:DP258)=0,COUNTA(DF214:DP223)=0),"",INDEX(DG312:DP312,1,11-MATCH(DK11,DG11:DP11,0))))</f>
        <v/>
      </c>
      <c r="DL20" s="144" t="str">
        <f>IF(OR(DH7="Paid - Loss &amp; DCCE",DH7="Incurred - Loss &amp; DCCE"),"N/A",IF(OR(COUNTA(DF249:DP258)=0,COUNTA(DF214:DP223)=0),"",INDEX(DG312:DP312,1,11-MATCH(DL11,DG11:DP11,0))))</f>
        <v/>
      </c>
      <c r="DM20" s="144" t="str">
        <f>IF(OR(DH7="Paid - Loss &amp; DCCE",DH7="Incurred - Loss &amp; DCCE"),"N/A",IF(OR(COUNTA(DF249:DP258)=0,COUNTA(DF214:DP223)=0),"",INDEX(DG312:DP312,1,11-MATCH(DM11,DG11:DP11,0))))</f>
        <v/>
      </c>
      <c r="DN20" s="144" t="str">
        <f>IF(OR(DH7="Paid - Loss &amp; DCCE",DH7="Incurred - Loss &amp; DCCE"),"N/A",IF(OR(COUNTA(DF249:DP258)=0,COUNTA(DF214:DP223)=0),"",INDEX(DG312:DP312,1,11-MATCH(DN11,DG11:DP11,0))))</f>
        <v/>
      </c>
      <c r="DO20" s="144" t="str">
        <f>IF(OR(DH7="Paid - Loss &amp; DCCE",DH7="Incurred - Loss &amp; DCCE"),"N/A",IF(OR(COUNTA(DF249:DP258)=0,COUNTA(DF214:DP223)=0),"",INDEX(DG312:DP312,1,11-MATCH(DO11,DG11:DP11,0))))</f>
        <v/>
      </c>
      <c r="DP20" s="144" t="str">
        <f>IF(OR(DH7="Paid - Loss &amp; DCCE",DH7="Incurred - Loss &amp; DCCE"),"N/A",IF(OR(COUNTA(DF249:DP258)=0,COUNTA(DF214:DP223)=0),"",INDEX(DG312:DP312,1,11-MATCH(DP11,DG11:DP11,0))))</f>
        <v/>
      </c>
    </row>
    <row r="21" spans="1:120" ht="15" customHeight="1" x14ac:dyDescent="0.35">
      <c r="A21" s="282" t="s">
        <v>40</v>
      </c>
      <c r="B21" s="68"/>
      <c r="C21" s="147">
        <f>IF(OR(D7="Paid - Loss &amp; DCCE",D7="Incurred - Loss &amp; DCCE"),"N/A",IF(D8="Paid - DCCE Dollar",C17,IF(D8="Paid - DCCE (by Ratio)",C18,IF(D8="Incurred - DCCE Dollar",C19,IF(D8="Incurred - DCCE (by Ratio)",C20,"")))))</f>
        <v>8186100.2000000002</v>
      </c>
      <c r="D21" s="147">
        <f>IF(OR(D7="Paid - Loss &amp; DCCE",D7="Incurred - Loss &amp; DCCE"),"N/A",IF(D8="Paid - DCCE Dollar",D17,IF(D8="Paid - DCCE (by Ratio)",D18,IF(D8="Incurred - DCCE Dollar",D19,IF(D8="Incurred - DCCE (by Ratio)",D20,"")))))</f>
        <v>8499084.8072538022</v>
      </c>
      <c r="E21" s="147">
        <f>IF(OR(D7="Paid - Loss &amp; DCCE",D7="Incurred - Loss &amp; DCCE"),"N/A",IF(D8="Paid - DCCE Dollar",E17,IF(D8="Paid - DCCE (by Ratio)",E18,IF(D8="Incurred - DCCE Dollar",E19,IF(D8="Incurred - DCCE (by Ratio)",E20,"")))))</f>
        <v>10741992.925248126</v>
      </c>
      <c r="F21" s="147">
        <f>IF(OR(D7="Paid - Loss &amp; DCCE",D7="Incurred - Loss &amp; DCCE"),"N/A",IF(D8="Paid - DCCE Dollar",F17,IF(D8="Paid - DCCE (by Ratio)",F18,IF(D8="Incurred - DCCE Dollar",F19,IF(D8="Incurred - DCCE (by Ratio)",F20,"")))))</f>
        <v>8893491.1234304607</v>
      </c>
      <c r="G21" s="147">
        <f>IF(OR(D7="Paid - Loss &amp; DCCE",D7="Incurred - Loss &amp; DCCE"),"N/A",IF(D8="Paid - DCCE Dollar",G17,IF(D8="Paid - DCCE (by Ratio)",G18,IF(D8="Incurred - DCCE Dollar",G19,IF(D8="Incurred - DCCE (by Ratio)",G20,"")))))</f>
        <v>10764738.55543234</v>
      </c>
      <c r="H21" s="147">
        <f>IF(OR(D7="Paid - Loss &amp; DCCE",D7="Incurred - Loss &amp; DCCE"),"N/A",IF(D8="Paid - DCCE Dollar",H17,IF(D8="Paid - DCCE (by Ratio)",H18,IF(D8="Incurred - DCCE Dollar",H19,IF(D8="Incurred - DCCE (by Ratio)",H20,"")))))</f>
        <v>8723190.6785433125</v>
      </c>
      <c r="I21" s="147">
        <f>IF(OR(D7="Paid - Loss &amp; DCCE",D7="Incurred - Loss &amp; DCCE"),"N/A",IF(D8="Paid - DCCE Dollar",I17,IF(D8="Paid - DCCE (by Ratio)",I18,IF(D8="Incurred - DCCE Dollar",I19,IF(D8="Incurred - DCCE (by Ratio)",I20,"")))))</f>
        <v>9216663.1742638852</v>
      </c>
      <c r="J21" s="147">
        <f>IF(OR(D7="Paid - Loss &amp; DCCE",D7="Incurred - Loss &amp; DCCE"),"N/A",IF(D8="Paid - DCCE Dollar",J17,IF(D8="Paid - DCCE (by Ratio)",J18,IF(D8="Incurred - DCCE Dollar",J19,IF(D8="Incurred - DCCE (by Ratio)",J20,"")))))</f>
        <v>8959823.4943410754</v>
      </c>
      <c r="K21" s="147">
        <f>IF(OR(D7="Paid - Loss &amp; DCCE",D7="Incurred - Loss &amp; DCCE"),"N/A",IF(D8="Paid - DCCE Dollar",K17,IF(D8="Paid - DCCE (by Ratio)",K18,IF(D8="Incurred - DCCE Dollar",K19,IF(D8="Incurred - DCCE (by Ratio)",K20,"")))))</f>
        <v>10837511.649401009</v>
      </c>
      <c r="L21" s="147">
        <f>IF(OR(D7="Paid - Loss &amp; DCCE",D7="Incurred - Loss &amp; DCCE"),"N/A",IF(D8="Paid - DCCE Dollar",L17,IF(D8="Paid - DCCE (by Ratio)",L18,IF(D8="Incurred - DCCE Dollar",L19,IF(D8="Incurred - DCCE (by Ratio)",L20,"")))))</f>
        <v>10556931.981619893</v>
      </c>
      <c r="M21" s="282" t="s">
        <v>40</v>
      </c>
      <c r="N21" s="68"/>
      <c r="O21" s="147" t="str">
        <f>IF(OR(P7="Paid - Loss &amp; DCCE",P7="Incurred - Loss &amp; DCCE"),"N/A",IF(P8="Paid - DCCE Dollar",O17,IF(P8="Paid - DCCE (by Ratio)",O18,IF(P8="Incurred - DCCE Dollar",O19,IF(P8="Incurred - DCCE (by Ratio)",O20,"")))))</f>
        <v/>
      </c>
      <c r="P21" s="147" t="str">
        <f>IF(OR(P7="Paid - Loss &amp; DCCE",P7="Incurred - Loss &amp; DCCE"),"N/A",IF(P8="Paid - DCCE Dollar",P17,IF(P8="Paid - DCCE (by Ratio)",P18,IF(P8="Incurred - DCCE Dollar",P19,IF(P8="Incurred - DCCE (by Ratio)",P20,"")))))</f>
        <v/>
      </c>
      <c r="Q21" s="147" t="str">
        <f>IF(OR(P7="Paid - Loss &amp; DCCE",P7="Incurred - Loss &amp; DCCE"),"N/A",IF(P8="Paid - DCCE Dollar",Q17,IF(P8="Paid - DCCE (by Ratio)",Q18,IF(P8="Incurred - DCCE Dollar",Q19,IF(P8="Incurred - DCCE (by Ratio)",Q20,"")))))</f>
        <v/>
      </c>
      <c r="R21" s="147" t="str">
        <f>IF(OR(P7="Paid - Loss &amp; DCCE",P7="Incurred - Loss &amp; DCCE"),"N/A",IF(P8="Paid - DCCE Dollar",R17,IF(P8="Paid - DCCE (by Ratio)",R18,IF(P8="Incurred - DCCE Dollar",R19,IF(P8="Incurred - DCCE (by Ratio)",R20,"")))))</f>
        <v/>
      </c>
      <c r="S21" s="147" t="str">
        <f>IF(OR(P7="Paid - Loss &amp; DCCE",P7="Incurred - Loss &amp; DCCE"),"N/A",IF(P8="Paid - DCCE Dollar",S17,IF(P8="Paid - DCCE (by Ratio)",S18,IF(P8="Incurred - DCCE Dollar",S19,IF(P8="Incurred - DCCE (by Ratio)",S20,"")))))</f>
        <v/>
      </c>
      <c r="T21" s="147" t="str">
        <f>IF(OR(P7="Paid - Loss &amp; DCCE",P7="Incurred - Loss &amp; DCCE"),"N/A",IF(P8="Paid - DCCE Dollar",T17,IF(P8="Paid - DCCE (by Ratio)",T18,IF(P8="Incurred - DCCE Dollar",T19,IF(P8="Incurred - DCCE (by Ratio)",T20,"")))))</f>
        <v/>
      </c>
      <c r="U21" s="147" t="str">
        <f>IF(OR(P7="Paid - Loss &amp; DCCE",P7="Incurred - Loss &amp; DCCE"),"N/A",IF(P8="Paid - DCCE Dollar",U17,IF(P8="Paid - DCCE (by Ratio)",U18,IF(P8="Incurred - DCCE Dollar",U19,IF(P8="Incurred - DCCE (by Ratio)",U20,"")))))</f>
        <v/>
      </c>
      <c r="V21" s="147" t="str">
        <f>IF(OR(P7="Paid - Loss &amp; DCCE",P7="Incurred - Loss &amp; DCCE"),"N/A",IF(P8="Paid - DCCE Dollar",V17,IF(P8="Paid - DCCE (by Ratio)",V18,IF(P8="Incurred - DCCE Dollar",V19,IF(P8="Incurred - DCCE (by Ratio)",V20,"")))))</f>
        <v/>
      </c>
      <c r="W21" s="147" t="str">
        <f>IF(OR(P7="Paid - Loss &amp; DCCE",P7="Incurred - Loss &amp; DCCE"),"N/A",IF(P8="Paid - DCCE Dollar",W17,IF(P8="Paid - DCCE (by Ratio)",W18,IF(P8="Incurred - DCCE Dollar",W19,IF(P8="Incurred - DCCE (by Ratio)",W20,"")))))</f>
        <v/>
      </c>
      <c r="X21" s="147" t="str">
        <f>IF(OR(P7="Paid - Loss &amp; DCCE",P7="Incurred - Loss &amp; DCCE"),"N/A",IF(P8="Paid - DCCE Dollar",X17,IF(P8="Paid - DCCE (by Ratio)",X18,IF(P8="Incurred - DCCE Dollar",X19,IF(P8="Incurred - DCCE (by Ratio)",X20,"")))))</f>
        <v/>
      </c>
      <c r="Y21" s="282" t="s">
        <v>40</v>
      </c>
      <c r="Z21" s="68"/>
      <c r="AA21" s="147" t="str">
        <f>IF(OR(AB7="Paid - Loss &amp; DCCE",AB7="Incurred - Loss &amp; DCCE"),"N/A",IF(AB8="Paid - DCCE Dollar",AA17,IF(AB8="Paid - DCCE (by Ratio)",AA18,IF(AB8="Incurred - DCCE Dollar",AA19,IF(AB8="Incurred - DCCE (by Ratio)",AA20,"")))))</f>
        <v/>
      </c>
      <c r="AB21" s="147" t="str">
        <f>IF(OR(AB7="Paid - Loss &amp; DCCE",AB7="Incurred - Loss &amp; DCCE"),"N/A",IF(AB8="Paid - DCCE Dollar",AB17,IF(AB8="Paid - DCCE (by Ratio)",AB18,IF(AB8="Incurred - DCCE Dollar",AB19,IF(AB8="Incurred - DCCE (by Ratio)",AB20,"")))))</f>
        <v/>
      </c>
      <c r="AC21" s="147" t="str">
        <f>IF(OR(AB7="Paid - Loss &amp; DCCE",AB7="Incurred - Loss &amp; DCCE"),"N/A",IF(AB8="Paid - DCCE Dollar",AC17,IF(AB8="Paid - DCCE (by Ratio)",AC18,IF(AB8="Incurred - DCCE Dollar",AC19,IF(AB8="Incurred - DCCE (by Ratio)",AC20,"")))))</f>
        <v/>
      </c>
      <c r="AD21" s="147" t="str">
        <f>IF(OR(AB7="Paid - Loss &amp; DCCE",AB7="Incurred - Loss &amp; DCCE"),"N/A",IF(AB8="Paid - DCCE Dollar",AD17,IF(AB8="Paid - DCCE (by Ratio)",AD18,IF(AB8="Incurred - DCCE Dollar",AD19,IF(AB8="Incurred - DCCE (by Ratio)",AD20,"")))))</f>
        <v/>
      </c>
      <c r="AE21" s="147" t="str">
        <f>IF(OR(AB7="Paid - Loss &amp; DCCE",AB7="Incurred - Loss &amp; DCCE"),"N/A",IF(AB8="Paid - DCCE Dollar",AE17,IF(AB8="Paid - DCCE (by Ratio)",AE18,IF(AB8="Incurred - DCCE Dollar",AE19,IF(AB8="Incurred - DCCE (by Ratio)",AE20,"")))))</f>
        <v/>
      </c>
      <c r="AF21" s="147" t="str">
        <f>IF(OR(AB7="Paid - Loss &amp; DCCE",AB7="Incurred - Loss &amp; DCCE"),"N/A",IF(AB8="Paid - DCCE Dollar",AF17,IF(AB8="Paid - DCCE (by Ratio)",AF18,IF(AB8="Incurred - DCCE Dollar",AF19,IF(AB8="Incurred - DCCE (by Ratio)",AF20,"")))))</f>
        <v/>
      </c>
      <c r="AG21" s="147" t="str">
        <f>IF(OR(AB7="Paid - Loss &amp; DCCE",AB7="Incurred - Loss &amp; DCCE"),"N/A",IF(AB8="Paid - DCCE Dollar",AG17,IF(AB8="Paid - DCCE (by Ratio)",AG18,IF(AB8="Incurred - DCCE Dollar",AG19,IF(AB8="Incurred - DCCE (by Ratio)",AG20,"")))))</f>
        <v/>
      </c>
      <c r="AH21" s="147" t="str">
        <f>IF(OR(AB7="Paid - Loss &amp; DCCE",AB7="Incurred - Loss &amp; DCCE"),"N/A",IF(AB8="Paid - DCCE Dollar",AH17,IF(AB8="Paid - DCCE (by Ratio)",AH18,IF(AB8="Incurred - DCCE Dollar",AH19,IF(AB8="Incurred - DCCE (by Ratio)",AH20,"")))))</f>
        <v/>
      </c>
      <c r="AI21" s="147" t="str">
        <f>IF(OR(AB7="Paid - Loss &amp; DCCE",AB7="Incurred - Loss &amp; DCCE"),"N/A",IF(AB8="Paid - DCCE Dollar",AI17,IF(AB8="Paid - DCCE (by Ratio)",AI18,IF(AB8="Incurred - DCCE Dollar",AI19,IF(AB8="Incurred - DCCE (by Ratio)",AI20,"")))))</f>
        <v/>
      </c>
      <c r="AJ21" s="147" t="str">
        <f>IF(OR(AB7="Paid - Loss &amp; DCCE",AB7="Incurred - Loss &amp; DCCE"),"N/A",IF(AB8="Paid - DCCE Dollar",AJ17,IF(AB8="Paid - DCCE (by Ratio)",AJ18,IF(AB8="Incurred - DCCE Dollar",AJ19,IF(AB8="Incurred - DCCE (by Ratio)",AJ20,"")))))</f>
        <v/>
      </c>
      <c r="AK21" s="282" t="s">
        <v>40</v>
      </c>
      <c r="AL21" s="68"/>
      <c r="AM21" s="147" t="str">
        <f>IF(OR(AN7="Paid - Loss &amp; DCCE",AN7="Incurred - Loss &amp; DCCE"),"N/A",IF(AN8="Paid - DCCE Dollar",AM17,IF(AN8="Paid - DCCE (by Ratio)",AM18,IF(AN8="Incurred - DCCE Dollar",AM19,IF(AN8="Incurred - DCCE (by Ratio)",AM20,"")))))</f>
        <v/>
      </c>
      <c r="AN21" s="147" t="str">
        <f>IF(OR(AN7="Paid - Loss &amp; DCCE",AN7="Incurred - Loss &amp; DCCE"),"N/A",IF(AN8="Paid - DCCE Dollar",AN17,IF(AN8="Paid - DCCE (by Ratio)",AN18,IF(AN8="Incurred - DCCE Dollar",AN19,IF(AN8="Incurred - DCCE (by Ratio)",AN20,"")))))</f>
        <v/>
      </c>
      <c r="AO21" s="147" t="str">
        <f>IF(OR(AN7="Paid - Loss &amp; DCCE",AN7="Incurred - Loss &amp; DCCE"),"N/A",IF(AN8="Paid - DCCE Dollar",AO17,IF(AN8="Paid - DCCE (by Ratio)",AO18,IF(AN8="Incurred - DCCE Dollar",AO19,IF(AN8="Incurred - DCCE (by Ratio)",AO20,"")))))</f>
        <v/>
      </c>
      <c r="AP21" s="147" t="str">
        <f>IF(OR(AN7="Paid - Loss &amp; DCCE",AN7="Incurred - Loss &amp; DCCE"),"N/A",IF(AN8="Paid - DCCE Dollar",AP17,IF(AN8="Paid - DCCE (by Ratio)",AP18,IF(AN8="Incurred - DCCE Dollar",AP19,IF(AN8="Incurred - DCCE (by Ratio)",AP20,"")))))</f>
        <v/>
      </c>
      <c r="AQ21" s="147" t="str">
        <f>IF(OR(AN7="Paid - Loss &amp; DCCE",AN7="Incurred - Loss &amp; DCCE"),"N/A",IF(AN8="Paid - DCCE Dollar",AQ17,IF(AN8="Paid - DCCE (by Ratio)",AQ18,IF(AN8="Incurred - DCCE Dollar",AQ19,IF(AN8="Incurred - DCCE (by Ratio)",AQ20,"")))))</f>
        <v/>
      </c>
      <c r="AR21" s="147" t="str">
        <f>IF(OR(AN7="Paid - Loss &amp; DCCE",AN7="Incurred - Loss &amp; DCCE"),"N/A",IF(AN8="Paid - DCCE Dollar",AR17,IF(AN8="Paid - DCCE (by Ratio)",AR18,IF(AN8="Incurred - DCCE Dollar",AR19,IF(AN8="Incurred - DCCE (by Ratio)",AR20,"")))))</f>
        <v/>
      </c>
      <c r="AS21" s="147" t="str">
        <f>IF(OR(AN7="Paid - Loss &amp; DCCE",AN7="Incurred - Loss &amp; DCCE"),"N/A",IF(AN8="Paid - DCCE Dollar",AS17,IF(AN8="Paid - DCCE (by Ratio)",AS18,IF(AN8="Incurred - DCCE Dollar",AS19,IF(AN8="Incurred - DCCE (by Ratio)",AS20,"")))))</f>
        <v/>
      </c>
      <c r="AT21" s="147" t="str">
        <f>IF(OR(AN7="Paid - Loss &amp; DCCE",AN7="Incurred - Loss &amp; DCCE"),"N/A",IF(AN8="Paid - DCCE Dollar",AT17,IF(AN8="Paid - DCCE (by Ratio)",AT18,IF(AN8="Incurred - DCCE Dollar",AT19,IF(AN8="Incurred - DCCE (by Ratio)",AT20,"")))))</f>
        <v/>
      </c>
      <c r="AU21" s="147" t="str">
        <f>IF(OR(AN7="Paid - Loss &amp; DCCE",AN7="Incurred - Loss &amp; DCCE"),"N/A",IF(AN8="Paid - DCCE Dollar",AU17,IF(AN8="Paid - DCCE (by Ratio)",AU18,IF(AN8="Incurred - DCCE Dollar",AU19,IF(AN8="Incurred - DCCE (by Ratio)",AU20,"")))))</f>
        <v/>
      </c>
      <c r="AV21" s="147" t="str">
        <f>IF(OR(AN7="Paid - Loss &amp; DCCE",AN7="Incurred - Loss &amp; DCCE"),"N/A",IF(AN8="Paid - DCCE Dollar",AV17,IF(AN8="Paid - DCCE (by Ratio)",AV18,IF(AN8="Incurred - DCCE Dollar",AV19,IF(AN8="Incurred - DCCE (by Ratio)",AV20,"")))))</f>
        <v/>
      </c>
      <c r="AW21" s="282" t="s">
        <v>40</v>
      </c>
      <c r="AX21" s="68"/>
      <c r="AY21" s="147" t="str">
        <f>IF(OR(AZ7="Paid - Loss &amp; DCCE",AZ7="Incurred - Loss &amp; DCCE"),"N/A",IF(AZ8="Paid - DCCE Dollar",AY17,IF(AZ8="Paid - DCCE (by Ratio)",AY18,IF(AZ8="Incurred - DCCE Dollar",AY19,IF(AZ8="Incurred - DCCE (by Ratio)",AY20,"")))))</f>
        <v/>
      </c>
      <c r="AZ21" s="147" t="str">
        <f>IF(OR(AZ7="Paid - Loss &amp; DCCE",AZ7="Incurred - Loss &amp; DCCE"),"N/A",IF(AZ8="Paid - DCCE Dollar",AZ17,IF(AZ8="Paid - DCCE (by Ratio)",AZ18,IF(AZ8="Incurred - DCCE Dollar",AZ19,IF(AZ8="Incurred - DCCE (by Ratio)",AZ20,"")))))</f>
        <v/>
      </c>
      <c r="BA21" s="147" t="str">
        <f>IF(OR(AZ7="Paid - Loss &amp; DCCE",AZ7="Incurred - Loss &amp; DCCE"),"N/A",IF(AZ8="Paid - DCCE Dollar",BA17,IF(AZ8="Paid - DCCE (by Ratio)",BA18,IF(AZ8="Incurred - DCCE Dollar",BA19,IF(AZ8="Incurred - DCCE (by Ratio)",BA20,"")))))</f>
        <v/>
      </c>
      <c r="BB21" s="147" t="str">
        <f>IF(OR(AZ7="Paid - Loss &amp; DCCE",AZ7="Incurred - Loss &amp; DCCE"),"N/A",IF(AZ8="Paid - DCCE Dollar",BB17,IF(AZ8="Paid - DCCE (by Ratio)",BB18,IF(AZ8="Incurred - DCCE Dollar",BB19,IF(AZ8="Incurred - DCCE (by Ratio)",BB20,"")))))</f>
        <v/>
      </c>
      <c r="BC21" s="147" t="str">
        <f>IF(OR(AZ7="Paid - Loss &amp; DCCE",AZ7="Incurred - Loss &amp; DCCE"),"N/A",IF(AZ8="Paid - DCCE Dollar",BC17,IF(AZ8="Paid - DCCE (by Ratio)",BC18,IF(AZ8="Incurred - DCCE Dollar",BC19,IF(AZ8="Incurred - DCCE (by Ratio)",BC20,"")))))</f>
        <v/>
      </c>
      <c r="BD21" s="147" t="str">
        <f>IF(OR(AZ7="Paid - Loss &amp; DCCE",AZ7="Incurred - Loss &amp; DCCE"),"N/A",IF(AZ8="Paid - DCCE Dollar",BD17,IF(AZ8="Paid - DCCE (by Ratio)",BD18,IF(AZ8="Incurred - DCCE Dollar",BD19,IF(AZ8="Incurred - DCCE (by Ratio)",BD20,"")))))</f>
        <v/>
      </c>
      <c r="BE21" s="147" t="str">
        <f>IF(OR(AZ7="Paid - Loss &amp; DCCE",AZ7="Incurred - Loss &amp; DCCE"),"N/A",IF(AZ8="Paid - DCCE Dollar",BE17,IF(AZ8="Paid - DCCE (by Ratio)",BE18,IF(AZ8="Incurred - DCCE Dollar",BE19,IF(AZ8="Incurred - DCCE (by Ratio)",BE20,"")))))</f>
        <v/>
      </c>
      <c r="BF21" s="147" t="str">
        <f>IF(OR(AZ7="Paid - Loss &amp; DCCE",AZ7="Incurred - Loss &amp; DCCE"),"N/A",IF(AZ8="Paid - DCCE Dollar",BF17,IF(AZ8="Paid - DCCE (by Ratio)",BF18,IF(AZ8="Incurred - DCCE Dollar",BF19,IF(AZ8="Incurred - DCCE (by Ratio)",BF20,"")))))</f>
        <v/>
      </c>
      <c r="BG21" s="147" t="str">
        <f>IF(OR(AZ7="Paid - Loss &amp; DCCE",AZ7="Incurred - Loss &amp; DCCE"),"N/A",IF(AZ8="Paid - DCCE Dollar",BG17,IF(AZ8="Paid - DCCE (by Ratio)",BG18,IF(AZ8="Incurred - DCCE Dollar",BG19,IF(AZ8="Incurred - DCCE (by Ratio)",BG20,"")))))</f>
        <v/>
      </c>
      <c r="BH21" s="147" t="str">
        <f>IF(OR(AZ7="Paid - Loss &amp; DCCE",AZ7="Incurred - Loss &amp; DCCE"),"N/A",IF(AZ8="Paid - DCCE Dollar",BH17,IF(AZ8="Paid - DCCE (by Ratio)",BH18,IF(AZ8="Incurred - DCCE Dollar",BH19,IF(AZ8="Incurred - DCCE (by Ratio)",BH20,"")))))</f>
        <v/>
      </c>
      <c r="BI21" s="282" t="s">
        <v>40</v>
      </c>
      <c r="BJ21" s="68"/>
      <c r="BK21" s="147" t="str">
        <f>IF(OR(BL7="Paid - Loss &amp; DCCE",BL7="Incurred - Loss &amp; DCCE"),"N/A",IF(BL8="Paid - DCCE Dollar",BK17,IF(BL8="Paid - DCCE (by Ratio)",BK18,IF(BL8="Incurred - DCCE Dollar",BK19,IF(BL8="Incurred - DCCE (by Ratio)",BK20,"")))))</f>
        <v/>
      </c>
      <c r="BL21" s="147" t="str">
        <f>IF(OR(BL7="Paid - Loss &amp; DCCE",BL7="Incurred - Loss &amp; DCCE"),"N/A",IF(BL8="Paid - DCCE Dollar",BL17,IF(BL8="Paid - DCCE (by Ratio)",BL18,IF(BL8="Incurred - DCCE Dollar",BL19,IF(BL8="Incurred - DCCE (by Ratio)",BL20,"")))))</f>
        <v/>
      </c>
      <c r="BM21" s="147" t="str">
        <f>IF(OR(BL7="Paid - Loss &amp; DCCE",BL7="Incurred - Loss &amp; DCCE"),"N/A",IF(BL8="Paid - DCCE Dollar",BM17,IF(BL8="Paid - DCCE (by Ratio)",BM18,IF(BL8="Incurred - DCCE Dollar",BM19,IF(BL8="Incurred - DCCE (by Ratio)",BM20,"")))))</f>
        <v/>
      </c>
      <c r="BN21" s="147" t="str">
        <f>IF(OR(BL7="Paid - Loss &amp; DCCE",BL7="Incurred - Loss &amp; DCCE"),"N/A",IF(BL8="Paid - DCCE Dollar",BN17,IF(BL8="Paid - DCCE (by Ratio)",BN18,IF(BL8="Incurred - DCCE Dollar",BN19,IF(BL8="Incurred - DCCE (by Ratio)",BN20,"")))))</f>
        <v/>
      </c>
      <c r="BO21" s="147" t="str">
        <f>IF(OR(BL7="Paid - Loss &amp; DCCE",BL7="Incurred - Loss &amp; DCCE"),"N/A",IF(BL8="Paid - DCCE Dollar",BO17,IF(BL8="Paid - DCCE (by Ratio)",BO18,IF(BL8="Incurred - DCCE Dollar",BO19,IF(BL8="Incurred - DCCE (by Ratio)",BO20,"")))))</f>
        <v/>
      </c>
      <c r="BP21" s="147" t="str">
        <f>IF(OR(BL7="Paid - Loss &amp; DCCE",BL7="Incurred - Loss &amp; DCCE"),"N/A",IF(BL8="Paid - DCCE Dollar",BP17,IF(BL8="Paid - DCCE (by Ratio)",BP18,IF(BL8="Incurred - DCCE Dollar",BP19,IF(BL8="Incurred - DCCE (by Ratio)",BP20,"")))))</f>
        <v/>
      </c>
      <c r="BQ21" s="147" t="str">
        <f>IF(OR(BL7="Paid - Loss &amp; DCCE",BL7="Incurred - Loss &amp; DCCE"),"N/A",IF(BL8="Paid - DCCE Dollar",BQ17,IF(BL8="Paid - DCCE (by Ratio)",BQ18,IF(BL8="Incurred - DCCE Dollar",BQ19,IF(BL8="Incurred - DCCE (by Ratio)",BQ20,"")))))</f>
        <v/>
      </c>
      <c r="BR21" s="147" t="str">
        <f>IF(OR(BL7="Paid - Loss &amp; DCCE",BL7="Incurred - Loss &amp; DCCE"),"N/A",IF(BL8="Paid - DCCE Dollar",BR17,IF(BL8="Paid - DCCE (by Ratio)",BR18,IF(BL8="Incurred - DCCE Dollar",BR19,IF(BL8="Incurred - DCCE (by Ratio)",BR20,"")))))</f>
        <v/>
      </c>
      <c r="BS21" s="147" t="str">
        <f>IF(OR(BL7="Paid - Loss &amp; DCCE",BL7="Incurred - Loss &amp; DCCE"),"N/A",IF(BL8="Paid - DCCE Dollar",BS17,IF(BL8="Paid - DCCE (by Ratio)",BS18,IF(BL8="Incurred - DCCE Dollar",BS19,IF(BL8="Incurred - DCCE (by Ratio)",BS20,"")))))</f>
        <v/>
      </c>
      <c r="BT21" s="147" t="str">
        <f>IF(OR(BL7="Paid - Loss &amp; DCCE",BL7="Incurred - Loss &amp; DCCE"),"N/A",IF(BL8="Paid - DCCE Dollar",BT17,IF(BL8="Paid - DCCE (by Ratio)",BT18,IF(BL8="Incurred - DCCE Dollar",BT19,IF(BL8="Incurred - DCCE (by Ratio)",BT20,"")))))</f>
        <v/>
      </c>
      <c r="BU21" s="282" t="s">
        <v>40</v>
      </c>
      <c r="BV21" s="68"/>
      <c r="BW21" s="147" t="str">
        <f>IF(OR(BX7="Paid - Loss &amp; DCCE",BX7="Incurred - Loss &amp; DCCE"),"N/A",IF(BX8="Paid - DCCE Dollar",BW17,IF(BX8="Paid - DCCE (by Ratio)",BW18,IF(BX8="Incurred - DCCE Dollar",BW19,IF(BX8="Incurred - DCCE (by Ratio)",BW20,"")))))</f>
        <v/>
      </c>
      <c r="BX21" s="147" t="str">
        <f>IF(OR(BX7="Paid - Loss &amp; DCCE",BX7="Incurred - Loss &amp; DCCE"),"N/A",IF(BX8="Paid - DCCE Dollar",BX17,IF(BX8="Paid - DCCE (by Ratio)",BX18,IF(BX8="Incurred - DCCE Dollar",BX19,IF(BX8="Incurred - DCCE (by Ratio)",BX20,"")))))</f>
        <v/>
      </c>
      <c r="BY21" s="147" t="str">
        <f>IF(OR(BX7="Paid - Loss &amp; DCCE",BX7="Incurred - Loss &amp; DCCE"),"N/A",IF(BX8="Paid - DCCE Dollar",BY17,IF(BX8="Paid - DCCE (by Ratio)",BY18,IF(BX8="Incurred - DCCE Dollar",BY19,IF(BX8="Incurred - DCCE (by Ratio)",BY20,"")))))</f>
        <v/>
      </c>
      <c r="BZ21" s="147" t="str">
        <f>IF(OR(BX7="Paid - Loss &amp; DCCE",BX7="Incurred - Loss &amp; DCCE"),"N/A",IF(BX8="Paid - DCCE Dollar",BZ17,IF(BX8="Paid - DCCE (by Ratio)",BZ18,IF(BX8="Incurred - DCCE Dollar",BZ19,IF(BX8="Incurred - DCCE (by Ratio)",BZ20,"")))))</f>
        <v/>
      </c>
      <c r="CA21" s="147" t="str">
        <f>IF(OR(BX7="Paid - Loss &amp; DCCE",BX7="Incurred - Loss &amp; DCCE"),"N/A",IF(BX8="Paid - DCCE Dollar",CA17,IF(BX8="Paid - DCCE (by Ratio)",CA18,IF(BX8="Incurred - DCCE Dollar",CA19,IF(BX8="Incurred - DCCE (by Ratio)",CA20,"")))))</f>
        <v/>
      </c>
      <c r="CB21" s="147" t="str">
        <f>IF(OR(BX7="Paid - Loss &amp; DCCE",BX7="Incurred - Loss &amp; DCCE"),"N/A",IF(BX8="Paid - DCCE Dollar",CB17,IF(BX8="Paid - DCCE (by Ratio)",CB18,IF(BX8="Incurred - DCCE Dollar",CB19,IF(BX8="Incurred - DCCE (by Ratio)",CB20,"")))))</f>
        <v/>
      </c>
      <c r="CC21" s="147" t="str">
        <f>IF(OR(BX7="Paid - Loss &amp; DCCE",BX7="Incurred - Loss &amp; DCCE"),"N/A",IF(BX8="Paid - DCCE Dollar",CC17,IF(BX8="Paid - DCCE (by Ratio)",CC18,IF(BX8="Incurred - DCCE Dollar",CC19,IF(BX8="Incurred - DCCE (by Ratio)",CC20,"")))))</f>
        <v/>
      </c>
      <c r="CD21" s="147" t="str">
        <f>IF(OR(BX7="Paid - Loss &amp; DCCE",BX7="Incurred - Loss &amp; DCCE"),"N/A",IF(BX8="Paid - DCCE Dollar",CD17,IF(BX8="Paid - DCCE (by Ratio)",CD18,IF(BX8="Incurred - DCCE Dollar",CD19,IF(BX8="Incurred - DCCE (by Ratio)",CD20,"")))))</f>
        <v/>
      </c>
      <c r="CE21" s="147" t="str">
        <f>IF(OR(BX7="Paid - Loss &amp; DCCE",BX7="Incurred - Loss &amp; DCCE"),"N/A",IF(BX8="Paid - DCCE Dollar",CE17,IF(BX8="Paid - DCCE (by Ratio)",CE18,IF(BX8="Incurred - DCCE Dollar",CE19,IF(BX8="Incurred - DCCE (by Ratio)",CE20,"")))))</f>
        <v/>
      </c>
      <c r="CF21" s="147" t="str">
        <f>IF(OR(BX7="Paid - Loss &amp; DCCE",BX7="Incurred - Loss &amp; DCCE"),"N/A",IF(BX8="Paid - DCCE Dollar",CF17,IF(BX8="Paid - DCCE (by Ratio)",CF18,IF(BX8="Incurred - DCCE Dollar",CF19,IF(BX8="Incurred - DCCE (by Ratio)",CF20,"")))))</f>
        <v/>
      </c>
      <c r="CG21" s="282" t="s">
        <v>40</v>
      </c>
      <c r="CH21" s="68"/>
      <c r="CI21" s="147" t="str">
        <f>IF(OR(CJ7="Paid - Loss &amp; DCCE",CJ7="Incurred - Loss &amp; DCCE"),"N/A",IF(CJ8="Paid - DCCE Dollar",CI17,IF(CJ8="Paid - DCCE (by Ratio)",CI18,IF(CJ8="Incurred - DCCE Dollar",CI19,IF(CJ8="Incurred - DCCE (by Ratio)",CI20,"")))))</f>
        <v/>
      </c>
      <c r="CJ21" s="147" t="str">
        <f>IF(OR(CJ7="Paid - Loss &amp; DCCE",CJ7="Incurred - Loss &amp; DCCE"),"N/A",IF(CJ8="Paid - DCCE Dollar",CJ17,IF(CJ8="Paid - DCCE (by Ratio)",CJ18,IF(CJ8="Incurred - DCCE Dollar",CJ19,IF(CJ8="Incurred - DCCE (by Ratio)",CJ20,"")))))</f>
        <v/>
      </c>
      <c r="CK21" s="147" t="str">
        <f>IF(OR(CJ7="Paid - Loss &amp; DCCE",CJ7="Incurred - Loss &amp; DCCE"),"N/A",IF(CJ8="Paid - DCCE Dollar",CK17,IF(CJ8="Paid - DCCE (by Ratio)",CK18,IF(CJ8="Incurred - DCCE Dollar",CK19,IF(CJ8="Incurred - DCCE (by Ratio)",CK20,"")))))</f>
        <v/>
      </c>
      <c r="CL21" s="147" t="str">
        <f>IF(OR(CJ7="Paid - Loss &amp; DCCE",CJ7="Incurred - Loss &amp; DCCE"),"N/A",IF(CJ8="Paid - DCCE Dollar",CL17,IF(CJ8="Paid - DCCE (by Ratio)",CL18,IF(CJ8="Incurred - DCCE Dollar",CL19,IF(CJ8="Incurred - DCCE (by Ratio)",CL20,"")))))</f>
        <v/>
      </c>
      <c r="CM21" s="147" t="str">
        <f>IF(OR(CJ7="Paid - Loss &amp; DCCE",CJ7="Incurred - Loss &amp; DCCE"),"N/A",IF(CJ8="Paid - DCCE Dollar",CM17,IF(CJ8="Paid - DCCE (by Ratio)",CM18,IF(CJ8="Incurred - DCCE Dollar",CM19,IF(CJ8="Incurred - DCCE (by Ratio)",CM20,"")))))</f>
        <v/>
      </c>
      <c r="CN21" s="147" t="str">
        <f>IF(OR(CJ7="Paid - Loss &amp; DCCE",CJ7="Incurred - Loss &amp; DCCE"),"N/A",IF(CJ8="Paid - DCCE Dollar",CN17,IF(CJ8="Paid - DCCE (by Ratio)",CN18,IF(CJ8="Incurred - DCCE Dollar",CN19,IF(CJ8="Incurred - DCCE (by Ratio)",CN20,"")))))</f>
        <v/>
      </c>
      <c r="CO21" s="147" t="str">
        <f>IF(OR(CJ7="Paid - Loss &amp; DCCE",CJ7="Incurred - Loss &amp; DCCE"),"N/A",IF(CJ8="Paid - DCCE Dollar",CO17,IF(CJ8="Paid - DCCE (by Ratio)",CO18,IF(CJ8="Incurred - DCCE Dollar",CO19,IF(CJ8="Incurred - DCCE (by Ratio)",CO20,"")))))</f>
        <v/>
      </c>
      <c r="CP21" s="147" t="str">
        <f>IF(OR(CJ7="Paid - Loss &amp; DCCE",CJ7="Incurred - Loss &amp; DCCE"),"N/A",IF(CJ8="Paid - DCCE Dollar",CP17,IF(CJ8="Paid - DCCE (by Ratio)",CP18,IF(CJ8="Incurred - DCCE Dollar",CP19,IF(CJ8="Incurred - DCCE (by Ratio)",CP20,"")))))</f>
        <v/>
      </c>
      <c r="CQ21" s="147" t="str">
        <f>IF(OR(CJ7="Paid - Loss &amp; DCCE",CJ7="Incurred - Loss &amp; DCCE"),"N/A",IF(CJ8="Paid - DCCE Dollar",CQ17,IF(CJ8="Paid - DCCE (by Ratio)",CQ18,IF(CJ8="Incurred - DCCE Dollar",CQ19,IF(CJ8="Incurred - DCCE (by Ratio)",CQ20,"")))))</f>
        <v/>
      </c>
      <c r="CR21" s="147" t="str">
        <f>IF(OR(CJ7="Paid - Loss &amp; DCCE",CJ7="Incurred - Loss &amp; DCCE"),"N/A",IF(CJ8="Paid - DCCE Dollar",CR17,IF(CJ8="Paid - DCCE (by Ratio)",CR18,IF(CJ8="Incurred - DCCE Dollar",CR19,IF(CJ8="Incurred - DCCE (by Ratio)",CR20,"")))))</f>
        <v/>
      </c>
      <c r="CS21" s="282" t="s">
        <v>40</v>
      </c>
      <c r="CT21" s="68"/>
      <c r="CU21" s="147" t="str">
        <f>IF(OR(CV7="Paid - Loss &amp; DCCE",CV7="Incurred - Loss &amp; DCCE"),"N/A",IF(CV8="Paid - DCCE Dollar",CU17,IF(CV8="Paid - DCCE (by Ratio)",CU18,IF(CV8="Incurred - DCCE Dollar",CU19,IF(CV8="Incurred - DCCE (by Ratio)",CU20,"")))))</f>
        <v/>
      </c>
      <c r="CV21" s="147" t="str">
        <f>IF(OR(CV7="Paid - Loss &amp; DCCE",CV7="Incurred - Loss &amp; DCCE"),"N/A",IF(CV8="Paid - DCCE Dollar",CV17,IF(CV8="Paid - DCCE (by Ratio)",CV18,IF(CV8="Incurred - DCCE Dollar",CV19,IF(CV8="Incurred - DCCE (by Ratio)",CV20,"")))))</f>
        <v/>
      </c>
      <c r="CW21" s="147" t="str">
        <f>IF(OR(CV7="Paid - Loss &amp; DCCE",CV7="Incurred - Loss &amp; DCCE"),"N/A",IF(CV8="Paid - DCCE Dollar",CW17,IF(CV8="Paid - DCCE (by Ratio)",CW18,IF(CV8="Incurred - DCCE Dollar",CW19,IF(CV8="Incurred - DCCE (by Ratio)",CW20,"")))))</f>
        <v/>
      </c>
      <c r="CX21" s="147" t="str">
        <f>IF(OR(CV7="Paid - Loss &amp; DCCE",CV7="Incurred - Loss &amp; DCCE"),"N/A",IF(CV8="Paid - DCCE Dollar",CX17,IF(CV8="Paid - DCCE (by Ratio)",CX18,IF(CV8="Incurred - DCCE Dollar",CX19,IF(CV8="Incurred - DCCE (by Ratio)",CX20,"")))))</f>
        <v/>
      </c>
      <c r="CY21" s="147" t="str">
        <f>IF(OR(CV7="Paid - Loss &amp; DCCE",CV7="Incurred - Loss &amp; DCCE"),"N/A",IF(CV8="Paid - DCCE Dollar",CY17,IF(CV8="Paid - DCCE (by Ratio)",CY18,IF(CV8="Incurred - DCCE Dollar",CY19,IF(CV8="Incurred - DCCE (by Ratio)",CY20,"")))))</f>
        <v/>
      </c>
      <c r="CZ21" s="147" t="str">
        <f>IF(OR(CV7="Paid - Loss &amp; DCCE",CV7="Incurred - Loss &amp; DCCE"),"N/A",IF(CV8="Paid - DCCE Dollar",CZ17,IF(CV8="Paid - DCCE (by Ratio)",CZ18,IF(CV8="Incurred - DCCE Dollar",CZ19,IF(CV8="Incurred - DCCE (by Ratio)",CZ20,"")))))</f>
        <v/>
      </c>
      <c r="DA21" s="147" t="str">
        <f>IF(OR(CV7="Paid - Loss &amp; DCCE",CV7="Incurred - Loss &amp; DCCE"),"N/A",IF(CV8="Paid - DCCE Dollar",DA17,IF(CV8="Paid - DCCE (by Ratio)",DA18,IF(CV8="Incurred - DCCE Dollar",DA19,IF(CV8="Incurred - DCCE (by Ratio)",DA20,"")))))</f>
        <v/>
      </c>
      <c r="DB21" s="147" t="str">
        <f>IF(OR(CV7="Paid - Loss &amp; DCCE",CV7="Incurred - Loss &amp; DCCE"),"N/A",IF(CV8="Paid - DCCE Dollar",DB17,IF(CV8="Paid - DCCE (by Ratio)",DB18,IF(CV8="Incurred - DCCE Dollar",DB19,IF(CV8="Incurred - DCCE (by Ratio)",DB20,"")))))</f>
        <v/>
      </c>
      <c r="DC21" s="147" t="str">
        <f>IF(OR(CV7="Paid - Loss &amp; DCCE",CV7="Incurred - Loss &amp; DCCE"),"N/A",IF(CV8="Paid - DCCE Dollar",DC17,IF(CV8="Paid - DCCE (by Ratio)",DC18,IF(CV8="Incurred - DCCE Dollar",DC19,IF(CV8="Incurred - DCCE (by Ratio)",DC20,"")))))</f>
        <v/>
      </c>
      <c r="DD21" s="147" t="str">
        <f>IF(OR(CV7="Paid - Loss &amp; DCCE",CV7="Incurred - Loss &amp; DCCE"),"N/A",IF(CV8="Paid - DCCE Dollar",DD17,IF(CV8="Paid - DCCE (by Ratio)",DD18,IF(CV8="Incurred - DCCE Dollar",DD19,IF(CV8="Incurred - DCCE (by Ratio)",DD20,"")))))</f>
        <v/>
      </c>
      <c r="DE21" s="282" t="s">
        <v>40</v>
      </c>
      <c r="DF21" s="68"/>
      <c r="DG21" s="147" t="str">
        <f>IF(OR(DH7="Paid - Loss &amp; DCCE",DH7="Incurred - Loss &amp; DCCE"),"N/A",IF(DH8="Paid - DCCE Dollar",DG17,IF(DH8="Paid - DCCE (by Ratio)",DG18,IF(DH8="Incurred - DCCE Dollar",DG19,IF(DH8="Incurred - DCCE (by Ratio)",DG20,"")))))</f>
        <v/>
      </c>
      <c r="DH21" s="147" t="str">
        <f>IF(OR(DH7="Paid - Loss &amp; DCCE",DH7="Incurred - Loss &amp; DCCE"),"N/A",IF(DH8="Paid - DCCE Dollar",DH17,IF(DH8="Paid - DCCE (by Ratio)",DH18,IF(DH8="Incurred - DCCE Dollar",DH19,IF(DH8="Incurred - DCCE (by Ratio)",DH20,"")))))</f>
        <v/>
      </c>
      <c r="DI21" s="147" t="str">
        <f>IF(OR(DH7="Paid - Loss &amp; DCCE",DH7="Incurred - Loss &amp; DCCE"),"N/A",IF(DH8="Paid - DCCE Dollar",DI17,IF(DH8="Paid - DCCE (by Ratio)",DI18,IF(DH8="Incurred - DCCE Dollar",DI19,IF(DH8="Incurred - DCCE (by Ratio)",DI20,"")))))</f>
        <v/>
      </c>
      <c r="DJ21" s="147" t="str">
        <f>IF(OR(DH7="Paid - Loss &amp; DCCE",DH7="Incurred - Loss &amp; DCCE"),"N/A",IF(DH8="Paid - DCCE Dollar",DJ17,IF(DH8="Paid - DCCE (by Ratio)",DJ18,IF(DH8="Incurred - DCCE Dollar",DJ19,IF(DH8="Incurred - DCCE (by Ratio)",DJ20,"")))))</f>
        <v/>
      </c>
      <c r="DK21" s="147" t="str">
        <f>IF(OR(DH7="Paid - Loss &amp; DCCE",DH7="Incurred - Loss &amp; DCCE"),"N/A",IF(DH8="Paid - DCCE Dollar",DK17,IF(DH8="Paid - DCCE (by Ratio)",DK18,IF(DH8="Incurred - DCCE Dollar",DK19,IF(DH8="Incurred - DCCE (by Ratio)",DK20,"")))))</f>
        <v/>
      </c>
      <c r="DL21" s="147" t="str">
        <f>IF(OR(DH7="Paid - Loss &amp; DCCE",DH7="Incurred - Loss &amp; DCCE"),"N/A",IF(DH8="Paid - DCCE Dollar",DL17,IF(DH8="Paid - DCCE (by Ratio)",DL18,IF(DH8="Incurred - DCCE Dollar",DL19,IF(DH8="Incurred - DCCE (by Ratio)",DL20,"")))))</f>
        <v/>
      </c>
      <c r="DM21" s="147" t="str">
        <f>IF(OR(DH7="Paid - Loss &amp; DCCE",DH7="Incurred - Loss &amp; DCCE"),"N/A",IF(DH8="Paid - DCCE Dollar",DM17,IF(DH8="Paid - DCCE (by Ratio)",DM18,IF(DH8="Incurred - DCCE Dollar",DM19,IF(DH8="Incurred - DCCE (by Ratio)",DM20,"")))))</f>
        <v/>
      </c>
      <c r="DN21" s="147" t="str">
        <f>IF(OR(DH7="Paid - Loss &amp; DCCE",DH7="Incurred - Loss &amp; DCCE"),"N/A",IF(DH8="Paid - DCCE Dollar",DN17,IF(DH8="Paid - DCCE (by Ratio)",DN18,IF(DH8="Incurred - DCCE Dollar",DN19,IF(DH8="Incurred - DCCE (by Ratio)",DN20,"")))))</f>
        <v/>
      </c>
      <c r="DO21" s="147" t="str">
        <f>IF(OR(DH7="Paid - Loss &amp; DCCE",DH7="Incurred - Loss &amp; DCCE"),"N/A",IF(DH8="Paid - DCCE Dollar",DO17,IF(DH8="Paid - DCCE (by Ratio)",DO18,IF(DH8="Incurred - DCCE Dollar",DO19,IF(DH8="Incurred - DCCE (by Ratio)",DO20,"")))))</f>
        <v/>
      </c>
      <c r="DP21" s="147" t="str">
        <f>IF(OR(DH7="Paid - Loss &amp; DCCE",DH7="Incurred - Loss &amp; DCCE"),"N/A",IF(DH8="Paid - DCCE Dollar",DP17,IF(DH8="Paid - DCCE (by Ratio)",DP18,IF(DH8="Incurred - DCCE Dollar",DP19,IF(DH8="Incurred - DCCE (by Ratio)",DP20,"")))))</f>
        <v/>
      </c>
    </row>
    <row r="22" spans="1:120" ht="15" customHeight="1" x14ac:dyDescent="0.35">
      <c r="A22" s="280"/>
      <c r="B22" s="68"/>
      <c r="C22" s="144"/>
      <c r="D22" s="144"/>
      <c r="E22" s="144"/>
      <c r="F22" s="144"/>
      <c r="G22" s="144"/>
      <c r="H22" s="144"/>
      <c r="I22" s="144"/>
      <c r="J22" s="144"/>
      <c r="K22" s="144"/>
      <c r="L22" s="144"/>
      <c r="M22" s="280"/>
      <c r="N22" s="68"/>
      <c r="O22" s="144"/>
      <c r="P22" s="144"/>
      <c r="Q22" s="144"/>
      <c r="R22" s="144"/>
      <c r="S22" s="144"/>
      <c r="T22" s="144"/>
      <c r="U22" s="144"/>
      <c r="V22" s="144"/>
      <c r="W22" s="144"/>
      <c r="X22" s="144"/>
      <c r="Y22" s="280"/>
      <c r="Z22" s="68"/>
      <c r="AA22" s="144"/>
      <c r="AB22" s="144"/>
      <c r="AC22" s="144"/>
      <c r="AD22" s="144"/>
      <c r="AE22" s="144"/>
      <c r="AF22" s="144"/>
      <c r="AG22" s="144"/>
      <c r="AH22" s="144"/>
      <c r="AI22" s="144"/>
      <c r="AJ22" s="144"/>
      <c r="AK22" s="280"/>
      <c r="AL22" s="68"/>
      <c r="AM22" s="144"/>
      <c r="AN22" s="144"/>
      <c r="AO22" s="144"/>
      <c r="AP22" s="144"/>
      <c r="AQ22" s="144"/>
      <c r="AR22" s="144"/>
      <c r="AS22" s="144"/>
      <c r="AT22" s="144"/>
      <c r="AU22" s="144"/>
      <c r="AV22" s="144"/>
      <c r="AW22" s="280"/>
      <c r="AX22" s="68"/>
      <c r="AY22" s="144"/>
      <c r="AZ22" s="144"/>
      <c r="BA22" s="144"/>
      <c r="BB22" s="144"/>
      <c r="BC22" s="144"/>
      <c r="BD22" s="144"/>
      <c r="BE22" s="144"/>
      <c r="BF22" s="144"/>
      <c r="BG22" s="144"/>
      <c r="BH22" s="144"/>
      <c r="BI22" s="280"/>
      <c r="BJ22" s="68"/>
      <c r="BK22" s="144"/>
      <c r="BL22" s="144"/>
      <c r="BM22" s="144"/>
      <c r="BN22" s="144"/>
      <c r="BO22" s="144"/>
      <c r="BP22" s="144"/>
      <c r="BQ22" s="144"/>
      <c r="BR22" s="144"/>
      <c r="BS22" s="144"/>
      <c r="BT22" s="144"/>
      <c r="BU22" s="280"/>
      <c r="BV22" s="68"/>
      <c r="BW22" s="144"/>
      <c r="BX22" s="144"/>
      <c r="BY22" s="144"/>
      <c r="BZ22" s="144"/>
      <c r="CA22" s="144"/>
      <c r="CB22" s="144"/>
      <c r="CC22" s="144"/>
      <c r="CD22" s="144"/>
      <c r="CE22" s="144"/>
      <c r="CF22" s="144"/>
      <c r="CG22" s="280"/>
      <c r="CH22" s="68"/>
      <c r="CI22" s="144"/>
      <c r="CJ22" s="144"/>
      <c r="CK22" s="144"/>
      <c r="CL22" s="144"/>
      <c r="CM22" s="144"/>
      <c r="CN22" s="144"/>
      <c r="CO22" s="144"/>
      <c r="CP22" s="144"/>
      <c r="CQ22" s="144"/>
      <c r="CR22" s="144"/>
      <c r="CS22" s="280"/>
      <c r="CT22" s="68"/>
      <c r="CU22" s="144"/>
      <c r="CV22" s="144"/>
      <c r="CW22" s="144"/>
      <c r="CX22" s="144"/>
      <c r="CY22" s="144"/>
      <c r="CZ22" s="144"/>
      <c r="DA22" s="144"/>
      <c r="DB22" s="144"/>
      <c r="DC22" s="144"/>
      <c r="DD22" s="144"/>
      <c r="DE22" s="280"/>
      <c r="DF22" s="68"/>
      <c r="DG22" s="144"/>
      <c r="DH22" s="144"/>
      <c r="DI22" s="144"/>
      <c r="DJ22" s="144"/>
      <c r="DK22" s="144"/>
      <c r="DL22" s="144"/>
      <c r="DM22" s="144"/>
      <c r="DN22" s="144"/>
      <c r="DO22" s="144"/>
      <c r="DP22" s="144"/>
    </row>
    <row r="23" spans="1:120" ht="15" customHeight="1" x14ac:dyDescent="0.35">
      <c r="A23" s="280"/>
      <c r="B23" s="68"/>
      <c r="C23" s="40" t="str">
        <f>$A$35</f>
        <v>Fiscal Accident Year Data Ending</v>
      </c>
      <c r="D23" s="150"/>
      <c r="E23" s="151"/>
      <c r="F23" s="19"/>
      <c r="G23" s="151"/>
      <c r="H23" s="151"/>
      <c r="I23" s="150"/>
      <c r="J23" s="151"/>
      <c r="K23" s="151"/>
      <c r="L23" s="151"/>
      <c r="M23" s="280"/>
      <c r="N23" s="68"/>
      <c r="O23" s="40" t="str">
        <f>$A$35</f>
        <v>Fiscal Accident Year Data Ending</v>
      </c>
      <c r="P23" s="150"/>
      <c r="Q23" s="151"/>
      <c r="R23" s="19"/>
      <c r="S23" s="151"/>
      <c r="T23" s="151"/>
      <c r="U23" s="150"/>
      <c r="V23" s="151"/>
      <c r="W23" s="151"/>
      <c r="X23" s="151"/>
      <c r="Y23" s="280"/>
      <c r="Z23" s="68"/>
      <c r="AA23" s="40" t="str">
        <f>$A$35</f>
        <v>Fiscal Accident Year Data Ending</v>
      </c>
      <c r="AB23" s="150"/>
      <c r="AC23" s="151"/>
      <c r="AD23" s="19"/>
      <c r="AE23" s="151"/>
      <c r="AF23" s="151"/>
      <c r="AG23" s="150"/>
      <c r="AH23" s="151"/>
      <c r="AI23" s="151"/>
      <c r="AJ23" s="151"/>
      <c r="AK23" s="280"/>
      <c r="AL23" s="68"/>
      <c r="AM23" s="40" t="str">
        <f>$A$35</f>
        <v>Fiscal Accident Year Data Ending</v>
      </c>
      <c r="AN23" s="150"/>
      <c r="AO23" s="151"/>
      <c r="AP23" s="19"/>
      <c r="AQ23" s="151"/>
      <c r="AR23" s="151"/>
      <c r="AS23" s="150"/>
      <c r="AT23" s="151"/>
      <c r="AU23" s="151"/>
      <c r="AV23" s="151"/>
      <c r="AW23" s="280"/>
      <c r="AX23" s="68"/>
      <c r="AY23" s="40" t="str">
        <f>$A$35</f>
        <v>Fiscal Accident Year Data Ending</v>
      </c>
      <c r="AZ23" s="150"/>
      <c r="BA23" s="151"/>
      <c r="BB23" s="19"/>
      <c r="BC23" s="151"/>
      <c r="BD23" s="151"/>
      <c r="BE23" s="150"/>
      <c r="BF23" s="151"/>
      <c r="BG23" s="151"/>
      <c r="BH23" s="151"/>
      <c r="BI23" s="280"/>
      <c r="BJ23" s="68"/>
      <c r="BK23" s="40" t="str">
        <f>$A$35</f>
        <v>Fiscal Accident Year Data Ending</v>
      </c>
      <c r="BL23" s="150"/>
      <c r="BM23" s="151"/>
      <c r="BN23" s="19"/>
      <c r="BO23" s="151"/>
      <c r="BP23" s="151"/>
      <c r="BQ23" s="150"/>
      <c r="BR23" s="151"/>
      <c r="BS23" s="151"/>
      <c r="BT23" s="151"/>
      <c r="BU23" s="280"/>
      <c r="BV23" s="68"/>
      <c r="BW23" s="40" t="str">
        <f>$A$35</f>
        <v>Fiscal Accident Year Data Ending</v>
      </c>
      <c r="BX23" s="150"/>
      <c r="BY23" s="151"/>
      <c r="BZ23" s="19"/>
      <c r="CA23" s="151"/>
      <c r="CB23" s="151"/>
      <c r="CC23" s="150"/>
      <c r="CD23" s="151"/>
      <c r="CE23" s="151"/>
      <c r="CF23" s="151"/>
      <c r="CG23" s="280"/>
      <c r="CH23" s="68"/>
      <c r="CI23" s="40" t="str">
        <f>$A$35</f>
        <v>Fiscal Accident Year Data Ending</v>
      </c>
      <c r="CJ23" s="150"/>
      <c r="CK23" s="151"/>
      <c r="CL23" s="19"/>
      <c r="CM23" s="151"/>
      <c r="CN23" s="151"/>
      <c r="CO23" s="150"/>
      <c r="CP23" s="151"/>
      <c r="CQ23" s="151"/>
      <c r="CR23" s="151"/>
      <c r="CS23" s="280"/>
      <c r="CT23" s="68"/>
      <c r="CU23" s="40" t="str">
        <f>$A$35</f>
        <v>Fiscal Accident Year Data Ending</v>
      </c>
      <c r="CV23" s="150"/>
      <c r="CW23" s="151"/>
      <c r="CX23" s="19"/>
      <c r="CY23" s="151"/>
      <c r="CZ23" s="151"/>
      <c r="DA23" s="150"/>
      <c r="DB23" s="151"/>
      <c r="DC23" s="151"/>
      <c r="DD23" s="151"/>
      <c r="DE23" s="280"/>
      <c r="DF23" s="68"/>
      <c r="DG23" s="40" t="str">
        <f>$A$35</f>
        <v>Fiscal Accident Year Data Ending</v>
      </c>
      <c r="DH23" s="150"/>
      <c r="DI23" s="151"/>
      <c r="DJ23" s="19"/>
      <c r="DK23" s="151"/>
      <c r="DL23" s="151"/>
      <c r="DM23" s="150"/>
      <c r="DN23" s="151"/>
      <c r="DO23" s="151"/>
      <c r="DP23" s="151"/>
    </row>
    <row r="24" spans="1:120" ht="15" customHeight="1" x14ac:dyDescent="0.25">
      <c r="A24" s="281" t="s">
        <v>56</v>
      </c>
      <c r="B24" s="145"/>
      <c r="C24" s="62">
        <f>$C$11</f>
        <v>20132</v>
      </c>
      <c r="D24" s="62">
        <f>$D$11</f>
        <v>20142</v>
      </c>
      <c r="E24" s="62">
        <f>$E$11</f>
        <v>20152</v>
      </c>
      <c r="F24" s="62">
        <f>$F$11</f>
        <v>20162</v>
      </c>
      <c r="G24" s="62">
        <f>$G$11</f>
        <v>20172</v>
      </c>
      <c r="H24" s="62">
        <f>$H$11</f>
        <v>20182</v>
      </c>
      <c r="I24" s="62">
        <f>$I$11</f>
        <v>20192</v>
      </c>
      <c r="J24" s="62">
        <f>$J$11</f>
        <v>20202</v>
      </c>
      <c r="K24" s="62">
        <f>$K$11</f>
        <v>20212</v>
      </c>
      <c r="L24" s="62">
        <f>$L$11</f>
        <v>20222</v>
      </c>
      <c r="M24" s="281" t="s">
        <v>56</v>
      </c>
      <c r="N24" s="145"/>
      <c r="O24" s="62">
        <f>$C$11</f>
        <v>20132</v>
      </c>
      <c r="P24" s="62">
        <f>$D$11</f>
        <v>20142</v>
      </c>
      <c r="Q24" s="62">
        <f>$E$11</f>
        <v>20152</v>
      </c>
      <c r="R24" s="62">
        <f>$F$11</f>
        <v>20162</v>
      </c>
      <c r="S24" s="62">
        <f>$G$11</f>
        <v>20172</v>
      </c>
      <c r="T24" s="62">
        <f>$H$11</f>
        <v>20182</v>
      </c>
      <c r="U24" s="62">
        <f>$I$11</f>
        <v>20192</v>
      </c>
      <c r="V24" s="62">
        <f>$J$11</f>
        <v>20202</v>
      </c>
      <c r="W24" s="62">
        <f>$K$11</f>
        <v>20212</v>
      </c>
      <c r="X24" s="62">
        <f>$L$11</f>
        <v>20222</v>
      </c>
      <c r="Y24" s="281" t="s">
        <v>56</v>
      </c>
      <c r="Z24" s="145"/>
      <c r="AA24" s="62">
        <f>$C$11</f>
        <v>20132</v>
      </c>
      <c r="AB24" s="62">
        <f>$D$11</f>
        <v>20142</v>
      </c>
      <c r="AC24" s="62">
        <f>$E$11</f>
        <v>20152</v>
      </c>
      <c r="AD24" s="62">
        <f>$F$11</f>
        <v>20162</v>
      </c>
      <c r="AE24" s="62">
        <f>$G$11</f>
        <v>20172</v>
      </c>
      <c r="AF24" s="62">
        <f>$H$11</f>
        <v>20182</v>
      </c>
      <c r="AG24" s="62">
        <f>$I$11</f>
        <v>20192</v>
      </c>
      <c r="AH24" s="62">
        <f>$J$11</f>
        <v>20202</v>
      </c>
      <c r="AI24" s="62">
        <f>$K$11</f>
        <v>20212</v>
      </c>
      <c r="AJ24" s="62">
        <f>$L$11</f>
        <v>20222</v>
      </c>
      <c r="AK24" s="281" t="s">
        <v>56</v>
      </c>
      <c r="AL24" s="145"/>
      <c r="AM24" s="62">
        <f>$C$11</f>
        <v>20132</v>
      </c>
      <c r="AN24" s="62">
        <f>$D$11</f>
        <v>20142</v>
      </c>
      <c r="AO24" s="62">
        <f>$E$11</f>
        <v>20152</v>
      </c>
      <c r="AP24" s="62">
        <f>$F$11</f>
        <v>20162</v>
      </c>
      <c r="AQ24" s="62">
        <f>$G$11</f>
        <v>20172</v>
      </c>
      <c r="AR24" s="62">
        <f>$H$11</f>
        <v>20182</v>
      </c>
      <c r="AS24" s="62">
        <f>$I$11</f>
        <v>20192</v>
      </c>
      <c r="AT24" s="62">
        <f>$J$11</f>
        <v>20202</v>
      </c>
      <c r="AU24" s="62">
        <f>$K$11</f>
        <v>20212</v>
      </c>
      <c r="AV24" s="62">
        <f>$L$11</f>
        <v>20222</v>
      </c>
      <c r="AW24" s="281" t="s">
        <v>56</v>
      </c>
      <c r="AX24" s="145"/>
      <c r="AY24" s="62">
        <f>$C$11</f>
        <v>20132</v>
      </c>
      <c r="AZ24" s="62">
        <f>$D$11</f>
        <v>20142</v>
      </c>
      <c r="BA24" s="62">
        <f>$E$11</f>
        <v>20152</v>
      </c>
      <c r="BB24" s="62">
        <f>$F$11</f>
        <v>20162</v>
      </c>
      <c r="BC24" s="62">
        <f>$G$11</f>
        <v>20172</v>
      </c>
      <c r="BD24" s="62">
        <f>$H$11</f>
        <v>20182</v>
      </c>
      <c r="BE24" s="62">
        <f>$I$11</f>
        <v>20192</v>
      </c>
      <c r="BF24" s="62">
        <f>$J$11</f>
        <v>20202</v>
      </c>
      <c r="BG24" s="62">
        <f>$K$11</f>
        <v>20212</v>
      </c>
      <c r="BH24" s="62">
        <f>$L$11</f>
        <v>20222</v>
      </c>
      <c r="BI24" s="281" t="s">
        <v>56</v>
      </c>
      <c r="BJ24" s="145"/>
      <c r="BK24" s="62">
        <f>$C$11</f>
        <v>20132</v>
      </c>
      <c r="BL24" s="62">
        <f>$D$11</f>
        <v>20142</v>
      </c>
      <c r="BM24" s="62">
        <f>$E$11</f>
        <v>20152</v>
      </c>
      <c r="BN24" s="62">
        <f>$F$11</f>
        <v>20162</v>
      </c>
      <c r="BO24" s="62">
        <f>$G$11</f>
        <v>20172</v>
      </c>
      <c r="BP24" s="62">
        <f>$H$11</f>
        <v>20182</v>
      </c>
      <c r="BQ24" s="62">
        <f>$I$11</f>
        <v>20192</v>
      </c>
      <c r="BR24" s="62">
        <f>$J$11</f>
        <v>20202</v>
      </c>
      <c r="BS24" s="62">
        <f>$K$11</f>
        <v>20212</v>
      </c>
      <c r="BT24" s="62">
        <f>$L$11</f>
        <v>20222</v>
      </c>
      <c r="BU24" s="281" t="s">
        <v>56</v>
      </c>
      <c r="BV24" s="145"/>
      <c r="BW24" s="62">
        <f>$C$11</f>
        <v>20132</v>
      </c>
      <c r="BX24" s="62">
        <f>$D$11</f>
        <v>20142</v>
      </c>
      <c r="BY24" s="62">
        <f>$E$11</f>
        <v>20152</v>
      </c>
      <c r="BZ24" s="62">
        <f>$F$11</f>
        <v>20162</v>
      </c>
      <c r="CA24" s="62">
        <f>$G$11</f>
        <v>20172</v>
      </c>
      <c r="CB24" s="62">
        <f>$H$11</f>
        <v>20182</v>
      </c>
      <c r="CC24" s="62">
        <f>$I$11</f>
        <v>20192</v>
      </c>
      <c r="CD24" s="62">
        <f>$J$11</f>
        <v>20202</v>
      </c>
      <c r="CE24" s="62">
        <f>$K$11</f>
        <v>20212</v>
      </c>
      <c r="CF24" s="62">
        <f>$L$11</f>
        <v>20222</v>
      </c>
      <c r="CG24" s="281" t="s">
        <v>56</v>
      </c>
      <c r="CH24" s="145"/>
      <c r="CI24" s="62">
        <f>$C$11</f>
        <v>20132</v>
      </c>
      <c r="CJ24" s="62">
        <f>$D$11</f>
        <v>20142</v>
      </c>
      <c r="CK24" s="62">
        <f>$E$11</f>
        <v>20152</v>
      </c>
      <c r="CL24" s="62">
        <f>$F$11</f>
        <v>20162</v>
      </c>
      <c r="CM24" s="62">
        <f>$G$11</f>
        <v>20172</v>
      </c>
      <c r="CN24" s="62">
        <f>$H$11</f>
        <v>20182</v>
      </c>
      <c r="CO24" s="62">
        <f>$I$11</f>
        <v>20192</v>
      </c>
      <c r="CP24" s="62">
        <f>$J$11</f>
        <v>20202</v>
      </c>
      <c r="CQ24" s="62">
        <f>$K$11</f>
        <v>20212</v>
      </c>
      <c r="CR24" s="62">
        <f>$L$11</f>
        <v>20222</v>
      </c>
      <c r="CS24" s="281" t="s">
        <v>56</v>
      </c>
      <c r="CT24" s="145"/>
      <c r="CU24" s="62">
        <f>$C$11</f>
        <v>20132</v>
      </c>
      <c r="CV24" s="62">
        <f>$D$11</f>
        <v>20142</v>
      </c>
      <c r="CW24" s="62">
        <f>$E$11</f>
        <v>20152</v>
      </c>
      <c r="CX24" s="62">
        <f>$F$11</f>
        <v>20162</v>
      </c>
      <c r="CY24" s="62">
        <f>$G$11</f>
        <v>20172</v>
      </c>
      <c r="CZ24" s="62">
        <f>$H$11</f>
        <v>20182</v>
      </c>
      <c r="DA24" s="62">
        <f>$I$11</f>
        <v>20192</v>
      </c>
      <c r="DB24" s="62">
        <f>$J$11</f>
        <v>20202</v>
      </c>
      <c r="DC24" s="62">
        <f>$K$11</f>
        <v>20212</v>
      </c>
      <c r="DD24" s="62">
        <f>$L$11</f>
        <v>20222</v>
      </c>
      <c r="DE24" s="281" t="s">
        <v>56</v>
      </c>
      <c r="DF24" s="145"/>
      <c r="DG24" s="62">
        <f>$C$11</f>
        <v>20132</v>
      </c>
      <c r="DH24" s="62">
        <f>$D$11</f>
        <v>20142</v>
      </c>
      <c r="DI24" s="62">
        <f>$E$11</f>
        <v>20152</v>
      </c>
      <c r="DJ24" s="62">
        <f>$F$11</f>
        <v>20162</v>
      </c>
      <c r="DK24" s="62">
        <f>$G$11</f>
        <v>20172</v>
      </c>
      <c r="DL24" s="62">
        <f>$H$11</f>
        <v>20182</v>
      </c>
      <c r="DM24" s="62">
        <f>$I$11</f>
        <v>20192</v>
      </c>
      <c r="DN24" s="62">
        <f>$J$11</f>
        <v>20202</v>
      </c>
      <c r="DO24" s="62">
        <f>$K$11</f>
        <v>20212</v>
      </c>
      <c r="DP24" s="62">
        <f>$L$11</f>
        <v>20222</v>
      </c>
    </row>
    <row r="25" spans="1:120" ht="15" customHeight="1" x14ac:dyDescent="0.25">
      <c r="A25" s="283" t="str">
        <f>IF(OR(D7="Paid - Loss &amp; DCCE",D7="Incurred - Loss &amp; DCCE"),"Loss &amp; DCCE","Loss")</f>
        <v>Loss</v>
      </c>
      <c r="B25" s="148"/>
      <c r="C25" s="149">
        <f>IF(AND(OR(D7="Paid - Loss &amp; DCCE",D7="Incurred - Loss &amp; DCCE"),AND(NOT(ISBLANK(D8)),D8&lt;&gt;"NA")),"ERROR",IF(D7="Paid - Loss &amp; DCCE",INDEX(C61:L61,1,11-MATCH(C11,C11:L11,0)),IF(D7="Paid - Pure Loss",INDEX(C96:L96,1,11-MATCH(C11,C11:L11,0)),IF(D7="Incurred - Loss &amp; DCCE",INDEX(C204:L204,1,11-MATCH(C11,C11:L11,0)),IF(D7="Incurred - Pure Loss",INDEX(C239:L239,1,11-MATCH(C11,C11:L11,0)),"")))))</f>
        <v>1</v>
      </c>
      <c r="D25" s="149">
        <f>IF(AND(OR(D7="Paid - Loss &amp; DCCE",D7="Incurred - Loss &amp; DCCE"),AND(NOT(ISBLANK(D8)),D8&lt;&gt;"NA")),"ERROR",IF(D7="Paid - Loss &amp; DCCE",INDEX(C61:L61,1,11-MATCH(D11,C11:L11,0)),IF(D7="Paid - Pure Loss",INDEX(C96:L96,1,11-MATCH(D11,C11:L11,0)),IF(D7="Incurred - Loss &amp; DCCE",INDEX(C204:L204,1,11-MATCH(D11,C11:L11,0)),IF(D7="Incurred - Pure Loss",INDEX(C239:L239,1,11-MATCH(D11,C11:L11,0)),"")))))</f>
        <v>1.0026480067906178</v>
      </c>
      <c r="E25" s="149">
        <f>IF(AND(OR(D7="Paid - Loss &amp; DCCE",D7="Incurred - Loss &amp; DCCE"),AND(NOT(ISBLANK(D8)),D8&lt;&gt;"NA")),"ERROR",IF(D7="Paid - Loss &amp; DCCE",INDEX(C61:L61,1,11-MATCH(E11,C11:L11,0)),IF(D7="Paid - Pure Loss",INDEX(C96:L96,1,11-MATCH(E11,C11:L11,0)),IF(D7="Incurred - Loss &amp; DCCE",INDEX(C204:L204,1,11-MATCH(E11,C11:L11,0)),IF(D7="Incurred - Pure Loss",INDEX(C239:L239,1,11-MATCH(E11,C11:L11,0)),"")))))</f>
        <v>1.0087139444716242</v>
      </c>
      <c r="F25" s="149">
        <f>IF(AND(OR(D7="Paid - Loss &amp; DCCE",D7="Incurred - Loss &amp; DCCE"),AND(NOT(ISBLANK(D8)),D8&lt;&gt;"NA")),"ERROR",IF(D7="Paid - Loss &amp; DCCE",INDEX(C61:L61,1,11-MATCH(F11,C11:L11,0)),IF(D7="Paid - Pure Loss",INDEX(C96:L96,1,11-MATCH(F11,C11:L11,0)),IF(D7="Incurred - Loss &amp; DCCE",INDEX(C204:L204,1,11-MATCH(F11,C11:L11,0)),IF(D7="Incurred - Pure Loss",INDEX(C239:L239,1,11-MATCH(F11,C11:L11,0)),"")))))</f>
        <v>1.0250977064651166</v>
      </c>
      <c r="G25" s="149">
        <f>IF(AND(OR(D7="Paid - Loss &amp; DCCE",D7="Incurred - Loss &amp; DCCE"),AND(NOT(ISBLANK(D8)),D8&lt;&gt;"NA")),"ERROR",IF(D7="Paid - Loss &amp; DCCE",INDEX(C61:L61,1,11-MATCH(G11,C11:L11,0)),IF(D7="Paid - Pure Loss",INDEX(C96:L96,1,11-MATCH(G11,C11:L11,0)),IF(D7="Incurred - Loss &amp; DCCE",INDEX(C204:L204,1,11-MATCH(G11,C11:L11,0)),IF(D7="Incurred - Pure Loss",INDEX(C239:L239,1,11-MATCH(G11,C11:L11,0)),"")))))</f>
        <v>1.033066086808625</v>
      </c>
      <c r="H25" s="149">
        <f>IF(AND(OR(D7="Paid - Loss &amp; DCCE",D7="Incurred - Loss &amp; DCCE"),AND(NOT(ISBLANK(D8)),D8&lt;&gt;"NA")),"ERROR",IF(D7="Paid - Loss &amp; DCCE",INDEX(C61:L61,1,11-MATCH(H11,C11:L11,0)),IF(D7="Paid - Pure Loss",INDEX(C96:L96,1,11-MATCH(H11,C11:L11,0)),IF(D7="Incurred - Loss &amp; DCCE",INDEX(C204:L204,1,11-MATCH(H11,C11:L11,0)),IF(D7="Incurred - Pure Loss",INDEX(C239:L239,1,11-MATCH(H11,C11:L11,0)),"")))))</f>
        <v>1.0483634030708577</v>
      </c>
      <c r="I25" s="149">
        <f>IF(AND(OR(D7="Paid - Loss &amp; DCCE",D7="Incurred - Loss &amp; DCCE"),AND(NOT(ISBLANK(D8)),D8&lt;&gt;"NA")),"ERROR",IF(D7="Paid - Loss &amp; DCCE",INDEX(C61:L61,1,11-MATCH(I11,C11:L11,0)),IF(D7="Paid - Pure Loss",INDEX(C96:L96,1,11-MATCH(I11,C11:L11,0)),IF(D7="Incurred - Loss &amp; DCCE",INDEX(C204:L204,1,11-MATCH(I11,C11:L11,0)),IF(D7="Incurred - Pure Loss",INDEX(C239:L239,1,11-MATCH(I11,C11:L11,0)),"")))))</f>
        <v>1.0646090584501773</v>
      </c>
      <c r="J25" s="149">
        <f>IF(AND(OR(D7="Paid - Loss &amp; DCCE",D7="Incurred - Loss &amp; DCCE"),AND(NOT(ISBLANK(D8)),D8&lt;&gt;"NA")),"ERROR",IF(D7="Paid - Loss &amp; DCCE",INDEX(C61:L61,1,11-MATCH(J11,C11:L11,0)),IF(D7="Paid - Pure Loss",INDEX(C96:L96,1,11-MATCH(J11,C11:L11,0)),IF(D7="Incurred - Loss &amp; DCCE",INDEX(C204:L204,1,11-MATCH(J11,C11:L11,0)),IF(D7="Incurred - Pure Loss",INDEX(C239:L239,1,11-MATCH(J11,C11:L11,0)),"")))))</f>
        <v>1.1004727936284071</v>
      </c>
      <c r="K25" s="149">
        <f>IF(AND(OR(D7="Paid - Loss &amp; DCCE",D7="Incurred - Loss &amp; DCCE"),AND(NOT(ISBLANK(D8)),D8&lt;&gt;"NA")),"ERROR",IF(D7="Paid - Loss &amp; DCCE",INDEX(C61:L61,1,11-MATCH(K11,C11:L11,0)),IF(D7="Paid - Pure Loss",INDEX(C96:L96,1,11-MATCH(K11,C11:L11,0)),IF(D7="Incurred - Loss &amp; DCCE",INDEX(C204:L204,1,11-MATCH(K11,C11:L11,0)),IF(D7="Incurred - Pure Loss",INDEX(C239:L239,1,11-MATCH(K11,C11:L11,0)),"")))))</f>
        <v>1.1682161515269871</v>
      </c>
      <c r="L25" s="149">
        <f>IF(AND(OR(D7="Paid - Loss &amp; DCCE",D7="Incurred - Loss &amp; DCCE"),AND(NOT(ISBLANK(D8)),D8&lt;&gt;"NA")),"ERROR",IF(D7="Paid - Loss &amp; DCCE",INDEX(C61:L61,1,11-MATCH(L11,C11:L11,0)),IF(D7="Paid - Pure Loss",INDEX(C96:L96,1,11-MATCH(L11,C11:L11,0)),IF(D7="Incurred - Loss &amp; DCCE",INDEX(C204:L204,1,11-MATCH(L11,C11:L11,0)),IF(D7="Incurred - Pure Loss",INDEX(C239:L239,1,11-MATCH(L11,C11:L11,0)),"")))))</f>
        <v>1.3574729543802107</v>
      </c>
      <c r="M25" s="283" t="str">
        <f>IF(OR(P7="Paid - Loss &amp; DCCE",P7="Incurred - Loss &amp; DCCE"),"Loss &amp; DCCE","Loss")</f>
        <v>Loss</v>
      </c>
      <c r="N25" s="148"/>
      <c r="O25" s="149" t="str">
        <f>IF(AND(OR(P7="Paid - Loss &amp; DCCE",P7="Incurred - Loss &amp; DCCE"),AND(NOT(ISBLANK(P8)),P8&lt;&gt;"NA")),"ERROR",IF(P7="Paid - Loss &amp; DCCE",INDEX(O61:X61,1,11-MATCH(O11,O11:X11,0)),IF(P7="Paid - Pure Loss",INDEX(O96:X96,1,11-MATCH(O11,O11:X11,0)),IF(P7="Incurred - Loss &amp; DCCE",INDEX(O204:X204,1,11-MATCH(O11,O11:X11,0)),IF(P7="Incurred - Pure Loss",INDEX(O239:X239,1,11-MATCH(O11,O11:X11,0)),"")))))</f>
        <v/>
      </c>
      <c r="P25" s="149" t="str">
        <f>IF(AND(OR(P7="Paid - Loss &amp; DCCE",P7="Incurred - Loss &amp; DCCE"),AND(NOT(ISBLANK(P8)),P8&lt;&gt;"NA")),"ERROR",IF(P7="Paid - Loss &amp; DCCE",INDEX(O61:X61,1,11-MATCH(P11,O11:X11,0)),IF(P7="Paid - Pure Loss",INDEX(O96:X96,1,11-MATCH(P11,O11:X11,0)),IF(P7="Incurred - Loss &amp; DCCE",INDEX(O204:X204,1,11-MATCH(P11,O11:X11,0)),IF(P7="Incurred - Pure Loss",INDEX(O239:X239,1,11-MATCH(P11,O11:X11,0)),"")))))</f>
        <v/>
      </c>
      <c r="Q25" s="149" t="str">
        <f>IF(AND(OR(P7="Paid - Loss &amp; DCCE",P7="Incurred - Loss &amp; DCCE"),AND(NOT(ISBLANK(P8)),P8&lt;&gt;"NA")),"ERROR",IF(P7="Paid - Loss &amp; DCCE",INDEX(O61:X61,1,11-MATCH(Q11,O11:X11,0)),IF(P7="Paid - Pure Loss",INDEX(O96:X96,1,11-MATCH(Q11,O11:X11,0)),IF(P7="Incurred - Loss &amp; DCCE",INDEX(O204:X204,1,11-MATCH(Q11,O11:X11,0)),IF(P7="Incurred - Pure Loss",INDEX(O239:X239,1,11-MATCH(Q11,O11:X11,0)),"")))))</f>
        <v/>
      </c>
      <c r="R25" s="149" t="str">
        <f>IF(AND(OR(P7="Paid - Loss &amp; DCCE",P7="Incurred - Loss &amp; DCCE"),AND(NOT(ISBLANK(P8)),P8&lt;&gt;"NA")),"ERROR",IF(P7="Paid - Loss &amp; DCCE",INDEX(O61:X61,1,11-MATCH(R11,O11:X11,0)),IF(P7="Paid - Pure Loss",INDEX(O96:X96,1,11-MATCH(R11,O11:X11,0)),IF(P7="Incurred - Loss &amp; DCCE",INDEX(O204:X204,1,11-MATCH(R11,O11:X11,0)),IF(P7="Incurred - Pure Loss",INDEX(O239:X239,1,11-MATCH(R11,O11:X11,0)),"")))))</f>
        <v/>
      </c>
      <c r="S25" s="149" t="str">
        <f>IF(AND(OR(P7="Paid - Loss &amp; DCCE",P7="Incurred - Loss &amp; DCCE"),AND(NOT(ISBLANK(P8)),P8&lt;&gt;"NA")),"ERROR",IF(P7="Paid - Loss &amp; DCCE",INDEX(O61:X61,1,11-MATCH(S11,O11:X11,0)),IF(P7="Paid - Pure Loss",INDEX(O96:X96,1,11-MATCH(S11,O11:X11,0)),IF(P7="Incurred - Loss &amp; DCCE",INDEX(O204:X204,1,11-MATCH(S11,O11:X11,0)),IF(P7="Incurred - Pure Loss",INDEX(O239:X239,1,11-MATCH(S11,O11:X11,0)),"")))))</f>
        <v/>
      </c>
      <c r="T25" s="149" t="str">
        <f>IF(AND(OR(P7="Paid - Loss &amp; DCCE",P7="Incurred - Loss &amp; DCCE"),AND(NOT(ISBLANK(P8)),P8&lt;&gt;"NA")),"ERROR",IF(P7="Paid - Loss &amp; DCCE",INDEX(O61:X61,1,11-MATCH(T11,O11:X11,0)),IF(P7="Paid - Pure Loss",INDEX(O96:X96,1,11-MATCH(T11,O11:X11,0)),IF(P7="Incurred - Loss &amp; DCCE",INDEX(O204:X204,1,11-MATCH(T11,O11:X11,0)),IF(P7="Incurred - Pure Loss",INDEX(O239:X239,1,11-MATCH(T11,O11:X11,0)),"")))))</f>
        <v/>
      </c>
      <c r="U25" s="149" t="str">
        <f>IF(AND(OR(P7="Paid - Loss &amp; DCCE",P7="Incurred - Loss &amp; DCCE"),AND(NOT(ISBLANK(P8)),P8&lt;&gt;"NA")),"ERROR",IF(P7="Paid - Loss &amp; DCCE",INDEX(O61:X61,1,11-MATCH(U11,O11:X11,0)),IF(P7="Paid - Pure Loss",INDEX(O96:X96,1,11-MATCH(U11,O11:X11,0)),IF(P7="Incurred - Loss &amp; DCCE",INDEX(O204:X204,1,11-MATCH(U11,O11:X11,0)),IF(P7="Incurred - Pure Loss",INDEX(O239:X239,1,11-MATCH(U11,O11:X11,0)),"")))))</f>
        <v/>
      </c>
      <c r="V25" s="149" t="str">
        <f>IF(AND(OR(P7="Paid - Loss &amp; DCCE",P7="Incurred - Loss &amp; DCCE"),AND(NOT(ISBLANK(P8)),P8&lt;&gt;"NA")),"ERROR",IF(P7="Paid - Loss &amp; DCCE",INDEX(O61:X61,1,11-MATCH(V11,O11:X11,0)),IF(P7="Paid - Pure Loss",INDEX(O96:X96,1,11-MATCH(V11,O11:X11,0)),IF(P7="Incurred - Loss &amp; DCCE",INDEX(O204:X204,1,11-MATCH(V11,O11:X11,0)),IF(P7="Incurred - Pure Loss",INDEX(O239:X239,1,11-MATCH(V11,O11:X11,0)),"")))))</f>
        <v/>
      </c>
      <c r="W25" s="149" t="str">
        <f>IF(AND(OR(P7="Paid - Loss &amp; DCCE",P7="Incurred - Loss &amp; DCCE"),AND(NOT(ISBLANK(P8)),P8&lt;&gt;"NA")),"ERROR",IF(P7="Paid - Loss &amp; DCCE",INDEX(O61:X61,1,11-MATCH(W11,O11:X11,0)),IF(P7="Paid - Pure Loss",INDEX(O96:X96,1,11-MATCH(W11,O11:X11,0)),IF(P7="Incurred - Loss &amp; DCCE",INDEX(O204:X204,1,11-MATCH(W11,O11:X11,0)),IF(P7="Incurred - Pure Loss",INDEX(O239:X239,1,11-MATCH(W11,O11:X11,0)),"")))))</f>
        <v/>
      </c>
      <c r="X25" s="149" t="str">
        <f>IF(AND(OR(P7="Paid - Loss &amp; DCCE",P7="Incurred - Loss &amp; DCCE"),AND(NOT(ISBLANK(P8)),P8&lt;&gt;"NA")),"ERROR",IF(P7="Paid - Loss &amp; DCCE",INDEX(O61:X61,1,11-MATCH(X11,O11:X11,0)),IF(P7="Paid - Pure Loss",INDEX(O96:X96,1,11-MATCH(X11,O11:X11,0)),IF(P7="Incurred - Loss &amp; DCCE",INDEX(O204:X204,1,11-MATCH(X11,O11:X11,0)),IF(P7="Incurred - Pure Loss",INDEX(O239:X239,1,11-MATCH(X11,O11:X11,0)),"")))))</f>
        <v/>
      </c>
      <c r="Y25" s="283" t="str">
        <f>IF(OR(AB7="Paid - Loss &amp; DCCE",AB7="Incurred - Loss &amp; DCCE"),"Loss &amp; DCCE","Loss")</f>
        <v>Loss</v>
      </c>
      <c r="Z25" s="148"/>
      <c r="AA25" s="149" t="str">
        <f>IF(AND(OR(AB7="Paid - Loss &amp; DCCE",AB7="Incurred - Loss &amp; DCCE"),AND(NOT(ISBLANK(AB8)),AB8&lt;&gt;"NA")),"ERROR",IF(AB7="Paid - Loss &amp; DCCE",INDEX(AA61:AJ61,1,11-MATCH(AA11,AA11:AJ11,0)),IF(AB7="Paid - Pure Loss",INDEX(AA96:AJ96,1,11-MATCH(AA11,AA11:AJ11,0)),IF(AB7="Incurred - Loss &amp; DCCE",INDEX(AA204:AJ204,1,11-MATCH(AA11,AA11:AJ11,0)),IF(AB7="Incurred - Pure Loss",INDEX(AA239:AJ239,1,11-MATCH(AA11,AA11:AJ11,0)),"")))))</f>
        <v/>
      </c>
      <c r="AB25" s="149" t="str">
        <f>IF(AND(OR(AB7="Paid - Loss &amp; DCCE",AB7="Incurred - Loss &amp; DCCE"),AND(NOT(ISBLANK(AB8)),AB8&lt;&gt;"NA")),"ERROR",IF(AB7="Paid - Loss &amp; DCCE",INDEX(AA61:AJ61,1,11-MATCH(AB11,AA11:AJ11,0)),IF(AB7="Paid - Pure Loss",INDEX(AA96:AJ96,1,11-MATCH(AB11,AA11:AJ11,0)),IF(AB7="Incurred - Loss &amp; DCCE",INDEX(AA204:AJ204,1,11-MATCH(AB11,AA11:AJ11,0)),IF(AB7="Incurred - Pure Loss",INDEX(AA239:AJ239,1,11-MATCH(AB11,AA11:AJ11,0)),"")))))</f>
        <v/>
      </c>
      <c r="AC25" s="149" t="str">
        <f>IF(AND(OR(AB7="Paid - Loss &amp; DCCE",AB7="Incurred - Loss &amp; DCCE"),AND(NOT(ISBLANK(AB8)),AB8&lt;&gt;"NA")),"ERROR",IF(AB7="Paid - Loss &amp; DCCE",INDEX(AA61:AJ61,1,11-MATCH(AC11,AA11:AJ11,0)),IF(AB7="Paid - Pure Loss",INDEX(AA96:AJ96,1,11-MATCH(AC11,AA11:AJ11,0)),IF(AB7="Incurred - Loss &amp; DCCE",INDEX(AA204:AJ204,1,11-MATCH(AC11,AA11:AJ11,0)),IF(AB7="Incurred - Pure Loss",INDEX(AA239:AJ239,1,11-MATCH(AC11,AA11:AJ11,0)),"")))))</f>
        <v/>
      </c>
      <c r="AD25" s="149" t="str">
        <f>IF(AND(OR(AB7="Paid - Loss &amp; DCCE",AB7="Incurred - Loss &amp; DCCE"),AND(NOT(ISBLANK(AB8)),AB8&lt;&gt;"NA")),"ERROR",IF(AB7="Paid - Loss &amp; DCCE",INDEX(AA61:AJ61,1,11-MATCH(AD11,AA11:AJ11,0)),IF(AB7="Paid - Pure Loss",INDEX(AA96:AJ96,1,11-MATCH(AD11,AA11:AJ11,0)),IF(AB7="Incurred - Loss &amp; DCCE",INDEX(AA204:AJ204,1,11-MATCH(AD11,AA11:AJ11,0)),IF(AB7="Incurred - Pure Loss",INDEX(AA239:AJ239,1,11-MATCH(AD11,AA11:AJ11,0)),"")))))</f>
        <v/>
      </c>
      <c r="AE25" s="149" t="str">
        <f>IF(AND(OR(AB7="Paid - Loss &amp; DCCE",AB7="Incurred - Loss &amp; DCCE"),AND(NOT(ISBLANK(AB8)),AB8&lt;&gt;"NA")),"ERROR",IF(AB7="Paid - Loss &amp; DCCE",INDEX(AA61:AJ61,1,11-MATCH(AE11,AA11:AJ11,0)),IF(AB7="Paid - Pure Loss",INDEX(AA96:AJ96,1,11-MATCH(AE11,AA11:AJ11,0)),IF(AB7="Incurred - Loss &amp; DCCE",INDEX(AA204:AJ204,1,11-MATCH(AE11,AA11:AJ11,0)),IF(AB7="Incurred - Pure Loss",INDEX(AA239:AJ239,1,11-MATCH(AE11,AA11:AJ11,0)),"")))))</f>
        <v/>
      </c>
      <c r="AF25" s="149" t="str">
        <f>IF(AND(OR(AB7="Paid - Loss &amp; DCCE",AB7="Incurred - Loss &amp; DCCE"),AND(NOT(ISBLANK(AB8)),AB8&lt;&gt;"NA")),"ERROR",IF(AB7="Paid - Loss &amp; DCCE",INDEX(AA61:AJ61,1,11-MATCH(AF11,AA11:AJ11,0)),IF(AB7="Paid - Pure Loss",INDEX(AA96:AJ96,1,11-MATCH(AF11,AA11:AJ11,0)),IF(AB7="Incurred - Loss &amp; DCCE",INDEX(AA204:AJ204,1,11-MATCH(AF11,AA11:AJ11,0)),IF(AB7="Incurred - Pure Loss",INDEX(AA239:AJ239,1,11-MATCH(AF11,AA11:AJ11,0)),"")))))</f>
        <v/>
      </c>
      <c r="AG25" s="149" t="str">
        <f>IF(AND(OR(AB7="Paid - Loss &amp; DCCE",AB7="Incurred - Loss &amp; DCCE"),AND(NOT(ISBLANK(AB8)),AB8&lt;&gt;"NA")),"ERROR",IF(AB7="Paid - Loss &amp; DCCE",INDEX(AA61:AJ61,1,11-MATCH(AG11,AA11:AJ11,0)),IF(AB7="Paid - Pure Loss",INDEX(AA96:AJ96,1,11-MATCH(AG11,AA11:AJ11,0)),IF(AB7="Incurred - Loss &amp; DCCE",INDEX(AA204:AJ204,1,11-MATCH(AG11,AA11:AJ11,0)),IF(AB7="Incurred - Pure Loss",INDEX(AA239:AJ239,1,11-MATCH(AG11,AA11:AJ11,0)),"")))))</f>
        <v/>
      </c>
      <c r="AH25" s="149" t="str">
        <f>IF(AND(OR(AB7="Paid - Loss &amp; DCCE",AB7="Incurred - Loss &amp; DCCE"),AND(NOT(ISBLANK(AB8)),AB8&lt;&gt;"NA")),"ERROR",IF(AB7="Paid - Loss &amp; DCCE",INDEX(AA61:AJ61,1,11-MATCH(AH11,AA11:AJ11,0)),IF(AB7="Paid - Pure Loss",INDEX(AA96:AJ96,1,11-MATCH(AH11,AA11:AJ11,0)),IF(AB7="Incurred - Loss &amp; DCCE",INDEX(AA204:AJ204,1,11-MATCH(AH11,AA11:AJ11,0)),IF(AB7="Incurred - Pure Loss",INDEX(AA239:AJ239,1,11-MATCH(AH11,AA11:AJ11,0)),"")))))</f>
        <v/>
      </c>
      <c r="AI25" s="149" t="str">
        <f>IF(AND(OR(AB7="Paid - Loss &amp; DCCE",AB7="Incurred - Loss &amp; DCCE"),AND(NOT(ISBLANK(AB8)),AB8&lt;&gt;"NA")),"ERROR",IF(AB7="Paid - Loss &amp; DCCE",INDEX(AA61:AJ61,1,11-MATCH(AI11,AA11:AJ11,0)),IF(AB7="Paid - Pure Loss",INDEX(AA96:AJ96,1,11-MATCH(AI11,AA11:AJ11,0)),IF(AB7="Incurred - Loss &amp; DCCE",INDEX(AA204:AJ204,1,11-MATCH(AI11,AA11:AJ11,0)),IF(AB7="Incurred - Pure Loss",INDEX(AA239:AJ239,1,11-MATCH(AI11,AA11:AJ11,0)),"")))))</f>
        <v/>
      </c>
      <c r="AJ25" s="149" t="str">
        <f>IF(AND(OR(AB7="Paid - Loss &amp; DCCE",AB7="Incurred - Loss &amp; DCCE"),AND(NOT(ISBLANK(AB8)),AB8&lt;&gt;"NA")),"ERROR",IF(AB7="Paid - Loss &amp; DCCE",INDEX(AA61:AJ61,1,11-MATCH(AJ11,AA11:AJ11,0)),IF(AB7="Paid - Pure Loss",INDEX(AA96:AJ96,1,11-MATCH(AJ11,AA11:AJ11,0)),IF(AB7="Incurred - Loss &amp; DCCE",INDEX(AA204:AJ204,1,11-MATCH(AJ11,AA11:AJ11,0)),IF(AB7="Incurred - Pure Loss",INDEX(AA239:AJ239,1,11-MATCH(AJ11,AA11:AJ11,0)),"")))))</f>
        <v/>
      </c>
      <c r="AK25" s="283" t="str">
        <f>IF(OR(AN7="Paid - Loss &amp; DCCE",AN7="Incurred - Loss &amp; DCCE"),"Loss &amp; DCCE","Loss")</f>
        <v>Loss</v>
      </c>
      <c r="AL25" s="148"/>
      <c r="AM25" s="149" t="str">
        <f>IF(AND(OR(AN7="Paid - Loss &amp; DCCE",AN7="Incurred - Loss &amp; DCCE"),AND(NOT(ISBLANK(AN8)),AN8&lt;&gt;"NA")),"ERROR",IF(AN7="Paid - Loss &amp; DCCE",INDEX(AM61:AV61,1,11-MATCH(AM11,AM11:AV11,0)),IF(AN7="Paid - Pure Loss",INDEX(AM96:AV96,1,11-MATCH(AM11,AM11:AV11,0)),IF(AN7="Incurred - Loss &amp; DCCE",INDEX(AM204:AV204,1,11-MATCH(AM11,AM11:AV11,0)),IF(AN7="Incurred - Pure Loss",INDEX(AM239:AV239,1,11-MATCH(AM11,AM11:AV11,0)),"")))))</f>
        <v/>
      </c>
      <c r="AN25" s="149" t="str">
        <f>IF(AND(OR(AN7="Paid - Loss &amp; DCCE",AN7="Incurred - Loss &amp; DCCE"),AND(NOT(ISBLANK(AN8)),AN8&lt;&gt;"NA")),"ERROR",IF(AN7="Paid - Loss &amp; DCCE",INDEX(AM61:AV61,1,11-MATCH(AN11,AM11:AV11,0)),IF(AN7="Paid - Pure Loss",INDEX(AM96:AV96,1,11-MATCH(AN11,AM11:AV11,0)),IF(AN7="Incurred - Loss &amp; DCCE",INDEX(AM204:AV204,1,11-MATCH(AN11,AM11:AV11,0)),IF(AN7="Incurred - Pure Loss",INDEX(AM239:AV239,1,11-MATCH(AN11,AM11:AV11,0)),"")))))</f>
        <v/>
      </c>
      <c r="AO25" s="149" t="str">
        <f>IF(AND(OR(AN7="Paid - Loss &amp; DCCE",AN7="Incurred - Loss &amp; DCCE"),AND(NOT(ISBLANK(AN8)),AN8&lt;&gt;"NA")),"ERROR",IF(AN7="Paid - Loss &amp; DCCE",INDEX(AM61:AV61,1,11-MATCH(AO11,AM11:AV11,0)),IF(AN7="Paid - Pure Loss",INDEX(AM96:AV96,1,11-MATCH(AO11,AM11:AV11,0)),IF(AN7="Incurred - Loss &amp; DCCE",INDEX(AM204:AV204,1,11-MATCH(AO11,AM11:AV11,0)),IF(AN7="Incurred - Pure Loss",INDEX(AM239:AV239,1,11-MATCH(AO11,AM11:AV11,0)),"")))))</f>
        <v/>
      </c>
      <c r="AP25" s="149" t="str">
        <f>IF(AND(OR(AN7="Paid - Loss &amp; DCCE",AN7="Incurred - Loss &amp; DCCE"),AND(NOT(ISBLANK(AN8)),AN8&lt;&gt;"NA")),"ERROR",IF(AN7="Paid - Loss &amp; DCCE",INDEX(AM61:AV61,1,11-MATCH(AP11,AM11:AV11,0)),IF(AN7="Paid - Pure Loss",INDEX(AM96:AV96,1,11-MATCH(AP11,AM11:AV11,0)),IF(AN7="Incurred - Loss &amp; DCCE",INDEX(AM204:AV204,1,11-MATCH(AP11,AM11:AV11,0)),IF(AN7="Incurred - Pure Loss",INDEX(AM239:AV239,1,11-MATCH(AP11,AM11:AV11,0)),"")))))</f>
        <v/>
      </c>
      <c r="AQ25" s="149" t="str">
        <f>IF(AND(OR(AN7="Paid - Loss &amp; DCCE",AN7="Incurred - Loss &amp; DCCE"),AND(NOT(ISBLANK(AN8)),AN8&lt;&gt;"NA")),"ERROR",IF(AN7="Paid - Loss &amp; DCCE",INDEX(AM61:AV61,1,11-MATCH(AQ11,AM11:AV11,0)),IF(AN7="Paid - Pure Loss",INDEX(AM96:AV96,1,11-MATCH(AQ11,AM11:AV11,0)),IF(AN7="Incurred - Loss &amp; DCCE",INDEX(AM204:AV204,1,11-MATCH(AQ11,AM11:AV11,0)),IF(AN7="Incurred - Pure Loss",INDEX(AM239:AV239,1,11-MATCH(AQ11,AM11:AV11,0)),"")))))</f>
        <v/>
      </c>
      <c r="AR25" s="149" t="str">
        <f>IF(AND(OR(AN7="Paid - Loss &amp; DCCE",AN7="Incurred - Loss &amp; DCCE"),AND(NOT(ISBLANK(AN8)),AN8&lt;&gt;"NA")),"ERROR",IF(AN7="Paid - Loss &amp; DCCE",INDEX(AM61:AV61,1,11-MATCH(AR11,AM11:AV11,0)),IF(AN7="Paid - Pure Loss",INDEX(AM96:AV96,1,11-MATCH(AR11,AM11:AV11,0)),IF(AN7="Incurred - Loss &amp; DCCE",INDEX(AM204:AV204,1,11-MATCH(AR11,AM11:AV11,0)),IF(AN7="Incurred - Pure Loss",INDEX(AM239:AV239,1,11-MATCH(AR11,AM11:AV11,0)),"")))))</f>
        <v/>
      </c>
      <c r="AS25" s="149" t="str">
        <f>IF(AND(OR(AN7="Paid - Loss &amp; DCCE",AN7="Incurred - Loss &amp; DCCE"),AND(NOT(ISBLANK(AN8)),AN8&lt;&gt;"NA")),"ERROR",IF(AN7="Paid - Loss &amp; DCCE",INDEX(AM61:AV61,1,11-MATCH(AS11,AM11:AV11,0)),IF(AN7="Paid - Pure Loss",INDEX(AM96:AV96,1,11-MATCH(AS11,AM11:AV11,0)),IF(AN7="Incurred - Loss &amp; DCCE",INDEX(AM204:AV204,1,11-MATCH(AS11,AM11:AV11,0)),IF(AN7="Incurred - Pure Loss",INDEX(AM239:AV239,1,11-MATCH(AS11,AM11:AV11,0)),"")))))</f>
        <v/>
      </c>
      <c r="AT25" s="149" t="str">
        <f>IF(AND(OR(AN7="Paid - Loss &amp; DCCE",AN7="Incurred - Loss &amp; DCCE"),AND(NOT(ISBLANK(AN8)),AN8&lt;&gt;"NA")),"ERROR",IF(AN7="Paid - Loss &amp; DCCE",INDEX(AM61:AV61,1,11-MATCH(AT11,AM11:AV11,0)),IF(AN7="Paid - Pure Loss",INDEX(AM96:AV96,1,11-MATCH(AT11,AM11:AV11,0)),IF(AN7="Incurred - Loss &amp; DCCE",INDEX(AM204:AV204,1,11-MATCH(AT11,AM11:AV11,0)),IF(AN7="Incurred - Pure Loss",INDEX(AM239:AV239,1,11-MATCH(AT11,AM11:AV11,0)),"")))))</f>
        <v/>
      </c>
      <c r="AU25" s="149" t="str">
        <f>IF(AND(OR(AN7="Paid - Loss &amp; DCCE",AN7="Incurred - Loss &amp; DCCE"),AND(NOT(ISBLANK(AN8)),AN8&lt;&gt;"NA")),"ERROR",IF(AN7="Paid - Loss &amp; DCCE",INDEX(AM61:AV61,1,11-MATCH(AU11,AM11:AV11,0)),IF(AN7="Paid - Pure Loss",INDEX(AM96:AV96,1,11-MATCH(AU11,AM11:AV11,0)),IF(AN7="Incurred - Loss &amp; DCCE",INDEX(AM204:AV204,1,11-MATCH(AU11,AM11:AV11,0)),IF(AN7="Incurred - Pure Loss",INDEX(AM239:AV239,1,11-MATCH(AU11,AM11:AV11,0)),"")))))</f>
        <v/>
      </c>
      <c r="AV25" s="149" t="str">
        <f>IF(AND(OR(AN7="Paid - Loss &amp; DCCE",AN7="Incurred - Loss &amp; DCCE"),AND(NOT(ISBLANK(AN8)),AN8&lt;&gt;"NA")),"ERROR",IF(AN7="Paid - Loss &amp; DCCE",INDEX(AM61:AV61,1,11-MATCH(AV11,AM11:AV11,0)),IF(AN7="Paid - Pure Loss",INDEX(AM96:AV96,1,11-MATCH(AV11,AM11:AV11,0)),IF(AN7="Incurred - Loss &amp; DCCE",INDEX(AM204:AV204,1,11-MATCH(AV11,AM11:AV11,0)),IF(AN7="Incurred - Pure Loss",INDEX(AM239:AV239,1,11-MATCH(AV11,AM11:AV11,0)),"")))))</f>
        <v/>
      </c>
      <c r="AW25" s="283" t="str">
        <f>IF(OR(AZ7="Paid - Loss &amp; DCCE",AZ7="Incurred - Loss &amp; DCCE"),"Loss &amp; DCCE","Loss")</f>
        <v>Loss</v>
      </c>
      <c r="AX25" s="148"/>
      <c r="AY25" s="149" t="str">
        <f>IF(AND(OR(AZ7="Paid - Loss &amp; DCCE",AZ7="Incurred - Loss &amp; DCCE"),AND(NOT(ISBLANK(AZ8)),AZ8&lt;&gt;"NA")),"ERROR",IF(AZ7="Paid - Loss &amp; DCCE",INDEX(AY61:BH61,1,11-MATCH(AY11,AY11:BH11,0)),IF(AZ7="Paid - Pure Loss",INDEX(AY96:BH96,1,11-MATCH(AY11,AY11:BH11,0)),IF(AZ7="Incurred - Loss &amp; DCCE",INDEX(AY204:BH204,1,11-MATCH(AY11,AY11:BH11,0)),IF(AZ7="Incurred - Pure Loss",INDEX(AY239:BH239,1,11-MATCH(AY11,AY11:BH11,0)),"")))))</f>
        <v/>
      </c>
      <c r="AZ25" s="149" t="str">
        <f>IF(AND(OR(AZ7="Paid - Loss &amp; DCCE",AZ7="Incurred - Loss &amp; DCCE"),AND(NOT(ISBLANK(AZ8)),AZ8&lt;&gt;"NA")),"ERROR",IF(AZ7="Paid - Loss &amp; DCCE",INDEX(AY61:BH61,1,11-MATCH(AZ11,AY11:BH11,0)),IF(AZ7="Paid - Pure Loss",INDEX(AY96:BH96,1,11-MATCH(AZ11,AY11:BH11,0)),IF(AZ7="Incurred - Loss &amp; DCCE",INDEX(AY204:BH204,1,11-MATCH(AZ11,AY11:BH11,0)),IF(AZ7="Incurred - Pure Loss",INDEX(AY239:BH239,1,11-MATCH(AZ11,AY11:BH11,0)),"")))))</f>
        <v/>
      </c>
      <c r="BA25" s="149" t="str">
        <f>IF(AND(OR(AZ7="Paid - Loss &amp; DCCE",AZ7="Incurred - Loss &amp; DCCE"),AND(NOT(ISBLANK(AZ8)),AZ8&lt;&gt;"NA")),"ERROR",IF(AZ7="Paid - Loss &amp; DCCE",INDEX(AY61:BH61,1,11-MATCH(BA11,AY11:BH11,0)),IF(AZ7="Paid - Pure Loss",INDEX(AY96:BH96,1,11-MATCH(BA11,AY11:BH11,0)),IF(AZ7="Incurred - Loss &amp; DCCE",INDEX(AY204:BH204,1,11-MATCH(BA11,AY11:BH11,0)),IF(AZ7="Incurred - Pure Loss",INDEX(AY239:BH239,1,11-MATCH(BA11,AY11:BH11,0)),"")))))</f>
        <v/>
      </c>
      <c r="BB25" s="149" t="str">
        <f>IF(AND(OR(AZ7="Paid - Loss &amp; DCCE",AZ7="Incurred - Loss &amp; DCCE"),AND(NOT(ISBLANK(AZ8)),AZ8&lt;&gt;"NA")),"ERROR",IF(AZ7="Paid - Loss &amp; DCCE",INDEX(AY61:BH61,1,11-MATCH(BB11,AY11:BH11,0)),IF(AZ7="Paid - Pure Loss",INDEX(AY96:BH96,1,11-MATCH(BB11,AY11:BH11,0)),IF(AZ7="Incurred - Loss &amp; DCCE",INDEX(AY204:BH204,1,11-MATCH(BB11,AY11:BH11,0)),IF(AZ7="Incurred - Pure Loss",INDEX(AY239:BH239,1,11-MATCH(BB11,AY11:BH11,0)),"")))))</f>
        <v/>
      </c>
      <c r="BC25" s="149" t="str">
        <f>IF(AND(OR(AZ7="Paid - Loss &amp; DCCE",AZ7="Incurred - Loss &amp; DCCE"),AND(NOT(ISBLANK(AZ8)),AZ8&lt;&gt;"NA")),"ERROR",IF(AZ7="Paid - Loss &amp; DCCE",INDEX(AY61:BH61,1,11-MATCH(BC11,AY11:BH11,0)),IF(AZ7="Paid - Pure Loss",INDEX(AY96:BH96,1,11-MATCH(BC11,AY11:BH11,0)),IF(AZ7="Incurred - Loss &amp; DCCE",INDEX(AY204:BH204,1,11-MATCH(BC11,AY11:BH11,0)),IF(AZ7="Incurred - Pure Loss",INDEX(AY239:BH239,1,11-MATCH(BC11,AY11:BH11,0)),"")))))</f>
        <v/>
      </c>
      <c r="BD25" s="149" t="str">
        <f>IF(AND(OR(AZ7="Paid - Loss &amp; DCCE",AZ7="Incurred - Loss &amp; DCCE"),AND(NOT(ISBLANK(AZ8)),AZ8&lt;&gt;"NA")),"ERROR",IF(AZ7="Paid - Loss &amp; DCCE",INDEX(AY61:BH61,1,11-MATCH(BD11,AY11:BH11,0)),IF(AZ7="Paid - Pure Loss",INDEX(AY96:BH96,1,11-MATCH(BD11,AY11:BH11,0)),IF(AZ7="Incurred - Loss &amp; DCCE",INDEX(AY204:BH204,1,11-MATCH(BD11,AY11:BH11,0)),IF(AZ7="Incurred - Pure Loss",INDEX(AY239:BH239,1,11-MATCH(BD11,AY11:BH11,0)),"")))))</f>
        <v/>
      </c>
      <c r="BE25" s="149" t="str">
        <f>IF(AND(OR(AZ7="Paid - Loss &amp; DCCE",AZ7="Incurred - Loss &amp; DCCE"),AND(NOT(ISBLANK(AZ8)),AZ8&lt;&gt;"NA")),"ERROR",IF(AZ7="Paid - Loss &amp; DCCE",INDEX(AY61:BH61,1,11-MATCH(BE11,AY11:BH11,0)),IF(AZ7="Paid - Pure Loss",INDEX(AY96:BH96,1,11-MATCH(BE11,AY11:BH11,0)),IF(AZ7="Incurred - Loss &amp; DCCE",INDEX(AY204:BH204,1,11-MATCH(BE11,AY11:BH11,0)),IF(AZ7="Incurred - Pure Loss",INDEX(AY239:BH239,1,11-MATCH(BE11,AY11:BH11,0)),"")))))</f>
        <v/>
      </c>
      <c r="BF25" s="149" t="str">
        <f>IF(AND(OR(AZ7="Paid - Loss &amp; DCCE",AZ7="Incurred - Loss &amp; DCCE"),AND(NOT(ISBLANK(AZ8)),AZ8&lt;&gt;"NA")),"ERROR",IF(AZ7="Paid - Loss &amp; DCCE",INDEX(AY61:BH61,1,11-MATCH(BF11,AY11:BH11,0)),IF(AZ7="Paid - Pure Loss",INDEX(AY96:BH96,1,11-MATCH(BF11,AY11:BH11,0)),IF(AZ7="Incurred - Loss &amp; DCCE",INDEX(AY204:BH204,1,11-MATCH(BF11,AY11:BH11,0)),IF(AZ7="Incurred - Pure Loss",INDEX(AY239:BH239,1,11-MATCH(BF11,AY11:BH11,0)),"")))))</f>
        <v/>
      </c>
      <c r="BG25" s="149" t="str">
        <f>IF(AND(OR(AZ7="Paid - Loss &amp; DCCE",AZ7="Incurred - Loss &amp; DCCE"),AND(NOT(ISBLANK(AZ8)),AZ8&lt;&gt;"NA")),"ERROR",IF(AZ7="Paid - Loss &amp; DCCE",INDEX(AY61:BH61,1,11-MATCH(BG11,AY11:BH11,0)),IF(AZ7="Paid - Pure Loss",INDEX(AY96:BH96,1,11-MATCH(BG11,AY11:BH11,0)),IF(AZ7="Incurred - Loss &amp; DCCE",INDEX(AY204:BH204,1,11-MATCH(BG11,AY11:BH11,0)),IF(AZ7="Incurred - Pure Loss",INDEX(AY239:BH239,1,11-MATCH(BG11,AY11:BH11,0)),"")))))</f>
        <v/>
      </c>
      <c r="BH25" s="149" t="str">
        <f>IF(AND(OR(AZ7="Paid - Loss &amp; DCCE",AZ7="Incurred - Loss &amp; DCCE"),AND(NOT(ISBLANK(AZ8)),AZ8&lt;&gt;"NA")),"ERROR",IF(AZ7="Paid - Loss &amp; DCCE",INDEX(AY61:BH61,1,11-MATCH(BH11,AY11:BH11,0)),IF(AZ7="Paid - Pure Loss",INDEX(AY96:BH96,1,11-MATCH(BH11,AY11:BH11,0)),IF(AZ7="Incurred - Loss &amp; DCCE",INDEX(AY204:BH204,1,11-MATCH(BH11,AY11:BH11,0)),IF(AZ7="Incurred - Pure Loss",INDEX(AY239:BH239,1,11-MATCH(BH11,AY11:BH11,0)),"")))))</f>
        <v/>
      </c>
      <c r="BI25" s="283" t="str">
        <f>IF(OR(BL7="Paid - Loss &amp; DCCE",BL7="Incurred - Loss &amp; DCCE"),"Loss &amp; DCCE","Loss")</f>
        <v>Loss</v>
      </c>
      <c r="BJ25" s="148"/>
      <c r="BK25" s="149" t="str">
        <f>IF(AND(OR(BL7="Paid - Loss &amp; DCCE",BL7="Incurred - Loss &amp; DCCE"),AND(NOT(ISBLANK(BL8)),BL8&lt;&gt;"NA")),"ERROR",IF(BL7="Paid - Loss &amp; DCCE",INDEX(BK61:BT61,1,11-MATCH(BK11,BK11:BT11,0)),IF(BL7="Paid - Pure Loss",INDEX(BK96:BT96,1,11-MATCH(BK11,BK11:BT11,0)),IF(BL7="Incurred - Loss &amp; DCCE",INDEX(BK204:BT204,1,11-MATCH(BK11,BK11:BT11,0)),IF(BL7="Incurred - Pure Loss",INDEX(BK239:BT239,1,11-MATCH(BK11,BK11:BT11,0)),"")))))</f>
        <v/>
      </c>
      <c r="BL25" s="149" t="str">
        <f>IF(AND(OR(BL7="Paid - Loss &amp; DCCE",BL7="Incurred - Loss &amp; DCCE"),AND(NOT(ISBLANK(BL8)),BL8&lt;&gt;"NA")),"ERROR",IF(BL7="Paid - Loss &amp; DCCE",INDEX(BK61:BT61,1,11-MATCH(BL11,BK11:BT11,0)),IF(BL7="Paid - Pure Loss",INDEX(BK96:BT96,1,11-MATCH(BL11,BK11:BT11,0)),IF(BL7="Incurred - Loss &amp; DCCE",INDEX(BK204:BT204,1,11-MATCH(BL11,BK11:BT11,0)),IF(BL7="Incurred - Pure Loss",INDEX(BK239:BT239,1,11-MATCH(BL11,BK11:BT11,0)),"")))))</f>
        <v/>
      </c>
      <c r="BM25" s="149" t="str">
        <f>IF(AND(OR(BL7="Paid - Loss &amp; DCCE",BL7="Incurred - Loss &amp; DCCE"),AND(NOT(ISBLANK(BL8)),BL8&lt;&gt;"NA")),"ERROR",IF(BL7="Paid - Loss &amp; DCCE",INDEX(BK61:BT61,1,11-MATCH(BM11,BK11:BT11,0)),IF(BL7="Paid - Pure Loss",INDEX(BK96:BT96,1,11-MATCH(BM11,BK11:BT11,0)),IF(BL7="Incurred - Loss &amp; DCCE",INDEX(BK204:BT204,1,11-MATCH(BM11,BK11:BT11,0)),IF(BL7="Incurred - Pure Loss",INDEX(BK239:BT239,1,11-MATCH(BM11,BK11:BT11,0)),"")))))</f>
        <v/>
      </c>
      <c r="BN25" s="149" t="str">
        <f>IF(AND(OR(BL7="Paid - Loss &amp; DCCE",BL7="Incurred - Loss &amp; DCCE"),AND(NOT(ISBLANK(BL8)),BL8&lt;&gt;"NA")),"ERROR",IF(BL7="Paid - Loss &amp; DCCE",INDEX(BK61:BT61,1,11-MATCH(BN11,BK11:BT11,0)),IF(BL7="Paid - Pure Loss",INDEX(BK96:BT96,1,11-MATCH(BN11,BK11:BT11,0)),IF(BL7="Incurred - Loss &amp; DCCE",INDEX(BK204:BT204,1,11-MATCH(BN11,BK11:BT11,0)),IF(BL7="Incurred - Pure Loss",INDEX(BK239:BT239,1,11-MATCH(BN11,BK11:BT11,0)),"")))))</f>
        <v/>
      </c>
      <c r="BO25" s="149" t="str">
        <f>IF(AND(OR(BL7="Paid - Loss &amp; DCCE",BL7="Incurred - Loss &amp; DCCE"),AND(NOT(ISBLANK(BL8)),BL8&lt;&gt;"NA")),"ERROR",IF(BL7="Paid - Loss &amp; DCCE",INDEX(BK61:BT61,1,11-MATCH(BO11,BK11:BT11,0)),IF(BL7="Paid - Pure Loss",INDEX(BK96:BT96,1,11-MATCH(BO11,BK11:BT11,0)),IF(BL7="Incurred - Loss &amp; DCCE",INDEX(BK204:BT204,1,11-MATCH(BO11,BK11:BT11,0)),IF(BL7="Incurred - Pure Loss",INDEX(BK239:BT239,1,11-MATCH(BO11,BK11:BT11,0)),"")))))</f>
        <v/>
      </c>
      <c r="BP25" s="149" t="str">
        <f>IF(AND(OR(BL7="Paid - Loss &amp; DCCE",BL7="Incurred - Loss &amp; DCCE"),AND(NOT(ISBLANK(BL8)),BL8&lt;&gt;"NA")),"ERROR",IF(BL7="Paid - Loss &amp; DCCE",INDEX(BK61:BT61,1,11-MATCH(BP11,BK11:BT11,0)),IF(BL7="Paid - Pure Loss",INDEX(BK96:BT96,1,11-MATCH(BP11,BK11:BT11,0)),IF(BL7="Incurred - Loss &amp; DCCE",INDEX(BK204:BT204,1,11-MATCH(BP11,BK11:BT11,0)),IF(BL7="Incurred - Pure Loss",INDEX(BK239:BT239,1,11-MATCH(BP11,BK11:BT11,0)),"")))))</f>
        <v/>
      </c>
      <c r="BQ25" s="149" t="str">
        <f>IF(AND(OR(BL7="Paid - Loss &amp; DCCE",BL7="Incurred - Loss &amp; DCCE"),AND(NOT(ISBLANK(BL8)),BL8&lt;&gt;"NA")),"ERROR",IF(BL7="Paid - Loss &amp; DCCE",INDEX(BK61:BT61,1,11-MATCH(BQ11,BK11:BT11,0)),IF(BL7="Paid - Pure Loss",INDEX(BK96:BT96,1,11-MATCH(BQ11,BK11:BT11,0)),IF(BL7="Incurred - Loss &amp; DCCE",INDEX(BK204:BT204,1,11-MATCH(BQ11,BK11:BT11,0)),IF(BL7="Incurred - Pure Loss",INDEX(BK239:BT239,1,11-MATCH(BQ11,BK11:BT11,0)),"")))))</f>
        <v/>
      </c>
      <c r="BR25" s="149" t="str">
        <f>IF(AND(OR(BL7="Paid - Loss &amp; DCCE",BL7="Incurred - Loss &amp; DCCE"),AND(NOT(ISBLANK(BL8)),BL8&lt;&gt;"NA")),"ERROR",IF(BL7="Paid - Loss &amp; DCCE",INDEX(BK61:BT61,1,11-MATCH(BR11,BK11:BT11,0)),IF(BL7="Paid - Pure Loss",INDEX(BK96:BT96,1,11-MATCH(BR11,BK11:BT11,0)),IF(BL7="Incurred - Loss &amp; DCCE",INDEX(BK204:BT204,1,11-MATCH(BR11,BK11:BT11,0)),IF(BL7="Incurred - Pure Loss",INDEX(BK239:BT239,1,11-MATCH(BR11,BK11:BT11,0)),"")))))</f>
        <v/>
      </c>
      <c r="BS25" s="149" t="str">
        <f>IF(AND(OR(BL7="Paid - Loss &amp; DCCE",BL7="Incurred - Loss &amp; DCCE"),AND(NOT(ISBLANK(BL8)),BL8&lt;&gt;"NA")),"ERROR",IF(BL7="Paid - Loss &amp; DCCE",INDEX(BK61:BT61,1,11-MATCH(BS11,BK11:BT11,0)),IF(BL7="Paid - Pure Loss",INDEX(BK96:BT96,1,11-MATCH(BS11,BK11:BT11,0)),IF(BL7="Incurred - Loss &amp; DCCE",INDEX(BK204:BT204,1,11-MATCH(BS11,BK11:BT11,0)),IF(BL7="Incurred - Pure Loss",INDEX(BK239:BT239,1,11-MATCH(BS11,BK11:BT11,0)),"")))))</f>
        <v/>
      </c>
      <c r="BT25" s="149" t="str">
        <f>IF(AND(OR(BL7="Paid - Loss &amp; DCCE",BL7="Incurred - Loss &amp; DCCE"),AND(NOT(ISBLANK(BL8)),BL8&lt;&gt;"NA")),"ERROR",IF(BL7="Paid - Loss &amp; DCCE",INDEX(BK61:BT61,1,11-MATCH(BT11,BK11:BT11,0)),IF(BL7="Paid - Pure Loss",INDEX(BK96:BT96,1,11-MATCH(BT11,BK11:BT11,0)),IF(BL7="Incurred - Loss &amp; DCCE",INDEX(BK204:BT204,1,11-MATCH(BT11,BK11:BT11,0)),IF(BL7="Incurred - Pure Loss",INDEX(BK239:BT239,1,11-MATCH(BT11,BK11:BT11,0)),"")))))</f>
        <v/>
      </c>
      <c r="BU25" s="283" t="str">
        <f>IF(OR(BX7="Paid - Loss &amp; DCCE",BX7="Incurred - Loss &amp; DCCE"),"Loss &amp; DCCE","Loss")</f>
        <v>Loss</v>
      </c>
      <c r="BV25" s="148"/>
      <c r="BW25" s="149" t="str">
        <f>IF(AND(OR(BX7="Paid - Loss &amp; DCCE",BX7="Incurred - Loss &amp; DCCE"),AND(NOT(ISBLANK(BX8)),BX8&lt;&gt;"NA")),"ERROR",IF(BX7="Paid - Loss &amp; DCCE",INDEX(BW61:CF61,1,11-MATCH(BW11,BW11:CF11,0)),IF(BX7="Paid - Pure Loss",INDEX(BW96:CF96,1,11-MATCH(BW11,BW11:CF11,0)),IF(BX7="Incurred - Loss &amp; DCCE",INDEX(BW204:CF204,1,11-MATCH(BW11,BW11:CF11,0)),IF(BX7="Incurred - Pure Loss",INDEX(BW239:CF239,1,11-MATCH(BW11,BW11:CF11,0)),"")))))</f>
        <v/>
      </c>
      <c r="BX25" s="149" t="str">
        <f>IF(AND(OR(BX7="Paid - Loss &amp; DCCE",BX7="Incurred - Loss &amp; DCCE"),AND(NOT(ISBLANK(BX8)),BX8&lt;&gt;"NA")),"ERROR",IF(BX7="Paid - Loss &amp; DCCE",INDEX(BW61:CF61,1,11-MATCH(BX11,BW11:CF11,0)),IF(BX7="Paid - Pure Loss",INDEX(BW96:CF96,1,11-MATCH(BX11,BW11:CF11,0)),IF(BX7="Incurred - Loss &amp; DCCE",INDEX(BW204:CF204,1,11-MATCH(BX11,BW11:CF11,0)),IF(BX7="Incurred - Pure Loss",INDEX(BW239:CF239,1,11-MATCH(BX11,BW11:CF11,0)),"")))))</f>
        <v/>
      </c>
      <c r="BY25" s="149" t="str">
        <f>IF(AND(OR(BX7="Paid - Loss &amp; DCCE",BX7="Incurred - Loss &amp; DCCE"),AND(NOT(ISBLANK(BX8)),BX8&lt;&gt;"NA")),"ERROR",IF(BX7="Paid - Loss &amp; DCCE",INDEX(BW61:CF61,1,11-MATCH(BY11,BW11:CF11,0)),IF(BX7="Paid - Pure Loss",INDEX(BW96:CF96,1,11-MATCH(BY11,BW11:CF11,0)),IF(BX7="Incurred - Loss &amp; DCCE",INDEX(BW204:CF204,1,11-MATCH(BY11,BW11:CF11,0)),IF(BX7="Incurred - Pure Loss",INDEX(BW239:CF239,1,11-MATCH(BY11,BW11:CF11,0)),"")))))</f>
        <v/>
      </c>
      <c r="BZ25" s="149" t="str">
        <f>IF(AND(OR(BX7="Paid - Loss &amp; DCCE",BX7="Incurred - Loss &amp; DCCE"),AND(NOT(ISBLANK(BX8)),BX8&lt;&gt;"NA")),"ERROR",IF(BX7="Paid - Loss &amp; DCCE",INDEX(BW61:CF61,1,11-MATCH(BZ11,BW11:CF11,0)),IF(BX7="Paid - Pure Loss",INDEX(BW96:CF96,1,11-MATCH(BZ11,BW11:CF11,0)),IF(BX7="Incurred - Loss &amp; DCCE",INDEX(BW204:CF204,1,11-MATCH(BZ11,BW11:CF11,0)),IF(BX7="Incurred - Pure Loss",INDEX(BW239:CF239,1,11-MATCH(BZ11,BW11:CF11,0)),"")))))</f>
        <v/>
      </c>
      <c r="CA25" s="149" t="str">
        <f>IF(AND(OR(BX7="Paid - Loss &amp; DCCE",BX7="Incurred - Loss &amp; DCCE"),AND(NOT(ISBLANK(BX8)),BX8&lt;&gt;"NA")),"ERROR",IF(BX7="Paid - Loss &amp; DCCE",INDEX(BW61:CF61,1,11-MATCH(CA11,BW11:CF11,0)),IF(BX7="Paid - Pure Loss",INDEX(BW96:CF96,1,11-MATCH(CA11,BW11:CF11,0)),IF(BX7="Incurred - Loss &amp; DCCE",INDEX(BW204:CF204,1,11-MATCH(CA11,BW11:CF11,0)),IF(BX7="Incurred - Pure Loss",INDEX(BW239:CF239,1,11-MATCH(CA11,BW11:CF11,0)),"")))))</f>
        <v/>
      </c>
      <c r="CB25" s="149" t="str">
        <f>IF(AND(OR(BX7="Paid - Loss &amp; DCCE",BX7="Incurred - Loss &amp; DCCE"),AND(NOT(ISBLANK(BX8)),BX8&lt;&gt;"NA")),"ERROR",IF(BX7="Paid - Loss &amp; DCCE",INDEX(BW61:CF61,1,11-MATCH(CB11,BW11:CF11,0)),IF(BX7="Paid - Pure Loss",INDEX(BW96:CF96,1,11-MATCH(CB11,BW11:CF11,0)),IF(BX7="Incurred - Loss &amp; DCCE",INDEX(BW204:CF204,1,11-MATCH(CB11,BW11:CF11,0)),IF(BX7="Incurred - Pure Loss",INDEX(BW239:CF239,1,11-MATCH(CB11,BW11:CF11,0)),"")))))</f>
        <v/>
      </c>
      <c r="CC25" s="149" t="str">
        <f>IF(AND(OR(BX7="Paid - Loss &amp; DCCE",BX7="Incurred - Loss &amp; DCCE"),AND(NOT(ISBLANK(BX8)),BX8&lt;&gt;"NA")),"ERROR",IF(BX7="Paid - Loss &amp; DCCE",INDEX(BW61:CF61,1,11-MATCH(CC11,BW11:CF11,0)),IF(BX7="Paid - Pure Loss",INDEX(BW96:CF96,1,11-MATCH(CC11,BW11:CF11,0)),IF(BX7="Incurred - Loss &amp; DCCE",INDEX(BW204:CF204,1,11-MATCH(CC11,BW11:CF11,0)),IF(BX7="Incurred - Pure Loss",INDEX(BW239:CF239,1,11-MATCH(CC11,BW11:CF11,0)),"")))))</f>
        <v/>
      </c>
      <c r="CD25" s="149" t="str">
        <f>IF(AND(OR(BX7="Paid - Loss &amp; DCCE",BX7="Incurred - Loss &amp; DCCE"),AND(NOT(ISBLANK(BX8)),BX8&lt;&gt;"NA")),"ERROR",IF(BX7="Paid - Loss &amp; DCCE",INDEX(BW61:CF61,1,11-MATCH(CD11,BW11:CF11,0)),IF(BX7="Paid - Pure Loss",INDEX(BW96:CF96,1,11-MATCH(CD11,BW11:CF11,0)),IF(BX7="Incurred - Loss &amp; DCCE",INDEX(BW204:CF204,1,11-MATCH(CD11,BW11:CF11,0)),IF(BX7="Incurred - Pure Loss",INDEX(BW239:CF239,1,11-MATCH(CD11,BW11:CF11,0)),"")))))</f>
        <v/>
      </c>
      <c r="CE25" s="149" t="str">
        <f>IF(AND(OR(BX7="Paid - Loss &amp; DCCE",BX7="Incurred - Loss &amp; DCCE"),AND(NOT(ISBLANK(BX8)),BX8&lt;&gt;"NA")),"ERROR",IF(BX7="Paid - Loss &amp; DCCE",INDEX(BW61:CF61,1,11-MATCH(CE11,BW11:CF11,0)),IF(BX7="Paid - Pure Loss",INDEX(BW96:CF96,1,11-MATCH(CE11,BW11:CF11,0)),IF(BX7="Incurred - Loss &amp; DCCE",INDEX(BW204:CF204,1,11-MATCH(CE11,BW11:CF11,0)),IF(BX7="Incurred - Pure Loss",INDEX(BW239:CF239,1,11-MATCH(CE11,BW11:CF11,0)),"")))))</f>
        <v/>
      </c>
      <c r="CF25" s="149" t="str">
        <f>IF(AND(OR(BX7="Paid - Loss &amp; DCCE",BX7="Incurred - Loss &amp; DCCE"),AND(NOT(ISBLANK(BX8)),BX8&lt;&gt;"NA")),"ERROR",IF(BX7="Paid - Loss &amp; DCCE",INDEX(BW61:CF61,1,11-MATCH(CF11,BW11:CF11,0)),IF(BX7="Paid - Pure Loss",INDEX(BW96:CF96,1,11-MATCH(CF11,BW11:CF11,0)),IF(BX7="Incurred - Loss &amp; DCCE",INDEX(BW204:CF204,1,11-MATCH(CF11,BW11:CF11,0)),IF(BX7="Incurred - Pure Loss",INDEX(BW239:CF239,1,11-MATCH(CF11,BW11:CF11,0)),"")))))</f>
        <v/>
      </c>
      <c r="CG25" s="283" t="str">
        <f>IF(OR(CJ7="Paid - Loss &amp; DCCE",CJ7="Incurred - Loss &amp; DCCE"),"Loss &amp; DCCE","Loss")</f>
        <v>Loss</v>
      </c>
      <c r="CH25" s="148"/>
      <c r="CI25" s="149" t="str">
        <f>IF(AND(OR(CJ7="Paid - Loss &amp; DCCE",CJ7="Incurred - Loss &amp; DCCE"),AND(NOT(ISBLANK(CJ8)),CJ8&lt;&gt;"NA")),"ERROR",IF(CJ7="Paid - Loss &amp; DCCE",INDEX(CI61:CR61,1,11-MATCH(CI11,CI11:CR11,0)),IF(CJ7="Paid - Pure Loss",INDEX(CI96:CR96,1,11-MATCH(CI11,CI11:CR11,0)),IF(CJ7="Incurred - Loss &amp; DCCE",INDEX(CI204:CR204,1,11-MATCH(CI11,CI11:CR11,0)),IF(CJ7="Incurred - Pure Loss",INDEX(CI239:CR239,1,11-MATCH(CI11,CI11:CR11,0)),"")))))</f>
        <v/>
      </c>
      <c r="CJ25" s="149" t="str">
        <f>IF(AND(OR(CJ7="Paid - Loss &amp; DCCE",CJ7="Incurred - Loss &amp; DCCE"),AND(NOT(ISBLANK(CJ8)),CJ8&lt;&gt;"NA")),"ERROR",IF(CJ7="Paid - Loss &amp; DCCE",INDEX(CI61:CR61,1,11-MATCH(CJ11,CI11:CR11,0)),IF(CJ7="Paid - Pure Loss",INDEX(CI96:CR96,1,11-MATCH(CJ11,CI11:CR11,0)),IF(CJ7="Incurred - Loss &amp; DCCE",INDEX(CI204:CR204,1,11-MATCH(CJ11,CI11:CR11,0)),IF(CJ7="Incurred - Pure Loss",INDEX(CI239:CR239,1,11-MATCH(CJ11,CI11:CR11,0)),"")))))</f>
        <v/>
      </c>
      <c r="CK25" s="149" t="str">
        <f>IF(AND(OR(CJ7="Paid - Loss &amp; DCCE",CJ7="Incurred - Loss &amp; DCCE"),AND(NOT(ISBLANK(CJ8)),CJ8&lt;&gt;"NA")),"ERROR",IF(CJ7="Paid - Loss &amp; DCCE",INDEX(CI61:CR61,1,11-MATCH(CK11,CI11:CR11,0)),IF(CJ7="Paid - Pure Loss",INDEX(CI96:CR96,1,11-MATCH(CK11,CI11:CR11,0)),IF(CJ7="Incurred - Loss &amp; DCCE",INDEX(CI204:CR204,1,11-MATCH(CK11,CI11:CR11,0)),IF(CJ7="Incurred - Pure Loss",INDEX(CI239:CR239,1,11-MATCH(CK11,CI11:CR11,0)),"")))))</f>
        <v/>
      </c>
      <c r="CL25" s="149" t="str">
        <f>IF(AND(OR(CJ7="Paid - Loss &amp; DCCE",CJ7="Incurred - Loss &amp; DCCE"),AND(NOT(ISBLANK(CJ8)),CJ8&lt;&gt;"NA")),"ERROR",IF(CJ7="Paid - Loss &amp; DCCE",INDEX(CI61:CR61,1,11-MATCH(CL11,CI11:CR11,0)),IF(CJ7="Paid - Pure Loss",INDEX(CI96:CR96,1,11-MATCH(CL11,CI11:CR11,0)),IF(CJ7="Incurred - Loss &amp; DCCE",INDEX(CI204:CR204,1,11-MATCH(CL11,CI11:CR11,0)),IF(CJ7="Incurred - Pure Loss",INDEX(CI239:CR239,1,11-MATCH(CL11,CI11:CR11,0)),"")))))</f>
        <v/>
      </c>
      <c r="CM25" s="149" t="str">
        <f>IF(AND(OR(CJ7="Paid - Loss &amp; DCCE",CJ7="Incurred - Loss &amp; DCCE"),AND(NOT(ISBLANK(CJ8)),CJ8&lt;&gt;"NA")),"ERROR",IF(CJ7="Paid - Loss &amp; DCCE",INDEX(CI61:CR61,1,11-MATCH(CM11,CI11:CR11,0)),IF(CJ7="Paid - Pure Loss",INDEX(CI96:CR96,1,11-MATCH(CM11,CI11:CR11,0)),IF(CJ7="Incurred - Loss &amp; DCCE",INDEX(CI204:CR204,1,11-MATCH(CM11,CI11:CR11,0)),IF(CJ7="Incurred - Pure Loss",INDEX(CI239:CR239,1,11-MATCH(CM11,CI11:CR11,0)),"")))))</f>
        <v/>
      </c>
      <c r="CN25" s="149" t="str">
        <f>IF(AND(OR(CJ7="Paid - Loss &amp; DCCE",CJ7="Incurred - Loss &amp; DCCE"),AND(NOT(ISBLANK(CJ8)),CJ8&lt;&gt;"NA")),"ERROR",IF(CJ7="Paid - Loss &amp; DCCE",INDEX(CI61:CR61,1,11-MATCH(CN11,CI11:CR11,0)),IF(CJ7="Paid - Pure Loss",INDEX(CI96:CR96,1,11-MATCH(CN11,CI11:CR11,0)),IF(CJ7="Incurred - Loss &amp; DCCE",INDEX(CI204:CR204,1,11-MATCH(CN11,CI11:CR11,0)),IF(CJ7="Incurred - Pure Loss",INDEX(CI239:CR239,1,11-MATCH(CN11,CI11:CR11,0)),"")))))</f>
        <v/>
      </c>
      <c r="CO25" s="149" t="str">
        <f>IF(AND(OR(CJ7="Paid - Loss &amp; DCCE",CJ7="Incurred - Loss &amp; DCCE"),AND(NOT(ISBLANK(CJ8)),CJ8&lt;&gt;"NA")),"ERROR",IF(CJ7="Paid - Loss &amp; DCCE",INDEX(CI61:CR61,1,11-MATCH(CO11,CI11:CR11,0)),IF(CJ7="Paid - Pure Loss",INDEX(CI96:CR96,1,11-MATCH(CO11,CI11:CR11,0)),IF(CJ7="Incurred - Loss &amp; DCCE",INDEX(CI204:CR204,1,11-MATCH(CO11,CI11:CR11,0)),IF(CJ7="Incurred - Pure Loss",INDEX(CI239:CR239,1,11-MATCH(CO11,CI11:CR11,0)),"")))))</f>
        <v/>
      </c>
      <c r="CP25" s="149" t="str">
        <f>IF(AND(OR(CJ7="Paid - Loss &amp; DCCE",CJ7="Incurred - Loss &amp; DCCE"),AND(NOT(ISBLANK(CJ8)),CJ8&lt;&gt;"NA")),"ERROR",IF(CJ7="Paid - Loss &amp; DCCE",INDEX(CI61:CR61,1,11-MATCH(CP11,CI11:CR11,0)),IF(CJ7="Paid - Pure Loss",INDEX(CI96:CR96,1,11-MATCH(CP11,CI11:CR11,0)),IF(CJ7="Incurred - Loss &amp; DCCE",INDEX(CI204:CR204,1,11-MATCH(CP11,CI11:CR11,0)),IF(CJ7="Incurred - Pure Loss",INDEX(CI239:CR239,1,11-MATCH(CP11,CI11:CR11,0)),"")))))</f>
        <v/>
      </c>
      <c r="CQ25" s="149" t="str">
        <f>IF(AND(OR(CJ7="Paid - Loss &amp; DCCE",CJ7="Incurred - Loss &amp; DCCE"),AND(NOT(ISBLANK(CJ8)),CJ8&lt;&gt;"NA")),"ERROR",IF(CJ7="Paid - Loss &amp; DCCE",INDEX(CI61:CR61,1,11-MATCH(CQ11,CI11:CR11,0)),IF(CJ7="Paid - Pure Loss",INDEX(CI96:CR96,1,11-MATCH(CQ11,CI11:CR11,0)),IF(CJ7="Incurred - Loss &amp; DCCE",INDEX(CI204:CR204,1,11-MATCH(CQ11,CI11:CR11,0)),IF(CJ7="Incurred - Pure Loss",INDEX(CI239:CR239,1,11-MATCH(CQ11,CI11:CR11,0)),"")))))</f>
        <v/>
      </c>
      <c r="CR25" s="149" t="str">
        <f>IF(AND(OR(CJ7="Paid - Loss &amp; DCCE",CJ7="Incurred - Loss &amp; DCCE"),AND(NOT(ISBLANK(CJ8)),CJ8&lt;&gt;"NA")),"ERROR",IF(CJ7="Paid - Loss &amp; DCCE",INDEX(CI61:CR61,1,11-MATCH(CR11,CI11:CR11,0)),IF(CJ7="Paid - Pure Loss",INDEX(CI96:CR96,1,11-MATCH(CR11,CI11:CR11,0)),IF(CJ7="Incurred - Loss &amp; DCCE",INDEX(CI204:CR204,1,11-MATCH(CR11,CI11:CR11,0)),IF(CJ7="Incurred - Pure Loss",INDEX(CI239:CR239,1,11-MATCH(CR11,CI11:CR11,0)),"")))))</f>
        <v/>
      </c>
      <c r="CS25" s="283" t="str">
        <f>IF(OR(CV7="Paid - Loss &amp; DCCE",CV7="Incurred - Loss &amp; DCCE"),"Loss &amp; DCCE","Loss")</f>
        <v>Loss</v>
      </c>
      <c r="CT25" s="148"/>
      <c r="CU25" s="149" t="str">
        <f>IF(AND(OR(CV7="Paid - Loss &amp; DCCE",CV7="Incurred - Loss &amp; DCCE"),AND(NOT(ISBLANK(CV8)),CV8&lt;&gt;"NA")),"ERROR",IF(CV7="Paid - Loss &amp; DCCE",INDEX(CU61:DD61,1,11-MATCH(CU11,CU11:DD11,0)),IF(CV7="Paid - Pure Loss",INDEX(CU96:DD96,1,11-MATCH(CU11,CU11:DD11,0)),IF(CV7="Incurred - Loss &amp; DCCE",INDEX(CU204:DD204,1,11-MATCH(CU11,CU11:DD11,0)),IF(CV7="Incurred - Pure Loss",INDEX(CU239:DD239,1,11-MATCH(CU11,CU11:DD11,0)),"")))))</f>
        <v/>
      </c>
      <c r="CV25" s="149" t="str">
        <f>IF(AND(OR(CV7="Paid - Loss &amp; DCCE",CV7="Incurred - Loss &amp; DCCE"),AND(NOT(ISBLANK(CV8)),CV8&lt;&gt;"NA")),"ERROR",IF(CV7="Paid - Loss &amp; DCCE",INDEX(CU61:DD61,1,11-MATCH(CV11,CU11:DD11,0)),IF(CV7="Paid - Pure Loss",INDEX(CU96:DD96,1,11-MATCH(CV11,CU11:DD11,0)),IF(CV7="Incurred - Loss &amp; DCCE",INDEX(CU204:DD204,1,11-MATCH(CV11,CU11:DD11,0)),IF(CV7="Incurred - Pure Loss",INDEX(CU239:DD239,1,11-MATCH(CV11,CU11:DD11,0)),"")))))</f>
        <v/>
      </c>
      <c r="CW25" s="149" t="str">
        <f>IF(AND(OR(CV7="Paid - Loss &amp; DCCE",CV7="Incurred - Loss &amp; DCCE"),AND(NOT(ISBLANK(CV8)),CV8&lt;&gt;"NA")),"ERROR",IF(CV7="Paid - Loss &amp; DCCE",INDEX(CU61:DD61,1,11-MATCH(CW11,CU11:DD11,0)),IF(CV7="Paid - Pure Loss",INDEX(CU96:DD96,1,11-MATCH(CW11,CU11:DD11,0)),IF(CV7="Incurred - Loss &amp; DCCE",INDEX(CU204:DD204,1,11-MATCH(CW11,CU11:DD11,0)),IF(CV7="Incurred - Pure Loss",INDEX(CU239:DD239,1,11-MATCH(CW11,CU11:DD11,0)),"")))))</f>
        <v/>
      </c>
      <c r="CX25" s="149" t="str">
        <f>IF(AND(OR(CV7="Paid - Loss &amp; DCCE",CV7="Incurred - Loss &amp; DCCE"),AND(NOT(ISBLANK(CV8)),CV8&lt;&gt;"NA")),"ERROR",IF(CV7="Paid - Loss &amp; DCCE",INDEX(CU61:DD61,1,11-MATCH(CX11,CU11:DD11,0)),IF(CV7="Paid - Pure Loss",INDEX(CU96:DD96,1,11-MATCH(CX11,CU11:DD11,0)),IF(CV7="Incurred - Loss &amp; DCCE",INDEX(CU204:DD204,1,11-MATCH(CX11,CU11:DD11,0)),IF(CV7="Incurred - Pure Loss",INDEX(CU239:DD239,1,11-MATCH(CX11,CU11:DD11,0)),"")))))</f>
        <v/>
      </c>
      <c r="CY25" s="149" t="str">
        <f>IF(AND(OR(CV7="Paid - Loss &amp; DCCE",CV7="Incurred - Loss &amp; DCCE"),AND(NOT(ISBLANK(CV8)),CV8&lt;&gt;"NA")),"ERROR",IF(CV7="Paid - Loss &amp; DCCE",INDEX(CU61:DD61,1,11-MATCH(CY11,CU11:DD11,0)),IF(CV7="Paid - Pure Loss",INDEX(CU96:DD96,1,11-MATCH(CY11,CU11:DD11,0)),IF(CV7="Incurred - Loss &amp; DCCE",INDEX(CU204:DD204,1,11-MATCH(CY11,CU11:DD11,0)),IF(CV7="Incurred - Pure Loss",INDEX(CU239:DD239,1,11-MATCH(CY11,CU11:DD11,0)),"")))))</f>
        <v/>
      </c>
      <c r="CZ25" s="149" t="str">
        <f>IF(AND(OR(CV7="Paid - Loss &amp; DCCE",CV7="Incurred - Loss &amp; DCCE"),AND(NOT(ISBLANK(CV8)),CV8&lt;&gt;"NA")),"ERROR",IF(CV7="Paid - Loss &amp; DCCE",INDEX(CU61:DD61,1,11-MATCH(CZ11,CU11:DD11,0)),IF(CV7="Paid - Pure Loss",INDEX(CU96:DD96,1,11-MATCH(CZ11,CU11:DD11,0)),IF(CV7="Incurred - Loss &amp; DCCE",INDEX(CU204:DD204,1,11-MATCH(CZ11,CU11:DD11,0)),IF(CV7="Incurred - Pure Loss",INDEX(CU239:DD239,1,11-MATCH(CZ11,CU11:DD11,0)),"")))))</f>
        <v/>
      </c>
      <c r="DA25" s="149" t="str">
        <f>IF(AND(OR(CV7="Paid - Loss &amp; DCCE",CV7="Incurred - Loss &amp; DCCE"),AND(NOT(ISBLANK(CV8)),CV8&lt;&gt;"NA")),"ERROR",IF(CV7="Paid - Loss &amp; DCCE",INDEX(CU61:DD61,1,11-MATCH(DA11,CU11:DD11,0)),IF(CV7="Paid - Pure Loss",INDEX(CU96:DD96,1,11-MATCH(DA11,CU11:DD11,0)),IF(CV7="Incurred - Loss &amp; DCCE",INDEX(CU204:DD204,1,11-MATCH(DA11,CU11:DD11,0)),IF(CV7="Incurred - Pure Loss",INDEX(CU239:DD239,1,11-MATCH(DA11,CU11:DD11,0)),"")))))</f>
        <v/>
      </c>
      <c r="DB25" s="149" t="str">
        <f>IF(AND(OR(CV7="Paid - Loss &amp; DCCE",CV7="Incurred - Loss &amp; DCCE"),AND(NOT(ISBLANK(CV8)),CV8&lt;&gt;"NA")),"ERROR",IF(CV7="Paid - Loss &amp; DCCE",INDEX(CU61:DD61,1,11-MATCH(DB11,CU11:DD11,0)),IF(CV7="Paid - Pure Loss",INDEX(CU96:DD96,1,11-MATCH(DB11,CU11:DD11,0)),IF(CV7="Incurred - Loss &amp; DCCE",INDEX(CU204:DD204,1,11-MATCH(DB11,CU11:DD11,0)),IF(CV7="Incurred - Pure Loss",INDEX(CU239:DD239,1,11-MATCH(DB11,CU11:DD11,0)),"")))))</f>
        <v/>
      </c>
      <c r="DC25" s="149" t="str">
        <f>IF(AND(OR(CV7="Paid - Loss &amp; DCCE",CV7="Incurred - Loss &amp; DCCE"),AND(NOT(ISBLANK(CV8)),CV8&lt;&gt;"NA")),"ERROR",IF(CV7="Paid - Loss &amp; DCCE",INDEX(CU61:DD61,1,11-MATCH(DC11,CU11:DD11,0)),IF(CV7="Paid - Pure Loss",INDEX(CU96:DD96,1,11-MATCH(DC11,CU11:DD11,0)),IF(CV7="Incurred - Loss &amp; DCCE",INDEX(CU204:DD204,1,11-MATCH(DC11,CU11:DD11,0)),IF(CV7="Incurred - Pure Loss",INDEX(CU239:DD239,1,11-MATCH(DC11,CU11:DD11,0)),"")))))</f>
        <v/>
      </c>
      <c r="DD25" s="149" t="str">
        <f>IF(AND(OR(CV7="Paid - Loss &amp; DCCE",CV7="Incurred - Loss &amp; DCCE"),AND(NOT(ISBLANK(CV8)),CV8&lt;&gt;"NA")),"ERROR",IF(CV7="Paid - Loss &amp; DCCE",INDEX(CU61:DD61,1,11-MATCH(DD11,CU11:DD11,0)),IF(CV7="Paid - Pure Loss",INDEX(CU96:DD96,1,11-MATCH(DD11,CU11:DD11,0)),IF(CV7="Incurred - Loss &amp; DCCE",INDEX(CU204:DD204,1,11-MATCH(DD11,CU11:DD11,0)),IF(CV7="Incurred - Pure Loss",INDEX(CU239:DD239,1,11-MATCH(DD11,CU11:DD11,0)),"")))))</f>
        <v/>
      </c>
      <c r="DE25" s="283" t="str">
        <f>IF(OR(DH7="Paid - Loss &amp; DCCE",DH7="Incurred - Loss &amp; DCCE"),"Loss &amp; DCCE","Loss")</f>
        <v>Loss</v>
      </c>
      <c r="DF25" s="148"/>
      <c r="DG25" s="149" t="str">
        <f>IF(AND(OR(DH7="Paid - Loss &amp; DCCE",DH7="Incurred - Loss &amp; DCCE"),AND(NOT(ISBLANK(DH8)),DH8&lt;&gt;"NA")),"ERROR",IF(DH7="Paid - Loss &amp; DCCE",INDEX(DG61:DP61,1,11-MATCH(DG11,DG11:DP11,0)),IF(DH7="Paid - Pure Loss",INDEX(DG96:DP96,1,11-MATCH(DG11,DG11:DP11,0)),IF(DH7="Incurred - Loss &amp; DCCE",INDEX(DG204:DP204,1,11-MATCH(DG11,DG11:DP11,0)),IF(DH7="Incurred - Pure Loss",INDEX(DG239:DP239,1,11-MATCH(DG11,DG11:DP11,0)),"")))))</f>
        <v/>
      </c>
      <c r="DH25" s="149" t="str">
        <f>IF(AND(OR(DH7="Paid - Loss &amp; DCCE",DH7="Incurred - Loss &amp; DCCE"),AND(NOT(ISBLANK(DH8)),DH8&lt;&gt;"NA")),"ERROR",IF(DH7="Paid - Loss &amp; DCCE",INDEX(DG61:DP61,1,11-MATCH(DH11,DG11:DP11,0)),IF(DH7="Paid - Pure Loss",INDEX(DG96:DP96,1,11-MATCH(DH11,DG11:DP11,0)),IF(DH7="Incurred - Loss &amp; DCCE",INDEX(DG204:DP204,1,11-MATCH(DH11,DG11:DP11,0)),IF(DH7="Incurred - Pure Loss",INDEX(DG239:DP239,1,11-MATCH(DH11,DG11:DP11,0)),"")))))</f>
        <v/>
      </c>
      <c r="DI25" s="149" t="str">
        <f>IF(AND(OR(DH7="Paid - Loss &amp; DCCE",DH7="Incurred - Loss &amp; DCCE"),AND(NOT(ISBLANK(DH8)),DH8&lt;&gt;"NA")),"ERROR",IF(DH7="Paid - Loss &amp; DCCE",INDEX(DG61:DP61,1,11-MATCH(DI11,DG11:DP11,0)),IF(DH7="Paid - Pure Loss",INDEX(DG96:DP96,1,11-MATCH(DI11,DG11:DP11,0)),IF(DH7="Incurred - Loss &amp; DCCE",INDEX(DG204:DP204,1,11-MATCH(DI11,DG11:DP11,0)),IF(DH7="Incurred - Pure Loss",INDEX(DG239:DP239,1,11-MATCH(DI11,DG11:DP11,0)),"")))))</f>
        <v/>
      </c>
      <c r="DJ25" s="149" t="str">
        <f>IF(AND(OR(DH7="Paid - Loss &amp; DCCE",DH7="Incurred - Loss &amp; DCCE"),AND(NOT(ISBLANK(DH8)),DH8&lt;&gt;"NA")),"ERROR",IF(DH7="Paid - Loss &amp; DCCE",INDEX(DG61:DP61,1,11-MATCH(DJ11,DG11:DP11,0)),IF(DH7="Paid - Pure Loss",INDEX(DG96:DP96,1,11-MATCH(DJ11,DG11:DP11,0)),IF(DH7="Incurred - Loss &amp; DCCE",INDEX(DG204:DP204,1,11-MATCH(DJ11,DG11:DP11,0)),IF(DH7="Incurred - Pure Loss",INDEX(DG239:DP239,1,11-MATCH(DJ11,DG11:DP11,0)),"")))))</f>
        <v/>
      </c>
      <c r="DK25" s="149" t="str">
        <f>IF(AND(OR(DH7="Paid - Loss &amp; DCCE",DH7="Incurred - Loss &amp; DCCE"),AND(NOT(ISBLANK(DH8)),DH8&lt;&gt;"NA")),"ERROR",IF(DH7="Paid - Loss &amp; DCCE",INDEX(DG61:DP61,1,11-MATCH(DK11,DG11:DP11,0)),IF(DH7="Paid - Pure Loss",INDEX(DG96:DP96,1,11-MATCH(DK11,DG11:DP11,0)),IF(DH7="Incurred - Loss &amp; DCCE",INDEX(DG204:DP204,1,11-MATCH(DK11,DG11:DP11,0)),IF(DH7="Incurred - Pure Loss",INDEX(DG239:DP239,1,11-MATCH(DK11,DG11:DP11,0)),"")))))</f>
        <v/>
      </c>
      <c r="DL25" s="149" t="str">
        <f>IF(AND(OR(DH7="Paid - Loss &amp; DCCE",DH7="Incurred - Loss &amp; DCCE"),AND(NOT(ISBLANK(DH8)),DH8&lt;&gt;"NA")),"ERROR",IF(DH7="Paid - Loss &amp; DCCE",INDEX(DG61:DP61,1,11-MATCH(DL11,DG11:DP11,0)),IF(DH7="Paid - Pure Loss",INDEX(DG96:DP96,1,11-MATCH(DL11,DG11:DP11,0)),IF(DH7="Incurred - Loss &amp; DCCE",INDEX(DG204:DP204,1,11-MATCH(DL11,DG11:DP11,0)),IF(DH7="Incurred - Pure Loss",INDEX(DG239:DP239,1,11-MATCH(DL11,DG11:DP11,0)),"")))))</f>
        <v/>
      </c>
      <c r="DM25" s="149" t="str">
        <f>IF(AND(OR(DH7="Paid - Loss &amp; DCCE",DH7="Incurred - Loss &amp; DCCE"),AND(NOT(ISBLANK(DH8)),DH8&lt;&gt;"NA")),"ERROR",IF(DH7="Paid - Loss &amp; DCCE",INDEX(DG61:DP61,1,11-MATCH(DM11,DG11:DP11,0)),IF(DH7="Paid - Pure Loss",INDEX(DG96:DP96,1,11-MATCH(DM11,DG11:DP11,0)),IF(DH7="Incurred - Loss &amp; DCCE",INDEX(DG204:DP204,1,11-MATCH(DM11,DG11:DP11,0)),IF(DH7="Incurred - Pure Loss",INDEX(DG239:DP239,1,11-MATCH(DM11,DG11:DP11,0)),"")))))</f>
        <v/>
      </c>
      <c r="DN25" s="149" t="str">
        <f>IF(AND(OR(DH7="Paid - Loss &amp; DCCE",DH7="Incurred - Loss &amp; DCCE"),AND(NOT(ISBLANK(DH8)),DH8&lt;&gt;"NA")),"ERROR",IF(DH7="Paid - Loss &amp; DCCE",INDEX(DG61:DP61,1,11-MATCH(DN11,DG11:DP11,0)),IF(DH7="Paid - Pure Loss",INDEX(DG96:DP96,1,11-MATCH(DN11,DG11:DP11,0)),IF(DH7="Incurred - Loss &amp; DCCE",INDEX(DG204:DP204,1,11-MATCH(DN11,DG11:DP11,0)),IF(DH7="Incurred - Pure Loss",INDEX(DG239:DP239,1,11-MATCH(DN11,DG11:DP11,0)),"")))))</f>
        <v/>
      </c>
      <c r="DO25" s="149" t="str">
        <f>IF(AND(OR(DH7="Paid - Loss &amp; DCCE",DH7="Incurred - Loss &amp; DCCE"),AND(NOT(ISBLANK(DH8)),DH8&lt;&gt;"NA")),"ERROR",IF(DH7="Paid - Loss &amp; DCCE",INDEX(DG61:DP61,1,11-MATCH(DO11,DG11:DP11,0)),IF(DH7="Paid - Pure Loss",INDEX(DG96:DP96,1,11-MATCH(DO11,DG11:DP11,0)),IF(DH7="Incurred - Loss &amp; DCCE",INDEX(DG204:DP204,1,11-MATCH(DO11,DG11:DP11,0)),IF(DH7="Incurred - Pure Loss",INDEX(DG239:DP239,1,11-MATCH(DO11,DG11:DP11,0)),"")))))</f>
        <v/>
      </c>
      <c r="DP25" s="149" t="str">
        <f>IF(AND(OR(DH7="Paid - Loss &amp; DCCE",DH7="Incurred - Loss &amp; DCCE"),AND(NOT(ISBLANK(DH8)),DH8&lt;&gt;"NA")),"ERROR",IF(DH7="Paid - Loss &amp; DCCE",INDEX(DG61:DP61,1,11-MATCH(DP11,DG11:DP11,0)),IF(DH7="Paid - Pure Loss",INDEX(DG96:DP96,1,11-MATCH(DP11,DG11:DP11,0)),IF(DH7="Incurred - Loss &amp; DCCE",INDEX(DG204:DP204,1,11-MATCH(DP11,DG11:DP11,0)),IF(DH7="Incurred - Pure Loss",INDEX(DG239:DP239,1,11-MATCH(DP11,DG11:DP11,0)),"")))))</f>
        <v/>
      </c>
    </row>
    <row r="26" spans="1:120" ht="15" customHeight="1" x14ac:dyDescent="0.25">
      <c r="A26" s="283" t="str">
        <f>IF(OR(D7="Paid - Loss &amp; DCCE",D7="Incurred - Loss &amp; DCCE"),"","DCCE")</f>
        <v>DCCE</v>
      </c>
      <c r="B26" s="148"/>
      <c r="C26" s="149">
        <f>IF(AND(OR(D7="Incurred - Pure Loss",D7="Paid - Pure Loss"),OR(D8="",D8="NA")),"ERROR",
IF(OR(D7="Paid - Loss &amp; DCCE",D7="Incurred - Loss &amp; DCCE"),"",
IF(D8="Paid - DCCE Dollar",INDEX(C131:L131,1,11-MATCH(C11,C11:L11,0)),IF(D8="Paid - DCCE (by Ratio)",INDEX(C170:L170,1,11-MATCH(C11,C11:L11,0)),IF(D8="Incurred - DCCE Dollar",INDEX(C274:L274,1,11-MATCH(C11,C11:L11,0)),IF(D8="Incurred - DCCE (by Ratio)",INDEX(C313:L313,1,11-MATCH(C11,C11:L11,0)),""))))))</f>
        <v>1</v>
      </c>
      <c r="D26" s="149">
        <f>IF(AND(OR(D7="Incurred - Pure Loss",D7="Paid - Pure Loss"),OR(D8="",D8="NA")),"ERROR",IF(OR(D7="Paid - Loss &amp; DCCE",D7="Incurred - Loss &amp; DCCE"),"",IF(D8="Paid - DCCE Dollar",INDEX(C131:L131,1,11-MATCH(D11,C11:L11,0)),IF(D8="Paid - DCCE (by Ratio)",INDEX(C170:L170,1,11-MATCH(D11,C11:L11,0)),IF(D8="Incurred - DCCE Dollar",INDEX(C274:L274,1,11-MATCH(D11,C11:L11,0)),IF(D8="Incurred - DCCE (by Ratio)",INDEX(C313:L313,1,11-MATCH(D11,C11:L11,0)),""))))))</f>
        <v>1.017538040413404</v>
      </c>
      <c r="E26" s="149">
        <f>IF(AND(OR(D7="Incurred - Pure Loss",D7="Paid - Pure Loss"),OR(D8="",D8="NA")),"ERROR",IF(OR(D7="Paid - Loss &amp; DCCE",D7="Incurred - Loss &amp; DCCE"),"",IF(D8="Paid - DCCE Dollar",INDEX(C131:L131,1,11-MATCH(E11,C11:L11,0)),IF(D8="Paid - DCCE (by Ratio)",INDEX(C170:L170,1,11-MATCH(E11,C11:L11,0)),IF(D8="Incurred - DCCE Dollar",INDEX(C274:L274,1,11-MATCH(E11,C11:L11,0)),IF(D8="Incurred - DCCE (by Ratio)",INDEX(C313:L313,1,11-MATCH(E11,C11:L11,0)),""))))))</f>
        <v>1.0526320987174402</v>
      </c>
      <c r="F26" s="149">
        <f>IF(AND(OR(D7="Incurred - Pure Loss",D7="Paid - Pure Loss"),OR(D8="",D8="NA")),"ERROR",IF(OR(D7="Paid - Loss &amp; DCCE",D7="Incurred - Loss &amp; DCCE"),"",IF(D8="Paid - DCCE Dollar",INDEX(C131:L131,1,11-MATCH(F11,C11:L11,0)),IF(D8="Paid - DCCE (by Ratio)",INDEX(C170:L170,1,11-MATCH(F11,C11:L11,0)),IF(D8="Incurred - DCCE Dollar",INDEX(C274:L274,1,11-MATCH(F11,C11:L11,0)),IF(D8="Incurred - DCCE (by Ratio)",INDEX(C313:L313,1,11-MATCH(F11,C11:L11,0)),""))))))</f>
        <v>1.1093128049132628</v>
      </c>
      <c r="G26" s="149">
        <f>IF(AND(OR(D7="Incurred - Pure Loss",D7="Paid - Pure Loss"),OR(D8="",D8="NA")),"ERROR",IF(OR(D7="Paid - Loss &amp; DCCE",D7="Incurred - Loss &amp; DCCE"),"",IF(D8="Paid - DCCE Dollar",INDEX(C131:L131,1,11-MATCH(G11,C11:L11,0)),IF(D8="Paid - DCCE (by Ratio)",INDEX(C170:L170,1,11-MATCH(G11,C11:L11,0)),IF(D8="Incurred - DCCE Dollar",INDEX(C274:L274,1,11-MATCH(G11,C11:L11,0)),IF(D8="Incurred - DCCE (by Ratio)",INDEX(C313:L313,1,11-MATCH(G11,C11:L11,0)),""))))))</f>
        <v>1.1685303391225725</v>
      </c>
      <c r="H26" s="149">
        <f>IF(AND(OR(D7="Incurred - Pure Loss",D7="Paid - Pure Loss"),OR(D8="",D8="NA")),"ERROR",IF(OR(D7="Paid - Loss &amp; DCCE",D7="Incurred - Loss &amp; DCCE"),"",IF(D8="Paid - DCCE Dollar",INDEX(C131:L131,1,11-MATCH(H11,C11:L11,0)),IF(D8="Paid - DCCE (by Ratio)",INDEX(C170:L170,1,11-MATCH(H11,C11:L11,0)),IF(D8="Incurred - DCCE Dollar",INDEX(C274:L274,1,11-MATCH(H11,C11:L11,0)),IF(D8="Incurred - DCCE (by Ratio)",INDEX(C313:L313,1,11-MATCH(H11,C11:L11,0)),""))))))</f>
        <v>1.2722266138318472</v>
      </c>
      <c r="I26" s="149">
        <f>IF(AND(OR(D7="Incurred - Pure Loss",D7="Paid - Pure Loss"),OR(D8="",D8="NA")),"ERROR",IF(OR(D7="Paid - Loss &amp; DCCE",D7="Incurred - Loss &amp; DCCE"),"",IF(D8="Paid - DCCE Dollar",INDEX(C131:L131,1,11-MATCH(I11,C11:L11,0)),IF(D8="Paid - DCCE (by Ratio)",INDEX(C170:L170,1,11-MATCH(I11,C11:L11,0)),IF(D8="Incurred - DCCE Dollar",INDEX(C274:L274,1,11-MATCH(I11,C11:L11,0)),IF(D8="Incurred - DCCE (by Ratio)",INDEX(C313:L313,1,11-MATCH(I11,C11:L11,0)),""))))))</f>
        <v>1.4735797118291076</v>
      </c>
      <c r="J26" s="149">
        <f>IF(AND(OR(D7="Incurred - Pure Loss",D7="Paid - Pure Loss"),OR(D8="",D8="NA")),"ERROR",IF(OR(D7="Paid - Loss &amp; DCCE",D7="Incurred - Loss &amp; DCCE"),"",IF(D8="Paid - DCCE Dollar",INDEX(C131:L131,1,11-MATCH(J11,C11:L11,0)),IF(D8="Paid - DCCE (by Ratio)",INDEX(C170:L170,1,11-MATCH(J11,C11:L11,0)),IF(D8="Incurred - DCCE Dollar",INDEX(C274:L274,1,11-MATCH(J11,C11:L11,0)),IF(D8="Incurred - DCCE (by Ratio)",INDEX(C313:L313,1,11-MATCH(J11,C11:L11,0)),""))))))</f>
        <v>2.0642229061336743</v>
      </c>
      <c r="K26" s="149">
        <f>IF(AND(OR(D7="Incurred - Pure Loss",D7="Paid - Pure Loss"),OR(D8="",D8="NA")),"ERROR",IF(OR(D7="Paid - Loss &amp; DCCE",D7="Incurred - Loss &amp; DCCE"),"",IF(D8="Paid - DCCE Dollar",INDEX(C131:L131,1,11-MATCH(K11,C11:L11,0)),IF(D8="Paid - DCCE (by Ratio)",INDEX(C170:L170,1,11-MATCH(K11,C11:L11,0)),IF(D8="Incurred - DCCE Dollar",INDEX(C274:L274,1,11-MATCH(K11,C11:L11,0)),IF(D8="Incurred - DCCE (by Ratio)",INDEX(C313:L313,1,11-MATCH(K11,C11:L11,0)),""))))))</f>
        <v>3.9091414176985455</v>
      </c>
      <c r="L26" s="149">
        <f>IF(AND(OR(D7="Incurred - Pure Loss",D7="Paid - Pure Loss"),OR(D8="",D8="NA")),"ERROR",IF(OR(D7="Paid - Loss &amp; DCCE",D7="Incurred - Loss &amp; DCCE"),"",IF(D8="Paid - DCCE Dollar",INDEX(C131:L131,1,11-MATCH(L11,C11:L11,0)),IF(D8="Paid - DCCE (by Ratio)",INDEX(C170:L170,1,11-MATCH(L11,C11:L11,0)),IF(D8="Incurred - DCCE Dollar",INDEX(C274:L274,1,11-MATCH(L11,C11:L11,0)),IF(D8="Incurred - DCCE (by Ratio)",INDEX(C313:L313,1,11-MATCH(L11,C11:L11,0)),""))))))</f>
        <v>10.622050461977043</v>
      </c>
      <c r="M26" s="283" t="str">
        <f>IF(OR(P7="Paid - Loss &amp; DCCE",P7="Incurred - Loss &amp; DCCE"),"","DCCE")</f>
        <v>DCCE</v>
      </c>
      <c r="N26" s="148"/>
      <c r="O26" s="149" t="str">
        <f>IF(AND(OR(P7="Incurred - Pure Loss",P7="Paid - Pure Loss"),OR(P8="",P8="NA")),"ERROR",
IF(OR(P7="Paid - Loss &amp; DCCE",P7="Incurred - Loss &amp; DCCE"),"",
IF(P8="Paid - DCCE Dollar",INDEX(O131:X131,1,11-MATCH(O11,O11:X11,0)),IF(P8="Paid - DCCE (by Ratio)",INDEX(O170:X170,1,11-MATCH(O11,O11:X11,0)),IF(P8="Incurred - DCCE Dollar",INDEX(O274:X274,1,11-MATCH(O11,O11:X11,0)),IF(P8="Incurred - DCCE (by Ratio)",INDEX(O313:X313,1,11-MATCH(O11,O11:X11,0)),""))))))</f>
        <v/>
      </c>
      <c r="P26" s="149" t="str">
        <f>IF(AND(OR(P7="Incurred - Pure Loss",P7="Paid - Pure Loss"),OR(P8="",P8="NA")),"ERROR",IF(OR(P7="Paid - Loss &amp; DCCE",P7="Incurred - Loss &amp; DCCE"),"",IF(P8="Paid - DCCE Dollar",INDEX(O131:X131,1,11-MATCH(P11,O11:X11,0)),IF(P8="Paid - DCCE (by Ratio)",INDEX(O170:X170,1,11-MATCH(P11,O11:X11,0)),IF(P8="Incurred - DCCE Dollar",INDEX(O274:X274,1,11-MATCH(P11,O11:X11,0)),IF(P8="Incurred - DCCE (by Ratio)",INDEX(O313:X313,1,11-MATCH(P11,O11:X11,0)),""))))))</f>
        <v/>
      </c>
      <c r="Q26" s="149" t="str">
        <f>IF(AND(OR(P7="Incurred - Pure Loss",P7="Paid - Pure Loss"),OR(P8="",P8="NA")),"ERROR",IF(OR(P7="Paid - Loss &amp; DCCE",P7="Incurred - Loss &amp; DCCE"),"",IF(P8="Paid - DCCE Dollar",INDEX(O131:X131,1,11-MATCH(Q11,O11:X11,0)),IF(P8="Paid - DCCE (by Ratio)",INDEX(O170:X170,1,11-MATCH(Q11,O11:X11,0)),IF(P8="Incurred - DCCE Dollar",INDEX(O274:X274,1,11-MATCH(Q11,O11:X11,0)),IF(P8="Incurred - DCCE (by Ratio)",INDEX(O313:X313,1,11-MATCH(Q11,O11:X11,0)),""))))))</f>
        <v/>
      </c>
      <c r="R26" s="149" t="str">
        <f>IF(AND(OR(P7="Incurred - Pure Loss",P7="Paid - Pure Loss"),OR(P8="",P8="NA")),"ERROR",IF(OR(P7="Paid - Loss &amp; DCCE",P7="Incurred - Loss &amp; DCCE"),"",IF(P8="Paid - DCCE Dollar",INDEX(O131:X131,1,11-MATCH(R11,O11:X11,0)),IF(P8="Paid - DCCE (by Ratio)",INDEX(O170:X170,1,11-MATCH(R11,O11:X11,0)),IF(P8="Incurred - DCCE Dollar",INDEX(O274:X274,1,11-MATCH(R11,O11:X11,0)),IF(P8="Incurred - DCCE (by Ratio)",INDEX(O313:X313,1,11-MATCH(R11,O11:X11,0)),""))))))</f>
        <v/>
      </c>
      <c r="S26" s="149" t="str">
        <f>IF(AND(OR(P7="Incurred - Pure Loss",P7="Paid - Pure Loss"),OR(P8="",P8="NA")),"ERROR",IF(OR(P7="Paid - Loss &amp; DCCE",P7="Incurred - Loss &amp; DCCE"),"",IF(P8="Paid - DCCE Dollar",INDEX(O131:X131,1,11-MATCH(S11,O11:X11,0)),IF(P8="Paid - DCCE (by Ratio)",INDEX(O170:X170,1,11-MATCH(S11,O11:X11,0)),IF(P8="Incurred - DCCE Dollar",INDEX(O274:X274,1,11-MATCH(S11,O11:X11,0)),IF(P8="Incurred - DCCE (by Ratio)",INDEX(O313:X313,1,11-MATCH(S11,O11:X11,0)),""))))))</f>
        <v/>
      </c>
      <c r="T26" s="149" t="str">
        <f>IF(AND(OR(P7="Incurred - Pure Loss",P7="Paid - Pure Loss"),OR(P8="",P8="NA")),"ERROR",IF(OR(P7="Paid - Loss &amp; DCCE",P7="Incurred - Loss &amp; DCCE"),"",IF(P8="Paid - DCCE Dollar",INDEX(O131:X131,1,11-MATCH(T11,O11:X11,0)),IF(P8="Paid - DCCE (by Ratio)",INDEX(O170:X170,1,11-MATCH(T11,O11:X11,0)),IF(P8="Incurred - DCCE Dollar",INDEX(O274:X274,1,11-MATCH(T11,O11:X11,0)),IF(P8="Incurred - DCCE (by Ratio)",INDEX(O313:X313,1,11-MATCH(T11,O11:X11,0)),""))))))</f>
        <v/>
      </c>
      <c r="U26" s="149" t="str">
        <f>IF(AND(OR(P7="Incurred - Pure Loss",P7="Paid - Pure Loss"),OR(P8="",P8="NA")),"ERROR",IF(OR(P7="Paid - Loss &amp; DCCE",P7="Incurred - Loss &amp; DCCE"),"",IF(P8="Paid - DCCE Dollar",INDEX(O131:X131,1,11-MATCH(U11,O11:X11,0)),IF(P8="Paid - DCCE (by Ratio)",INDEX(O170:X170,1,11-MATCH(U11,O11:X11,0)),IF(P8="Incurred - DCCE Dollar",INDEX(O274:X274,1,11-MATCH(U11,O11:X11,0)),IF(P8="Incurred - DCCE (by Ratio)",INDEX(O313:X313,1,11-MATCH(U11,O11:X11,0)),""))))))</f>
        <v/>
      </c>
      <c r="V26" s="149" t="str">
        <f>IF(AND(OR(P7="Incurred - Pure Loss",P7="Paid - Pure Loss"),OR(P8="",P8="NA")),"ERROR",IF(OR(P7="Paid - Loss &amp; DCCE",P7="Incurred - Loss &amp; DCCE"),"",IF(P8="Paid - DCCE Dollar",INDEX(O131:X131,1,11-MATCH(V11,O11:X11,0)),IF(P8="Paid - DCCE (by Ratio)",INDEX(O170:X170,1,11-MATCH(V11,O11:X11,0)),IF(P8="Incurred - DCCE Dollar",INDEX(O274:X274,1,11-MATCH(V11,O11:X11,0)),IF(P8="Incurred - DCCE (by Ratio)",INDEX(O313:X313,1,11-MATCH(V11,O11:X11,0)),""))))))</f>
        <v/>
      </c>
      <c r="W26" s="149" t="str">
        <f>IF(AND(OR(P7="Incurred - Pure Loss",P7="Paid - Pure Loss"),OR(P8="",P8="NA")),"ERROR",IF(OR(P7="Paid - Loss &amp; DCCE",P7="Incurred - Loss &amp; DCCE"),"",IF(P8="Paid - DCCE Dollar",INDEX(O131:X131,1,11-MATCH(W11,O11:X11,0)),IF(P8="Paid - DCCE (by Ratio)",INDEX(O170:X170,1,11-MATCH(W11,O11:X11,0)),IF(P8="Incurred - DCCE Dollar",INDEX(O274:X274,1,11-MATCH(W11,O11:X11,0)),IF(P8="Incurred - DCCE (by Ratio)",INDEX(O313:X313,1,11-MATCH(W11,O11:X11,0)),""))))))</f>
        <v/>
      </c>
      <c r="X26" s="149" t="str">
        <f>IF(AND(OR(P7="Incurred - Pure Loss",P7="Paid - Pure Loss"),OR(P8="",P8="NA")),"ERROR",IF(OR(P7="Paid - Loss &amp; DCCE",P7="Incurred - Loss &amp; DCCE"),"",IF(P8="Paid - DCCE Dollar",INDEX(O131:X131,1,11-MATCH(X11,O11:X11,0)),IF(P8="Paid - DCCE (by Ratio)",INDEX(O170:X170,1,11-MATCH(X11,O11:X11,0)),IF(P8="Incurred - DCCE Dollar",INDEX(O274:X274,1,11-MATCH(X11,O11:X11,0)),IF(P8="Incurred - DCCE (by Ratio)",INDEX(O313:X313,1,11-MATCH(X11,O11:X11,0)),""))))))</f>
        <v/>
      </c>
      <c r="Y26" s="283" t="str">
        <f>IF(OR(AB7="Paid - Loss &amp; DCCE",AB7="Incurred - Loss &amp; DCCE"),"","DCCE")</f>
        <v>DCCE</v>
      </c>
      <c r="Z26" s="148"/>
      <c r="AA26" s="149" t="str">
        <f>IF(AND(OR(AB7="Incurred - Pure Loss",AB7="Paid - Pure Loss"),OR(AB8="",AB8="NA")),"ERROR",
IF(OR(AB7="Paid - Loss &amp; DCCE",AB7="Incurred - Loss &amp; DCCE"),"",
IF(AB8="Paid - DCCE Dollar",INDEX(AA131:AJ131,1,11-MATCH(AA11,AA11:AJ11,0)),IF(AB8="Paid - DCCE (by Ratio)",INDEX(AA170:AJ170,1,11-MATCH(AA11,AA11:AJ11,0)),IF(AB8="Incurred - DCCE Dollar",INDEX(AA274:AJ274,1,11-MATCH(AA11,AA11:AJ11,0)),IF(AB8="Incurred - DCCE (by Ratio)",INDEX(AA313:AJ313,1,11-MATCH(AA11,AA11:AJ11,0)),""))))))</f>
        <v/>
      </c>
      <c r="AB26" s="149" t="str">
        <f>IF(AND(OR(AB7="Incurred - Pure Loss",AB7="Paid - Pure Loss"),OR(AB8="",AB8="NA")),"ERROR",IF(OR(AB7="Paid - Loss &amp; DCCE",AB7="Incurred - Loss &amp; DCCE"),"",IF(AB8="Paid - DCCE Dollar",INDEX(AA131:AJ131,1,11-MATCH(AB11,AA11:AJ11,0)),IF(AB8="Paid - DCCE (by Ratio)",INDEX(AA170:AJ170,1,11-MATCH(AB11,AA11:AJ11,0)),IF(AB8="Incurred - DCCE Dollar",INDEX(AA274:AJ274,1,11-MATCH(AB11,AA11:AJ11,0)),IF(AB8="Incurred - DCCE (by Ratio)",INDEX(AA313:AJ313,1,11-MATCH(AB11,AA11:AJ11,0)),""))))))</f>
        <v/>
      </c>
      <c r="AC26" s="149" t="str">
        <f>IF(AND(OR(AB7="Incurred - Pure Loss",AB7="Paid - Pure Loss"),OR(AB8="",AB8="NA")),"ERROR",IF(OR(AB7="Paid - Loss &amp; DCCE",AB7="Incurred - Loss &amp; DCCE"),"",IF(AB8="Paid - DCCE Dollar",INDEX(AA131:AJ131,1,11-MATCH(AC11,AA11:AJ11,0)),IF(AB8="Paid - DCCE (by Ratio)",INDEX(AA170:AJ170,1,11-MATCH(AC11,AA11:AJ11,0)),IF(AB8="Incurred - DCCE Dollar",INDEX(AA274:AJ274,1,11-MATCH(AC11,AA11:AJ11,0)),IF(AB8="Incurred - DCCE (by Ratio)",INDEX(AA313:AJ313,1,11-MATCH(AC11,AA11:AJ11,0)),""))))))</f>
        <v/>
      </c>
      <c r="AD26" s="149" t="str">
        <f>IF(AND(OR(AB7="Incurred - Pure Loss",AB7="Paid - Pure Loss"),OR(AB8="",AB8="NA")),"ERROR",IF(OR(AB7="Paid - Loss &amp; DCCE",AB7="Incurred - Loss &amp; DCCE"),"",IF(AB8="Paid - DCCE Dollar",INDEX(AA131:AJ131,1,11-MATCH(AD11,AA11:AJ11,0)),IF(AB8="Paid - DCCE (by Ratio)",INDEX(AA170:AJ170,1,11-MATCH(AD11,AA11:AJ11,0)),IF(AB8="Incurred - DCCE Dollar",INDEX(AA274:AJ274,1,11-MATCH(AD11,AA11:AJ11,0)),IF(AB8="Incurred - DCCE (by Ratio)",INDEX(AA313:AJ313,1,11-MATCH(AD11,AA11:AJ11,0)),""))))))</f>
        <v/>
      </c>
      <c r="AE26" s="149" t="str">
        <f>IF(AND(OR(AB7="Incurred - Pure Loss",AB7="Paid - Pure Loss"),OR(AB8="",AB8="NA")),"ERROR",IF(OR(AB7="Paid - Loss &amp; DCCE",AB7="Incurred - Loss &amp; DCCE"),"",IF(AB8="Paid - DCCE Dollar",INDEX(AA131:AJ131,1,11-MATCH(AE11,AA11:AJ11,0)),IF(AB8="Paid - DCCE (by Ratio)",INDEX(AA170:AJ170,1,11-MATCH(AE11,AA11:AJ11,0)),IF(AB8="Incurred - DCCE Dollar",INDEX(AA274:AJ274,1,11-MATCH(AE11,AA11:AJ11,0)),IF(AB8="Incurred - DCCE (by Ratio)",INDEX(AA313:AJ313,1,11-MATCH(AE11,AA11:AJ11,0)),""))))))</f>
        <v/>
      </c>
      <c r="AF26" s="149" t="str">
        <f>IF(AND(OR(AB7="Incurred - Pure Loss",AB7="Paid - Pure Loss"),OR(AB8="",AB8="NA")),"ERROR",IF(OR(AB7="Paid - Loss &amp; DCCE",AB7="Incurred - Loss &amp; DCCE"),"",IF(AB8="Paid - DCCE Dollar",INDEX(AA131:AJ131,1,11-MATCH(AF11,AA11:AJ11,0)),IF(AB8="Paid - DCCE (by Ratio)",INDEX(AA170:AJ170,1,11-MATCH(AF11,AA11:AJ11,0)),IF(AB8="Incurred - DCCE Dollar",INDEX(AA274:AJ274,1,11-MATCH(AF11,AA11:AJ11,0)),IF(AB8="Incurred - DCCE (by Ratio)",INDEX(AA313:AJ313,1,11-MATCH(AF11,AA11:AJ11,0)),""))))))</f>
        <v/>
      </c>
      <c r="AG26" s="149" t="str">
        <f>IF(AND(OR(AB7="Incurred - Pure Loss",AB7="Paid - Pure Loss"),OR(AB8="",AB8="NA")),"ERROR",IF(OR(AB7="Paid - Loss &amp; DCCE",AB7="Incurred - Loss &amp; DCCE"),"",IF(AB8="Paid - DCCE Dollar",INDEX(AA131:AJ131,1,11-MATCH(AG11,AA11:AJ11,0)),IF(AB8="Paid - DCCE (by Ratio)",INDEX(AA170:AJ170,1,11-MATCH(AG11,AA11:AJ11,0)),IF(AB8="Incurred - DCCE Dollar",INDEX(AA274:AJ274,1,11-MATCH(AG11,AA11:AJ11,0)),IF(AB8="Incurred - DCCE (by Ratio)",INDEX(AA313:AJ313,1,11-MATCH(AG11,AA11:AJ11,0)),""))))))</f>
        <v/>
      </c>
      <c r="AH26" s="149" t="str">
        <f>IF(AND(OR(AB7="Incurred - Pure Loss",AB7="Paid - Pure Loss"),OR(AB8="",AB8="NA")),"ERROR",IF(OR(AB7="Paid - Loss &amp; DCCE",AB7="Incurred - Loss &amp; DCCE"),"",IF(AB8="Paid - DCCE Dollar",INDEX(AA131:AJ131,1,11-MATCH(AH11,AA11:AJ11,0)),IF(AB8="Paid - DCCE (by Ratio)",INDEX(AA170:AJ170,1,11-MATCH(AH11,AA11:AJ11,0)),IF(AB8="Incurred - DCCE Dollar",INDEX(AA274:AJ274,1,11-MATCH(AH11,AA11:AJ11,0)),IF(AB8="Incurred - DCCE (by Ratio)",INDEX(AA313:AJ313,1,11-MATCH(AH11,AA11:AJ11,0)),""))))))</f>
        <v/>
      </c>
      <c r="AI26" s="149" t="str">
        <f>IF(AND(OR(AB7="Incurred - Pure Loss",AB7="Paid - Pure Loss"),OR(AB8="",AB8="NA")),"ERROR",IF(OR(AB7="Paid - Loss &amp; DCCE",AB7="Incurred - Loss &amp; DCCE"),"",IF(AB8="Paid - DCCE Dollar",INDEX(AA131:AJ131,1,11-MATCH(AI11,AA11:AJ11,0)),IF(AB8="Paid - DCCE (by Ratio)",INDEX(AA170:AJ170,1,11-MATCH(AI11,AA11:AJ11,0)),IF(AB8="Incurred - DCCE Dollar",INDEX(AA274:AJ274,1,11-MATCH(AI11,AA11:AJ11,0)),IF(AB8="Incurred - DCCE (by Ratio)",INDEX(AA313:AJ313,1,11-MATCH(AI11,AA11:AJ11,0)),""))))))</f>
        <v/>
      </c>
      <c r="AJ26" s="149" t="str">
        <f>IF(AND(OR(AB7="Incurred - Pure Loss",AB7="Paid - Pure Loss"),OR(AB8="",AB8="NA")),"ERROR",IF(OR(AB7="Paid - Loss &amp; DCCE",AB7="Incurred - Loss &amp; DCCE"),"",IF(AB8="Paid - DCCE Dollar",INDEX(AA131:AJ131,1,11-MATCH(AJ11,AA11:AJ11,0)),IF(AB8="Paid - DCCE (by Ratio)",INDEX(AA170:AJ170,1,11-MATCH(AJ11,AA11:AJ11,0)),IF(AB8="Incurred - DCCE Dollar",INDEX(AA274:AJ274,1,11-MATCH(AJ11,AA11:AJ11,0)),IF(AB8="Incurred - DCCE (by Ratio)",INDEX(AA313:AJ313,1,11-MATCH(AJ11,AA11:AJ11,0)),""))))))</f>
        <v/>
      </c>
      <c r="AK26" s="283" t="str">
        <f>IF(OR(AN7="Paid - Loss &amp; DCCE",AN7="Incurred - Loss &amp; DCCE"),"","DCCE")</f>
        <v>DCCE</v>
      </c>
      <c r="AL26" s="148"/>
      <c r="AM26" s="149" t="str">
        <f>IF(AND(OR(AN7="Incurred - Pure Loss",AN7="Paid - Pure Loss"),OR(AN8="",AN8="NA")),"ERROR",
IF(OR(AN7="Paid - Loss &amp; DCCE",AN7="Incurred - Loss &amp; DCCE"),"",
IF(AN8="Paid - DCCE Dollar",INDEX(AM131:AV131,1,11-MATCH(AM11,AM11:AV11,0)),IF(AN8="Paid - DCCE (by Ratio)",INDEX(AM170:AV170,1,11-MATCH(AM11,AM11:AV11,0)),IF(AN8="Incurred - DCCE Dollar",INDEX(AM274:AV274,1,11-MATCH(AM11,AM11:AV11,0)),IF(AN8="Incurred - DCCE (by Ratio)",INDEX(AM313:AV313,1,11-MATCH(AM11,AM11:AV11,0)),""))))))</f>
        <v/>
      </c>
      <c r="AN26" s="149" t="str">
        <f>IF(AND(OR(AN7="Incurred - Pure Loss",AN7="Paid - Pure Loss"),OR(AN8="",AN8="NA")),"ERROR",IF(OR(AN7="Paid - Loss &amp; DCCE",AN7="Incurred - Loss &amp; DCCE"),"",IF(AN8="Paid - DCCE Dollar",INDEX(AM131:AV131,1,11-MATCH(AN11,AM11:AV11,0)),IF(AN8="Paid - DCCE (by Ratio)",INDEX(AM170:AV170,1,11-MATCH(AN11,AM11:AV11,0)),IF(AN8="Incurred - DCCE Dollar",INDEX(AM274:AV274,1,11-MATCH(AN11,AM11:AV11,0)),IF(AN8="Incurred - DCCE (by Ratio)",INDEX(AM313:AV313,1,11-MATCH(AN11,AM11:AV11,0)),""))))))</f>
        <v/>
      </c>
      <c r="AO26" s="149" t="str">
        <f>IF(AND(OR(AN7="Incurred - Pure Loss",AN7="Paid - Pure Loss"),OR(AN8="",AN8="NA")),"ERROR",IF(OR(AN7="Paid - Loss &amp; DCCE",AN7="Incurred - Loss &amp; DCCE"),"",IF(AN8="Paid - DCCE Dollar",INDEX(AM131:AV131,1,11-MATCH(AO11,AM11:AV11,0)),IF(AN8="Paid - DCCE (by Ratio)",INDEX(AM170:AV170,1,11-MATCH(AO11,AM11:AV11,0)),IF(AN8="Incurred - DCCE Dollar",INDEX(AM274:AV274,1,11-MATCH(AO11,AM11:AV11,0)),IF(AN8="Incurred - DCCE (by Ratio)",INDEX(AM313:AV313,1,11-MATCH(AO11,AM11:AV11,0)),""))))))</f>
        <v/>
      </c>
      <c r="AP26" s="149" t="str">
        <f>IF(AND(OR(AN7="Incurred - Pure Loss",AN7="Paid - Pure Loss"),OR(AN8="",AN8="NA")),"ERROR",IF(OR(AN7="Paid - Loss &amp; DCCE",AN7="Incurred - Loss &amp; DCCE"),"",IF(AN8="Paid - DCCE Dollar",INDEX(AM131:AV131,1,11-MATCH(AP11,AM11:AV11,0)),IF(AN8="Paid - DCCE (by Ratio)",INDEX(AM170:AV170,1,11-MATCH(AP11,AM11:AV11,0)),IF(AN8="Incurred - DCCE Dollar",INDEX(AM274:AV274,1,11-MATCH(AP11,AM11:AV11,0)),IF(AN8="Incurred - DCCE (by Ratio)",INDEX(AM313:AV313,1,11-MATCH(AP11,AM11:AV11,0)),""))))))</f>
        <v/>
      </c>
      <c r="AQ26" s="149" t="str">
        <f>IF(AND(OR(AN7="Incurred - Pure Loss",AN7="Paid - Pure Loss"),OR(AN8="",AN8="NA")),"ERROR",IF(OR(AN7="Paid - Loss &amp; DCCE",AN7="Incurred - Loss &amp; DCCE"),"",IF(AN8="Paid - DCCE Dollar",INDEX(AM131:AV131,1,11-MATCH(AQ11,AM11:AV11,0)),IF(AN8="Paid - DCCE (by Ratio)",INDEX(AM170:AV170,1,11-MATCH(AQ11,AM11:AV11,0)),IF(AN8="Incurred - DCCE Dollar",INDEX(AM274:AV274,1,11-MATCH(AQ11,AM11:AV11,0)),IF(AN8="Incurred - DCCE (by Ratio)",INDEX(AM313:AV313,1,11-MATCH(AQ11,AM11:AV11,0)),""))))))</f>
        <v/>
      </c>
      <c r="AR26" s="149" t="str">
        <f>IF(AND(OR(AN7="Incurred - Pure Loss",AN7="Paid - Pure Loss"),OR(AN8="",AN8="NA")),"ERROR",IF(OR(AN7="Paid - Loss &amp; DCCE",AN7="Incurred - Loss &amp; DCCE"),"",IF(AN8="Paid - DCCE Dollar",INDEX(AM131:AV131,1,11-MATCH(AR11,AM11:AV11,0)),IF(AN8="Paid - DCCE (by Ratio)",INDEX(AM170:AV170,1,11-MATCH(AR11,AM11:AV11,0)),IF(AN8="Incurred - DCCE Dollar",INDEX(AM274:AV274,1,11-MATCH(AR11,AM11:AV11,0)),IF(AN8="Incurred - DCCE (by Ratio)",INDEX(AM313:AV313,1,11-MATCH(AR11,AM11:AV11,0)),""))))))</f>
        <v/>
      </c>
      <c r="AS26" s="149" t="str">
        <f>IF(AND(OR(AN7="Incurred - Pure Loss",AN7="Paid - Pure Loss"),OR(AN8="",AN8="NA")),"ERROR",IF(OR(AN7="Paid - Loss &amp; DCCE",AN7="Incurred - Loss &amp; DCCE"),"",IF(AN8="Paid - DCCE Dollar",INDEX(AM131:AV131,1,11-MATCH(AS11,AM11:AV11,0)),IF(AN8="Paid - DCCE (by Ratio)",INDEX(AM170:AV170,1,11-MATCH(AS11,AM11:AV11,0)),IF(AN8="Incurred - DCCE Dollar",INDEX(AM274:AV274,1,11-MATCH(AS11,AM11:AV11,0)),IF(AN8="Incurred - DCCE (by Ratio)",INDEX(AM313:AV313,1,11-MATCH(AS11,AM11:AV11,0)),""))))))</f>
        <v/>
      </c>
      <c r="AT26" s="149" t="str">
        <f>IF(AND(OR(AN7="Incurred - Pure Loss",AN7="Paid - Pure Loss"),OR(AN8="",AN8="NA")),"ERROR",IF(OR(AN7="Paid - Loss &amp; DCCE",AN7="Incurred - Loss &amp; DCCE"),"",IF(AN8="Paid - DCCE Dollar",INDEX(AM131:AV131,1,11-MATCH(AT11,AM11:AV11,0)),IF(AN8="Paid - DCCE (by Ratio)",INDEX(AM170:AV170,1,11-MATCH(AT11,AM11:AV11,0)),IF(AN8="Incurred - DCCE Dollar",INDEX(AM274:AV274,1,11-MATCH(AT11,AM11:AV11,0)),IF(AN8="Incurred - DCCE (by Ratio)",INDEX(AM313:AV313,1,11-MATCH(AT11,AM11:AV11,0)),""))))))</f>
        <v/>
      </c>
      <c r="AU26" s="149" t="str">
        <f>IF(AND(OR(AN7="Incurred - Pure Loss",AN7="Paid - Pure Loss"),OR(AN8="",AN8="NA")),"ERROR",IF(OR(AN7="Paid - Loss &amp; DCCE",AN7="Incurred - Loss &amp; DCCE"),"",IF(AN8="Paid - DCCE Dollar",INDEX(AM131:AV131,1,11-MATCH(AU11,AM11:AV11,0)),IF(AN8="Paid - DCCE (by Ratio)",INDEX(AM170:AV170,1,11-MATCH(AU11,AM11:AV11,0)),IF(AN8="Incurred - DCCE Dollar",INDEX(AM274:AV274,1,11-MATCH(AU11,AM11:AV11,0)),IF(AN8="Incurred - DCCE (by Ratio)",INDEX(AM313:AV313,1,11-MATCH(AU11,AM11:AV11,0)),""))))))</f>
        <v/>
      </c>
      <c r="AV26" s="149" t="str">
        <f>IF(AND(OR(AN7="Incurred - Pure Loss",AN7="Paid - Pure Loss"),OR(AN8="",AN8="NA")),"ERROR",IF(OR(AN7="Paid - Loss &amp; DCCE",AN7="Incurred - Loss &amp; DCCE"),"",IF(AN8="Paid - DCCE Dollar",INDEX(AM131:AV131,1,11-MATCH(AV11,AM11:AV11,0)),IF(AN8="Paid - DCCE (by Ratio)",INDEX(AM170:AV170,1,11-MATCH(AV11,AM11:AV11,0)),IF(AN8="Incurred - DCCE Dollar",INDEX(AM274:AV274,1,11-MATCH(AV11,AM11:AV11,0)),IF(AN8="Incurred - DCCE (by Ratio)",INDEX(AM313:AV313,1,11-MATCH(AV11,AM11:AV11,0)),""))))))</f>
        <v/>
      </c>
      <c r="AW26" s="283" t="str">
        <f>IF(OR(AZ7="Paid - Loss &amp; DCCE",AZ7="Incurred - Loss &amp; DCCE"),"","DCCE")</f>
        <v>DCCE</v>
      </c>
      <c r="AX26" s="148"/>
      <c r="AY26" s="149" t="str">
        <f>IF(AND(OR(AZ7="Incurred - Pure Loss",AZ7="Paid - Pure Loss"),OR(AZ8="",AZ8="NA")),"ERROR",
IF(OR(AZ7="Paid - Loss &amp; DCCE",AZ7="Incurred - Loss &amp; DCCE"),"",
IF(AZ8="Paid - DCCE Dollar",INDEX(AY131:BH131,1,11-MATCH(AY11,AY11:BH11,0)),IF(AZ8="Paid - DCCE (by Ratio)",INDEX(AY170:BH170,1,11-MATCH(AY11,AY11:BH11,0)),IF(AZ8="Incurred - DCCE Dollar",INDEX(AY274:BH274,1,11-MATCH(AY11,AY11:BH11,0)),IF(AZ8="Incurred - DCCE (by Ratio)",INDEX(AY313:BH313,1,11-MATCH(AY11,AY11:BH11,0)),""))))))</f>
        <v/>
      </c>
      <c r="AZ26" s="149" t="str">
        <f>IF(AND(OR(AZ7="Incurred - Pure Loss",AZ7="Paid - Pure Loss"),OR(AZ8="",AZ8="NA")),"ERROR",IF(OR(AZ7="Paid - Loss &amp; DCCE",AZ7="Incurred - Loss &amp; DCCE"),"",IF(AZ8="Paid - DCCE Dollar",INDEX(AY131:BH131,1,11-MATCH(AZ11,AY11:BH11,0)),IF(AZ8="Paid - DCCE (by Ratio)",INDEX(AY170:BH170,1,11-MATCH(AZ11,AY11:BH11,0)),IF(AZ8="Incurred - DCCE Dollar",INDEX(AY274:BH274,1,11-MATCH(AZ11,AY11:BH11,0)),IF(AZ8="Incurred - DCCE (by Ratio)",INDEX(AY313:BH313,1,11-MATCH(AZ11,AY11:BH11,0)),""))))))</f>
        <v/>
      </c>
      <c r="BA26" s="149" t="str">
        <f>IF(AND(OR(AZ7="Incurred - Pure Loss",AZ7="Paid - Pure Loss"),OR(AZ8="",AZ8="NA")),"ERROR",IF(OR(AZ7="Paid - Loss &amp; DCCE",AZ7="Incurred - Loss &amp; DCCE"),"",IF(AZ8="Paid - DCCE Dollar",INDEX(AY131:BH131,1,11-MATCH(BA11,AY11:BH11,0)),IF(AZ8="Paid - DCCE (by Ratio)",INDEX(AY170:BH170,1,11-MATCH(BA11,AY11:BH11,0)),IF(AZ8="Incurred - DCCE Dollar",INDEX(AY274:BH274,1,11-MATCH(BA11,AY11:BH11,0)),IF(AZ8="Incurred - DCCE (by Ratio)",INDEX(AY313:BH313,1,11-MATCH(BA11,AY11:BH11,0)),""))))))</f>
        <v/>
      </c>
      <c r="BB26" s="149" t="str">
        <f>IF(AND(OR(AZ7="Incurred - Pure Loss",AZ7="Paid - Pure Loss"),OR(AZ8="",AZ8="NA")),"ERROR",IF(OR(AZ7="Paid - Loss &amp; DCCE",AZ7="Incurred - Loss &amp; DCCE"),"",IF(AZ8="Paid - DCCE Dollar",INDEX(AY131:BH131,1,11-MATCH(BB11,AY11:BH11,0)),IF(AZ8="Paid - DCCE (by Ratio)",INDEX(AY170:BH170,1,11-MATCH(BB11,AY11:BH11,0)),IF(AZ8="Incurred - DCCE Dollar",INDEX(AY274:BH274,1,11-MATCH(BB11,AY11:BH11,0)),IF(AZ8="Incurred - DCCE (by Ratio)",INDEX(AY313:BH313,1,11-MATCH(BB11,AY11:BH11,0)),""))))))</f>
        <v/>
      </c>
      <c r="BC26" s="149" t="str">
        <f>IF(AND(OR(AZ7="Incurred - Pure Loss",AZ7="Paid - Pure Loss"),OR(AZ8="",AZ8="NA")),"ERROR",IF(OR(AZ7="Paid - Loss &amp; DCCE",AZ7="Incurred - Loss &amp; DCCE"),"",IF(AZ8="Paid - DCCE Dollar",INDEX(AY131:BH131,1,11-MATCH(BC11,AY11:BH11,0)),IF(AZ8="Paid - DCCE (by Ratio)",INDEX(AY170:BH170,1,11-MATCH(BC11,AY11:BH11,0)),IF(AZ8="Incurred - DCCE Dollar",INDEX(AY274:BH274,1,11-MATCH(BC11,AY11:BH11,0)),IF(AZ8="Incurred - DCCE (by Ratio)",INDEX(AY313:BH313,1,11-MATCH(BC11,AY11:BH11,0)),""))))))</f>
        <v/>
      </c>
      <c r="BD26" s="149" t="str">
        <f>IF(AND(OR(AZ7="Incurred - Pure Loss",AZ7="Paid - Pure Loss"),OR(AZ8="",AZ8="NA")),"ERROR",IF(OR(AZ7="Paid - Loss &amp; DCCE",AZ7="Incurred - Loss &amp; DCCE"),"",IF(AZ8="Paid - DCCE Dollar",INDEX(AY131:BH131,1,11-MATCH(BD11,AY11:BH11,0)),IF(AZ8="Paid - DCCE (by Ratio)",INDEX(AY170:BH170,1,11-MATCH(BD11,AY11:BH11,0)),IF(AZ8="Incurred - DCCE Dollar",INDEX(AY274:BH274,1,11-MATCH(BD11,AY11:BH11,0)),IF(AZ8="Incurred - DCCE (by Ratio)",INDEX(AY313:BH313,1,11-MATCH(BD11,AY11:BH11,0)),""))))))</f>
        <v/>
      </c>
      <c r="BE26" s="149" t="str">
        <f>IF(AND(OR(AZ7="Incurred - Pure Loss",AZ7="Paid - Pure Loss"),OR(AZ8="",AZ8="NA")),"ERROR",IF(OR(AZ7="Paid - Loss &amp; DCCE",AZ7="Incurred - Loss &amp; DCCE"),"",IF(AZ8="Paid - DCCE Dollar",INDEX(AY131:BH131,1,11-MATCH(BE11,AY11:BH11,0)),IF(AZ8="Paid - DCCE (by Ratio)",INDEX(AY170:BH170,1,11-MATCH(BE11,AY11:BH11,0)),IF(AZ8="Incurred - DCCE Dollar",INDEX(AY274:BH274,1,11-MATCH(BE11,AY11:BH11,0)),IF(AZ8="Incurred - DCCE (by Ratio)",INDEX(AY313:BH313,1,11-MATCH(BE11,AY11:BH11,0)),""))))))</f>
        <v/>
      </c>
      <c r="BF26" s="149" t="str">
        <f>IF(AND(OR(AZ7="Incurred - Pure Loss",AZ7="Paid - Pure Loss"),OR(AZ8="",AZ8="NA")),"ERROR",IF(OR(AZ7="Paid - Loss &amp; DCCE",AZ7="Incurred - Loss &amp; DCCE"),"",IF(AZ8="Paid - DCCE Dollar",INDEX(AY131:BH131,1,11-MATCH(BF11,AY11:BH11,0)),IF(AZ8="Paid - DCCE (by Ratio)",INDEX(AY170:BH170,1,11-MATCH(BF11,AY11:BH11,0)),IF(AZ8="Incurred - DCCE Dollar",INDEX(AY274:BH274,1,11-MATCH(BF11,AY11:BH11,0)),IF(AZ8="Incurred - DCCE (by Ratio)",INDEX(AY313:BH313,1,11-MATCH(BF11,AY11:BH11,0)),""))))))</f>
        <v/>
      </c>
      <c r="BG26" s="149" t="str">
        <f>IF(AND(OR(AZ7="Incurred - Pure Loss",AZ7="Paid - Pure Loss"),OR(AZ8="",AZ8="NA")),"ERROR",IF(OR(AZ7="Paid - Loss &amp; DCCE",AZ7="Incurred - Loss &amp; DCCE"),"",IF(AZ8="Paid - DCCE Dollar",INDEX(AY131:BH131,1,11-MATCH(BG11,AY11:BH11,0)),IF(AZ8="Paid - DCCE (by Ratio)",INDEX(AY170:BH170,1,11-MATCH(BG11,AY11:BH11,0)),IF(AZ8="Incurred - DCCE Dollar",INDEX(AY274:BH274,1,11-MATCH(BG11,AY11:BH11,0)),IF(AZ8="Incurred - DCCE (by Ratio)",INDEX(AY313:BH313,1,11-MATCH(BG11,AY11:BH11,0)),""))))))</f>
        <v/>
      </c>
      <c r="BH26" s="149" t="str">
        <f>IF(AND(OR(AZ7="Incurred - Pure Loss",AZ7="Paid - Pure Loss"),OR(AZ8="",AZ8="NA")),"ERROR",IF(OR(AZ7="Paid - Loss &amp; DCCE",AZ7="Incurred - Loss &amp; DCCE"),"",IF(AZ8="Paid - DCCE Dollar",INDEX(AY131:BH131,1,11-MATCH(BH11,AY11:BH11,0)),IF(AZ8="Paid - DCCE (by Ratio)",INDEX(AY170:BH170,1,11-MATCH(BH11,AY11:BH11,0)),IF(AZ8="Incurred - DCCE Dollar",INDEX(AY274:BH274,1,11-MATCH(BH11,AY11:BH11,0)),IF(AZ8="Incurred - DCCE (by Ratio)",INDEX(AY313:BH313,1,11-MATCH(BH11,AY11:BH11,0)),""))))))</f>
        <v/>
      </c>
      <c r="BI26" s="283" t="str">
        <f>IF(OR(BL7="Paid - Loss &amp; DCCE",BL7="Incurred - Loss &amp; DCCE"),"","DCCE")</f>
        <v>DCCE</v>
      </c>
      <c r="BJ26" s="148"/>
      <c r="BK26" s="149" t="str">
        <f>IF(AND(OR(BL7="Incurred - Pure Loss",BL7="Paid - Pure Loss"),OR(BL8="",BL8="NA")),"ERROR",
IF(OR(BL7="Paid - Loss &amp; DCCE",BL7="Incurred - Loss &amp; DCCE"),"",
IF(BL8="Paid - DCCE Dollar",INDEX(BK131:BT131,1,11-MATCH(BK11,BK11:BT11,0)),IF(BL8="Paid - DCCE (by Ratio)",INDEX(BK170:BT170,1,11-MATCH(BK11,BK11:BT11,0)),IF(BL8="Incurred - DCCE Dollar",INDEX(BK274:BT274,1,11-MATCH(BK11,BK11:BT11,0)),IF(BL8="Incurred - DCCE (by Ratio)",INDEX(BK313:BT313,1,11-MATCH(BK11,BK11:BT11,0)),""))))))</f>
        <v/>
      </c>
      <c r="BL26" s="149" t="str">
        <f>IF(AND(OR(BL7="Incurred - Pure Loss",BL7="Paid - Pure Loss"),OR(BL8="",BL8="NA")),"ERROR",IF(OR(BL7="Paid - Loss &amp; DCCE",BL7="Incurred - Loss &amp; DCCE"),"",IF(BL8="Paid - DCCE Dollar",INDEX(BK131:BT131,1,11-MATCH(BL11,BK11:BT11,0)),IF(BL8="Paid - DCCE (by Ratio)",INDEX(BK170:BT170,1,11-MATCH(BL11,BK11:BT11,0)),IF(BL8="Incurred - DCCE Dollar",INDEX(BK274:BT274,1,11-MATCH(BL11,BK11:BT11,0)),IF(BL8="Incurred - DCCE (by Ratio)",INDEX(BK313:BT313,1,11-MATCH(BL11,BK11:BT11,0)),""))))))</f>
        <v/>
      </c>
      <c r="BM26" s="149" t="str">
        <f>IF(AND(OR(BL7="Incurred - Pure Loss",BL7="Paid - Pure Loss"),OR(BL8="",BL8="NA")),"ERROR",IF(OR(BL7="Paid - Loss &amp; DCCE",BL7="Incurred - Loss &amp; DCCE"),"",IF(BL8="Paid - DCCE Dollar",INDEX(BK131:BT131,1,11-MATCH(BM11,BK11:BT11,0)),IF(BL8="Paid - DCCE (by Ratio)",INDEX(BK170:BT170,1,11-MATCH(BM11,BK11:BT11,0)),IF(BL8="Incurred - DCCE Dollar",INDEX(BK274:BT274,1,11-MATCH(BM11,BK11:BT11,0)),IF(BL8="Incurred - DCCE (by Ratio)",INDEX(BK313:BT313,1,11-MATCH(BM11,BK11:BT11,0)),""))))))</f>
        <v/>
      </c>
      <c r="BN26" s="149" t="str">
        <f>IF(AND(OR(BL7="Incurred - Pure Loss",BL7="Paid - Pure Loss"),OR(BL8="",BL8="NA")),"ERROR",IF(OR(BL7="Paid - Loss &amp; DCCE",BL7="Incurred - Loss &amp; DCCE"),"",IF(BL8="Paid - DCCE Dollar",INDEX(BK131:BT131,1,11-MATCH(BN11,BK11:BT11,0)),IF(BL8="Paid - DCCE (by Ratio)",INDEX(BK170:BT170,1,11-MATCH(BN11,BK11:BT11,0)),IF(BL8="Incurred - DCCE Dollar",INDEX(BK274:BT274,1,11-MATCH(BN11,BK11:BT11,0)),IF(BL8="Incurred - DCCE (by Ratio)",INDEX(BK313:BT313,1,11-MATCH(BN11,BK11:BT11,0)),""))))))</f>
        <v/>
      </c>
      <c r="BO26" s="149" t="str">
        <f>IF(AND(OR(BL7="Incurred - Pure Loss",BL7="Paid - Pure Loss"),OR(BL8="",BL8="NA")),"ERROR",IF(OR(BL7="Paid - Loss &amp; DCCE",BL7="Incurred - Loss &amp; DCCE"),"",IF(BL8="Paid - DCCE Dollar",INDEX(BK131:BT131,1,11-MATCH(BO11,BK11:BT11,0)),IF(BL8="Paid - DCCE (by Ratio)",INDEX(BK170:BT170,1,11-MATCH(BO11,BK11:BT11,0)),IF(BL8="Incurred - DCCE Dollar",INDEX(BK274:BT274,1,11-MATCH(BO11,BK11:BT11,0)),IF(BL8="Incurred - DCCE (by Ratio)",INDEX(BK313:BT313,1,11-MATCH(BO11,BK11:BT11,0)),""))))))</f>
        <v/>
      </c>
      <c r="BP26" s="149" t="str">
        <f>IF(AND(OR(BL7="Incurred - Pure Loss",BL7="Paid - Pure Loss"),OR(BL8="",BL8="NA")),"ERROR",IF(OR(BL7="Paid - Loss &amp; DCCE",BL7="Incurred - Loss &amp; DCCE"),"",IF(BL8="Paid - DCCE Dollar",INDEX(BK131:BT131,1,11-MATCH(BP11,BK11:BT11,0)),IF(BL8="Paid - DCCE (by Ratio)",INDEX(BK170:BT170,1,11-MATCH(BP11,BK11:BT11,0)),IF(BL8="Incurred - DCCE Dollar",INDEX(BK274:BT274,1,11-MATCH(BP11,BK11:BT11,0)),IF(BL8="Incurred - DCCE (by Ratio)",INDEX(BK313:BT313,1,11-MATCH(BP11,BK11:BT11,0)),""))))))</f>
        <v/>
      </c>
      <c r="BQ26" s="149" t="str">
        <f>IF(AND(OR(BL7="Incurred - Pure Loss",BL7="Paid - Pure Loss"),OR(BL8="",BL8="NA")),"ERROR",IF(OR(BL7="Paid - Loss &amp; DCCE",BL7="Incurred - Loss &amp; DCCE"),"",IF(BL8="Paid - DCCE Dollar",INDEX(BK131:BT131,1,11-MATCH(BQ11,BK11:BT11,0)),IF(BL8="Paid - DCCE (by Ratio)",INDEX(BK170:BT170,1,11-MATCH(BQ11,BK11:BT11,0)),IF(BL8="Incurred - DCCE Dollar",INDEX(BK274:BT274,1,11-MATCH(BQ11,BK11:BT11,0)),IF(BL8="Incurred - DCCE (by Ratio)",INDEX(BK313:BT313,1,11-MATCH(BQ11,BK11:BT11,0)),""))))))</f>
        <v/>
      </c>
      <c r="BR26" s="149" t="str">
        <f>IF(AND(OR(BL7="Incurred - Pure Loss",BL7="Paid - Pure Loss"),OR(BL8="",BL8="NA")),"ERROR",IF(OR(BL7="Paid - Loss &amp; DCCE",BL7="Incurred - Loss &amp; DCCE"),"",IF(BL8="Paid - DCCE Dollar",INDEX(BK131:BT131,1,11-MATCH(BR11,BK11:BT11,0)),IF(BL8="Paid - DCCE (by Ratio)",INDEX(BK170:BT170,1,11-MATCH(BR11,BK11:BT11,0)),IF(BL8="Incurred - DCCE Dollar",INDEX(BK274:BT274,1,11-MATCH(BR11,BK11:BT11,0)),IF(BL8="Incurred - DCCE (by Ratio)",INDEX(BK313:BT313,1,11-MATCH(BR11,BK11:BT11,0)),""))))))</f>
        <v/>
      </c>
      <c r="BS26" s="149" t="str">
        <f>IF(AND(OR(BL7="Incurred - Pure Loss",BL7="Paid - Pure Loss"),OR(BL8="",BL8="NA")),"ERROR",IF(OR(BL7="Paid - Loss &amp; DCCE",BL7="Incurred - Loss &amp; DCCE"),"",IF(BL8="Paid - DCCE Dollar",INDEX(BK131:BT131,1,11-MATCH(BS11,BK11:BT11,0)),IF(BL8="Paid - DCCE (by Ratio)",INDEX(BK170:BT170,1,11-MATCH(BS11,BK11:BT11,0)),IF(BL8="Incurred - DCCE Dollar",INDEX(BK274:BT274,1,11-MATCH(BS11,BK11:BT11,0)),IF(BL8="Incurred - DCCE (by Ratio)",INDEX(BK313:BT313,1,11-MATCH(BS11,BK11:BT11,0)),""))))))</f>
        <v/>
      </c>
      <c r="BT26" s="149" t="str">
        <f>IF(AND(OR(BL7="Incurred - Pure Loss",BL7="Paid - Pure Loss"),OR(BL8="",BL8="NA")),"ERROR",IF(OR(BL7="Paid - Loss &amp; DCCE",BL7="Incurred - Loss &amp; DCCE"),"",IF(BL8="Paid - DCCE Dollar",INDEX(BK131:BT131,1,11-MATCH(BT11,BK11:BT11,0)),IF(BL8="Paid - DCCE (by Ratio)",INDEX(BK170:BT170,1,11-MATCH(BT11,BK11:BT11,0)),IF(BL8="Incurred - DCCE Dollar",INDEX(BK274:BT274,1,11-MATCH(BT11,BK11:BT11,0)),IF(BL8="Incurred - DCCE (by Ratio)",INDEX(BK313:BT313,1,11-MATCH(BT11,BK11:BT11,0)),""))))))</f>
        <v/>
      </c>
      <c r="BU26" s="283" t="str">
        <f>IF(OR(BX7="Paid - Loss &amp; DCCE",BX7="Incurred - Loss &amp; DCCE"),"","DCCE")</f>
        <v>DCCE</v>
      </c>
      <c r="BV26" s="148"/>
      <c r="BW26" s="149" t="str">
        <f>IF(AND(OR(BX7="Incurred - Pure Loss",BX7="Paid - Pure Loss"),OR(BX8="",BX8="NA")),"ERROR",
IF(OR(BX7="Paid - Loss &amp; DCCE",BX7="Incurred - Loss &amp; DCCE"),"",
IF(BX8="Paid - DCCE Dollar",INDEX(BW131:CF131,1,11-MATCH(BW11,BW11:CF11,0)),IF(BX8="Paid - DCCE (by Ratio)",INDEX(BW170:CF170,1,11-MATCH(BW11,BW11:CF11,0)),IF(BX8="Incurred - DCCE Dollar",INDEX(BW274:CF274,1,11-MATCH(BW11,BW11:CF11,0)),IF(BX8="Incurred - DCCE (by Ratio)",INDEX(BW313:CF313,1,11-MATCH(BW11,BW11:CF11,0)),""))))))</f>
        <v/>
      </c>
      <c r="BX26" s="149" t="str">
        <f>IF(AND(OR(BX7="Incurred - Pure Loss",BX7="Paid - Pure Loss"),OR(BX8="",BX8="NA")),"ERROR",IF(OR(BX7="Paid - Loss &amp; DCCE",BX7="Incurred - Loss &amp; DCCE"),"",IF(BX8="Paid - DCCE Dollar",INDEX(BW131:CF131,1,11-MATCH(BX11,BW11:CF11,0)),IF(BX8="Paid - DCCE (by Ratio)",INDEX(BW170:CF170,1,11-MATCH(BX11,BW11:CF11,0)),IF(BX8="Incurred - DCCE Dollar",INDEX(BW274:CF274,1,11-MATCH(BX11,BW11:CF11,0)),IF(BX8="Incurred - DCCE (by Ratio)",INDEX(BW313:CF313,1,11-MATCH(BX11,BW11:CF11,0)),""))))))</f>
        <v/>
      </c>
      <c r="BY26" s="149" t="str">
        <f>IF(AND(OR(BX7="Incurred - Pure Loss",BX7="Paid - Pure Loss"),OR(BX8="",BX8="NA")),"ERROR",IF(OR(BX7="Paid - Loss &amp; DCCE",BX7="Incurred - Loss &amp; DCCE"),"",IF(BX8="Paid - DCCE Dollar",INDEX(BW131:CF131,1,11-MATCH(BY11,BW11:CF11,0)),IF(BX8="Paid - DCCE (by Ratio)",INDEX(BW170:CF170,1,11-MATCH(BY11,BW11:CF11,0)),IF(BX8="Incurred - DCCE Dollar",INDEX(BW274:CF274,1,11-MATCH(BY11,BW11:CF11,0)),IF(BX8="Incurred - DCCE (by Ratio)",INDEX(BW313:CF313,1,11-MATCH(BY11,BW11:CF11,0)),""))))))</f>
        <v/>
      </c>
      <c r="BZ26" s="149" t="str">
        <f>IF(AND(OR(BX7="Incurred - Pure Loss",BX7="Paid - Pure Loss"),OR(BX8="",BX8="NA")),"ERROR",IF(OR(BX7="Paid - Loss &amp; DCCE",BX7="Incurred - Loss &amp; DCCE"),"",IF(BX8="Paid - DCCE Dollar",INDEX(BW131:CF131,1,11-MATCH(BZ11,BW11:CF11,0)),IF(BX8="Paid - DCCE (by Ratio)",INDEX(BW170:CF170,1,11-MATCH(BZ11,BW11:CF11,0)),IF(BX8="Incurred - DCCE Dollar",INDEX(BW274:CF274,1,11-MATCH(BZ11,BW11:CF11,0)),IF(BX8="Incurred - DCCE (by Ratio)",INDEX(BW313:CF313,1,11-MATCH(BZ11,BW11:CF11,0)),""))))))</f>
        <v/>
      </c>
      <c r="CA26" s="149" t="str">
        <f>IF(AND(OR(BX7="Incurred - Pure Loss",BX7="Paid - Pure Loss"),OR(BX8="",BX8="NA")),"ERROR",IF(OR(BX7="Paid - Loss &amp; DCCE",BX7="Incurred - Loss &amp; DCCE"),"",IF(BX8="Paid - DCCE Dollar",INDEX(BW131:CF131,1,11-MATCH(CA11,BW11:CF11,0)),IF(BX8="Paid - DCCE (by Ratio)",INDEX(BW170:CF170,1,11-MATCH(CA11,BW11:CF11,0)),IF(BX8="Incurred - DCCE Dollar",INDEX(BW274:CF274,1,11-MATCH(CA11,BW11:CF11,0)),IF(BX8="Incurred - DCCE (by Ratio)",INDEX(BW313:CF313,1,11-MATCH(CA11,BW11:CF11,0)),""))))))</f>
        <v/>
      </c>
      <c r="CB26" s="149" t="str">
        <f>IF(AND(OR(BX7="Incurred - Pure Loss",BX7="Paid - Pure Loss"),OR(BX8="",BX8="NA")),"ERROR",IF(OR(BX7="Paid - Loss &amp; DCCE",BX7="Incurred - Loss &amp; DCCE"),"",IF(BX8="Paid - DCCE Dollar",INDEX(BW131:CF131,1,11-MATCH(CB11,BW11:CF11,0)),IF(BX8="Paid - DCCE (by Ratio)",INDEX(BW170:CF170,1,11-MATCH(CB11,BW11:CF11,0)),IF(BX8="Incurred - DCCE Dollar",INDEX(BW274:CF274,1,11-MATCH(CB11,BW11:CF11,0)),IF(BX8="Incurred - DCCE (by Ratio)",INDEX(BW313:CF313,1,11-MATCH(CB11,BW11:CF11,0)),""))))))</f>
        <v/>
      </c>
      <c r="CC26" s="149" t="str">
        <f>IF(AND(OR(BX7="Incurred - Pure Loss",BX7="Paid - Pure Loss"),OR(BX8="",BX8="NA")),"ERROR",IF(OR(BX7="Paid - Loss &amp; DCCE",BX7="Incurred - Loss &amp; DCCE"),"",IF(BX8="Paid - DCCE Dollar",INDEX(BW131:CF131,1,11-MATCH(CC11,BW11:CF11,0)),IF(BX8="Paid - DCCE (by Ratio)",INDEX(BW170:CF170,1,11-MATCH(CC11,BW11:CF11,0)),IF(BX8="Incurred - DCCE Dollar",INDEX(BW274:CF274,1,11-MATCH(CC11,BW11:CF11,0)),IF(BX8="Incurred - DCCE (by Ratio)",INDEX(BW313:CF313,1,11-MATCH(CC11,BW11:CF11,0)),""))))))</f>
        <v/>
      </c>
      <c r="CD26" s="149" t="str">
        <f>IF(AND(OR(BX7="Incurred - Pure Loss",BX7="Paid - Pure Loss"),OR(BX8="",BX8="NA")),"ERROR",IF(OR(BX7="Paid - Loss &amp; DCCE",BX7="Incurred - Loss &amp; DCCE"),"",IF(BX8="Paid - DCCE Dollar",INDEX(BW131:CF131,1,11-MATCH(CD11,BW11:CF11,0)),IF(BX8="Paid - DCCE (by Ratio)",INDEX(BW170:CF170,1,11-MATCH(CD11,BW11:CF11,0)),IF(BX8="Incurred - DCCE Dollar",INDEX(BW274:CF274,1,11-MATCH(CD11,BW11:CF11,0)),IF(BX8="Incurred - DCCE (by Ratio)",INDEX(BW313:CF313,1,11-MATCH(CD11,BW11:CF11,0)),""))))))</f>
        <v/>
      </c>
      <c r="CE26" s="149" t="str">
        <f>IF(AND(OR(BX7="Incurred - Pure Loss",BX7="Paid - Pure Loss"),OR(BX8="",BX8="NA")),"ERROR",IF(OR(BX7="Paid - Loss &amp; DCCE",BX7="Incurred - Loss &amp; DCCE"),"",IF(BX8="Paid - DCCE Dollar",INDEX(BW131:CF131,1,11-MATCH(CE11,BW11:CF11,0)),IF(BX8="Paid - DCCE (by Ratio)",INDEX(BW170:CF170,1,11-MATCH(CE11,BW11:CF11,0)),IF(BX8="Incurred - DCCE Dollar",INDEX(BW274:CF274,1,11-MATCH(CE11,BW11:CF11,0)),IF(BX8="Incurred - DCCE (by Ratio)",INDEX(BW313:CF313,1,11-MATCH(CE11,BW11:CF11,0)),""))))))</f>
        <v/>
      </c>
      <c r="CF26" s="149" t="str">
        <f>IF(AND(OR(BX7="Incurred - Pure Loss",BX7="Paid - Pure Loss"),OR(BX8="",BX8="NA")),"ERROR",IF(OR(BX7="Paid - Loss &amp; DCCE",BX7="Incurred - Loss &amp; DCCE"),"",IF(BX8="Paid - DCCE Dollar",INDEX(BW131:CF131,1,11-MATCH(CF11,BW11:CF11,0)),IF(BX8="Paid - DCCE (by Ratio)",INDEX(BW170:CF170,1,11-MATCH(CF11,BW11:CF11,0)),IF(BX8="Incurred - DCCE Dollar",INDEX(BW274:CF274,1,11-MATCH(CF11,BW11:CF11,0)),IF(BX8="Incurred - DCCE (by Ratio)",INDEX(BW313:CF313,1,11-MATCH(CF11,BW11:CF11,0)),""))))))</f>
        <v/>
      </c>
      <c r="CG26" s="283" t="str">
        <f>IF(OR(CJ7="Paid - Loss &amp; DCCE",CJ7="Incurred - Loss &amp; DCCE"),"","DCCE")</f>
        <v>DCCE</v>
      </c>
      <c r="CH26" s="148"/>
      <c r="CI26" s="149" t="str">
        <f>IF(AND(OR(CJ7="Incurred - Pure Loss",CJ7="Paid - Pure Loss"),OR(CJ8="",CJ8="NA")),"ERROR",
IF(OR(CJ7="Paid - Loss &amp; DCCE",CJ7="Incurred - Loss &amp; DCCE"),"",
IF(CJ8="Paid - DCCE Dollar",INDEX(CI131:CR131,1,11-MATCH(CI11,CI11:CR11,0)),IF(CJ8="Paid - DCCE (by Ratio)",INDEX(CI170:CR170,1,11-MATCH(CI11,CI11:CR11,0)),IF(CJ8="Incurred - DCCE Dollar",INDEX(CI274:CR274,1,11-MATCH(CI11,CI11:CR11,0)),IF(CJ8="Incurred - DCCE (by Ratio)",INDEX(CI313:CR313,1,11-MATCH(CI11,CI11:CR11,0)),""))))))</f>
        <v/>
      </c>
      <c r="CJ26" s="149" t="str">
        <f>IF(AND(OR(CJ7="Incurred - Pure Loss",CJ7="Paid - Pure Loss"),OR(CJ8="",CJ8="NA")),"ERROR",IF(OR(CJ7="Paid - Loss &amp; DCCE",CJ7="Incurred - Loss &amp; DCCE"),"",IF(CJ8="Paid - DCCE Dollar",INDEX(CI131:CR131,1,11-MATCH(CJ11,CI11:CR11,0)),IF(CJ8="Paid - DCCE (by Ratio)",INDEX(CI170:CR170,1,11-MATCH(CJ11,CI11:CR11,0)),IF(CJ8="Incurred - DCCE Dollar",INDEX(CI274:CR274,1,11-MATCH(CJ11,CI11:CR11,0)),IF(CJ8="Incurred - DCCE (by Ratio)",INDEX(CI313:CR313,1,11-MATCH(CJ11,CI11:CR11,0)),""))))))</f>
        <v/>
      </c>
      <c r="CK26" s="149" t="str">
        <f>IF(AND(OR(CJ7="Incurred - Pure Loss",CJ7="Paid - Pure Loss"),OR(CJ8="",CJ8="NA")),"ERROR",IF(OR(CJ7="Paid - Loss &amp; DCCE",CJ7="Incurred - Loss &amp; DCCE"),"",IF(CJ8="Paid - DCCE Dollar",INDEX(CI131:CR131,1,11-MATCH(CK11,CI11:CR11,0)),IF(CJ8="Paid - DCCE (by Ratio)",INDEX(CI170:CR170,1,11-MATCH(CK11,CI11:CR11,0)),IF(CJ8="Incurred - DCCE Dollar",INDEX(CI274:CR274,1,11-MATCH(CK11,CI11:CR11,0)),IF(CJ8="Incurred - DCCE (by Ratio)",INDEX(CI313:CR313,1,11-MATCH(CK11,CI11:CR11,0)),""))))))</f>
        <v/>
      </c>
      <c r="CL26" s="149" t="str">
        <f>IF(AND(OR(CJ7="Incurred - Pure Loss",CJ7="Paid - Pure Loss"),OR(CJ8="",CJ8="NA")),"ERROR",IF(OR(CJ7="Paid - Loss &amp; DCCE",CJ7="Incurred - Loss &amp; DCCE"),"",IF(CJ8="Paid - DCCE Dollar",INDEX(CI131:CR131,1,11-MATCH(CL11,CI11:CR11,0)),IF(CJ8="Paid - DCCE (by Ratio)",INDEX(CI170:CR170,1,11-MATCH(CL11,CI11:CR11,0)),IF(CJ8="Incurred - DCCE Dollar",INDEX(CI274:CR274,1,11-MATCH(CL11,CI11:CR11,0)),IF(CJ8="Incurred - DCCE (by Ratio)",INDEX(CI313:CR313,1,11-MATCH(CL11,CI11:CR11,0)),""))))))</f>
        <v/>
      </c>
      <c r="CM26" s="149" t="str">
        <f>IF(AND(OR(CJ7="Incurred - Pure Loss",CJ7="Paid - Pure Loss"),OR(CJ8="",CJ8="NA")),"ERROR",IF(OR(CJ7="Paid - Loss &amp; DCCE",CJ7="Incurred - Loss &amp; DCCE"),"",IF(CJ8="Paid - DCCE Dollar",INDEX(CI131:CR131,1,11-MATCH(CM11,CI11:CR11,0)),IF(CJ8="Paid - DCCE (by Ratio)",INDEX(CI170:CR170,1,11-MATCH(CM11,CI11:CR11,0)),IF(CJ8="Incurred - DCCE Dollar",INDEX(CI274:CR274,1,11-MATCH(CM11,CI11:CR11,0)),IF(CJ8="Incurred - DCCE (by Ratio)",INDEX(CI313:CR313,1,11-MATCH(CM11,CI11:CR11,0)),""))))))</f>
        <v/>
      </c>
      <c r="CN26" s="149" t="str">
        <f>IF(AND(OR(CJ7="Incurred - Pure Loss",CJ7="Paid - Pure Loss"),OR(CJ8="",CJ8="NA")),"ERROR",IF(OR(CJ7="Paid - Loss &amp; DCCE",CJ7="Incurred - Loss &amp; DCCE"),"",IF(CJ8="Paid - DCCE Dollar",INDEX(CI131:CR131,1,11-MATCH(CN11,CI11:CR11,0)),IF(CJ8="Paid - DCCE (by Ratio)",INDEX(CI170:CR170,1,11-MATCH(CN11,CI11:CR11,0)),IF(CJ8="Incurred - DCCE Dollar",INDEX(CI274:CR274,1,11-MATCH(CN11,CI11:CR11,0)),IF(CJ8="Incurred - DCCE (by Ratio)",INDEX(CI313:CR313,1,11-MATCH(CN11,CI11:CR11,0)),""))))))</f>
        <v/>
      </c>
      <c r="CO26" s="149" t="str">
        <f>IF(AND(OR(CJ7="Incurred - Pure Loss",CJ7="Paid - Pure Loss"),OR(CJ8="",CJ8="NA")),"ERROR",IF(OR(CJ7="Paid - Loss &amp; DCCE",CJ7="Incurred - Loss &amp; DCCE"),"",IF(CJ8="Paid - DCCE Dollar",INDEX(CI131:CR131,1,11-MATCH(CO11,CI11:CR11,0)),IF(CJ8="Paid - DCCE (by Ratio)",INDEX(CI170:CR170,1,11-MATCH(CO11,CI11:CR11,0)),IF(CJ8="Incurred - DCCE Dollar",INDEX(CI274:CR274,1,11-MATCH(CO11,CI11:CR11,0)),IF(CJ8="Incurred - DCCE (by Ratio)",INDEX(CI313:CR313,1,11-MATCH(CO11,CI11:CR11,0)),""))))))</f>
        <v/>
      </c>
      <c r="CP26" s="149" t="str">
        <f>IF(AND(OR(CJ7="Incurred - Pure Loss",CJ7="Paid - Pure Loss"),OR(CJ8="",CJ8="NA")),"ERROR",IF(OR(CJ7="Paid - Loss &amp; DCCE",CJ7="Incurred - Loss &amp; DCCE"),"",IF(CJ8="Paid - DCCE Dollar",INDEX(CI131:CR131,1,11-MATCH(CP11,CI11:CR11,0)),IF(CJ8="Paid - DCCE (by Ratio)",INDEX(CI170:CR170,1,11-MATCH(CP11,CI11:CR11,0)),IF(CJ8="Incurred - DCCE Dollar",INDEX(CI274:CR274,1,11-MATCH(CP11,CI11:CR11,0)),IF(CJ8="Incurred - DCCE (by Ratio)",INDEX(CI313:CR313,1,11-MATCH(CP11,CI11:CR11,0)),""))))))</f>
        <v/>
      </c>
      <c r="CQ26" s="149" t="str">
        <f>IF(AND(OR(CJ7="Incurred - Pure Loss",CJ7="Paid - Pure Loss"),OR(CJ8="",CJ8="NA")),"ERROR",IF(OR(CJ7="Paid - Loss &amp; DCCE",CJ7="Incurred - Loss &amp; DCCE"),"",IF(CJ8="Paid - DCCE Dollar",INDEX(CI131:CR131,1,11-MATCH(CQ11,CI11:CR11,0)),IF(CJ8="Paid - DCCE (by Ratio)",INDEX(CI170:CR170,1,11-MATCH(CQ11,CI11:CR11,0)),IF(CJ8="Incurred - DCCE Dollar",INDEX(CI274:CR274,1,11-MATCH(CQ11,CI11:CR11,0)),IF(CJ8="Incurred - DCCE (by Ratio)",INDEX(CI313:CR313,1,11-MATCH(CQ11,CI11:CR11,0)),""))))))</f>
        <v/>
      </c>
      <c r="CR26" s="149" t="str">
        <f>IF(AND(OR(CJ7="Incurred - Pure Loss",CJ7="Paid - Pure Loss"),OR(CJ8="",CJ8="NA")),"ERROR",IF(OR(CJ7="Paid - Loss &amp; DCCE",CJ7="Incurred - Loss &amp; DCCE"),"",IF(CJ8="Paid - DCCE Dollar",INDEX(CI131:CR131,1,11-MATCH(CR11,CI11:CR11,0)),IF(CJ8="Paid - DCCE (by Ratio)",INDEX(CI170:CR170,1,11-MATCH(CR11,CI11:CR11,0)),IF(CJ8="Incurred - DCCE Dollar",INDEX(CI274:CR274,1,11-MATCH(CR11,CI11:CR11,0)),IF(CJ8="Incurred - DCCE (by Ratio)",INDEX(CI313:CR313,1,11-MATCH(CR11,CI11:CR11,0)),""))))))</f>
        <v/>
      </c>
      <c r="CS26" s="283" t="str">
        <f>IF(OR(CV7="Paid - Loss &amp; DCCE",CV7="Incurred - Loss &amp; DCCE"),"","DCCE")</f>
        <v>DCCE</v>
      </c>
      <c r="CT26" s="148"/>
      <c r="CU26" s="149" t="str">
        <f>IF(AND(OR(CV7="Incurred - Pure Loss",CV7="Paid - Pure Loss"),OR(CV8="",CV8="NA")),"ERROR",
IF(OR(CV7="Paid - Loss &amp; DCCE",CV7="Incurred - Loss &amp; DCCE"),"",
IF(CV8="Paid - DCCE Dollar",INDEX(CU131:DD131,1,11-MATCH(CU11,CU11:DD11,0)),IF(CV8="Paid - DCCE (by Ratio)",INDEX(CU170:DD170,1,11-MATCH(CU11,CU11:DD11,0)),IF(CV8="Incurred - DCCE Dollar",INDEX(CU274:DD274,1,11-MATCH(CU11,CU11:DD11,0)),IF(CV8="Incurred - DCCE (by Ratio)",INDEX(CU313:DD313,1,11-MATCH(CU11,CU11:DD11,0)),""))))))</f>
        <v/>
      </c>
      <c r="CV26" s="149" t="str">
        <f>IF(AND(OR(CV7="Incurred - Pure Loss",CV7="Paid - Pure Loss"),OR(CV8="",CV8="NA")),"ERROR",IF(OR(CV7="Paid - Loss &amp; DCCE",CV7="Incurred - Loss &amp; DCCE"),"",IF(CV8="Paid - DCCE Dollar",INDEX(CU131:DD131,1,11-MATCH(CV11,CU11:DD11,0)),IF(CV8="Paid - DCCE (by Ratio)",INDEX(CU170:DD170,1,11-MATCH(CV11,CU11:DD11,0)),IF(CV8="Incurred - DCCE Dollar",INDEX(CU274:DD274,1,11-MATCH(CV11,CU11:DD11,0)),IF(CV8="Incurred - DCCE (by Ratio)",INDEX(CU313:DD313,1,11-MATCH(CV11,CU11:DD11,0)),""))))))</f>
        <v/>
      </c>
      <c r="CW26" s="149" t="str">
        <f>IF(AND(OR(CV7="Incurred - Pure Loss",CV7="Paid - Pure Loss"),OR(CV8="",CV8="NA")),"ERROR",IF(OR(CV7="Paid - Loss &amp; DCCE",CV7="Incurred - Loss &amp; DCCE"),"",IF(CV8="Paid - DCCE Dollar",INDEX(CU131:DD131,1,11-MATCH(CW11,CU11:DD11,0)),IF(CV8="Paid - DCCE (by Ratio)",INDEX(CU170:DD170,1,11-MATCH(CW11,CU11:DD11,0)),IF(CV8="Incurred - DCCE Dollar",INDEX(CU274:DD274,1,11-MATCH(CW11,CU11:DD11,0)),IF(CV8="Incurred - DCCE (by Ratio)",INDEX(CU313:DD313,1,11-MATCH(CW11,CU11:DD11,0)),""))))))</f>
        <v/>
      </c>
      <c r="CX26" s="149" t="str">
        <f>IF(AND(OR(CV7="Incurred - Pure Loss",CV7="Paid - Pure Loss"),OR(CV8="",CV8="NA")),"ERROR",IF(OR(CV7="Paid - Loss &amp; DCCE",CV7="Incurred - Loss &amp; DCCE"),"",IF(CV8="Paid - DCCE Dollar",INDEX(CU131:DD131,1,11-MATCH(CX11,CU11:DD11,0)),IF(CV8="Paid - DCCE (by Ratio)",INDEX(CU170:DD170,1,11-MATCH(CX11,CU11:DD11,0)),IF(CV8="Incurred - DCCE Dollar",INDEX(CU274:DD274,1,11-MATCH(CX11,CU11:DD11,0)),IF(CV8="Incurred - DCCE (by Ratio)",INDEX(CU313:DD313,1,11-MATCH(CX11,CU11:DD11,0)),""))))))</f>
        <v/>
      </c>
      <c r="CY26" s="149" t="str">
        <f>IF(AND(OR(CV7="Incurred - Pure Loss",CV7="Paid - Pure Loss"),OR(CV8="",CV8="NA")),"ERROR",IF(OR(CV7="Paid - Loss &amp; DCCE",CV7="Incurred - Loss &amp; DCCE"),"",IF(CV8="Paid - DCCE Dollar",INDEX(CU131:DD131,1,11-MATCH(CY11,CU11:DD11,0)),IF(CV8="Paid - DCCE (by Ratio)",INDEX(CU170:DD170,1,11-MATCH(CY11,CU11:DD11,0)),IF(CV8="Incurred - DCCE Dollar",INDEX(CU274:DD274,1,11-MATCH(CY11,CU11:DD11,0)),IF(CV8="Incurred - DCCE (by Ratio)",INDEX(CU313:DD313,1,11-MATCH(CY11,CU11:DD11,0)),""))))))</f>
        <v/>
      </c>
      <c r="CZ26" s="149" t="str">
        <f>IF(AND(OR(CV7="Incurred - Pure Loss",CV7="Paid - Pure Loss"),OR(CV8="",CV8="NA")),"ERROR",IF(OR(CV7="Paid - Loss &amp; DCCE",CV7="Incurred - Loss &amp; DCCE"),"",IF(CV8="Paid - DCCE Dollar",INDEX(CU131:DD131,1,11-MATCH(CZ11,CU11:DD11,0)),IF(CV8="Paid - DCCE (by Ratio)",INDEX(CU170:DD170,1,11-MATCH(CZ11,CU11:DD11,0)),IF(CV8="Incurred - DCCE Dollar",INDEX(CU274:DD274,1,11-MATCH(CZ11,CU11:DD11,0)),IF(CV8="Incurred - DCCE (by Ratio)",INDEX(CU313:DD313,1,11-MATCH(CZ11,CU11:DD11,0)),""))))))</f>
        <v/>
      </c>
      <c r="DA26" s="149" t="str">
        <f>IF(AND(OR(CV7="Incurred - Pure Loss",CV7="Paid - Pure Loss"),OR(CV8="",CV8="NA")),"ERROR",IF(OR(CV7="Paid - Loss &amp; DCCE",CV7="Incurred - Loss &amp; DCCE"),"",IF(CV8="Paid - DCCE Dollar",INDEX(CU131:DD131,1,11-MATCH(DA11,CU11:DD11,0)),IF(CV8="Paid - DCCE (by Ratio)",INDEX(CU170:DD170,1,11-MATCH(DA11,CU11:DD11,0)),IF(CV8="Incurred - DCCE Dollar",INDEX(CU274:DD274,1,11-MATCH(DA11,CU11:DD11,0)),IF(CV8="Incurred - DCCE (by Ratio)",INDEX(CU313:DD313,1,11-MATCH(DA11,CU11:DD11,0)),""))))))</f>
        <v/>
      </c>
      <c r="DB26" s="149" t="str">
        <f>IF(AND(OR(CV7="Incurred - Pure Loss",CV7="Paid - Pure Loss"),OR(CV8="",CV8="NA")),"ERROR",IF(OR(CV7="Paid - Loss &amp; DCCE",CV7="Incurred - Loss &amp; DCCE"),"",IF(CV8="Paid - DCCE Dollar",INDEX(CU131:DD131,1,11-MATCH(DB11,CU11:DD11,0)),IF(CV8="Paid - DCCE (by Ratio)",INDEX(CU170:DD170,1,11-MATCH(DB11,CU11:DD11,0)),IF(CV8="Incurred - DCCE Dollar",INDEX(CU274:DD274,1,11-MATCH(DB11,CU11:DD11,0)),IF(CV8="Incurred - DCCE (by Ratio)",INDEX(CU313:DD313,1,11-MATCH(DB11,CU11:DD11,0)),""))))))</f>
        <v/>
      </c>
      <c r="DC26" s="149" t="str">
        <f>IF(AND(OR(CV7="Incurred - Pure Loss",CV7="Paid - Pure Loss"),OR(CV8="",CV8="NA")),"ERROR",IF(OR(CV7="Paid - Loss &amp; DCCE",CV7="Incurred - Loss &amp; DCCE"),"",IF(CV8="Paid - DCCE Dollar",INDEX(CU131:DD131,1,11-MATCH(DC11,CU11:DD11,0)),IF(CV8="Paid - DCCE (by Ratio)",INDEX(CU170:DD170,1,11-MATCH(DC11,CU11:DD11,0)),IF(CV8="Incurred - DCCE Dollar",INDEX(CU274:DD274,1,11-MATCH(DC11,CU11:DD11,0)),IF(CV8="Incurred - DCCE (by Ratio)",INDEX(CU313:DD313,1,11-MATCH(DC11,CU11:DD11,0)),""))))))</f>
        <v/>
      </c>
      <c r="DD26" s="149" t="str">
        <f>IF(AND(OR(CV7="Incurred - Pure Loss",CV7="Paid - Pure Loss"),OR(CV8="",CV8="NA")),"ERROR",IF(OR(CV7="Paid - Loss &amp; DCCE",CV7="Incurred - Loss &amp; DCCE"),"",IF(CV8="Paid - DCCE Dollar",INDEX(CU131:DD131,1,11-MATCH(DD11,CU11:DD11,0)),IF(CV8="Paid - DCCE (by Ratio)",INDEX(CU170:DD170,1,11-MATCH(DD11,CU11:DD11,0)),IF(CV8="Incurred - DCCE Dollar",INDEX(CU274:DD274,1,11-MATCH(DD11,CU11:DD11,0)),IF(CV8="Incurred - DCCE (by Ratio)",INDEX(CU313:DD313,1,11-MATCH(DD11,CU11:DD11,0)),""))))))</f>
        <v/>
      </c>
      <c r="DE26" s="283" t="str">
        <f>IF(OR(DH7="Paid - Loss &amp; DCCE",DH7="Incurred - Loss &amp; DCCE"),"","DCCE")</f>
        <v>DCCE</v>
      </c>
      <c r="DF26" s="148"/>
      <c r="DG26" s="149" t="str">
        <f>IF(AND(OR(DH7="Incurred - Pure Loss",DH7="Paid - Pure Loss"),OR(DH8="",DH8="NA")),"ERROR",
IF(OR(DH7="Paid - Loss &amp; DCCE",DH7="Incurred - Loss &amp; DCCE"),"",
IF(DH8="Paid - DCCE Dollar",INDEX(DG131:DP131,1,11-MATCH(DG11,DG11:DP11,0)),IF(DH8="Paid - DCCE (by Ratio)",INDEX(DG170:DP170,1,11-MATCH(DG11,DG11:DP11,0)),IF(DH8="Incurred - DCCE Dollar",INDEX(DG274:DP274,1,11-MATCH(DG11,DG11:DP11,0)),IF(DH8="Incurred - DCCE (by Ratio)",INDEX(DG313:DP313,1,11-MATCH(DG11,DG11:DP11,0)),""))))))</f>
        <v/>
      </c>
      <c r="DH26" s="149" t="str">
        <f>IF(AND(OR(DH7="Incurred - Pure Loss",DH7="Paid - Pure Loss"),OR(DH8="",DH8="NA")),"ERROR",IF(OR(DH7="Paid - Loss &amp; DCCE",DH7="Incurred - Loss &amp; DCCE"),"",IF(DH8="Paid - DCCE Dollar",INDEX(DG131:DP131,1,11-MATCH(DH11,DG11:DP11,0)),IF(DH8="Paid - DCCE (by Ratio)",INDEX(DG170:DP170,1,11-MATCH(DH11,DG11:DP11,0)),IF(DH8="Incurred - DCCE Dollar",INDEX(DG274:DP274,1,11-MATCH(DH11,DG11:DP11,0)),IF(DH8="Incurred - DCCE (by Ratio)",INDEX(DG313:DP313,1,11-MATCH(DH11,DG11:DP11,0)),""))))))</f>
        <v/>
      </c>
      <c r="DI26" s="149" t="str">
        <f>IF(AND(OR(DH7="Incurred - Pure Loss",DH7="Paid - Pure Loss"),OR(DH8="",DH8="NA")),"ERROR",IF(OR(DH7="Paid - Loss &amp; DCCE",DH7="Incurred - Loss &amp; DCCE"),"",IF(DH8="Paid - DCCE Dollar",INDEX(DG131:DP131,1,11-MATCH(DI11,DG11:DP11,0)),IF(DH8="Paid - DCCE (by Ratio)",INDEX(DG170:DP170,1,11-MATCH(DI11,DG11:DP11,0)),IF(DH8="Incurred - DCCE Dollar",INDEX(DG274:DP274,1,11-MATCH(DI11,DG11:DP11,0)),IF(DH8="Incurred - DCCE (by Ratio)",INDEX(DG313:DP313,1,11-MATCH(DI11,DG11:DP11,0)),""))))))</f>
        <v/>
      </c>
      <c r="DJ26" s="149" t="str">
        <f>IF(AND(OR(DH7="Incurred - Pure Loss",DH7="Paid - Pure Loss"),OR(DH8="",DH8="NA")),"ERROR",IF(OR(DH7="Paid - Loss &amp; DCCE",DH7="Incurred - Loss &amp; DCCE"),"",IF(DH8="Paid - DCCE Dollar",INDEX(DG131:DP131,1,11-MATCH(DJ11,DG11:DP11,0)),IF(DH8="Paid - DCCE (by Ratio)",INDEX(DG170:DP170,1,11-MATCH(DJ11,DG11:DP11,0)),IF(DH8="Incurred - DCCE Dollar",INDEX(DG274:DP274,1,11-MATCH(DJ11,DG11:DP11,0)),IF(DH8="Incurred - DCCE (by Ratio)",INDEX(DG313:DP313,1,11-MATCH(DJ11,DG11:DP11,0)),""))))))</f>
        <v/>
      </c>
      <c r="DK26" s="149" t="str">
        <f>IF(AND(OR(DH7="Incurred - Pure Loss",DH7="Paid - Pure Loss"),OR(DH8="",DH8="NA")),"ERROR",IF(OR(DH7="Paid - Loss &amp; DCCE",DH7="Incurred - Loss &amp; DCCE"),"",IF(DH8="Paid - DCCE Dollar",INDEX(DG131:DP131,1,11-MATCH(DK11,DG11:DP11,0)),IF(DH8="Paid - DCCE (by Ratio)",INDEX(DG170:DP170,1,11-MATCH(DK11,DG11:DP11,0)),IF(DH8="Incurred - DCCE Dollar",INDEX(DG274:DP274,1,11-MATCH(DK11,DG11:DP11,0)),IF(DH8="Incurred - DCCE (by Ratio)",INDEX(DG313:DP313,1,11-MATCH(DK11,DG11:DP11,0)),""))))))</f>
        <v/>
      </c>
      <c r="DL26" s="149" t="str">
        <f>IF(AND(OR(DH7="Incurred - Pure Loss",DH7="Paid - Pure Loss"),OR(DH8="",DH8="NA")),"ERROR",IF(OR(DH7="Paid - Loss &amp; DCCE",DH7="Incurred - Loss &amp; DCCE"),"",IF(DH8="Paid - DCCE Dollar",INDEX(DG131:DP131,1,11-MATCH(DL11,DG11:DP11,0)),IF(DH8="Paid - DCCE (by Ratio)",INDEX(DG170:DP170,1,11-MATCH(DL11,DG11:DP11,0)),IF(DH8="Incurred - DCCE Dollar",INDEX(DG274:DP274,1,11-MATCH(DL11,DG11:DP11,0)),IF(DH8="Incurred - DCCE (by Ratio)",INDEX(DG313:DP313,1,11-MATCH(DL11,DG11:DP11,0)),""))))))</f>
        <v/>
      </c>
      <c r="DM26" s="149" t="str">
        <f>IF(AND(OR(DH7="Incurred - Pure Loss",DH7="Paid - Pure Loss"),OR(DH8="",DH8="NA")),"ERROR",IF(OR(DH7="Paid - Loss &amp; DCCE",DH7="Incurred - Loss &amp; DCCE"),"",IF(DH8="Paid - DCCE Dollar",INDEX(DG131:DP131,1,11-MATCH(DM11,DG11:DP11,0)),IF(DH8="Paid - DCCE (by Ratio)",INDEX(DG170:DP170,1,11-MATCH(DM11,DG11:DP11,0)),IF(DH8="Incurred - DCCE Dollar",INDEX(DG274:DP274,1,11-MATCH(DM11,DG11:DP11,0)),IF(DH8="Incurred - DCCE (by Ratio)",INDEX(DG313:DP313,1,11-MATCH(DM11,DG11:DP11,0)),""))))))</f>
        <v/>
      </c>
      <c r="DN26" s="149" t="str">
        <f>IF(AND(OR(DH7="Incurred - Pure Loss",DH7="Paid - Pure Loss"),OR(DH8="",DH8="NA")),"ERROR",IF(OR(DH7="Paid - Loss &amp; DCCE",DH7="Incurred - Loss &amp; DCCE"),"",IF(DH8="Paid - DCCE Dollar",INDEX(DG131:DP131,1,11-MATCH(DN11,DG11:DP11,0)),IF(DH8="Paid - DCCE (by Ratio)",INDEX(DG170:DP170,1,11-MATCH(DN11,DG11:DP11,0)),IF(DH8="Incurred - DCCE Dollar",INDEX(DG274:DP274,1,11-MATCH(DN11,DG11:DP11,0)),IF(DH8="Incurred - DCCE (by Ratio)",INDEX(DG313:DP313,1,11-MATCH(DN11,DG11:DP11,0)),""))))))</f>
        <v/>
      </c>
      <c r="DO26" s="149" t="str">
        <f>IF(AND(OR(DH7="Incurred - Pure Loss",DH7="Paid - Pure Loss"),OR(DH8="",DH8="NA")),"ERROR",IF(OR(DH7="Paid - Loss &amp; DCCE",DH7="Incurred - Loss &amp; DCCE"),"",IF(DH8="Paid - DCCE Dollar",INDEX(DG131:DP131,1,11-MATCH(DO11,DG11:DP11,0)),IF(DH8="Paid - DCCE (by Ratio)",INDEX(DG170:DP170,1,11-MATCH(DO11,DG11:DP11,0)),IF(DH8="Incurred - DCCE Dollar",INDEX(DG274:DP274,1,11-MATCH(DO11,DG11:DP11,0)),IF(DH8="Incurred - DCCE (by Ratio)",INDEX(DG313:DP313,1,11-MATCH(DO11,DG11:DP11,0)),""))))))</f>
        <v/>
      </c>
      <c r="DP26" s="149" t="str">
        <f>IF(AND(OR(DH7="Incurred - Pure Loss",DH7="Paid - Pure Loss"),OR(DH8="",DH8="NA")),"ERROR",IF(OR(DH7="Paid - Loss &amp; DCCE",DH7="Incurred - Loss &amp; DCCE"),"",IF(DH8="Paid - DCCE Dollar",INDEX(DG131:DP131,1,11-MATCH(DP11,DG11:DP11,0)),IF(DH8="Paid - DCCE (by Ratio)",INDEX(DG170:DP170,1,11-MATCH(DP11,DG11:DP11,0)),IF(DH8="Incurred - DCCE Dollar",INDEX(DG274:DP274,1,11-MATCH(DP11,DG11:DP11,0)),IF(DH8="Incurred - DCCE (by Ratio)",INDEX(DG313:DP313,1,11-MATCH(DP11,DG11:DP11,0)),""))))))</f>
        <v/>
      </c>
    </row>
    <row r="27" spans="1:120" ht="15" customHeight="1" x14ac:dyDescent="0.25">
      <c r="A27" s="173"/>
      <c r="M27" s="173"/>
      <c r="Y27" s="173"/>
      <c r="AK27" s="173"/>
      <c r="AW27" s="173"/>
      <c r="BI27" s="173"/>
      <c r="BU27" s="173"/>
      <c r="CG27" s="173"/>
      <c r="CS27" s="173"/>
      <c r="DE27" s="173"/>
    </row>
    <row r="28" spans="1:120" ht="21" customHeight="1" x14ac:dyDescent="0.35">
      <c r="A28" s="137" t="str">
        <f>Co_Name</f>
        <v>State Farm General Insurance Company</v>
      </c>
      <c r="B28" s="68"/>
      <c r="C28" s="40"/>
      <c r="D28" s="18"/>
      <c r="E28" s="18"/>
      <c r="F28" s="18"/>
      <c r="G28" s="18"/>
      <c r="H28" s="18"/>
      <c r="I28" s="18"/>
      <c r="J28" s="18"/>
      <c r="K28" s="18"/>
      <c r="L28" s="18"/>
      <c r="M28" s="137" t="str">
        <f>Co_Name</f>
        <v>State Farm General Insurance Company</v>
      </c>
      <c r="N28" s="68"/>
      <c r="O28" s="40"/>
      <c r="P28" s="18"/>
      <c r="Q28" s="18"/>
      <c r="R28" s="18"/>
      <c r="S28" s="18"/>
      <c r="T28" s="18"/>
      <c r="U28" s="18"/>
      <c r="V28" s="18"/>
      <c r="W28" s="18"/>
      <c r="X28" s="18"/>
      <c r="Y28" s="137" t="str">
        <f>Co_Name</f>
        <v>State Farm General Insurance Company</v>
      </c>
      <c r="Z28" s="68"/>
      <c r="AA28" s="40"/>
      <c r="AB28" s="18"/>
      <c r="AC28" s="18"/>
      <c r="AD28" s="18"/>
      <c r="AE28" s="18"/>
      <c r="AF28" s="18"/>
      <c r="AG28" s="18"/>
      <c r="AH28" s="18"/>
      <c r="AI28" s="18"/>
      <c r="AJ28" s="18"/>
      <c r="AK28" s="137" t="str">
        <f>Co_Name</f>
        <v>State Farm General Insurance Company</v>
      </c>
      <c r="AL28" s="68"/>
      <c r="AM28" s="40"/>
      <c r="AN28" s="18"/>
      <c r="AO28" s="18"/>
      <c r="AP28" s="18"/>
      <c r="AQ28" s="18"/>
      <c r="AR28" s="18"/>
      <c r="AS28" s="18"/>
      <c r="AT28" s="18"/>
      <c r="AU28" s="18"/>
      <c r="AV28" s="18"/>
      <c r="AW28" s="137" t="str">
        <f>Co_Name</f>
        <v>State Farm General Insurance Company</v>
      </c>
      <c r="AX28" s="68"/>
      <c r="AY28" s="40"/>
      <c r="AZ28" s="18"/>
      <c r="BA28" s="18"/>
      <c r="BB28" s="18"/>
      <c r="BC28" s="18"/>
      <c r="BD28" s="18"/>
      <c r="BE28" s="18"/>
      <c r="BF28" s="18"/>
      <c r="BG28" s="18"/>
      <c r="BH28" s="18"/>
      <c r="BI28" s="137" t="str">
        <f>Co_Name</f>
        <v>State Farm General Insurance Company</v>
      </c>
      <c r="BJ28" s="68"/>
      <c r="BK28" s="40"/>
      <c r="BL28" s="18"/>
      <c r="BM28" s="18"/>
      <c r="BN28" s="18"/>
      <c r="BO28" s="18"/>
      <c r="BP28" s="18"/>
      <c r="BQ28" s="18"/>
      <c r="BR28" s="18"/>
      <c r="BS28" s="18"/>
      <c r="BT28" s="18"/>
      <c r="BU28" s="137" t="str">
        <f>Co_Name</f>
        <v>State Farm General Insurance Company</v>
      </c>
      <c r="BV28" s="68"/>
      <c r="BW28" s="40"/>
      <c r="BX28" s="18"/>
      <c r="BY28" s="18"/>
      <c r="BZ28" s="18"/>
      <c r="CA28" s="18"/>
      <c r="CB28" s="18"/>
      <c r="CC28" s="18"/>
      <c r="CD28" s="18"/>
      <c r="CE28" s="18"/>
      <c r="CF28" s="18"/>
      <c r="CG28" s="137" t="str">
        <f>Co_Name</f>
        <v>State Farm General Insurance Company</v>
      </c>
      <c r="CH28" s="68"/>
      <c r="CI28" s="40"/>
      <c r="CJ28" s="18"/>
      <c r="CK28" s="18"/>
      <c r="CL28" s="18"/>
      <c r="CM28" s="18"/>
      <c r="CN28" s="18"/>
      <c r="CO28" s="18"/>
      <c r="CP28" s="18"/>
      <c r="CQ28" s="18"/>
      <c r="CR28" s="18"/>
      <c r="CS28" s="137" t="str">
        <f>Co_Name</f>
        <v>State Farm General Insurance Company</v>
      </c>
      <c r="CT28" s="68"/>
      <c r="CU28" s="40"/>
      <c r="CV28" s="18"/>
      <c r="CW28" s="18"/>
      <c r="CX28" s="18"/>
      <c r="CY28" s="18"/>
      <c r="CZ28" s="18"/>
      <c r="DA28" s="18"/>
      <c r="DB28" s="18"/>
      <c r="DC28" s="18"/>
      <c r="DD28" s="18"/>
      <c r="DE28" s="137" t="str">
        <f>Co_Name</f>
        <v>State Farm General Insurance Company</v>
      </c>
      <c r="DF28" s="68"/>
      <c r="DG28" s="40"/>
      <c r="DH28" s="18"/>
      <c r="DI28" s="18"/>
      <c r="DJ28" s="18"/>
      <c r="DK28" s="18"/>
      <c r="DL28" s="18"/>
      <c r="DM28" s="18"/>
      <c r="DN28" s="18"/>
      <c r="DO28" s="18"/>
      <c r="DP28" s="18"/>
    </row>
    <row r="29" spans="1:120" ht="21" customHeight="1" x14ac:dyDescent="0.35">
      <c r="A29" s="137" t="str">
        <f>A$2</f>
        <v>Homeowners Multiple Peril</v>
      </c>
      <c r="B29" s="68"/>
      <c r="C29" s="40"/>
      <c r="D29" s="18"/>
      <c r="E29" s="18"/>
      <c r="F29" s="18"/>
      <c r="G29" s="18"/>
      <c r="H29" s="18"/>
      <c r="I29" s="18"/>
      <c r="J29" s="18"/>
      <c r="K29" s="18"/>
      <c r="L29" s="18"/>
      <c r="M29" s="288" t="str">
        <f>M$2</f>
        <v/>
      </c>
      <c r="N29" s="68"/>
      <c r="O29" s="40"/>
      <c r="P29" s="18"/>
      <c r="Q29" s="18"/>
      <c r="R29" s="18"/>
      <c r="S29" s="18"/>
      <c r="T29" s="18"/>
      <c r="U29" s="18"/>
      <c r="V29" s="18"/>
      <c r="W29" s="18"/>
      <c r="X29" s="18"/>
      <c r="Y29" s="137" t="str">
        <f>Y$2</f>
        <v/>
      </c>
      <c r="Z29" s="68"/>
      <c r="AA29" s="40"/>
      <c r="AB29" s="18"/>
      <c r="AC29" s="18"/>
      <c r="AD29" s="18"/>
      <c r="AE29" s="18"/>
      <c r="AF29" s="18"/>
      <c r="AG29" s="18"/>
      <c r="AH29" s="18"/>
      <c r="AI29" s="18"/>
      <c r="AJ29" s="18"/>
      <c r="AK29" s="137" t="str">
        <f>AK$2</f>
        <v/>
      </c>
      <c r="AL29" s="68"/>
      <c r="AM29" s="40"/>
      <c r="AN29" s="18"/>
      <c r="AO29" s="18"/>
      <c r="AP29" s="18"/>
      <c r="AQ29" s="18"/>
      <c r="AR29" s="18"/>
      <c r="AS29" s="18"/>
      <c r="AT29" s="18"/>
      <c r="AU29" s="18"/>
      <c r="AV29" s="18"/>
      <c r="AW29" s="137" t="str">
        <f>AW$2</f>
        <v/>
      </c>
      <c r="AX29" s="68"/>
      <c r="AY29" s="40"/>
      <c r="AZ29" s="18"/>
      <c r="BA29" s="18"/>
      <c r="BB29" s="18"/>
      <c r="BC29" s="18"/>
      <c r="BD29" s="18"/>
      <c r="BE29" s="18"/>
      <c r="BF29" s="18"/>
      <c r="BG29" s="18"/>
      <c r="BH29" s="18"/>
      <c r="BI29" s="137" t="str">
        <f>BI$2</f>
        <v/>
      </c>
      <c r="BJ29" s="68"/>
      <c r="BK29" s="40"/>
      <c r="BL29" s="18"/>
      <c r="BM29" s="18"/>
      <c r="BN29" s="18"/>
      <c r="BO29" s="18"/>
      <c r="BP29" s="18"/>
      <c r="BQ29" s="18"/>
      <c r="BR29" s="18"/>
      <c r="BS29" s="18"/>
      <c r="BT29" s="18"/>
      <c r="BU29" s="137" t="str">
        <f>BU$2</f>
        <v/>
      </c>
      <c r="BV29" s="68"/>
      <c r="BW29" s="40"/>
      <c r="BX29" s="18"/>
      <c r="BY29" s="18"/>
      <c r="BZ29" s="18"/>
      <c r="CA29" s="18"/>
      <c r="CB29" s="18"/>
      <c r="CC29" s="18"/>
      <c r="CD29" s="18"/>
      <c r="CE29" s="18"/>
      <c r="CF29" s="18"/>
      <c r="CG29" s="137" t="str">
        <f>CG$2</f>
        <v/>
      </c>
      <c r="CH29" s="68"/>
      <c r="CI29" s="40"/>
      <c r="CJ29" s="18"/>
      <c r="CK29" s="18"/>
      <c r="CL29" s="18"/>
      <c r="CM29" s="18"/>
      <c r="CN29" s="18"/>
      <c r="CO29" s="18"/>
      <c r="CP29" s="18"/>
      <c r="CQ29" s="18"/>
      <c r="CR29" s="18"/>
      <c r="CS29" s="137" t="str">
        <f>CS$2</f>
        <v/>
      </c>
      <c r="CT29" s="68"/>
      <c r="CU29" s="40"/>
      <c r="CV29" s="18"/>
      <c r="CW29" s="18"/>
      <c r="CX29" s="18"/>
      <c r="CY29" s="18"/>
      <c r="CZ29" s="18"/>
      <c r="DA29" s="18"/>
      <c r="DB29" s="18"/>
      <c r="DC29" s="18"/>
      <c r="DD29" s="18"/>
      <c r="DE29" s="137" t="str">
        <f>DE$2</f>
        <v/>
      </c>
      <c r="DF29" s="68"/>
      <c r="DG29" s="40"/>
      <c r="DH29" s="18"/>
      <c r="DI29" s="18"/>
      <c r="DJ29" s="18"/>
      <c r="DK29" s="18"/>
      <c r="DL29" s="18"/>
      <c r="DM29" s="18"/>
      <c r="DN29" s="18"/>
      <c r="DO29" s="18"/>
      <c r="DP29" s="18"/>
    </row>
    <row r="30" spans="1:120" ht="21" customHeight="1" x14ac:dyDescent="0.35">
      <c r="C30" s="40"/>
      <c r="M30" s="137"/>
      <c r="N30" s="68"/>
      <c r="O30" s="40"/>
      <c r="P30" s="18"/>
      <c r="Q30" s="18"/>
      <c r="R30" s="18"/>
      <c r="S30" s="18"/>
      <c r="T30" s="18"/>
      <c r="U30" s="18"/>
      <c r="V30" s="18"/>
      <c r="W30" s="18"/>
      <c r="X30" s="18"/>
      <c r="Y30" s="137"/>
      <c r="Z30" s="68"/>
      <c r="AA30" s="40"/>
      <c r="AB30" s="18"/>
      <c r="AC30" s="18"/>
      <c r="AD30" s="18"/>
      <c r="AE30" s="18"/>
      <c r="AF30" s="18"/>
      <c r="AG30" s="18"/>
      <c r="AH30" s="18"/>
      <c r="AI30" s="18"/>
      <c r="AJ30" s="18"/>
      <c r="AK30" s="137"/>
      <c r="AL30" s="68"/>
      <c r="AM30" s="40"/>
      <c r="AN30" s="18"/>
      <c r="AO30" s="18"/>
      <c r="AP30" s="18"/>
      <c r="AQ30" s="18"/>
      <c r="AR30" s="18"/>
      <c r="AS30" s="18"/>
      <c r="AT30" s="18"/>
      <c r="AU30" s="18"/>
      <c r="AV30" s="18"/>
      <c r="AW30" s="137"/>
      <c r="AX30" s="68"/>
      <c r="AY30" s="40"/>
      <c r="AZ30" s="18"/>
      <c r="BA30" s="18"/>
      <c r="BB30" s="18"/>
      <c r="BC30" s="18"/>
      <c r="BD30" s="18"/>
      <c r="BE30" s="18"/>
      <c r="BF30" s="18"/>
      <c r="BG30" s="18"/>
      <c r="BH30" s="18"/>
      <c r="BI30" s="137"/>
      <c r="BJ30" s="68"/>
      <c r="BK30" s="40"/>
      <c r="BL30" s="18"/>
      <c r="BM30" s="18"/>
      <c r="BN30" s="18"/>
      <c r="BO30" s="18"/>
      <c r="BP30" s="18"/>
      <c r="BQ30" s="18"/>
      <c r="BR30" s="18"/>
      <c r="BS30" s="18"/>
      <c r="BT30" s="18"/>
      <c r="BU30" s="137"/>
      <c r="BV30" s="68"/>
      <c r="BW30" s="40"/>
      <c r="BX30" s="18"/>
      <c r="BY30" s="18"/>
      <c r="BZ30" s="18"/>
      <c r="CA30" s="18"/>
      <c r="CB30" s="18"/>
      <c r="CC30" s="18"/>
      <c r="CD30" s="18"/>
      <c r="CE30" s="18"/>
      <c r="CF30" s="18"/>
      <c r="CG30" s="137"/>
      <c r="CH30" s="68"/>
      <c r="CI30" s="40"/>
      <c r="CJ30" s="18"/>
      <c r="CK30" s="18"/>
      <c r="CL30" s="18"/>
      <c r="CM30" s="18"/>
      <c r="CN30" s="18"/>
      <c r="CO30" s="18"/>
      <c r="CP30" s="18"/>
      <c r="CQ30" s="18"/>
      <c r="CR30" s="18"/>
      <c r="CS30" s="137"/>
      <c r="CT30" s="68"/>
      <c r="CU30" s="40"/>
      <c r="CV30" s="18"/>
      <c r="CW30" s="18"/>
      <c r="CX30" s="18"/>
      <c r="CY30" s="18"/>
      <c r="CZ30" s="18"/>
      <c r="DA30" s="18"/>
      <c r="DB30" s="18"/>
      <c r="DC30" s="18"/>
      <c r="DD30" s="18"/>
      <c r="DE30" s="137"/>
      <c r="DF30" s="68"/>
      <c r="DG30" s="40"/>
      <c r="DH30" s="18"/>
      <c r="DI30" s="18"/>
      <c r="DJ30" s="18"/>
      <c r="DK30" s="18"/>
      <c r="DL30" s="18"/>
      <c r="DM30" s="18"/>
      <c r="DN30" s="18"/>
      <c r="DO30" s="18"/>
      <c r="DP30" s="18"/>
    </row>
    <row r="31" spans="1:120" ht="21" x14ac:dyDescent="0.25">
      <c r="A31" s="48" t="s">
        <v>192</v>
      </c>
      <c r="B31" s="48"/>
      <c r="C31" s="18"/>
      <c r="D31" s="18"/>
      <c r="E31" s="18"/>
      <c r="F31" s="18"/>
      <c r="G31" s="18"/>
      <c r="H31" s="18"/>
      <c r="I31" s="18"/>
      <c r="J31" s="18"/>
      <c r="K31" s="18"/>
      <c r="L31" s="18"/>
      <c r="M31" s="48" t="s">
        <v>192</v>
      </c>
      <c r="N31" s="48"/>
      <c r="O31" s="18"/>
      <c r="P31" s="18"/>
      <c r="Q31" s="18"/>
      <c r="R31" s="18"/>
      <c r="S31" s="18"/>
      <c r="T31" s="18"/>
      <c r="U31" s="18"/>
      <c r="V31" s="18"/>
      <c r="W31" s="18"/>
      <c r="X31" s="18"/>
      <c r="Y31" s="48" t="s">
        <v>192</v>
      </c>
      <c r="Z31" s="48"/>
      <c r="AA31" s="18"/>
      <c r="AB31" s="18"/>
      <c r="AC31" s="18"/>
      <c r="AD31" s="18"/>
      <c r="AE31" s="18"/>
      <c r="AF31" s="18"/>
      <c r="AG31" s="18"/>
      <c r="AH31" s="18"/>
      <c r="AI31" s="18"/>
      <c r="AJ31" s="18"/>
      <c r="AK31" s="48" t="s">
        <v>192</v>
      </c>
      <c r="AL31" s="48"/>
      <c r="AM31" s="18"/>
      <c r="AN31" s="18"/>
      <c r="AO31" s="18"/>
      <c r="AP31" s="18"/>
      <c r="AQ31" s="18"/>
      <c r="AR31" s="18"/>
      <c r="AS31" s="18"/>
      <c r="AT31" s="18"/>
      <c r="AU31" s="18"/>
      <c r="AV31" s="18"/>
      <c r="AW31" s="48" t="s">
        <v>192</v>
      </c>
      <c r="AX31" s="48"/>
      <c r="AY31" s="18"/>
      <c r="AZ31" s="18"/>
      <c r="BA31" s="18"/>
      <c r="BB31" s="18"/>
      <c r="BC31" s="18"/>
      <c r="BD31" s="18"/>
      <c r="BE31" s="18"/>
      <c r="BF31" s="18"/>
      <c r="BG31" s="18"/>
      <c r="BH31" s="18"/>
      <c r="BI31" s="48" t="s">
        <v>192</v>
      </c>
      <c r="BJ31" s="48"/>
      <c r="BK31" s="18"/>
      <c r="BL31" s="18"/>
      <c r="BM31" s="18"/>
      <c r="BN31" s="18"/>
      <c r="BO31" s="18"/>
      <c r="BP31" s="18"/>
      <c r="BQ31" s="18"/>
      <c r="BR31" s="18"/>
      <c r="BS31" s="18"/>
      <c r="BT31" s="18"/>
      <c r="BU31" s="48" t="s">
        <v>192</v>
      </c>
      <c r="BV31" s="48"/>
      <c r="BW31" s="18"/>
      <c r="BX31" s="18"/>
      <c r="BY31" s="18"/>
      <c r="BZ31" s="18"/>
      <c r="CA31" s="18"/>
      <c r="CB31" s="18"/>
      <c r="CC31" s="18"/>
      <c r="CD31" s="18"/>
      <c r="CE31" s="18"/>
      <c r="CF31" s="18"/>
      <c r="CG31" s="48" t="s">
        <v>192</v>
      </c>
      <c r="CH31" s="48"/>
      <c r="CI31" s="18"/>
      <c r="CJ31" s="18"/>
      <c r="CK31" s="18"/>
      <c r="CL31" s="18"/>
      <c r="CM31" s="18"/>
      <c r="CN31" s="18"/>
      <c r="CO31" s="18"/>
      <c r="CP31" s="18"/>
      <c r="CQ31" s="18"/>
      <c r="CR31" s="18"/>
      <c r="CS31" s="48" t="s">
        <v>192</v>
      </c>
      <c r="CT31" s="48"/>
      <c r="CU31" s="18"/>
      <c r="CV31" s="18"/>
      <c r="CW31" s="18"/>
      <c r="CX31" s="18"/>
      <c r="CY31" s="18"/>
      <c r="CZ31" s="18"/>
      <c r="DA31" s="18"/>
      <c r="DB31" s="18"/>
      <c r="DC31" s="18"/>
      <c r="DD31" s="18"/>
      <c r="DE31" s="48" t="s">
        <v>192</v>
      </c>
      <c r="DF31" s="48"/>
      <c r="DG31" s="18"/>
      <c r="DH31" s="18"/>
      <c r="DI31" s="18"/>
      <c r="DJ31" s="18"/>
      <c r="DK31" s="18"/>
      <c r="DL31" s="18"/>
      <c r="DM31" s="18"/>
      <c r="DN31" s="18"/>
      <c r="DO31" s="18"/>
      <c r="DP31" s="18"/>
    </row>
    <row r="32" spans="1:120" x14ac:dyDescent="0.25">
      <c r="A32" s="138" t="str">
        <f>A$5</f>
        <v>Rental Dwelling</v>
      </c>
      <c r="B32" s="69"/>
      <c r="C32" s="18"/>
      <c r="D32" s="18"/>
      <c r="E32" s="18"/>
      <c r="F32" s="18"/>
      <c r="G32" s="18"/>
      <c r="H32" s="18"/>
      <c r="I32" s="18"/>
      <c r="J32" s="18"/>
      <c r="K32" s="18"/>
      <c r="L32" s="18"/>
      <c r="M32" s="138">
        <f>M$5</f>
        <v>0</v>
      </c>
      <c r="N32" s="69"/>
      <c r="O32" s="18"/>
      <c r="P32" s="18"/>
      <c r="Q32" s="18"/>
      <c r="R32" s="18"/>
      <c r="S32" s="18"/>
      <c r="T32" s="18"/>
      <c r="U32" s="18"/>
      <c r="V32" s="18"/>
      <c r="W32" s="18"/>
      <c r="X32" s="18"/>
      <c r="Y32" s="138">
        <f>Y$5</f>
        <v>0</v>
      </c>
      <c r="Z32" s="69"/>
      <c r="AA32" s="18"/>
      <c r="AB32" s="18"/>
      <c r="AC32" s="18"/>
      <c r="AD32" s="18"/>
      <c r="AE32" s="18"/>
      <c r="AF32" s="18"/>
      <c r="AG32" s="18"/>
      <c r="AH32" s="18"/>
      <c r="AI32" s="18"/>
      <c r="AJ32" s="18"/>
      <c r="AK32" s="138">
        <f>AK$5</f>
        <v>0</v>
      </c>
      <c r="AL32" s="69"/>
      <c r="AM32" s="18"/>
      <c r="AN32" s="18"/>
      <c r="AO32" s="18"/>
      <c r="AP32" s="18"/>
      <c r="AQ32" s="18"/>
      <c r="AR32" s="18"/>
      <c r="AS32" s="18"/>
      <c r="AT32" s="18"/>
      <c r="AU32" s="18"/>
      <c r="AV32" s="18"/>
      <c r="AW32" s="138">
        <f>AW$5</f>
        <v>0</v>
      </c>
      <c r="AX32" s="69"/>
      <c r="AY32" s="18"/>
      <c r="AZ32" s="18"/>
      <c r="BA32" s="18"/>
      <c r="BB32" s="18"/>
      <c r="BC32" s="18"/>
      <c r="BD32" s="18"/>
      <c r="BE32" s="18"/>
      <c r="BF32" s="18"/>
      <c r="BG32" s="18"/>
      <c r="BH32" s="18"/>
      <c r="BI32" s="138">
        <f>BI$5</f>
        <v>0</v>
      </c>
      <c r="BJ32" s="69"/>
      <c r="BK32" s="18"/>
      <c r="BL32" s="18"/>
      <c r="BM32" s="18"/>
      <c r="BN32" s="18"/>
      <c r="BO32" s="18"/>
      <c r="BP32" s="18"/>
      <c r="BQ32" s="18"/>
      <c r="BR32" s="18"/>
      <c r="BS32" s="18"/>
      <c r="BT32" s="18"/>
      <c r="BU32" s="138">
        <f>BU$5</f>
        <v>0</v>
      </c>
      <c r="BV32" s="69"/>
      <c r="BW32" s="18"/>
      <c r="BX32" s="18"/>
      <c r="BY32" s="18"/>
      <c r="BZ32" s="18"/>
      <c r="CA32" s="18"/>
      <c r="CB32" s="18"/>
      <c r="CC32" s="18"/>
      <c r="CD32" s="18"/>
      <c r="CE32" s="18"/>
      <c r="CF32" s="18"/>
      <c r="CG32" s="138">
        <f>CG$5</f>
        <v>0</v>
      </c>
      <c r="CH32" s="69"/>
      <c r="CI32" s="18"/>
      <c r="CJ32" s="18"/>
      <c r="CK32" s="18"/>
      <c r="CL32" s="18"/>
      <c r="CM32" s="18"/>
      <c r="CN32" s="18"/>
      <c r="CO32" s="18"/>
      <c r="CP32" s="18"/>
      <c r="CQ32" s="18"/>
      <c r="CR32" s="18"/>
      <c r="CS32" s="138">
        <f>CS$5</f>
        <v>0</v>
      </c>
      <c r="CT32" s="69"/>
      <c r="CU32" s="18"/>
      <c r="CV32" s="18"/>
      <c r="CW32" s="18"/>
      <c r="CX32" s="18"/>
      <c r="CY32" s="18"/>
      <c r="CZ32" s="18"/>
      <c r="DA32" s="18"/>
      <c r="DB32" s="18"/>
      <c r="DC32" s="18"/>
      <c r="DD32" s="18"/>
      <c r="DE32" s="138">
        <f>DE$5</f>
        <v>0</v>
      </c>
      <c r="DF32" s="69"/>
      <c r="DG32" s="18"/>
      <c r="DH32" s="18"/>
      <c r="DI32" s="18"/>
      <c r="DJ32" s="18"/>
      <c r="DK32" s="18"/>
      <c r="DL32" s="18"/>
      <c r="DM32" s="18"/>
      <c r="DN32" s="18"/>
      <c r="DO32" s="18"/>
      <c r="DP32" s="18"/>
    </row>
    <row r="33" spans="1:120" ht="15" customHeight="1" x14ac:dyDescent="0.25">
      <c r="A33" s="3"/>
      <c r="B33" s="3"/>
      <c r="C33" s="18"/>
      <c r="D33" s="18"/>
      <c r="E33" s="18"/>
      <c r="F33" s="18"/>
      <c r="G33" s="18"/>
      <c r="H33" s="18"/>
      <c r="I33" s="18"/>
      <c r="J33" s="18"/>
      <c r="K33" s="18"/>
      <c r="L33" s="18"/>
      <c r="M33" s="3"/>
      <c r="N33" s="3"/>
      <c r="O33" s="18"/>
      <c r="P33" s="18"/>
      <c r="Q33" s="18"/>
      <c r="R33" s="18"/>
      <c r="S33" s="18"/>
      <c r="T33" s="18"/>
      <c r="U33" s="18"/>
      <c r="V33" s="18"/>
      <c r="W33" s="18"/>
      <c r="X33" s="18"/>
      <c r="Y33" s="3"/>
      <c r="Z33" s="3"/>
      <c r="AA33" s="18"/>
      <c r="AB33" s="18"/>
      <c r="AC33" s="18"/>
      <c r="AD33" s="18"/>
      <c r="AE33" s="18"/>
      <c r="AF33" s="18"/>
      <c r="AG33" s="18"/>
      <c r="AH33" s="18"/>
      <c r="AI33" s="18"/>
      <c r="AJ33" s="18"/>
      <c r="AK33" s="3"/>
      <c r="AL33" s="3"/>
      <c r="AM33" s="18"/>
      <c r="AN33" s="18"/>
      <c r="AO33" s="18"/>
      <c r="AP33" s="18"/>
      <c r="AQ33" s="18"/>
      <c r="AR33" s="18"/>
      <c r="AS33" s="18"/>
      <c r="AT33" s="18"/>
      <c r="AU33" s="18"/>
      <c r="AV33" s="18"/>
      <c r="AW33" s="3"/>
      <c r="AX33" s="3"/>
      <c r="AY33" s="18"/>
      <c r="AZ33" s="18"/>
      <c r="BA33" s="18"/>
      <c r="BB33" s="18"/>
      <c r="BC33" s="18"/>
      <c r="BD33" s="18"/>
      <c r="BE33" s="18"/>
      <c r="BF33" s="18"/>
      <c r="BG33" s="18"/>
      <c r="BH33" s="18"/>
      <c r="BI33" s="3"/>
      <c r="BJ33" s="3"/>
      <c r="BK33" s="18"/>
      <c r="BL33" s="18"/>
      <c r="BM33" s="18"/>
      <c r="BN33" s="18"/>
      <c r="BO33" s="18"/>
      <c r="BP33" s="18"/>
      <c r="BQ33" s="18"/>
      <c r="BR33" s="18"/>
      <c r="BS33" s="18"/>
      <c r="BT33" s="18"/>
      <c r="BU33" s="3"/>
      <c r="BV33" s="3"/>
      <c r="BW33" s="18"/>
      <c r="BX33" s="18"/>
      <c r="BY33" s="18"/>
      <c r="BZ33" s="18"/>
      <c r="CA33" s="18"/>
      <c r="CB33" s="18"/>
      <c r="CC33" s="18"/>
      <c r="CD33" s="18"/>
      <c r="CE33" s="18"/>
      <c r="CF33" s="18"/>
      <c r="CG33" s="3"/>
      <c r="CH33" s="3"/>
      <c r="CI33" s="18"/>
      <c r="CJ33" s="18"/>
      <c r="CK33" s="18"/>
      <c r="CL33" s="18"/>
      <c r="CM33" s="18"/>
      <c r="CN33" s="18"/>
      <c r="CO33" s="18"/>
      <c r="CP33" s="18"/>
      <c r="CQ33" s="18"/>
      <c r="CR33" s="18"/>
      <c r="CS33" s="3"/>
      <c r="CT33" s="3"/>
      <c r="CU33" s="18"/>
      <c r="CV33" s="18"/>
      <c r="CW33" s="18"/>
      <c r="CX33" s="18"/>
      <c r="CY33" s="18"/>
      <c r="CZ33" s="18"/>
      <c r="DA33" s="18"/>
      <c r="DB33" s="18"/>
      <c r="DC33" s="18"/>
      <c r="DD33" s="18"/>
      <c r="DE33" s="3"/>
      <c r="DF33" s="3"/>
      <c r="DG33" s="18"/>
      <c r="DH33" s="18"/>
      <c r="DI33" s="18"/>
      <c r="DJ33" s="18"/>
      <c r="DK33" s="18"/>
      <c r="DL33" s="18"/>
      <c r="DM33" s="18"/>
      <c r="DN33" s="18"/>
      <c r="DO33" s="18"/>
      <c r="DP33" s="18"/>
    </row>
    <row r="34" spans="1:120" x14ac:dyDescent="0.25">
      <c r="A34" s="102"/>
      <c r="B34" s="129"/>
      <c r="C34" s="129" t="s">
        <v>4</v>
      </c>
      <c r="D34" s="103"/>
      <c r="E34" s="103"/>
      <c r="F34" s="103"/>
      <c r="G34" s="103"/>
      <c r="H34" s="103"/>
      <c r="I34" s="103"/>
      <c r="J34" s="103"/>
      <c r="K34" s="103"/>
      <c r="L34" s="103"/>
      <c r="M34" s="102"/>
      <c r="N34" s="129"/>
      <c r="O34" s="129" t="s">
        <v>4</v>
      </c>
      <c r="P34" s="103"/>
      <c r="Q34" s="103"/>
      <c r="R34" s="103"/>
      <c r="S34" s="103"/>
      <c r="T34" s="103"/>
      <c r="U34" s="103"/>
      <c r="V34" s="103"/>
      <c r="W34" s="103"/>
      <c r="X34" s="103"/>
      <c r="Y34" s="102"/>
      <c r="Z34" s="129"/>
      <c r="AA34" s="129" t="s">
        <v>4</v>
      </c>
      <c r="AB34" s="103"/>
      <c r="AC34" s="103"/>
      <c r="AD34" s="103"/>
      <c r="AE34" s="103"/>
      <c r="AF34" s="103"/>
      <c r="AG34" s="103"/>
      <c r="AH34" s="103"/>
      <c r="AI34" s="103"/>
      <c r="AJ34" s="103"/>
      <c r="AK34" s="102"/>
      <c r="AL34" s="129"/>
      <c r="AM34" s="129" t="s">
        <v>4</v>
      </c>
      <c r="AN34" s="103"/>
      <c r="AO34" s="103"/>
      <c r="AP34" s="103"/>
      <c r="AQ34" s="103"/>
      <c r="AR34" s="103"/>
      <c r="AS34" s="103"/>
      <c r="AT34" s="103"/>
      <c r="AU34" s="103"/>
      <c r="AV34" s="103"/>
      <c r="AW34" s="102"/>
      <c r="AX34" s="129"/>
      <c r="AY34" s="129" t="s">
        <v>4</v>
      </c>
      <c r="AZ34" s="103"/>
      <c r="BA34" s="103"/>
      <c r="BB34" s="103"/>
      <c r="BC34" s="103"/>
      <c r="BD34" s="103"/>
      <c r="BE34" s="103"/>
      <c r="BF34" s="103"/>
      <c r="BG34" s="103"/>
      <c r="BH34" s="103"/>
      <c r="BI34" s="102"/>
      <c r="BJ34" s="129"/>
      <c r="BK34" s="129" t="s">
        <v>4</v>
      </c>
      <c r="BL34" s="103"/>
      <c r="BM34" s="103"/>
      <c r="BN34" s="103"/>
      <c r="BO34" s="103"/>
      <c r="BP34" s="103"/>
      <c r="BQ34" s="103"/>
      <c r="BR34" s="103"/>
      <c r="BS34" s="103"/>
      <c r="BT34" s="103"/>
      <c r="BU34" s="102"/>
      <c r="BV34" s="129"/>
      <c r="BW34" s="129" t="s">
        <v>4</v>
      </c>
      <c r="BX34" s="103"/>
      <c r="BY34" s="103"/>
      <c r="BZ34" s="103"/>
      <c r="CA34" s="103"/>
      <c r="CB34" s="103"/>
      <c r="CC34" s="103"/>
      <c r="CD34" s="103"/>
      <c r="CE34" s="103"/>
      <c r="CF34" s="103"/>
      <c r="CG34" s="102"/>
      <c r="CH34" s="129"/>
      <c r="CI34" s="129" t="s">
        <v>4</v>
      </c>
      <c r="CJ34" s="103"/>
      <c r="CK34" s="103"/>
      <c r="CL34" s="103"/>
      <c r="CM34" s="103"/>
      <c r="CN34" s="103"/>
      <c r="CO34" s="103"/>
      <c r="CP34" s="103"/>
      <c r="CQ34" s="103"/>
      <c r="CR34" s="103"/>
      <c r="CS34" s="102"/>
      <c r="CT34" s="129"/>
      <c r="CU34" s="129" t="s">
        <v>4</v>
      </c>
      <c r="CV34" s="103"/>
      <c r="CW34" s="103"/>
      <c r="CX34" s="103"/>
      <c r="CY34" s="103"/>
      <c r="CZ34" s="103"/>
      <c r="DA34" s="103"/>
      <c r="DB34" s="103"/>
      <c r="DC34" s="103"/>
      <c r="DD34" s="103"/>
      <c r="DE34" s="102"/>
      <c r="DF34" s="129"/>
      <c r="DG34" s="129" t="s">
        <v>4</v>
      </c>
      <c r="DH34" s="103"/>
      <c r="DI34" s="103"/>
      <c r="DJ34" s="103"/>
      <c r="DK34" s="103"/>
      <c r="DL34" s="103"/>
      <c r="DM34" s="103"/>
      <c r="DN34" s="103"/>
      <c r="DO34" s="103"/>
      <c r="DP34" s="103"/>
    </row>
    <row r="35" spans="1:120" x14ac:dyDescent="0.25">
      <c r="A35" s="210" t="str">
        <f>"Fiscal "&amp;AggMethod&amp;" Ending"</f>
        <v>Fiscal Accident Year Data Ending</v>
      </c>
      <c r="B35" s="98">
        <f>C35-12</f>
        <v>0</v>
      </c>
      <c r="C35" s="209" t="str">
        <f>IF(Mos_Devt=3, "15","12")</f>
        <v>12</v>
      </c>
      <c r="D35" s="20">
        <f>C35+12</f>
        <v>24</v>
      </c>
      <c r="E35" s="20">
        <f t="shared" ref="E35" si="73">D35+12</f>
        <v>36</v>
      </c>
      <c r="F35" s="20">
        <f t="shared" ref="F35" si="74">E35+12</f>
        <v>48</v>
      </c>
      <c r="G35" s="20">
        <f t="shared" ref="G35" si="75">F35+12</f>
        <v>60</v>
      </c>
      <c r="H35" s="20">
        <f t="shared" ref="H35" si="76">G35+12</f>
        <v>72</v>
      </c>
      <c r="I35" s="20">
        <f t="shared" ref="I35" si="77">H35+12</f>
        <v>84</v>
      </c>
      <c r="J35" s="20">
        <f t="shared" ref="J35" si="78">I35+12</f>
        <v>96</v>
      </c>
      <c r="K35" s="20">
        <f t="shared" ref="K35" si="79">J35+12</f>
        <v>108</v>
      </c>
      <c r="L35" s="20">
        <f t="shared" ref="L35" si="80">K35+12</f>
        <v>120</v>
      </c>
      <c r="M35" s="210" t="str">
        <f>"Fiscal "&amp;AggMethod&amp;" Ending"</f>
        <v>Fiscal Accident Year Data Ending</v>
      </c>
      <c r="N35" s="98">
        <f>O35-12</f>
        <v>0</v>
      </c>
      <c r="O35" s="209" t="str">
        <f>IF(Mos_Devt=3, "15","12")</f>
        <v>12</v>
      </c>
      <c r="P35" s="20">
        <f>O35+12</f>
        <v>24</v>
      </c>
      <c r="Q35" s="20">
        <f t="shared" ref="Q35" si="81">P35+12</f>
        <v>36</v>
      </c>
      <c r="R35" s="20">
        <f t="shared" ref="R35" si="82">Q35+12</f>
        <v>48</v>
      </c>
      <c r="S35" s="20">
        <f t="shared" ref="S35" si="83">R35+12</f>
        <v>60</v>
      </c>
      <c r="T35" s="20">
        <f t="shared" ref="T35" si="84">S35+12</f>
        <v>72</v>
      </c>
      <c r="U35" s="20">
        <f t="shared" ref="U35" si="85">T35+12</f>
        <v>84</v>
      </c>
      <c r="V35" s="20">
        <f t="shared" ref="V35" si="86">U35+12</f>
        <v>96</v>
      </c>
      <c r="W35" s="20">
        <f t="shared" ref="W35" si="87">V35+12</f>
        <v>108</v>
      </c>
      <c r="X35" s="20">
        <f t="shared" ref="X35" si="88">W35+12</f>
        <v>120</v>
      </c>
      <c r="Y35" s="210" t="str">
        <f>"Fiscal "&amp;AggMethod&amp;" Ending"</f>
        <v>Fiscal Accident Year Data Ending</v>
      </c>
      <c r="Z35" s="98">
        <f>AA35-12</f>
        <v>0</v>
      </c>
      <c r="AA35" s="209" t="str">
        <f>IF(Mos_Devt=3, "15","12")</f>
        <v>12</v>
      </c>
      <c r="AB35" s="20">
        <f>AA35+12</f>
        <v>24</v>
      </c>
      <c r="AC35" s="20">
        <f t="shared" ref="AC35" si="89">AB35+12</f>
        <v>36</v>
      </c>
      <c r="AD35" s="20">
        <f t="shared" ref="AD35" si="90">AC35+12</f>
        <v>48</v>
      </c>
      <c r="AE35" s="20">
        <f t="shared" ref="AE35" si="91">AD35+12</f>
        <v>60</v>
      </c>
      <c r="AF35" s="20">
        <f t="shared" ref="AF35" si="92">AE35+12</f>
        <v>72</v>
      </c>
      <c r="AG35" s="20">
        <f t="shared" ref="AG35" si="93">AF35+12</f>
        <v>84</v>
      </c>
      <c r="AH35" s="20">
        <f t="shared" ref="AH35" si="94">AG35+12</f>
        <v>96</v>
      </c>
      <c r="AI35" s="20">
        <f t="shared" ref="AI35" si="95">AH35+12</f>
        <v>108</v>
      </c>
      <c r="AJ35" s="20">
        <f t="shared" ref="AJ35" si="96">AI35+12</f>
        <v>120</v>
      </c>
      <c r="AK35" s="210" t="str">
        <f>"Fiscal "&amp;AggMethod&amp;" Ending"</f>
        <v>Fiscal Accident Year Data Ending</v>
      </c>
      <c r="AL35" s="98">
        <f>AM35-12</f>
        <v>0</v>
      </c>
      <c r="AM35" s="209" t="str">
        <f>IF(Mos_Devt=3, "15","12")</f>
        <v>12</v>
      </c>
      <c r="AN35" s="20">
        <f>AM35+12</f>
        <v>24</v>
      </c>
      <c r="AO35" s="20">
        <f t="shared" ref="AO35" si="97">AN35+12</f>
        <v>36</v>
      </c>
      <c r="AP35" s="20">
        <f t="shared" ref="AP35" si="98">AO35+12</f>
        <v>48</v>
      </c>
      <c r="AQ35" s="20">
        <f t="shared" ref="AQ35" si="99">AP35+12</f>
        <v>60</v>
      </c>
      <c r="AR35" s="20">
        <f t="shared" ref="AR35" si="100">AQ35+12</f>
        <v>72</v>
      </c>
      <c r="AS35" s="20">
        <f t="shared" ref="AS35" si="101">AR35+12</f>
        <v>84</v>
      </c>
      <c r="AT35" s="20">
        <f t="shared" ref="AT35" si="102">AS35+12</f>
        <v>96</v>
      </c>
      <c r="AU35" s="20">
        <f t="shared" ref="AU35" si="103">AT35+12</f>
        <v>108</v>
      </c>
      <c r="AV35" s="20">
        <f t="shared" ref="AV35" si="104">AU35+12</f>
        <v>120</v>
      </c>
      <c r="AW35" s="210" t="str">
        <f>"Fiscal "&amp;AggMethod&amp;" Ending"</f>
        <v>Fiscal Accident Year Data Ending</v>
      </c>
      <c r="AX35" s="98">
        <f>AY35-12</f>
        <v>0</v>
      </c>
      <c r="AY35" s="209" t="str">
        <f>IF(Mos_Devt=3, "15","12")</f>
        <v>12</v>
      </c>
      <c r="AZ35" s="20">
        <f>AY35+12</f>
        <v>24</v>
      </c>
      <c r="BA35" s="20">
        <f t="shared" ref="BA35" si="105">AZ35+12</f>
        <v>36</v>
      </c>
      <c r="BB35" s="20">
        <f t="shared" ref="BB35" si="106">BA35+12</f>
        <v>48</v>
      </c>
      <c r="BC35" s="20">
        <f t="shared" ref="BC35" si="107">BB35+12</f>
        <v>60</v>
      </c>
      <c r="BD35" s="20">
        <f t="shared" ref="BD35" si="108">BC35+12</f>
        <v>72</v>
      </c>
      <c r="BE35" s="20">
        <f t="shared" ref="BE35" si="109">BD35+12</f>
        <v>84</v>
      </c>
      <c r="BF35" s="20">
        <f t="shared" ref="BF35" si="110">BE35+12</f>
        <v>96</v>
      </c>
      <c r="BG35" s="20">
        <f t="shared" ref="BG35" si="111">BF35+12</f>
        <v>108</v>
      </c>
      <c r="BH35" s="20">
        <f t="shared" ref="BH35" si="112">BG35+12</f>
        <v>120</v>
      </c>
      <c r="BI35" s="210" t="str">
        <f>"Fiscal "&amp;AggMethod&amp;" Ending"</f>
        <v>Fiscal Accident Year Data Ending</v>
      </c>
      <c r="BJ35" s="98">
        <f>BK35-12</f>
        <v>0</v>
      </c>
      <c r="BK35" s="209" t="str">
        <f>IF(Mos_Devt=3, "15","12")</f>
        <v>12</v>
      </c>
      <c r="BL35" s="20">
        <f>BK35+12</f>
        <v>24</v>
      </c>
      <c r="BM35" s="20">
        <f t="shared" ref="BM35" si="113">BL35+12</f>
        <v>36</v>
      </c>
      <c r="BN35" s="20">
        <f t="shared" ref="BN35" si="114">BM35+12</f>
        <v>48</v>
      </c>
      <c r="BO35" s="20">
        <f t="shared" ref="BO35" si="115">BN35+12</f>
        <v>60</v>
      </c>
      <c r="BP35" s="20">
        <f t="shared" ref="BP35" si="116">BO35+12</f>
        <v>72</v>
      </c>
      <c r="BQ35" s="20">
        <f t="shared" ref="BQ35" si="117">BP35+12</f>
        <v>84</v>
      </c>
      <c r="BR35" s="20">
        <f t="shared" ref="BR35" si="118">BQ35+12</f>
        <v>96</v>
      </c>
      <c r="BS35" s="20">
        <f t="shared" ref="BS35" si="119">BR35+12</f>
        <v>108</v>
      </c>
      <c r="BT35" s="20">
        <f t="shared" ref="BT35" si="120">BS35+12</f>
        <v>120</v>
      </c>
      <c r="BU35" s="210" t="str">
        <f>"Fiscal "&amp;AggMethod&amp;" Ending"</f>
        <v>Fiscal Accident Year Data Ending</v>
      </c>
      <c r="BV35" s="98">
        <f>BW35-12</f>
        <v>0</v>
      </c>
      <c r="BW35" s="209" t="str">
        <f>IF(Mos_Devt=3, "15","12")</f>
        <v>12</v>
      </c>
      <c r="BX35" s="20">
        <f>BW35+12</f>
        <v>24</v>
      </c>
      <c r="BY35" s="20">
        <f t="shared" ref="BY35" si="121">BX35+12</f>
        <v>36</v>
      </c>
      <c r="BZ35" s="20">
        <f t="shared" ref="BZ35" si="122">BY35+12</f>
        <v>48</v>
      </c>
      <c r="CA35" s="20">
        <f t="shared" ref="CA35" si="123">BZ35+12</f>
        <v>60</v>
      </c>
      <c r="CB35" s="20">
        <f t="shared" ref="CB35" si="124">CA35+12</f>
        <v>72</v>
      </c>
      <c r="CC35" s="20">
        <f t="shared" ref="CC35" si="125">CB35+12</f>
        <v>84</v>
      </c>
      <c r="CD35" s="20">
        <f t="shared" ref="CD35" si="126">CC35+12</f>
        <v>96</v>
      </c>
      <c r="CE35" s="20">
        <f t="shared" ref="CE35" si="127">CD35+12</f>
        <v>108</v>
      </c>
      <c r="CF35" s="20">
        <f t="shared" ref="CF35" si="128">CE35+12</f>
        <v>120</v>
      </c>
      <c r="CG35" s="210" t="str">
        <f>"Fiscal "&amp;AggMethod&amp;" Ending"</f>
        <v>Fiscal Accident Year Data Ending</v>
      </c>
      <c r="CH35" s="98">
        <f>CI35-12</f>
        <v>0</v>
      </c>
      <c r="CI35" s="209" t="str">
        <f>IF(Mos_Devt=3, "15","12")</f>
        <v>12</v>
      </c>
      <c r="CJ35" s="20">
        <f>CI35+12</f>
        <v>24</v>
      </c>
      <c r="CK35" s="20">
        <f t="shared" ref="CK35" si="129">CJ35+12</f>
        <v>36</v>
      </c>
      <c r="CL35" s="20">
        <f t="shared" ref="CL35" si="130">CK35+12</f>
        <v>48</v>
      </c>
      <c r="CM35" s="20">
        <f t="shared" ref="CM35" si="131">CL35+12</f>
        <v>60</v>
      </c>
      <c r="CN35" s="20">
        <f t="shared" ref="CN35" si="132">CM35+12</f>
        <v>72</v>
      </c>
      <c r="CO35" s="20">
        <f t="shared" ref="CO35" si="133">CN35+12</f>
        <v>84</v>
      </c>
      <c r="CP35" s="20">
        <f t="shared" ref="CP35" si="134">CO35+12</f>
        <v>96</v>
      </c>
      <c r="CQ35" s="20">
        <f t="shared" ref="CQ35" si="135">CP35+12</f>
        <v>108</v>
      </c>
      <c r="CR35" s="20">
        <f t="shared" ref="CR35" si="136">CQ35+12</f>
        <v>120</v>
      </c>
      <c r="CS35" s="210" t="str">
        <f>"Fiscal "&amp;AggMethod&amp;" Ending"</f>
        <v>Fiscal Accident Year Data Ending</v>
      </c>
      <c r="CT35" s="98">
        <f>CU35-12</f>
        <v>0</v>
      </c>
      <c r="CU35" s="209" t="str">
        <f>IF(Mos_Devt=3, "15","12")</f>
        <v>12</v>
      </c>
      <c r="CV35" s="20">
        <f>CU35+12</f>
        <v>24</v>
      </c>
      <c r="CW35" s="20">
        <f t="shared" ref="CW35" si="137">CV35+12</f>
        <v>36</v>
      </c>
      <c r="CX35" s="20">
        <f t="shared" ref="CX35" si="138">CW35+12</f>
        <v>48</v>
      </c>
      <c r="CY35" s="20">
        <f t="shared" ref="CY35" si="139">CX35+12</f>
        <v>60</v>
      </c>
      <c r="CZ35" s="20">
        <f t="shared" ref="CZ35" si="140">CY35+12</f>
        <v>72</v>
      </c>
      <c r="DA35" s="20">
        <f t="shared" ref="DA35" si="141">CZ35+12</f>
        <v>84</v>
      </c>
      <c r="DB35" s="20">
        <f t="shared" ref="DB35" si="142">DA35+12</f>
        <v>96</v>
      </c>
      <c r="DC35" s="20">
        <f t="shared" ref="DC35" si="143">DB35+12</f>
        <v>108</v>
      </c>
      <c r="DD35" s="20">
        <f t="shared" ref="DD35" si="144">DC35+12</f>
        <v>120</v>
      </c>
      <c r="DE35" s="210" t="str">
        <f>"Fiscal "&amp;AggMethod&amp;" Ending"</f>
        <v>Fiscal Accident Year Data Ending</v>
      </c>
      <c r="DF35" s="98">
        <f>DG35-12</f>
        <v>0</v>
      </c>
      <c r="DG35" s="209" t="str">
        <f>IF(Mos_Devt=3, "15","12")</f>
        <v>12</v>
      </c>
      <c r="DH35" s="20">
        <f>DG35+12</f>
        <v>24</v>
      </c>
      <c r="DI35" s="20">
        <f t="shared" ref="DI35" si="145">DH35+12</f>
        <v>36</v>
      </c>
      <c r="DJ35" s="20">
        <f t="shared" ref="DJ35" si="146">DI35+12</f>
        <v>48</v>
      </c>
      <c r="DK35" s="20">
        <f t="shared" ref="DK35" si="147">DJ35+12</f>
        <v>60</v>
      </c>
      <c r="DL35" s="20">
        <f t="shared" ref="DL35" si="148">DK35+12</f>
        <v>72</v>
      </c>
      <c r="DM35" s="20">
        <f t="shared" ref="DM35" si="149">DL35+12</f>
        <v>84</v>
      </c>
      <c r="DN35" s="20">
        <f t="shared" ref="DN35" si="150">DM35+12</f>
        <v>96</v>
      </c>
      <c r="DO35" s="20">
        <f t="shared" ref="DO35" si="151">DN35+12</f>
        <v>108</v>
      </c>
      <c r="DP35" s="20">
        <f t="shared" ref="DP35" si="152">DO35+12</f>
        <v>120</v>
      </c>
    </row>
    <row r="36" spans="1:120" ht="15" customHeight="1" x14ac:dyDescent="0.25">
      <c r="A36" s="31">
        <f t="shared" ref="A36:A43" si="153">A37-10</f>
        <v>20132</v>
      </c>
      <c r="B36" s="21"/>
      <c r="C36" s="21">
        <v>48264694.420000002</v>
      </c>
      <c r="D36" s="21">
        <v>67981374.290000007</v>
      </c>
      <c r="E36" s="21">
        <v>73821254.349999994</v>
      </c>
      <c r="F36" s="21">
        <v>76247818.120000005</v>
      </c>
      <c r="G36" s="21">
        <v>77376549.160000011</v>
      </c>
      <c r="H36" s="21">
        <v>78277789.219999999</v>
      </c>
      <c r="I36" s="21">
        <v>78726666.449999988</v>
      </c>
      <c r="J36" s="21">
        <v>78993326.99000001</v>
      </c>
      <c r="K36" s="21">
        <v>79248755.420000002</v>
      </c>
      <c r="L36" s="21">
        <v>79676770.210000008</v>
      </c>
      <c r="M36" s="31">
        <f t="shared" ref="M36:M43" si="154">M37-10</f>
        <v>20132</v>
      </c>
      <c r="N36" s="21"/>
      <c r="O36" s="21"/>
      <c r="P36" s="21"/>
      <c r="Q36" s="21"/>
      <c r="R36" s="21"/>
      <c r="S36" s="21"/>
      <c r="T36" s="21"/>
      <c r="U36" s="21"/>
      <c r="V36" s="21"/>
      <c r="W36" s="21"/>
      <c r="X36" s="21"/>
      <c r="Y36" s="31">
        <f t="shared" ref="Y36:Y43" si="155">Y37-10</f>
        <v>20132</v>
      </c>
      <c r="Z36" s="21"/>
      <c r="AA36" s="21"/>
      <c r="AB36" s="21"/>
      <c r="AC36" s="21"/>
      <c r="AD36" s="21"/>
      <c r="AE36" s="21"/>
      <c r="AF36" s="21"/>
      <c r="AG36" s="21"/>
      <c r="AH36" s="21"/>
      <c r="AI36" s="21"/>
      <c r="AJ36" s="21"/>
      <c r="AK36" s="31">
        <f t="shared" ref="AK36:AK43" si="156">AK37-10</f>
        <v>20132</v>
      </c>
      <c r="AL36" s="21"/>
      <c r="AM36" s="21"/>
      <c r="AN36" s="21"/>
      <c r="AO36" s="21"/>
      <c r="AP36" s="21"/>
      <c r="AQ36" s="21"/>
      <c r="AR36" s="21"/>
      <c r="AS36" s="21"/>
      <c r="AT36" s="21"/>
      <c r="AU36" s="21"/>
      <c r="AV36" s="21"/>
      <c r="AW36" s="31">
        <f t="shared" ref="AW36:AW43" si="157">AW37-10</f>
        <v>20132</v>
      </c>
      <c r="AX36" s="21"/>
      <c r="AY36" s="21"/>
      <c r="AZ36" s="21"/>
      <c r="BA36" s="21"/>
      <c r="BB36" s="21"/>
      <c r="BC36" s="21"/>
      <c r="BD36" s="21"/>
      <c r="BE36" s="21"/>
      <c r="BF36" s="21"/>
      <c r="BG36" s="21"/>
      <c r="BH36" s="21"/>
      <c r="BI36" s="31">
        <f t="shared" ref="BI36:BI43" si="158">BI37-10</f>
        <v>20132</v>
      </c>
      <c r="BJ36" s="21"/>
      <c r="BK36" s="21"/>
      <c r="BL36" s="21"/>
      <c r="BM36" s="21"/>
      <c r="BN36" s="21"/>
      <c r="BO36" s="21"/>
      <c r="BP36" s="21"/>
      <c r="BQ36" s="21"/>
      <c r="BR36" s="21"/>
      <c r="BS36" s="21"/>
      <c r="BT36" s="21"/>
      <c r="BU36" s="31">
        <f t="shared" ref="BU36:BU43" si="159">BU37-10</f>
        <v>20132</v>
      </c>
      <c r="BV36" s="21"/>
      <c r="BW36" s="21"/>
      <c r="BX36" s="21"/>
      <c r="BY36" s="21"/>
      <c r="BZ36" s="21"/>
      <c r="CA36" s="21"/>
      <c r="CB36" s="21"/>
      <c r="CC36" s="21"/>
      <c r="CD36" s="21"/>
      <c r="CE36" s="21"/>
      <c r="CF36" s="21"/>
      <c r="CG36" s="31">
        <f t="shared" ref="CG36:CG43" si="160">CG37-10</f>
        <v>20132</v>
      </c>
      <c r="CH36" s="21"/>
      <c r="CI36" s="21"/>
      <c r="CJ36" s="21"/>
      <c r="CK36" s="21"/>
      <c r="CL36" s="21"/>
      <c r="CM36" s="21"/>
      <c r="CN36" s="21"/>
      <c r="CO36" s="21"/>
      <c r="CP36" s="21"/>
      <c r="CQ36" s="21"/>
      <c r="CR36" s="21"/>
      <c r="CS36" s="31">
        <f t="shared" ref="CS36:CS43" si="161">CS37-10</f>
        <v>20132</v>
      </c>
      <c r="CT36" s="21"/>
      <c r="CU36" s="21"/>
      <c r="CV36" s="21"/>
      <c r="CW36" s="21"/>
      <c r="CX36" s="21"/>
      <c r="CY36" s="21"/>
      <c r="CZ36" s="21"/>
      <c r="DA36" s="21"/>
      <c r="DB36" s="21"/>
      <c r="DC36" s="21"/>
      <c r="DD36" s="21"/>
      <c r="DE36" s="31">
        <f t="shared" ref="DE36:DE43" si="162">DE37-10</f>
        <v>20132</v>
      </c>
      <c r="DF36" s="21"/>
      <c r="DG36" s="21"/>
      <c r="DH36" s="21"/>
      <c r="DI36" s="21"/>
      <c r="DJ36" s="21"/>
      <c r="DK36" s="21"/>
      <c r="DL36" s="21"/>
      <c r="DM36" s="21"/>
      <c r="DN36" s="21"/>
      <c r="DO36" s="21"/>
      <c r="DP36" s="21"/>
    </row>
    <row r="37" spans="1:120" ht="15" customHeight="1" x14ac:dyDescent="0.25">
      <c r="A37" s="31">
        <f t="shared" si="153"/>
        <v>20142</v>
      </c>
      <c r="B37" s="21"/>
      <c r="C37" s="21">
        <v>52487100.289999999</v>
      </c>
      <c r="D37" s="21">
        <v>67753087.989999995</v>
      </c>
      <c r="E37" s="21">
        <v>72265937.460000008</v>
      </c>
      <c r="F37" s="21">
        <v>74599670.870000005</v>
      </c>
      <c r="G37" s="21">
        <v>76091833.450000003</v>
      </c>
      <c r="H37" s="21">
        <v>76955344.030000001</v>
      </c>
      <c r="I37" s="21">
        <v>77612234.910000011</v>
      </c>
      <c r="J37" s="21">
        <v>79420944.810000002</v>
      </c>
      <c r="K37" s="21">
        <v>80070180.679999992</v>
      </c>
      <c r="L37" s="134"/>
      <c r="M37" s="31">
        <f t="shared" si="154"/>
        <v>20142</v>
      </c>
      <c r="N37" s="21"/>
      <c r="O37" s="21"/>
      <c r="P37" s="21"/>
      <c r="Q37" s="21"/>
      <c r="R37" s="21"/>
      <c r="S37" s="21"/>
      <c r="T37" s="21"/>
      <c r="U37" s="21"/>
      <c r="V37" s="21"/>
      <c r="W37" s="21"/>
      <c r="X37" s="134"/>
      <c r="Y37" s="31">
        <f t="shared" si="155"/>
        <v>20142</v>
      </c>
      <c r="Z37" s="21"/>
      <c r="AA37" s="21"/>
      <c r="AB37" s="21"/>
      <c r="AC37" s="21"/>
      <c r="AD37" s="21"/>
      <c r="AE37" s="21"/>
      <c r="AF37" s="21"/>
      <c r="AG37" s="21"/>
      <c r="AH37" s="21"/>
      <c r="AI37" s="21"/>
      <c r="AJ37" s="134"/>
      <c r="AK37" s="31">
        <f t="shared" si="156"/>
        <v>20142</v>
      </c>
      <c r="AL37" s="21"/>
      <c r="AM37" s="21"/>
      <c r="AN37" s="21"/>
      <c r="AO37" s="21"/>
      <c r="AP37" s="21"/>
      <c r="AQ37" s="21"/>
      <c r="AR37" s="21"/>
      <c r="AS37" s="21"/>
      <c r="AT37" s="21"/>
      <c r="AU37" s="21"/>
      <c r="AV37" s="134"/>
      <c r="AW37" s="31">
        <f t="shared" si="157"/>
        <v>20142</v>
      </c>
      <c r="AX37" s="21"/>
      <c r="AY37" s="21"/>
      <c r="AZ37" s="21"/>
      <c r="BA37" s="21"/>
      <c r="BB37" s="21"/>
      <c r="BC37" s="21"/>
      <c r="BD37" s="21"/>
      <c r="BE37" s="21"/>
      <c r="BF37" s="21"/>
      <c r="BG37" s="21"/>
      <c r="BH37" s="134"/>
      <c r="BI37" s="31">
        <f t="shared" si="158"/>
        <v>20142</v>
      </c>
      <c r="BJ37" s="21"/>
      <c r="BK37" s="21"/>
      <c r="BL37" s="21"/>
      <c r="BM37" s="21"/>
      <c r="BN37" s="21"/>
      <c r="BO37" s="21"/>
      <c r="BP37" s="21"/>
      <c r="BQ37" s="21"/>
      <c r="BR37" s="21"/>
      <c r="BS37" s="21"/>
      <c r="BT37" s="134"/>
      <c r="BU37" s="31">
        <f t="shared" si="159"/>
        <v>20142</v>
      </c>
      <c r="BV37" s="21"/>
      <c r="BW37" s="21"/>
      <c r="BX37" s="21"/>
      <c r="BY37" s="21"/>
      <c r="BZ37" s="21"/>
      <c r="CA37" s="21"/>
      <c r="CB37" s="21"/>
      <c r="CC37" s="21"/>
      <c r="CD37" s="21"/>
      <c r="CE37" s="21"/>
      <c r="CF37" s="134"/>
      <c r="CG37" s="31">
        <f t="shared" si="160"/>
        <v>20142</v>
      </c>
      <c r="CH37" s="21"/>
      <c r="CI37" s="21"/>
      <c r="CJ37" s="21"/>
      <c r="CK37" s="21"/>
      <c r="CL37" s="21"/>
      <c r="CM37" s="21"/>
      <c r="CN37" s="21"/>
      <c r="CO37" s="21"/>
      <c r="CP37" s="21"/>
      <c r="CQ37" s="21"/>
      <c r="CR37" s="134"/>
      <c r="CS37" s="31">
        <f t="shared" si="161"/>
        <v>20142</v>
      </c>
      <c r="CT37" s="21"/>
      <c r="CU37" s="21"/>
      <c r="CV37" s="21"/>
      <c r="CW37" s="21"/>
      <c r="CX37" s="21"/>
      <c r="CY37" s="21"/>
      <c r="CZ37" s="21"/>
      <c r="DA37" s="21"/>
      <c r="DB37" s="21"/>
      <c r="DC37" s="21"/>
      <c r="DD37" s="134"/>
      <c r="DE37" s="31">
        <f t="shared" si="162"/>
        <v>20142</v>
      </c>
      <c r="DF37" s="21"/>
      <c r="DG37" s="21"/>
      <c r="DH37" s="21"/>
      <c r="DI37" s="21"/>
      <c r="DJ37" s="21"/>
      <c r="DK37" s="21"/>
      <c r="DL37" s="21"/>
      <c r="DM37" s="21"/>
      <c r="DN37" s="21"/>
      <c r="DO37" s="21"/>
      <c r="DP37" s="134"/>
    </row>
    <row r="38" spans="1:120" ht="15" customHeight="1" x14ac:dyDescent="0.25">
      <c r="A38" s="31">
        <f t="shared" si="153"/>
        <v>20152</v>
      </c>
      <c r="B38" s="21"/>
      <c r="C38" s="21">
        <v>53475833.189999998</v>
      </c>
      <c r="D38" s="21">
        <v>71087174.060000002</v>
      </c>
      <c r="E38" s="21">
        <v>75944510.620000005</v>
      </c>
      <c r="F38" s="21">
        <v>80199483.280000001</v>
      </c>
      <c r="G38" s="21">
        <v>83898017.760000005</v>
      </c>
      <c r="H38" s="21">
        <v>85571436.540000007</v>
      </c>
      <c r="I38" s="21">
        <v>86672901.939999998</v>
      </c>
      <c r="J38" s="21">
        <v>89606027.799999997</v>
      </c>
      <c r="K38" s="134"/>
      <c r="L38" s="134"/>
      <c r="M38" s="31">
        <f t="shared" si="154"/>
        <v>20152</v>
      </c>
      <c r="N38" s="21"/>
      <c r="O38" s="21"/>
      <c r="P38" s="21"/>
      <c r="Q38" s="21"/>
      <c r="R38" s="21"/>
      <c r="S38" s="21"/>
      <c r="T38" s="21"/>
      <c r="U38" s="21"/>
      <c r="V38" s="21"/>
      <c r="W38" s="134"/>
      <c r="X38" s="134"/>
      <c r="Y38" s="31">
        <f t="shared" si="155"/>
        <v>20152</v>
      </c>
      <c r="Z38" s="21"/>
      <c r="AA38" s="21"/>
      <c r="AB38" s="21"/>
      <c r="AC38" s="21"/>
      <c r="AD38" s="21"/>
      <c r="AE38" s="21"/>
      <c r="AF38" s="21"/>
      <c r="AG38" s="21"/>
      <c r="AH38" s="21"/>
      <c r="AI38" s="134"/>
      <c r="AJ38" s="134"/>
      <c r="AK38" s="31">
        <f t="shared" si="156"/>
        <v>20152</v>
      </c>
      <c r="AL38" s="21"/>
      <c r="AM38" s="21"/>
      <c r="AN38" s="21"/>
      <c r="AO38" s="21"/>
      <c r="AP38" s="21"/>
      <c r="AQ38" s="21"/>
      <c r="AR38" s="21"/>
      <c r="AS38" s="21"/>
      <c r="AT38" s="21"/>
      <c r="AU38" s="134"/>
      <c r="AV38" s="134"/>
      <c r="AW38" s="31">
        <f t="shared" si="157"/>
        <v>20152</v>
      </c>
      <c r="AX38" s="21"/>
      <c r="AY38" s="21"/>
      <c r="AZ38" s="21"/>
      <c r="BA38" s="21"/>
      <c r="BB38" s="21"/>
      <c r="BC38" s="21"/>
      <c r="BD38" s="21"/>
      <c r="BE38" s="21"/>
      <c r="BF38" s="21"/>
      <c r="BG38" s="134"/>
      <c r="BH38" s="134"/>
      <c r="BI38" s="31">
        <f t="shared" si="158"/>
        <v>20152</v>
      </c>
      <c r="BJ38" s="21"/>
      <c r="BK38" s="21"/>
      <c r="BL38" s="21"/>
      <c r="BM38" s="21"/>
      <c r="BN38" s="21"/>
      <c r="BO38" s="21"/>
      <c r="BP38" s="21"/>
      <c r="BQ38" s="21"/>
      <c r="BR38" s="21"/>
      <c r="BS38" s="134"/>
      <c r="BT38" s="134"/>
      <c r="BU38" s="31">
        <f t="shared" si="159"/>
        <v>20152</v>
      </c>
      <c r="BV38" s="21"/>
      <c r="BW38" s="21"/>
      <c r="BX38" s="21"/>
      <c r="BY38" s="21"/>
      <c r="BZ38" s="21"/>
      <c r="CA38" s="21"/>
      <c r="CB38" s="21"/>
      <c r="CC38" s="21"/>
      <c r="CD38" s="21"/>
      <c r="CE38" s="134"/>
      <c r="CF38" s="134"/>
      <c r="CG38" s="31">
        <f t="shared" si="160"/>
        <v>20152</v>
      </c>
      <c r="CH38" s="21"/>
      <c r="CI38" s="21"/>
      <c r="CJ38" s="21"/>
      <c r="CK38" s="21"/>
      <c r="CL38" s="21"/>
      <c r="CM38" s="21"/>
      <c r="CN38" s="21"/>
      <c r="CO38" s="21"/>
      <c r="CP38" s="21"/>
      <c r="CQ38" s="134"/>
      <c r="CR38" s="134"/>
      <c r="CS38" s="31">
        <f t="shared" si="161"/>
        <v>20152</v>
      </c>
      <c r="CT38" s="21"/>
      <c r="CU38" s="21"/>
      <c r="CV38" s="21"/>
      <c r="CW38" s="21"/>
      <c r="CX38" s="21"/>
      <c r="CY38" s="21"/>
      <c r="CZ38" s="21"/>
      <c r="DA38" s="21"/>
      <c r="DB38" s="21"/>
      <c r="DC38" s="134"/>
      <c r="DD38" s="134"/>
      <c r="DE38" s="31">
        <f t="shared" si="162"/>
        <v>20152</v>
      </c>
      <c r="DF38" s="21"/>
      <c r="DG38" s="21"/>
      <c r="DH38" s="21"/>
      <c r="DI38" s="21"/>
      <c r="DJ38" s="21"/>
      <c r="DK38" s="21"/>
      <c r="DL38" s="21"/>
      <c r="DM38" s="21"/>
      <c r="DN38" s="21"/>
      <c r="DO38" s="134"/>
      <c r="DP38" s="134"/>
    </row>
    <row r="39" spans="1:120" ht="15" customHeight="1" x14ac:dyDescent="0.25">
      <c r="A39" s="31">
        <f t="shared" si="153"/>
        <v>20162</v>
      </c>
      <c r="B39" s="21"/>
      <c r="C39" s="21">
        <v>59825293.789999999</v>
      </c>
      <c r="D39" s="21">
        <v>75704025.430000007</v>
      </c>
      <c r="E39" s="21">
        <v>80621634.74000001</v>
      </c>
      <c r="F39" s="21">
        <v>85782228.070000008</v>
      </c>
      <c r="G39" s="21">
        <v>87468453.960000008</v>
      </c>
      <c r="H39" s="21">
        <v>88678356.989999995</v>
      </c>
      <c r="I39" s="21">
        <v>90216712.86999999</v>
      </c>
      <c r="J39" s="134"/>
      <c r="K39" s="134"/>
      <c r="L39" s="134"/>
      <c r="M39" s="31">
        <f t="shared" si="154"/>
        <v>20162</v>
      </c>
      <c r="N39" s="21"/>
      <c r="O39" s="21"/>
      <c r="P39" s="21"/>
      <c r="Q39" s="21"/>
      <c r="R39" s="21"/>
      <c r="S39" s="21"/>
      <c r="T39" s="21"/>
      <c r="U39" s="21"/>
      <c r="V39" s="134"/>
      <c r="W39" s="134"/>
      <c r="X39" s="134"/>
      <c r="Y39" s="31">
        <f t="shared" si="155"/>
        <v>20162</v>
      </c>
      <c r="Z39" s="21"/>
      <c r="AA39" s="21"/>
      <c r="AB39" s="21"/>
      <c r="AC39" s="21"/>
      <c r="AD39" s="21"/>
      <c r="AE39" s="21"/>
      <c r="AF39" s="21"/>
      <c r="AG39" s="21"/>
      <c r="AH39" s="134"/>
      <c r="AI39" s="134"/>
      <c r="AJ39" s="134"/>
      <c r="AK39" s="31">
        <f t="shared" si="156"/>
        <v>20162</v>
      </c>
      <c r="AL39" s="21"/>
      <c r="AM39" s="21"/>
      <c r="AN39" s="21"/>
      <c r="AO39" s="21"/>
      <c r="AP39" s="21"/>
      <c r="AQ39" s="21"/>
      <c r="AR39" s="21"/>
      <c r="AS39" s="21"/>
      <c r="AT39" s="134"/>
      <c r="AU39" s="134"/>
      <c r="AV39" s="134"/>
      <c r="AW39" s="31">
        <f t="shared" si="157"/>
        <v>20162</v>
      </c>
      <c r="AX39" s="21"/>
      <c r="AY39" s="21"/>
      <c r="AZ39" s="21"/>
      <c r="BA39" s="21"/>
      <c r="BB39" s="21"/>
      <c r="BC39" s="21"/>
      <c r="BD39" s="21"/>
      <c r="BE39" s="21"/>
      <c r="BF39" s="134"/>
      <c r="BG39" s="134"/>
      <c r="BH39" s="134"/>
      <c r="BI39" s="31">
        <f t="shared" si="158"/>
        <v>20162</v>
      </c>
      <c r="BJ39" s="21"/>
      <c r="BK39" s="21"/>
      <c r="BL39" s="21"/>
      <c r="BM39" s="21"/>
      <c r="BN39" s="21"/>
      <c r="BO39" s="21"/>
      <c r="BP39" s="21"/>
      <c r="BQ39" s="21"/>
      <c r="BR39" s="134"/>
      <c r="BS39" s="134"/>
      <c r="BT39" s="134"/>
      <c r="BU39" s="31">
        <f t="shared" si="159"/>
        <v>20162</v>
      </c>
      <c r="BV39" s="21"/>
      <c r="BW39" s="21"/>
      <c r="BX39" s="21"/>
      <c r="BY39" s="21"/>
      <c r="BZ39" s="21"/>
      <c r="CA39" s="21"/>
      <c r="CB39" s="21"/>
      <c r="CC39" s="21"/>
      <c r="CD39" s="134"/>
      <c r="CE39" s="134"/>
      <c r="CF39" s="134"/>
      <c r="CG39" s="31">
        <f t="shared" si="160"/>
        <v>20162</v>
      </c>
      <c r="CH39" s="21"/>
      <c r="CI39" s="21"/>
      <c r="CJ39" s="21"/>
      <c r="CK39" s="21"/>
      <c r="CL39" s="21"/>
      <c r="CM39" s="21"/>
      <c r="CN39" s="21"/>
      <c r="CO39" s="21"/>
      <c r="CP39" s="134"/>
      <c r="CQ39" s="134"/>
      <c r="CR39" s="134"/>
      <c r="CS39" s="31">
        <f t="shared" si="161"/>
        <v>20162</v>
      </c>
      <c r="CT39" s="21"/>
      <c r="CU39" s="21"/>
      <c r="CV39" s="21"/>
      <c r="CW39" s="21"/>
      <c r="CX39" s="21"/>
      <c r="CY39" s="21"/>
      <c r="CZ39" s="21"/>
      <c r="DA39" s="21"/>
      <c r="DB39" s="134"/>
      <c r="DC39" s="134"/>
      <c r="DD39" s="134"/>
      <c r="DE39" s="31">
        <f t="shared" si="162"/>
        <v>20162</v>
      </c>
      <c r="DF39" s="21"/>
      <c r="DG39" s="21"/>
      <c r="DH39" s="21"/>
      <c r="DI39" s="21"/>
      <c r="DJ39" s="21"/>
      <c r="DK39" s="21"/>
      <c r="DL39" s="21"/>
      <c r="DM39" s="21"/>
      <c r="DN39" s="134"/>
      <c r="DO39" s="134"/>
      <c r="DP39" s="134"/>
    </row>
    <row r="40" spans="1:120" ht="15" customHeight="1" x14ac:dyDescent="0.25">
      <c r="A40" s="31">
        <f t="shared" si="153"/>
        <v>20172</v>
      </c>
      <c r="B40" s="21"/>
      <c r="C40" s="21">
        <v>69220347.180000007</v>
      </c>
      <c r="D40" s="21">
        <v>86434820.570000008</v>
      </c>
      <c r="E40" s="21">
        <v>93066403.049999997</v>
      </c>
      <c r="F40" s="21">
        <v>96853256.599999994</v>
      </c>
      <c r="G40" s="21">
        <v>100065835.01000001</v>
      </c>
      <c r="H40" s="21">
        <v>103266181.17</v>
      </c>
      <c r="I40" s="134"/>
      <c r="J40" s="134"/>
      <c r="K40" s="134"/>
      <c r="L40" s="134"/>
      <c r="M40" s="31">
        <f t="shared" si="154"/>
        <v>20172</v>
      </c>
      <c r="N40" s="21"/>
      <c r="O40" s="21"/>
      <c r="P40" s="21"/>
      <c r="Q40" s="21"/>
      <c r="R40" s="21"/>
      <c r="S40" s="21"/>
      <c r="T40" s="21"/>
      <c r="U40" s="134"/>
      <c r="V40" s="134"/>
      <c r="W40" s="134"/>
      <c r="X40" s="134"/>
      <c r="Y40" s="31">
        <f t="shared" si="155"/>
        <v>20172</v>
      </c>
      <c r="Z40" s="21"/>
      <c r="AA40" s="21"/>
      <c r="AB40" s="21"/>
      <c r="AC40" s="21"/>
      <c r="AD40" s="21"/>
      <c r="AE40" s="21"/>
      <c r="AF40" s="21"/>
      <c r="AG40" s="134"/>
      <c r="AH40" s="134"/>
      <c r="AI40" s="134"/>
      <c r="AJ40" s="134"/>
      <c r="AK40" s="31">
        <f t="shared" si="156"/>
        <v>20172</v>
      </c>
      <c r="AL40" s="21"/>
      <c r="AM40" s="21"/>
      <c r="AN40" s="21"/>
      <c r="AO40" s="21"/>
      <c r="AP40" s="21"/>
      <c r="AQ40" s="21"/>
      <c r="AR40" s="21"/>
      <c r="AS40" s="134"/>
      <c r="AT40" s="134"/>
      <c r="AU40" s="134"/>
      <c r="AV40" s="134"/>
      <c r="AW40" s="31">
        <f t="shared" si="157"/>
        <v>20172</v>
      </c>
      <c r="AX40" s="21"/>
      <c r="AY40" s="21"/>
      <c r="AZ40" s="21"/>
      <c r="BA40" s="21"/>
      <c r="BB40" s="21"/>
      <c r="BC40" s="21"/>
      <c r="BD40" s="21"/>
      <c r="BE40" s="134"/>
      <c r="BF40" s="134"/>
      <c r="BG40" s="134"/>
      <c r="BH40" s="134"/>
      <c r="BI40" s="31">
        <f t="shared" si="158"/>
        <v>20172</v>
      </c>
      <c r="BJ40" s="21"/>
      <c r="BK40" s="21"/>
      <c r="BL40" s="21"/>
      <c r="BM40" s="21"/>
      <c r="BN40" s="21"/>
      <c r="BO40" s="21"/>
      <c r="BP40" s="21"/>
      <c r="BQ40" s="134"/>
      <c r="BR40" s="134"/>
      <c r="BS40" s="134"/>
      <c r="BT40" s="134"/>
      <c r="BU40" s="31">
        <f t="shared" si="159"/>
        <v>20172</v>
      </c>
      <c r="BV40" s="21"/>
      <c r="BW40" s="21"/>
      <c r="BX40" s="21"/>
      <c r="BY40" s="21"/>
      <c r="BZ40" s="21"/>
      <c r="CA40" s="21"/>
      <c r="CB40" s="21"/>
      <c r="CC40" s="134"/>
      <c r="CD40" s="134"/>
      <c r="CE40" s="134"/>
      <c r="CF40" s="134"/>
      <c r="CG40" s="31">
        <f t="shared" si="160"/>
        <v>20172</v>
      </c>
      <c r="CH40" s="21"/>
      <c r="CI40" s="21"/>
      <c r="CJ40" s="21"/>
      <c r="CK40" s="21"/>
      <c r="CL40" s="21"/>
      <c r="CM40" s="21"/>
      <c r="CN40" s="21"/>
      <c r="CO40" s="134"/>
      <c r="CP40" s="134"/>
      <c r="CQ40" s="134"/>
      <c r="CR40" s="134"/>
      <c r="CS40" s="31">
        <f t="shared" si="161"/>
        <v>20172</v>
      </c>
      <c r="CT40" s="21"/>
      <c r="CU40" s="21"/>
      <c r="CV40" s="21"/>
      <c r="CW40" s="21"/>
      <c r="CX40" s="21"/>
      <c r="CY40" s="21"/>
      <c r="CZ40" s="21"/>
      <c r="DA40" s="134"/>
      <c r="DB40" s="134"/>
      <c r="DC40" s="134"/>
      <c r="DD40" s="134"/>
      <c r="DE40" s="31">
        <f t="shared" si="162"/>
        <v>20172</v>
      </c>
      <c r="DF40" s="21"/>
      <c r="DG40" s="21"/>
      <c r="DH40" s="21"/>
      <c r="DI40" s="21"/>
      <c r="DJ40" s="21"/>
      <c r="DK40" s="21"/>
      <c r="DL40" s="21"/>
      <c r="DM40" s="134"/>
      <c r="DN40" s="134"/>
      <c r="DO40" s="134"/>
      <c r="DP40" s="134"/>
    </row>
    <row r="41" spans="1:120" ht="15" customHeight="1" x14ac:dyDescent="0.25">
      <c r="A41" s="31">
        <f t="shared" si="153"/>
        <v>20182</v>
      </c>
      <c r="B41" s="21"/>
      <c r="C41" s="21">
        <v>51626108.560000002</v>
      </c>
      <c r="D41" s="21">
        <v>66436977.439999998</v>
      </c>
      <c r="E41" s="21">
        <v>70501181.920000002</v>
      </c>
      <c r="F41" s="21">
        <v>74294253.150000006</v>
      </c>
      <c r="G41" s="21">
        <v>77596611.150000006</v>
      </c>
      <c r="H41" s="134"/>
      <c r="I41" s="134"/>
      <c r="J41" s="134"/>
      <c r="K41" s="134"/>
      <c r="L41" s="134"/>
      <c r="M41" s="31">
        <f t="shared" si="154"/>
        <v>20182</v>
      </c>
      <c r="N41" s="21"/>
      <c r="O41" s="21"/>
      <c r="P41" s="21"/>
      <c r="Q41" s="21"/>
      <c r="R41" s="21"/>
      <c r="S41" s="21"/>
      <c r="T41" s="134"/>
      <c r="U41" s="134"/>
      <c r="V41" s="134"/>
      <c r="W41" s="134"/>
      <c r="X41" s="134"/>
      <c r="Y41" s="31">
        <f t="shared" si="155"/>
        <v>20182</v>
      </c>
      <c r="Z41" s="21"/>
      <c r="AA41" s="21"/>
      <c r="AB41" s="21"/>
      <c r="AC41" s="21"/>
      <c r="AD41" s="21"/>
      <c r="AE41" s="21"/>
      <c r="AF41" s="134"/>
      <c r="AG41" s="134"/>
      <c r="AH41" s="134"/>
      <c r="AI41" s="134"/>
      <c r="AJ41" s="134"/>
      <c r="AK41" s="31">
        <f t="shared" si="156"/>
        <v>20182</v>
      </c>
      <c r="AL41" s="21"/>
      <c r="AM41" s="21"/>
      <c r="AN41" s="21"/>
      <c r="AO41" s="21"/>
      <c r="AP41" s="21"/>
      <c r="AQ41" s="21"/>
      <c r="AR41" s="134"/>
      <c r="AS41" s="134"/>
      <c r="AT41" s="134"/>
      <c r="AU41" s="134"/>
      <c r="AV41" s="134"/>
      <c r="AW41" s="31">
        <f t="shared" si="157"/>
        <v>20182</v>
      </c>
      <c r="AX41" s="21"/>
      <c r="AY41" s="21"/>
      <c r="AZ41" s="21"/>
      <c r="BA41" s="21"/>
      <c r="BB41" s="21"/>
      <c r="BC41" s="21"/>
      <c r="BD41" s="134"/>
      <c r="BE41" s="134"/>
      <c r="BF41" s="134"/>
      <c r="BG41" s="134"/>
      <c r="BH41" s="134"/>
      <c r="BI41" s="31">
        <f t="shared" si="158"/>
        <v>20182</v>
      </c>
      <c r="BJ41" s="21"/>
      <c r="BK41" s="21"/>
      <c r="BL41" s="21"/>
      <c r="BM41" s="21"/>
      <c r="BN41" s="21"/>
      <c r="BO41" s="21"/>
      <c r="BP41" s="134"/>
      <c r="BQ41" s="134"/>
      <c r="BR41" s="134"/>
      <c r="BS41" s="134"/>
      <c r="BT41" s="134"/>
      <c r="BU41" s="31">
        <f t="shared" si="159"/>
        <v>20182</v>
      </c>
      <c r="BV41" s="21"/>
      <c r="BW41" s="21"/>
      <c r="BX41" s="21"/>
      <c r="BY41" s="21"/>
      <c r="BZ41" s="21"/>
      <c r="CA41" s="21"/>
      <c r="CB41" s="134"/>
      <c r="CC41" s="134"/>
      <c r="CD41" s="134"/>
      <c r="CE41" s="134"/>
      <c r="CF41" s="134"/>
      <c r="CG41" s="31">
        <f t="shared" si="160"/>
        <v>20182</v>
      </c>
      <c r="CH41" s="21"/>
      <c r="CI41" s="21"/>
      <c r="CJ41" s="21"/>
      <c r="CK41" s="21"/>
      <c r="CL41" s="21"/>
      <c r="CM41" s="21"/>
      <c r="CN41" s="134"/>
      <c r="CO41" s="134"/>
      <c r="CP41" s="134"/>
      <c r="CQ41" s="134"/>
      <c r="CR41" s="134"/>
      <c r="CS41" s="31">
        <f t="shared" si="161"/>
        <v>20182</v>
      </c>
      <c r="CT41" s="21"/>
      <c r="CU41" s="21"/>
      <c r="CV41" s="21"/>
      <c r="CW41" s="21"/>
      <c r="CX41" s="21"/>
      <c r="CY41" s="21"/>
      <c r="CZ41" s="134"/>
      <c r="DA41" s="134"/>
      <c r="DB41" s="134"/>
      <c r="DC41" s="134"/>
      <c r="DD41" s="134"/>
      <c r="DE41" s="31">
        <f t="shared" si="162"/>
        <v>20182</v>
      </c>
      <c r="DF41" s="21"/>
      <c r="DG41" s="21"/>
      <c r="DH41" s="21"/>
      <c r="DI41" s="21"/>
      <c r="DJ41" s="21"/>
      <c r="DK41" s="21"/>
      <c r="DL41" s="134"/>
      <c r="DM41" s="134"/>
      <c r="DN41" s="134"/>
      <c r="DO41" s="134"/>
      <c r="DP41" s="134"/>
    </row>
    <row r="42" spans="1:120" ht="15" customHeight="1" x14ac:dyDescent="0.25">
      <c r="A42" s="31">
        <f t="shared" si="153"/>
        <v>20192</v>
      </c>
      <c r="B42" s="21"/>
      <c r="C42" s="21">
        <v>56360417.910000004</v>
      </c>
      <c r="D42" s="21">
        <v>76937427.350000009</v>
      </c>
      <c r="E42" s="21">
        <v>83071135.910000011</v>
      </c>
      <c r="F42" s="21">
        <v>89797284.469999999</v>
      </c>
      <c r="G42" s="134"/>
      <c r="H42" s="134"/>
      <c r="I42" s="134"/>
      <c r="J42" s="134"/>
      <c r="K42" s="134"/>
      <c r="L42" s="134"/>
      <c r="M42" s="31">
        <f t="shared" si="154"/>
        <v>20192</v>
      </c>
      <c r="N42" s="21"/>
      <c r="O42" s="21"/>
      <c r="P42" s="21"/>
      <c r="Q42" s="21"/>
      <c r="R42" s="21"/>
      <c r="S42" s="134"/>
      <c r="T42" s="134"/>
      <c r="U42" s="134"/>
      <c r="V42" s="134"/>
      <c r="W42" s="134"/>
      <c r="X42" s="134"/>
      <c r="Y42" s="31">
        <f t="shared" si="155"/>
        <v>20192</v>
      </c>
      <c r="Z42" s="21"/>
      <c r="AA42" s="21"/>
      <c r="AB42" s="21"/>
      <c r="AC42" s="21"/>
      <c r="AD42" s="21"/>
      <c r="AE42" s="134"/>
      <c r="AF42" s="134"/>
      <c r="AG42" s="134"/>
      <c r="AH42" s="134"/>
      <c r="AI42" s="134"/>
      <c r="AJ42" s="134"/>
      <c r="AK42" s="31">
        <f t="shared" si="156"/>
        <v>20192</v>
      </c>
      <c r="AL42" s="21"/>
      <c r="AM42" s="21"/>
      <c r="AN42" s="21"/>
      <c r="AO42" s="21"/>
      <c r="AP42" s="21"/>
      <c r="AQ42" s="134"/>
      <c r="AR42" s="134"/>
      <c r="AS42" s="134"/>
      <c r="AT42" s="134"/>
      <c r="AU42" s="134"/>
      <c r="AV42" s="134"/>
      <c r="AW42" s="31">
        <f t="shared" si="157"/>
        <v>20192</v>
      </c>
      <c r="AX42" s="21"/>
      <c r="AY42" s="21"/>
      <c r="AZ42" s="21"/>
      <c r="BA42" s="21"/>
      <c r="BB42" s="21"/>
      <c r="BC42" s="134"/>
      <c r="BD42" s="134"/>
      <c r="BE42" s="134"/>
      <c r="BF42" s="134"/>
      <c r="BG42" s="134"/>
      <c r="BH42" s="134"/>
      <c r="BI42" s="31">
        <f t="shared" si="158"/>
        <v>20192</v>
      </c>
      <c r="BJ42" s="21"/>
      <c r="BK42" s="21"/>
      <c r="BL42" s="21"/>
      <c r="BM42" s="21"/>
      <c r="BN42" s="21"/>
      <c r="BO42" s="134"/>
      <c r="BP42" s="134"/>
      <c r="BQ42" s="134"/>
      <c r="BR42" s="134"/>
      <c r="BS42" s="134"/>
      <c r="BT42" s="134"/>
      <c r="BU42" s="31">
        <f t="shared" si="159"/>
        <v>20192</v>
      </c>
      <c r="BV42" s="21"/>
      <c r="BW42" s="21"/>
      <c r="BX42" s="21"/>
      <c r="BY42" s="21"/>
      <c r="BZ42" s="21"/>
      <c r="CA42" s="134"/>
      <c r="CB42" s="134"/>
      <c r="CC42" s="134"/>
      <c r="CD42" s="134"/>
      <c r="CE42" s="134"/>
      <c r="CF42" s="134"/>
      <c r="CG42" s="31">
        <f t="shared" si="160"/>
        <v>20192</v>
      </c>
      <c r="CH42" s="21"/>
      <c r="CI42" s="21"/>
      <c r="CJ42" s="21"/>
      <c r="CK42" s="21"/>
      <c r="CL42" s="21"/>
      <c r="CM42" s="134"/>
      <c r="CN42" s="134"/>
      <c r="CO42" s="134"/>
      <c r="CP42" s="134"/>
      <c r="CQ42" s="134"/>
      <c r="CR42" s="134"/>
      <c r="CS42" s="31">
        <f t="shared" si="161"/>
        <v>20192</v>
      </c>
      <c r="CT42" s="21"/>
      <c r="CU42" s="21"/>
      <c r="CV42" s="21"/>
      <c r="CW42" s="21"/>
      <c r="CX42" s="21"/>
      <c r="CY42" s="134"/>
      <c r="CZ42" s="134"/>
      <c r="DA42" s="134"/>
      <c r="DB42" s="134"/>
      <c r="DC42" s="134"/>
      <c r="DD42" s="134"/>
      <c r="DE42" s="31">
        <f t="shared" si="162"/>
        <v>20192</v>
      </c>
      <c r="DF42" s="21"/>
      <c r="DG42" s="21"/>
      <c r="DH42" s="21"/>
      <c r="DI42" s="21"/>
      <c r="DJ42" s="21"/>
      <c r="DK42" s="134"/>
      <c r="DL42" s="134"/>
      <c r="DM42" s="134"/>
      <c r="DN42" s="134"/>
      <c r="DO42" s="134"/>
      <c r="DP42" s="134"/>
    </row>
    <row r="43" spans="1:120" ht="15" customHeight="1" x14ac:dyDescent="0.25">
      <c r="A43" s="31">
        <f t="shared" si="153"/>
        <v>20202</v>
      </c>
      <c r="B43" s="21"/>
      <c r="C43" s="21">
        <v>52936626.269999996</v>
      </c>
      <c r="D43" s="21">
        <v>73056692.799999997</v>
      </c>
      <c r="E43" s="21">
        <v>80641780.030000001</v>
      </c>
      <c r="F43" s="134"/>
      <c r="G43" s="134"/>
      <c r="H43" s="134"/>
      <c r="I43" s="134"/>
      <c r="J43" s="134"/>
      <c r="K43" s="134"/>
      <c r="L43" s="134"/>
      <c r="M43" s="31">
        <f t="shared" si="154"/>
        <v>20202</v>
      </c>
      <c r="N43" s="21"/>
      <c r="O43" s="21"/>
      <c r="P43" s="21"/>
      <c r="Q43" s="21"/>
      <c r="R43" s="134"/>
      <c r="S43" s="134"/>
      <c r="T43" s="134"/>
      <c r="U43" s="134"/>
      <c r="V43" s="134"/>
      <c r="W43" s="134"/>
      <c r="X43" s="134"/>
      <c r="Y43" s="31">
        <f t="shared" si="155"/>
        <v>20202</v>
      </c>
      <c r="Z43" s="21"/>
      <c r="AA43" s="21"/>
      <c r="AB43" s="21"/>
      <c r="AC43" s="21"/>
      <c r="AD43" s="134"/>
      <c r="AE43" s="134"/>
      <c r="AF43" s="134"/>
      <c r="AG43" s="134"/>
      <c r="AH43" s="134"/>
      <c r="AI43" s="134"/>
      <c r="AJ43" s="134"/>
      <c r="AK43" s="31">
        <f t="shared" si="156"/>
        <v>20202</v>
      </c>
      <c r="AL43" s="21"/>
      <c r="AM43" s="21"/>
      <c r="AN43" s="21"/>
      <c r="AO43" s="21"/>
      <c r="AP43" s="134"/>
      <c r="AQ43" s="134"/>
      <c r="AR43" s="134"/>
      <c r="AS43" s="134"/>
      <c r="AT43" s="134"/>
      <c r="AU43" s="134"/>
      <c r="AV43" s="134"/>
      <c r="AW43" s="31">
        <f t="shared" si="157"/>
        <v>20202</v>
      </c>
      <c r="AX43" s="21"/>
      <c r="AY43" s="21"/>
      <c r="AZ43" s="21"/>
      <c r="BA43" s="21"/>
      <c r="BB43" s="134"/>
      <c r="BC43" s="134"/>
      <c r="BD43" s="134"/>
      <c r="BE43" s="134"/>
      <c r="BF43" s="134"/>
      <c r="BG43" s="134"/>
      <c r="BH43" s="134"/>
      <c r="BI43" s="31">
        <f t="shared" si="158"/>
        <v>20202</v>
      </c>
      <c r="BJ43" s="21"/>
      <c r="BK43" s="21"/>
      <c r="BL43" s="21"/>
      <c r="BM43" s="21"/>
      <c r="BN43" s="134"/>
      <c r="BO43" s="134"/>
      <c r="BP43" s="134"/>
      <c r="BQ43" s="134"/>
      <c r="BR43" s="134"/>
      <c r="BS43" s="134"/>
      <c r="BT43" s="134"/>
      <c r="BU43" s="31">
        <f t="shared" si="159"/>
        <v>20202</v>
      </c>
      <c r="BV43" s="21"/>
      <c r="BW43" s="21"/>
      <c r="BX43" s="21"/>
      <c r="BY43" s="21"/>
      <c r="BZ43" s="134"/>
      <c r="CA43" s="134"/>
      <c r="CB43" s="134"/>
      <c r="CC43" s="134"/>
      <c r="CD43" s="134"/>
      <c r="CE43" s="134"/>
      <c r="CF43" s="134"/>
      <c r="CG43" s="31">
        <f t="shared" si="160"/>
        <v>20202</v>
      </c>
      <c r="CH43" s="21"/>
      <c r="CI43" s="21"/>
      <c r="CJ43" s="21"/>
      <c r="CK43" s="21"/>
      <c r="CL43" s="134"/>
      <c r="CM43" s="134"/>
      <c r="CN43" s="134"/>
      <c r="CO43" s="134"/>
      <c r="CP43" s="134"/>
      <c r="CQ43" s="134"/>
      <c r="CR43" s="134"/>
      <c r="CS43" s="31">
        <f t="shared" si="161"/>
        <v>20202</v>
      </c>
      <c r="CT43" s="21"/>
      <c r="CU43" s="21"/>
      <c r="CV43" s="21"/>
      <c r="CW43" s="21"/>
      <c r="CX43" s="134"/>
      <c r="CY43" s="134"/>
      <c r="CZ43" s="134"/>
      <c r="DA43" s="134"/>
      <c r="DB43" s="134"/>
      <c r="DC43" s="134"/>
      <c r="DD43" s="134"/>
      <c r="DE43" s="31">
        <f t="shared" si="162"/>
        <v>20202</v>
      </c>
      <c r="DF43" s="21"/>
      <c r="DG43" s="21"/>
      <c r="DH43" s="21"/>
      <c r="DI43" s="21"/>
      <c r="DJ43" s="134"/>
      <c r="DK43" s="134"/>
      <c r="DL43" s="134"/>
      <c r="DM43" s="134"/>
      <c r="DN43" s="134"/>
      <c r="DO43" s="134"/>
      <c r="DP43" s="134"/>
    </row>
    <row r="44" spans="1:120" ht="15" customHeight="1" x14ac:dyDescent="0.25">
      <c r="A44" s="31">
        <f>A45-10</f>
        <v>20212</v>
      </c>
      <c r="B44" s="21"/>
      <c r="C44" s="21">
        <v>54740839.68</v>
      </c>
      <c r="D44" s="21">
        <v>79050240.789999992</v>
      </c>
      <c r="E44" s="134"/>
      <c r="F44" s="134"/>
      <c r="G44" s="134"/>
      <c r="H44" s="134"/>
      <c r="I44" s="134"/>
      <c r="J44" s="134"/>
      <c r="K44" s="134"/>
      <c r="L44" s="134"/>
      <c r="M44" s="31">
        <f>M45-10</f>
        <v>20212</v>
      </c>
      <c r="N44" s="21"/>
      <c r="O44" s="21"/>
      <c r="P44" s="21"/>
      <c r="Q44" s="134"/>
      <c r="R44" s="134"/>
      <c r="S44" s="134"/>
      <c r="T44" s="134"/>
      <c r="U44" s="134"/>
      <c r="V44" s="134"/>
      <c r="W44" s="134"/>
      <c r="X44" s="134"/>
      <c r="Y44" s="31">
        <f>Y45-10</f>
        <v>20212</v>
      </c>
      <c r="Z44" s="21"/>
      <c r="AA44" s="21"/>
      <c r="AB44" s="21"/>
      <c r="AC44" s="134"/>
      <c r="AD44" s="134"/>
      <c r="AE44" s="134"/>
      <c r="AF44" s="134"/>
      <c r="AG44" s="134"/>
      <c r="AH44" s="134"/>
      <c r="AI44" s="134"/>
      <c r="AJ44" s="134"/>
      <c r="AK44" s="31">
        <f>AK45-10</f>
        <v>20212</v>
      </c>
      <c r="AL44" s="21"/>
      <c r="AM44" s="21"/>
      <c r="AN44" s="21"/>
      <c r="AO44" s="134"/>
      <c r="AP44" s="134"/>
      <c r="AQ44" s="134"/>
      <c r="AR44" s="134"/>
      <c r="AS44" s="134"/>
      <c r="AT44" s="134"/>
      <c r="AU44" s="134"/>
      <c r="AV44" s="134"/>
      <c r="AW44" s="31">
        <f>AW45-10</f>
        <v>20212</v>
      </c>
      <c r="AX44" s="21"/>
      <c r="AY44" s="21"/>
      <c r="AZ44" s="21"/>
      <c r="BA44" s="134"/>
      <c r="BB44" s="134"/>
      <c r="BC44" s="134"/>
      <c r="BD44" s="134"/>
      <c r="BE44" s="134"/>
      <c r="BF44" s="134"/>
      <c r="BG44" s="134"/>
      <c r="BH44" s="134"/>
      <c r="BI44" s="31">
        <f>BI45-10</f>
        <v>20212</v>
      </c>
      <c r="BJ44" s="21"/>
      <c r="BK44" s="21"/>
      <c r="BL44" s="21"/>
      <c r="BM44" s="134"/>
      <c r="BN44" s="134"/>
      <c r="BO44" s="134"/>
      <c r="BP44" s="134"/>
      <c r="BQ44" s="134"/>
      <c r="BR44" s="134"/>
      <c r="BS44" s="134"/>
      <c r="BT44" s="134"/>
      <c r="BU44" s="31">
        <f>BU45-10</f>
        <v>20212</v>
      </c>
      <c r="BV44" s="21"/>
      <c r="BW44" s="21"/>
      <c r="BX44" s="21"/>
      <c r="BY44" s="134"/>
      <c r="BZ44" s="134"/>
      <c r="CA44" s="134"/>
      <c r="CB44" s="134"/>
      <c r="CC44" s="134"/>
      <c r="CD44" s="134"/>
      <c r="CE44" s="134"/>
      <c r="CF44" s="134"/>
      <c r="CG44" s="31">
        <f>CG45-10</f>
        <v>20212</v>
      </c>
      <c r="CH44" s="21"/>
      <c r="CI44" s="21"/>
      <c r="CJ44" s="21"/>
      <c r="CK44" s="134"/>
      <c r="CL44" s="134"/>
      <c r="CM44" s="134"/>
      <c r="CN44" s="134"/>
      <c r="CO44" s="134"/>
      <c r="CP44" s="134"/>
      <c r="CQ44" s="134"/>
      <c r="CR44" s="134"/>
      <c r="CS44" s="31">
        <f>CS45-10</f>
        <v>20212</v>
      </c>
      <c r="CT44" s="21"/>
      <c r="CU44" s="21"/>
      <c r="CV44" s="21"/>
      <c r="CW44" s="134"/>
      <c r="CX44" s="134"/>
      <c r="CY44" s="134"/>
      <c r="CZ44" s="134"/>
      <c r="DA44" s="134"/>
      <c r="DB44" s="134"/>
      <c r="DC44" s="134"/>
      <c r="DD44" s="134"/>
      <c r="DE44" s="31">
        <f>DE45-10</f>
        <v>20212</v>
      </c>
      <c r="DF44" s="21"/>
      <c r="DG44" s="21"/>
      <c r="DH44" s="21"/>
      <c r="DI44" s="134"/>
      <c r="DJ44" s="134"/>
      <c r="DK44" s="134"/>
      <c r="DL44" s="134"/>
      <c r="DM44" s="134"/>
      <c r="DN44" s="134"/>
      <c r="DO44" s="134"/>
      <c r="DP44" s="134"/>
    </row>
    <row r="45" spans="1:120" ht="15" customHeight="1" x14ac:dyDescent="0.25">
      <c r="A45" s="31">
        <f>FYQtr_LDF</f>
        <v>20222</v>
      </c>
      <c r="B45" s="21"/>
      <c r="C45" s="21">
        <v>66086262.020000003</v>
      </c>
      <c r="D45" s="134"/>
      <c r="E45" s="134"/>
      <c r="F45" s="134"/>
      <c r="G45" s="134"/>
      <c r="H45" s="134"/>
      <c r="I45" s="134"/>
      <c r="J45" s="134"/>
      <c r="K45" s="134"/>
      <c r="L45" s="134"/>
      <c r="M45" s="31">
        <f>FYQtr_LDF</f>
        <v>20222</v>
      </c>
      <c r="N45" s="21"/>
      <c r="O45" s="21"/>
      <c r="P45" s="134"/>
      <c r="Q45" s="134"/>
      <c r="R45" s="134"/>
      <c r="S45" s="134"/>
      <c r="T45" s="134"/>
      <c r="U45" s="134"/>
      <c r="V45" s="134"/>
      <c r="W45" s="134"/>
      <c r="X45" s="134"/>
      <c r="Y45" s="31">
        <f>FYQtr_LDF</f>
        <v>20222</v>
      </c>
      <c r="Z45" s="21"/>
      <c r="AA45" s="21"/>
      <c r="AB45" s="134"/>
      <c r="AC45" s="134"/>
      <c r="AD45" s="134"/>
      <c r="AE45" s="134"/>
      <c r="AF45" s="134"/>
      <c r="AG45" s="134"/>
      <c r="AH45" s="134"/>
      <c r="AI45" s="134"/>
      <c r="AJ45" s="134"/>
      <c r="AK45" s="31">
        <f>FYQtr_LDF</f>
        <v>20222</v>
      </c>
      <c r="AL45" s="21"/>
      <c r="AM45" s="21"/>
      <c r="AN45" s="134"/>
      <c r="AO45" s="134"/>
      <c r="AP45" s="134"/>
      <c r="AQ45" s="134"/>
      <c r="AR45" s="134"/>
      <c r="AS45" s="134"/>
      <c r="AT45" s="134"/>
      <c r="AU45" s="134"/>
      <c r="AV45" s="134"/>
      <c r="AW45" s="31">
        <f>FYQtr_LDF</f>
        <v>20222</v>
      </c>
      <c r="AX45" s="21"/>
      <c r="AY45" s="21"/>
      <c r="AZ45" s="134"/>
      <c r="BA45" s="134"/>
      <c r="BB45" s="134"/>
      <c r="BC45" s="134"/>
      <c r="BD45" s="134"/>
      <c r="BE45" s="134"/>
      <c r="BF45" s="134"/>
      <c r="BG45" s="134"/>
      <c r="BH45" s="134"/>
      <c r="BI45" s="31">
        <f>FYQtr_LDF</f>
        <v>20222</v>
      </c>
      <c r="BJ45" s="21"/>
      <c r="BK45" s="21"/>
      <c r="BL45" s="134"/>
      <c r="BM45" s="134"/>
      <c r="BN45" s="134"/>
      <c r="BO45" s="134"/>
      <c r="BP45" s="134"/>
      <c r="BQ45" s="134"/>
      <c r="BR45" s="134"/>
      <c r="BS45" s="134"/>
      <c r="BT45" s="134"/>
      <c r="BU45" s="31">
        <f>FYQtr_LDF</f>
        <v>20222</v>
      </c>
      <c r="BV45" s="21"/>
      <c r="BW45" s="21"/>
      <c r="BX45" s="134"/>
      <c r="BY45" s="134"/>
      <c r="BZ45" s="134"/>
      <c r="CA45" s="134"/>
      <c r="CB45" s="134"/>
      <c r="CC45" s="134"/>
      <c r="CD45" s="134"/>
      <c r="CE45" s="134"/>
      <c r="CF45" s="134"/>
      <c r="CG45" s="31">
        <f>FYQtr_LDF</f>
        <v>20222</v>
      </c>
      <c r="CH45" s="21"/>
      <c r="CI45" s="21"/>
      <c r="CJ45" s="134"/>
      <c r="CK45" s="134"/>
      <c r="CL45" s="134"/>
      <c r="CM45" s="134"/>
      <c r="CN45" s="134"/>
      <c r="CO45" s="134"/>
      <c r="CP45" s="134"/>
      <c r="CQ45" s="134"/>
      <c r="CR45" s="134"/>
      <c r="CS45" s="31">
        <f>FYQtr_LDF</f>
        <v>20222</v>
      </c>
      <c r="CT45" s="21"/>
      <c r="CU45" s="21"/>
      <c r="CV45" s="134"/>
      <c r="CW45" s="134"/>
      <c r="CX45" s="134"/>
      <c r="CY45" s="134"/>
      <c r="CZ45" s="134"/>
      <c r="DA45" s="134"/>
      <c r="DB45" s="134"/>
      <c r="DC45" s="134"/>
      <c r="DD45" s="134"/>
      <c r="DE45" s="31">
        <f>FYQtr_LDF</f>
        <v>20222</v>
      </c>
      <c r="DF45" s="21"/>
      <c r="DG45" s="21"/>
      <c r="DH45" s="134"/>
      <c r="DI45" s="134"/>
      <c r="DJ45" s="134"/>
      <c r="DK45" s="134"/>
      <c r="DL45" s="134"/>
      <c r="DM45" s="134"/>
      <c r="DN45" s="134"/>
      <c r="DO45" s="134"/>
      <c r="DP45" s="134"/>
    </row>
    <row r="46" spans="1:120" ht="15" customHeight="1" x14ac:dyDescent="0.25">
      <c r="F46" s="310" t="str">
        <f>IF(AND(ISNUMBER(K49),K49&gt;=1.01),"Reminder: If more than ten years of development is deemed to be required, insurers can provide this data in a supplemental exhibit.","")</f>
        <v/>
      </c>
      <c r="R46" s="310" t="str">
        <f>IF(AND(ISNUMBER(W49),W49&gt;=1.01),"Reminder: If more than ten years of development is deemed to be required, insurers can provide this data in a supplemental exhibit.","")</f>
        <v/>
      </c>
      <c r="AD46" s="310" t="str">
        <f>IF(AND(ISNUMBER(AI49),AI49&gt;=1.01),"Reminder: If more than ten years of development is deemed to be required, insurers can provide this data in a supplemental exhibit.","")</f>
        <v/>
      </c>
      <c r="AP46" s="309" t="str">
        <f>IF(AND(ISNUMBER(AU49),AU49&gt;=1.01),"Reminder: If more than ten years of development is deemed to be required, insurers can provide this data in a supplemental exhibit.","")</f>
        <v/>
      </c>
      <c r="BB46" s="310" t="str">
        <f>IF(AND(ISNUMBER(BG49),BG49&gt;=1.01),"Reminder: If more than ten years of development is deemed to be required, insurers can provide this data in a supplemental exhibit.","")</f>
        <v/>
      </c>
      <c r="BN46" s="310" t="str">
        <f>IF(AND(ISNUMBER(BS49),BS49&gt;=1.01),"Reminder: If more than ten years of development is deemed to be required, insurers can provide this data in a supplemental exhibit.","")</f>
        <v/>
      </c>
      <c r="BZ46" s="310" t="str">
        <f>IF(AND(ISNUMBER(CE49),CE49&gt;=1.01),"Reminder: If more than ten years of development is deemed to be required, insurers can provide this data in a supplemental exhibit.","")</f>
        <v/>
      </c>
      <c r="CL46" s="310" t="str">
        <f>IF(AND(ISNUMBER(CQ49),CQ49&gt;=1.01),"Reminder: If more than ten years of development is deemed to be required, insurers can provide this data in a supplemental exhibit.","")</f>
        <v/>
      </c>
      <c r="CX46" s="310" t="str">
        <f>IF(AND(ISNUMBER(DC49),DC49&gt;=1.01),"Reminder: If more than ten years of development is deemed to be required, insurers can provide this data in a supplemental exhibit.","")</f>
        <v/>
      </c>
      <c r="DJ46" s="310" t="str">
        <f>IF(AND(ISNUMBER(DO49),DO49&gt;=1.01),"Reminder: If more than ten years of development is deemed to be required, insurers can provide this data in a supplemental exhibit.","")</f>
        <v/>
      </c>
    </row>
    <row r="47" spans="1:120" x14ac:dyDescent="0.25">
      <c r="A47" s="130"/>
      <c r="B47" s="131"/>
      <c r="C47" s="131" t="s">
        <v>36</v>
      </c>
      <c r="D47" s="132"/>
      <c r="E47" s="132"/>
      <c r="F47" s="132"/>
      <c r="G47" s="132"/>
      <c r="H47" s="132"/>
      <c r="I47" s="132"/>
      <c r="J47" s="132"/>
      <c r="K47" s="132"/>
      <c r="L47" s="132"/>
      <c r="M47" s="130"/>
      <c r="N47" s="131"/>
      <c r="O47" s="131" t="s">
        <v>36</v>
      </c>
      <c r="P47" s="132"/>
      <c r="Q47" s="132"/>
      <c r="R47" s="132"/>
      <c r="S47" s="132"/>
      <c r="T47" s="132"/>
      <c r="U47" s="132"/>
      <c r="V47" s="132"/>
      <c r="W47" s="132"/>
      <c r="X47" s="132"/>
      <c r="Y47" s="130"/>
      <c r="Z47" s="131"/>
      <c r="AA47" s="131" t="s">
        <v>36</v>
      </c>
      <c r="AB47" s="132"/>
      <c r="AC47" s="132"/>
      <c r="AD47" s="132"/>
      <c r="AE47" s="132"/>
      <c r="AF47" s="132"/>
      <c r="AG47" s="132"/>
      <c r="AH47" s="132"/>
      <c r="AI47" s="132"/>
      <c r="AJ47" s="132"/>
      <c r="AK47" s="130"/>
      <c r="AL47" s="131"/>
      <c r="AM47" s="131" t="s">
        <v>36</v>
      </c>
      <c r="AN47" s="132"/>
      <c r="AO47" s="132"/>
      <c r="AP47" s="132"/>
      <c r="AQ47" s="132"/>
      <c r="AR47" s="132"/>
      <c r="AS47" s="132"/>
      <c r="AT47" s="132"/>
      <c r="AU47" s="132"/>
      <c r="AV47" s="132"/>
      <c r="AW47" s="130"/>
      <c r="AX47" s="131"/>
      <c r="AY47" s="131" t="s">
        <v>36</v>
      </c>
      <c r="AZ47" s="132"/>
      <c r="BA47" s="132"/>
      <c r="BB47" s="132"/>
      <c r="BC47" s="132"/>
      <c r="BD47" s="132"/>
      <c r="BE47" s="132"/>
      <c r="BF47" s="132"/>
      <c r="BG47" s="132"/>
      <c r="BH47" s="132"/>
      <c r="BI47" s="130"/>
      <c r="BJ47" s="131"/>
      <c r="BK47" s="131" t="s">
        <v>36</v>
      </c>
      <c r="BL47" s="132"/>
      <c r="BM47" s="132"/>
      <c r="BN47" s="132"/>
      <c r="BO47" s="132"/>
      <c r="BP47" s="132"/>
      <c r="BQ47" s="132"/>
      <c r="BR47" s="132"/>
      <c r="BS47" s="132"/>
      <c r="BT47" s="132"/>
      <c r="BU47" s="130"/>
      <c r="BV47" s="131"/>
      <c r="BW47" s="131" t="s">
        <v>36</v>
      </c>
      <c r="BX47" s="132"/>
      <c r="BY47" s="132"/>
      <c r="BZ47" s="132"/>
      <c r="CA47" s="132"/>
      <c r="CB47" s="132"/>
      <c r="CC47" s="132"/>
      <c r="CD47" s="132"/>
      <c r="CE47" s="132"/>
      <c r="CF47" s="132"/>
      <c r="CG47" s="130"/>
      <c r="CH47" s="131"/>
      <c r="CI47" s="131" t="s">
        <v>36</v>
      </c>
      <c r="CJ47" s="132"/>
      <c r="CK47" s="132"/>
      <c r="CL47" s="132"/>
      <c r="CM47" s="132"/>
      <c r="CN47" s="132"/>
      <c r="CO47" s="132"/>
      <c r="CP47" s="132"/>
      <c r="CQ47" s="132"/>
      <c r="CR47" s="132"/>
      <c r="CS47" s="130"/>
      <c r="CT47" s="131"/>
      <c r="CU47" s="131" t="s">
        <v>36</v>
      </c>
      <c r="CV47" s="132"/>
      <c r="CW47" s="132"/>
      <c r="CX47" s="132"/>
      <c r="CY47" s="132"/>
      <c r="CZ47" s="132"/>
      <c r="DA47" s="132"/>
      <c r="DB47" s="132"/>
      <c r="DC47" s="132"/>
      <c r="DD47" s="132"/>
      <c r="DE47" s="130"/>
      <c r="DF47" s="131"/>
      <c r="DG47" s="131" t="s">
        <v>36</v>
      </c>
      <c r="DH47" s="132"/>
      <c r="DI47" s="132"/>
      <c r="DJ47" s="132"/>
      <c r="DK47" s="132"/>
      <c r="DL47" s="132"/>
      <c r="DM47" s="132"/>
      <c r="DN47" s="132"/>
      <c r="DO47" s="132"/>
      <c r="DP47" s="132"/>
    </row>
    <row r="48" spans="1:120" ht="30" x14ac:dyDescent="0.25">
      <c r="A48" s="92" t="str">
        <f>$A$35</f>
        <v>Fiscal Accident Year Data Ending</v>
      </c>
      <c r="B48" s="92"/>
      <c r="C48" s="100" t="str">
        <f>$C$35&amp;"-"&amp;$D$35</f>
        <v>12-24</v>
      </c>
      <c r="D48" s="100" t="str">
        <f>$D$35&amp;"-"&amp;$E$35</f>
        <v>24-36</v>
      </c>
      <c r="E48" s="100" t="str">
        <f>$E$35&amp;"-"&amp;$F$35</f>
        <v>36-48</v>
      </c>
      <c r="F48" s="100" t="str">
        <f>$F$35&amp;"-"&amp;$G$35</f>
        <v>48-60</v>
      </c>
      <c r="G48" s="100" t="str">
        <f>$G$35&amp;"-"&amp;$H$35</f>
        <v>60-72</v>
      </c>
      <c r="H48" s="100" t="str">
        <f>$H$35&amp;"-"&amp;$I$35</f>
        <v>72-84</v>
      </c>
      <c r="I48" s="100" t="str">
        <f>$I$35&amp;"-"&amp;$J$35</f>
        <v>84-96</v>
      </c>
      <c r="J48" s="100" t="str">
        <f>$J$35&amp;"-"&amp;$K$35</f>
        <v>96-108</v>
      </c>
      <c r="K48" s="100" t="str">
        <f>$K$35&amp;"-"&amp;$L$35</f>
        <v>108-120</v>
      </c>
      <c r="L48" s="100" t="str">
        <f>$L$35&amp;"-Ult"</f>
        <v>120-Ult</v>
      </c>
      <c r="M48" s="92" t="str">
        <f>$A$35</f>
        <v>Fiscal Accident Year Data Ending</v>
      </c>
      <c r="N48" s="92"/>
      <c r="O48" s="100" t="str">
        <f>$C$35&amp;"-"&amp;$D$35</f>
        <v>12-24</v>
      </c>
      <c r="P48" s="100" t="str">
        <f>$D$35&amp;"-"&amp;$E$35</f>
        <v>24-36</v>
      </c>
      <c r="Q48" s="100" t="str">
        <f>$E$35&amp;"-"&amp;$F$35</f>
        <v>36-48</v>
      </c>
      <c r="R48" s="100" t="str">
        <f>$F$35&amp;"-"&amp;$G$35</f>
        <v>48-60</v>
      </c>
      <c r="S48" s="100" t="str">
        <f>$G$35&amp;"-"&amp;$H$35</f>
        <v>60-72</v>
      </c>
      <c r="T48" s="100" t="str">
        <f>$H$35&amp;"-"&amp;$I$35</f>
        <v>72-84</v>
      </c>
      <c r="U48" s="100" t="str">
        <f>$I$35&amp;"-"&amp;$J$35</f>
        <v>84-96</v>
      </c>
      <c r="V48" s="100" t="str">
        <f>$J$35&amp;"-"&amp;$K$35</f>
        <v>96-108</v>
      </c>
      <c r="W48" s="100" t="str">
        <f>$K$35&amp;"-"&amp;$L$35</f>
        <v>108-120</v>
      </c>
      <c r="X48" s="100" t="str">
        <f>$L$35&amp;"-Ult"</f>
        <v>120-Ult</v>
      </c>
      <c r="Y48" s="92" t="str">
        <f>$A$35</f>
        <v>Fiscal Accident Year Data Ending</v>
      </c>
      <c r="Z48" s="92"/>
      <c r="AA48" s="100" t="str">
        <f>$C$35&amp;"-"&amp;$D$35</f>
        <v>12-24</v>
      </c>
      <c r="AB48" s="100" t="str">
        <f>$D$35&amp;"-"&amp;$E$35</f>
        <v>24-36</v>
      </c>
      <c r="AC48" s="100" t="str">
        <f>$E$35&amp;"-"&amp;$F$35</f>
        <v>36-48</v>
      </c>
      <c r="AD48" s="100" t="str">
        <f>$F$35&amp;"-"&amp;$G$35</f>
        <v>48-60</v>
      </c>
      <c r="AE48" s="100" t="str">
        <f>$G$35&amp;"-"&amp;$H$35</f>
        <v>60-72</v>
      </c>
      <c r="AF48" s="100" t="str">
        <f>$H$35&amp;"-"&amp;$I$35</f>
        <v>72-84</v>
      </c>
      <c r="AG48" s="100" t="str">
        <f>$I$35&amp;"-"&amp;$J$35</f>
        <v>84-96</v>
      </c>
      <c r="AH48" s="100" t="str">
        <f>$J$35&amp;"-"&amp;$K$35</f>
        <v>96-108</v>
      </c>
      <c r="AI48" s="100" t="str">
        <f>$K$35&amp;"-"&amp;$L$35</f>
        <v>108-120</v>
      </c>
      <c r="AJ48" s="100" t="str">
        <f>$L$35&amp;"-Ult"</f>
        <v>120-Ult</v>
      </c>
      <c r="AK48" s="92" t="str">
        <f>$A$35</f>
        <v>Fiscal Accident Year Data Ending</v>
      </c>
      <c r="AL48" s="92"/>
      <c r="AM48" s="100" t="str">
        <f>$C$35&amp;"-"&amp;$D$35</f>
        <v>12-24</v>
      </c>
      <c r="AN48" s="100" t="str">
        <f>$D$35&amp;"-"&amp;$E$35</f>
        <v>24-36</v>
      </c>
      <c r="AO48" s="100" t="str">
        <f>$E$35&amp;"-"&amp;$F$35</f>
        <v>36-48</v>
      </c>
      <c r="AP48" s="100" t="str">
        <f>$F$35&amp;"-"&amp;$G$35</f>
        <v>48-60</v>
      </c>
      <c r="AQ48" s="100" t="str">
        <f>$G$35&amp;"-"&amp;$H$35</f>
        <v>60-72</v>
      </c>
      <c r="AR48" s="100" t="str">
        <f>$H$35&amp;"-"&amp;$I$35</f>
        <v>72-84</v>
      </c>
      <c r="AS48" s="100" t="str">
        <f>$I$35&amp;"-"&amp;$J$35</f>
        <v>84-96</v>
      </c>
      <c r="AT48" s="100" t="str">
        <f>$J$35&amp;"-"&amp;$K$35</f>
        <v>96-108</v>
      </c>
      <c r="AU48" s="100" t="str">
        <f>$K$35&amp;"-"&amp;$L$35</f>
        <v>108-120</v>
      </c>
      <c r="AV48" s="100" t="str">
        <f>$L$35&amp;"-Ult"</f>
        <v>120-Ult</v>
      </c>
      <c r="AW48" s="92" t="str">
        <f>$A$35</f>
        <v>Fiscal Accident Year Data Ending</v>
      </c>
      <c r="AX48" s="92"/>
      <c r="AY48" s="100" t="str">
        <f>$C$35&amp;"-"&amp;$D$35</f>
        <v>12-24</v>
      </c>
      <c r="AZ48" s="100" t="str">
        <f>$D$35&amp;"-"&amp;$E$35</f>
        <v>24-36</v>
      </c>
      <c r="BA48" s="100" t="str">
        <f>$E$35&amp;"-"&amp;$F$35</f>
        <v>36-48</v>
      </c>
      <c r="BB48" s="100" t="str">
        <f>$F$35&amp;"-"&amp;$G$35</f>
        <v>48-60</v>
      </c>
      <c r="BC48" s="100" t="str">
        <f>$G$35&amp;"-"&amp;$H$35</f>
        <v>60-72</v>
      </c>
      <c r="BD48" s="100" t="str">
        <f>$H$35&amp;"-"&amp;$I$35</f>
        <v>72-84</v>
      </c>
      <c r="BE48" s="100" t="str">
        <f>$I$35&amp;"-"&amp;$J$35</f>
        <v>84-96</v>
      </c>
      <c r="BF48" s="100" t="str">
        <f>$J$35&amp;"-"&amp;$K$35</f>
        <v>96-108</v>
      </c>
      <c r="BG48" s="100" t="str">
        <f>$K$35&amp;"-"&amp;$L$35</f>
        <v>108-120</v>
      </c>
      <c r="BH48" s="100" t="str">
        <f>$L$35&amp;"-Ult"</f>
        <v>120-Ult</v>
      </c>
      <c r="BI48" s="92" t="str">
        <f>$A$35</f>
        <v>Fiscal Accident Year Data Ending</v>
      </c>
      <c r="BJ48" s="92"/>
      <c r="BK48" s="100" t="str">
        <f>$C$35&amp;"-"&amp;$D$35</f>
        <v>12-24</v>
      </c>
      <c r="BL48" s="100" t="str">
        <f>$D$35&amp;"-"&amp;$E$35</f>
        <v>24-36</v>
      </c>
      <c r="BM48" s="100" t="str">
        <f>$E$35&amp;"-"&amp;$F$35</f>
        <v>36-48</v>
      </c>
      <c r="BN48" s="100" t="str">
        <f>$F$35&amp;"-"&amp;$G$35</f>
        <v>48-60</v>
      </c>
      <c r="BO48" s="100" t="str">
        <f>$G$35&amp;"-"&amp;$H$35</f>
        <v>60-72</v>
      </c>
      <c r="BP48" s="100" t="str">
        <f>$H$35&amp;"-"&amp;$I$35</f>
        <v>72-84</v>
      </c>
      <c r="BQ48" s="100" t="str">
        <f>$I$35&amp;"-"&amp;$J$35</f>
        <v>84-96</v>
      </c>
      <c r="BR48" s="100" t="str">
        <f>$J$35&amp;"-"&amp;$K$35</f>
        <v>96-108</v>
      </c>
      <c r="BS48" s="100" t="str">
        <f>$K$35&amp;"-"&amp;$L$35</f>
        <v>108-120</v>
      </c>
      <c r="BT48" s="100" t="str">
        <f>$L$35&amp;"-Ult"</f>
        <v>120-Ult</v>
      </c>
      <c r="BU48" s="92" t="str">
        <f>$A$35</f>
        <v>Fiscal Accident Year Data Ending</v>
      </c>
      <c r="BV48" s="92"/>
      <c r="BW48" s="100" t="str">
        <f>$C$35&amp;"-"&amp;$D$35</f>
        <v>12-24</v>
      </c>
      <c r="BX48" s="100" t="str">
        <f>$D$35&amp;"-"&amp;$E$35</f>
        <v>24-36</v>
      </c>
      <c r="BY48" s="100" t="str">
        <f>$E$35&amp;"-"&amp;$F$35</f>
        <v>36-48</v>
      </c>
      <c r="BZ48" s="100" t="str">
        <f>$F$35&amp;"-"&amp;$G$35</f>
        <v>48-60</v>
      </c>
      <c r="CA48" s="100" t="str">
        <f>$G$35&amp;"-"&amp;$H$35</f>
        <v>60-72</v>
      </c>
      <c r="CB48" s="100" t="str">
        <f>$H$35&amp;"-"&amp;$I$35</f>
        <v>72-84</v>
      </c>
      <c r="CC48" s="100" t="str">
        <f>$I$35&amp;"-"&amp;$J$35</f>
        <v>84-96</v>
      </c>
      <c r="CD48" s="100" t="str">
        <f>$J$35&amp;"-"&amp;$K$35</f>
        <v>96-108</v>
      </c>
      <c r="CE48" s="100" t="str">
        <f>$K$35&amp;"-"&amp;$L$35</f>
        <v>108-120</v>
      </c>
      <c r="CF48" s="100" t="str">
        <f>$L$35&amp;"-Ult"</f>
        <v>120-Ult</v>
      </c>
      <c r="CG48" s="92" t="str">
        <f>$A$35</f>
        <v>Fiscal Accident Year Data Ending</v>
      </c>
      <c r="CH48" s="92"/>
      <c r="CI48" s="100" t="str">
        <f>$C$35&amp;"-"&amp;$D$35</f>
        <v>12-24</v>
      </c>
      <c r="CJ48" s="100" t="str">
        <f>$D$35&amp;"-"&amp;$E$35</f>
        <v>24-36</v>
      </c>
      <c r="CK48" s="100" t="str">
        <f>$E$35&amp;"-"&amp;$F$35</f>
        <v>36-48</v>
      </c>
      <c r="CL48" s="100" t="str">
        <f>$F$35&amp;"-"&amp;$G$35</f>
        <v>48-60</v>
      </c>
      <c r="CM48" s="100" t="str">
        <f>$G$35&amp;"-"&amp;$H$35</f>
        <v>60-72</v>
      </c>
      <c r="CN48" s="100" t="str">
        <f>$H$35&amp;"-"&amp;$I$35</f>
        <v>72-84</v>
      </c>
      <c r="CO48" s="100" t="str">
        <f>$I$35&amp;"-"&amp;$J$35</f>
        <v>84-96</v>
      </c>
      <c r="CP48" s="100" t="str">
        <f>$J$35&amp;"-"&amp;$K$35</f>
        <v>96-108</v>
      </c>
      <c r="CQ48" s="100" t="str">
        <f>$K$35&amp;"-"&amp;$L$35</f>
        <v>108-120</v>
      </c>
      <c r="CR48" s="100" t="str">
        <f>$L$35&amp;"-Ult"</f>
        <v>120-Ult</v>
      </c>
      <c r="CS48" s="92" t="str">
        <f>$A$35</f>
        <v>Fiscal Accident Year Data Ending</v>
      </c>
      <c r="CT48" s="92"/>
      <c r="CU48" s="100" t="str">
        <f>$C$35&amp;"-"&amp;$D$35</f>
        <v>12-24</v>
      </c>
      <c r="CV48" s="100" t="str">
        <f>$D$35&amp;"-"&amp;$E$35</f>
        <v>24-36</v>
      </c>
      <c r="CW48" s="100" t="str">
        <f>$E$35&amp;"-"&amp;$F$35</f>
        <v>36-48</v>
      </c>
      <c r="CX48" s="100" t="str">
        <f>$F$35&amp;"-"&amp;$G$35</f>
        <v>48-60</v>
      </c>
      <c r="CY48" s="100" t="str">
        <f>$G$35&amp;"-"&amp;$H$35</f>
        <v>60-72</v>
      </c>
      <c r="CZ48" s="100" t="str">
        <f>$H$35&amp;"-"&amp;$I$35</f>
        <v>72-84</v>
      </c>
      <c r="DA48" s="100" t="str">
        <f>$I$35&amp;"-"&amp;$J$35</f>
        <v>84-96</v>
      </c>
      <c r="DB48" s="100" t="str">
        <f>$J$35&amp;"-"&amp;$K$35</f>
        <v>96-108</v>
      </c>
      <c r="DC48" s="100" t="str">
        <f>$K$35&amp;"-"&amp;$L$35</f>
        <v>108-120</v>
      </c>
      <c r="DD48" s="100" t="str">
        <f>$L$35&amp;"-Ult"</f>
        <v>120-Ult</v>
      </c>
      <c r="DE48" s="92" t="str">
        <f>$A$35</f>
        <v>Fiscal Accident Year Data Ending</v>
      </c>
      <c r="DF48" s="92"/>
      <c r="DG48" s="100" t="str">
        <f>$C$35&amp;"-"&amp;$D$35</f>
        <v>12-24</v>
      </c>
      <c r="DH48" s="100" t="str">
        <f>$D$35&amp;"-"&amp;$E$35</f>
        <v>24-36</v>
      </c>
      <c r="DI48" s="100" t="str">
        <f>$E$35&amp;"-"&amp;$F$35</f>
        <v>36-48</v>
      </c>
      <c r="DJ48" s="100" t="str">
        <f>$F$35&amp;"-"&amp;$G$35</f>
        <v>48-60</v>
      </c>
      <c r="DK48" s="100" t="str">
        <f>$G$35&amp;"-"&amp;$H$35</f>
        <v>60-72</v>
      </c>
      <c r="DL48" s="100" t="str">
        <f>$H$35&amp;"-"&amp;$I$35</f>
        <v>72-84</v>
      </c>
      <c r="DM48" s="100" t="str">
        <f>$I$35&amp;"-"&amp;$J$35</f>
        <v>84-96</v>
      </c>
      <c r="DN48" s="100" t="str">
        <f>$J$35&amp;"-"&amp;$K$35</f>
        <v>96-108</v>
      </c>
      <c r="DO48" s="100" t="str">
        <f>$K$35&amp;"-"&amp;$L$35</f>
        <v>108-120</v>
      </c>
      <c r="DP48" s="100" t="str">
        <f>$L$35&amp;"-Ult"</f>
        <v>120-Ult</v>
      </c>
    </row>
    <row r="49" spans="1:120" x14ac:dyDescent="0.25">
      <c r="A49" s="91">
        <f>$A$36</f>
        <v>20132</v>
      </c>
      <c r="B49" s="105"/>
      <c r="C49" s="90">
        <f>IFERROR(D36/C36,"")</f>
        <v>1.4085114410634241</v>
      </c>
      <c r="D49" s="90">
        <f t="shared" ref="D49:K49" si="163">IFERROR(E36/D36,"")</f>
        <v>1.0859041189000944</v>
      </c>
      <c r="E49" s="90">
        <f t="shared" si="163"/>
        <v>1.0328708011177272</v>
      </c>
      <c r="F49" s="90">
        <f t="shared" si="163"/>
        <v>1.0148034536309432</v>
      </c>
      <c r="G49" s="90">
        <f t="shared" si="163"/>
        <v>1.011647457398706</v>
      </c>
      <c r="H49" s="90">
        <f t="shared" si="163"/>
        <v>1.005734413739489</v>
      </c>
      <c r="I49" s="90">
        <f t="shared" si="163"/>
        <v>1.0033871692023106</v>
      </c>
      <c r="J49" s="90">
        <f t="shared" si="163"/>
        <v>1.0032335443984064</v>
      </c>
      <c r="K49" s="90">
        <f t="shared" si="163"/>
        <v>1.0054009023577926</v>
      </c>
      <c r="L49" s="22"/>
      <c r="M49" s="91">
        <f>$A$36</f>
        <v>20132</v>
      </c>
      <c r="N49" s="105"/>
      <c r="O49" s="90" t="str">
        <f>IFERROR(P36/O36,"")</f>
        <v/>
      </c>
      <c r="P49" s="90" t="str">
        <f t="shared" ref="P49:W49" si="164">IFERROR(Q36/P36,"")</f>
        <v/>
      </c>
      <c r="Q49" s="90" t="str">
        <f t="shared" si="164"/>
        <v/>
      </c>
      <c r="R49" s="90" t="str">
        <f t="shared" si="164"/>
        <v/>
      </c>
      <c r="S49" s="90" t="str">
        <f t="shared" si="164"/>
        <v/>
      </c>
      <c r="T49" s="90" t="str">
        <f t="shared" si="164"/>
        <v/>
      </c>
      <c r="U49" s="90" t="str">
        <f t="shared" si="164"/>
        <v/>
      </c>
      <c r="V49" s="90" t="str">
        <f t="shared" si="164"/>
        <v/>
      </c>
      <c r="W49" s="90" t="str">
        <f t="shared" si="164"/>
        <v/>
      </c>
      <c r="X49" s="22"/>
      <c r="Y49" s="91">
        <f>$A$36</f>
        <v>20132</v>
      </c>
      <c r="Z49" s="105"/>
      <c r="AA49" s="90" t="str">
        <f>IFERROR(AB36/AA36,"")</f>
        <v/>
      </c>
      <c r="AB49" s="90" t="str">
        <f t="shared" ref="AB49:AI49" si="165">IFERROR(AC36/AB36,"")</f>
        <v/>
      </c>
      <c r="AC49" s="90" t="str">
        <f t="shared" si="165"/>
        <v/>
      </c>
      <c r="AD49" s="90" t="str">
        <f t="shared" si="165"/>
        <v/>
      </c>
      <c r="AE49" s="90" t="str">
        <f t="shared" si="165"/>
        <v/>
      </c>
      <c r="AF49" s="90" t="str">
        <f t="shared" si="165"/>
        <v/>
      </c>
      <c r="AG49" s="90" t="str">
        <f t="shared" si="165"/>
        <v/>
      </c>
      <c r="AH49" s="90" t="str">
        <f t="shared" si="165"/>
        <v/>
      </c>
      <c r="AI49" s="90" t="str">
        <f t="shared" si="165"/>
        <v/>
      </c>
      <c r="AJ49" s="22"/>
      <c r="AK49" s="91">
        <f>$A$36</f>
        <v>20132</v>
      </c>
      <c r="AL49" s="105"/>
      <c r="AM49" s="90" t="str">
        <f>IFERROR(AN36/AM36,"")</f>
        <v/>
      </c>
      <c r="AN49" s="90" t="str">
        <f t="shared" ref="AN49:AU49" si="166">IFERROR(AO36/AN36,"")</f>
        <v/>
      </c>
      <c r="AO49" s="90" t="str">
        <f t="shared" si="166"/>
        <v/>
      </c>
      <c r="AP49" s="90" t="str">
        <f t="shared" si="166"/>
        <v/>
      </c>
      <c r="AQ49" s="90" t="str">
        <f t="shared" si="166"/>
        <v/>
      </c>
      <c r="AR49" s="90" t="str">
        <f t="shared" si="166"/>
        <v/>
      </c>
      <c r="AS49" s="90" t="str">
        <f t="shared" si="166"/>
        <v/>
      </c>
      <c r="AT49" s="90" t="str">
        <f t="shared" si="166"/>
        <v/>
      </c>
      <c r="AU49" s="90" t="str">
        <f t="shared" si="166"/>
        <v/>
      </c>
      <c r="AV49" s="22"/>
      <c r="AW49" s="91">
        <f>$A$36</f>
        <v>20132</v>
      </c>
      <c r="AX49" s="105"/>
      <c r="AY49" s="90" t="str">
        <f>IFERROR(AZ36/AY36,"")</f>
        <v/>
      </c>
      <c r="AZ49" s="90" t="str">
        <f t="shared" ref="AZ49:BG49" si="167">IFERROR(BA36/AZ36,"")</f>
        <v/>
      </c>
      <c r="BA49" s="90" t="str">
        <f t="shared" si="167"/>
        <v/>
      </c>
      <c r="BB49" s="90" t="str">
        <f t="shared" si="167"/>
        <v/>
      </c>
      <c r="BC49" s="90" t="str">
        <f t="shared" si="167"/>
        <v/>
      </c>
      <c r="BD49" s="90" t="str">
        <f t="shared" si="167"/>
        <v/>
      </c>
      <c r="BE49" s="90" t="str">
        <f t="shared" si="167"/>
        <v/>
      </c>
      <c r="BF49" s="90" t="str">
        <f t="shared" si="167"/>
        <v/>
      </c>
      <c r="BG49" s="90" t="str">
        <f t="shared" si="167"/>
        <v/>
      </c>
      <c r="BH49" s="22"/>
      <c r="BI49" s="91">
        <f>$A$36</f>
        <v>20132</v>
      </c>
      <c r="BJ49" s="105"/>
      <c r="BK49" s="90" t="str">
        <f>IFERROR(BL36/BK36,"")</f>
        <v/>
      </c>
      <c r="BL49" s="90" t="str">
        <f t="shared" ref="BL49:BS49" si="168">IFERROR(BM36/BL36,"")</f>
        <v/>
      </c>
      <c r="BM49" s="90" t="str">
        <f t="shared" si="168"/>
        <v/>
      </c>
      <c r="BN49" s="90" t="str">
        <f t="shared" si="168"/>
        <v/>
      </c>
      <c r="BO49" s="90" t="str">
        <f t="shared" si="168"/>
        <v/>
      </c>
      <c r="BP49" s="90" t="str">
        <f t="shared" si="168"/>
        <v/>
      </c>
      <c r="BQ49" s="90" t="str">
        <f t="shared" si="168"/>
        <v/>
      </c>
      <c r="BR49" s="90" t="str">
        <f t="shared" si="168"/>
        <v/>
      </c>
      <c r="BS49" s="90" t="str">
        <f t="shared" si="168"/>
        <v/>
      </c>
      <c r="BT49" s="22"/>
      <c r="BU49" s="91">
        <f>$A$36</f>
        <v>20132</v>
      </c>
      <c r="BV49" s="105"/>
      <c r="BW49" s="90" t="str">
        <f>IFERROR(BX36/BW36,"")</f>
        <v/>
      </c>
      <c r="BX49" s="90" t="str">
        <f t="shared" ref="BX49:CE49" si="169">IFERROR(BY36/BX36,"")</f>
        <v/>
      </c>
      <c r="BY49" s="90" t="str">
        <f t="shared" si="169"/>
        <v/>
      </c>
      <c r="BZ49" s="90" t="str">
        <f t="shared" si="169"/>
        <v/>
      </c>
      <c r="CA49" s="90" t="str">
        <f t="shared" si="169"/>
        <v/>
      </c>
      <c r="CB49" s="90" t="str">
        <f t="shared" si="169"/>
        <v/>
      </c>
      <c r="CC49" s="90" t="str">
        <f t="shared" si="169"/>
        <v/>
      </c>
      <c r="CD49" s="90" t="str">
        <f t="shared" si="169"/>
        <v/>
      </c>
      <c r="CE49" s="90" t="str">
        <f t="shared" si="169"/>
        <v/>
      </c>
      <c r="CF49" s="22"/>
      <c r="CG49" s="91">
        <f>$A$36</f>
        <v>20132</v>
      </c>
      <c r="CH49" s="105"/>
      <c r="CI49" s="90" t="str">
        <f>IFERROR(CJ36/CI36,"")</f>
        <v/>
      </c>
      <c r="CJ49" s="90" t="str">
        <f t="shared" ref="CJ49:CQ49" si="170">IFERROR(CK36/CJ36,"")</f>
        <v/>
      </c>
      <c r="CK49" s="90" t="str">
        <f t="shared" si="170"/>
        <v/>
      </c>
      <c r="CL49" s="90" t="str">
        <f t="shared" si="170"/>
        <v/>
      </c>
      <c r="CM49" s="90" t="str">
        <f t="shared" si="170"/>
        <v/>
      </c>
      <c r="CN49" s="90" t="str">
        <f t="shared" si="170"/>
        <v/>
      </c>
      <c r="CO49" s="90" t="str">
        <f t="shared" si="170"/>
        <v/>
      </c>
      <c r="CP49" s="90" t="str">
        <f t="shared" si="170"/>
        <v/>
      </c>
      <c r="CQ49" s="90" t="str">
        <f t="shared" si="170"/>
        <v/>
      </c>
      <c r="CR49" s="22"/>
      <c r="CS49" s="91">
        <f>$A$36</f>
        <v>20132</v>
      </c>
      <c r="CT49" s="105"/>
      <c r="CU49" s="90" t="str">
        <f>IFERROR(CV36/CU36,"")</f>
        <v/>
      </c>
      <c r="CV49" s="90" t="str">
        <f t="shared" ref="CV49:DC49" si="171">IFERROR(CW36/CV36,"")</f>
        <v/>
      </c>
      <c r="CW49" s="90" t="str">
        <f t="shared" si="171"/>
        <v/>
      </c>
      <c r="CX49" s="90" t="str">
        <f t="shared" si="171"/>
        <v/>
      </c>
      <c r="CY49" s="90" t="str">
        <f t="shared" si="171"/>
        <v/>
      </c>
      <c r="CZ49" s="90" t="str">
        <f t="shared" si="171"/>
        <v/>
      </c>
      <c r="DA49" s="90" t="str">
        <f t="shared" si="171"/>
        <v/>
      </c>
      <c r="DB49" s="90" t="str">
        <f t="shared" si="171"/>
        <v/>
      </c>
      <c r="DC49" s="90" t="str">
        <f t="shared" si="171"/>
        <v/>
      </c>
      <c r="DD49" s="22"/>
      <c r="DE49" s="91">
        <f>$A$36</f>
        <v>20132</v>
      </c>
      <c r="DF49" s="105"/>
      <c r="DG49" s="90" t="str">
        <f>IFERROR(DH36/DG36,"")</f>
        <v/>
      </c>
      <c r="DH49" s="90" t="str">
        <f t="shared" ref="DH49:DO49" si="172">IFERROR(DI36/DH36,"")</f>
        <v/>
      </c>
      <c r="DI49" s="90" t="str">
        <f t="shared" si="172"/>
        <v/>
      </c>
      <c r="DJ49" s="90" t="str">
        <f t="shared" si="172"/>
        <v/>
      </c>
      <c r="DK49" s="90" t="str">
        <f t="shared" si="172"/>
        <v/>
      </c>
      <c r="DL49" s="90" t="str">
        <f t="shared" si="172"/>
        <v/>
      </c>
      <c r="DM49" s="90" t="str">
        <f t="shared" si="172"/>
        <v/>
      </c>
      <c r="DN49" s="90" t="str">
        <f t="shared" si="172"/>
        <v/>
      </c>
      <c r="DO49" s="90" t="str">
        <f t="shared" si="172"/>
        <v/>
      </c>
      <c r="DP49" s="22"/>
    </row>
    <row r="50" spans="1:120" x14ac:dyDescent="0.25">
      <c r="A50" s="91">
        <f>$A$37</f>
        <v>20142</v>
      </c>
      <c r="B50" s="105"/>
      <c r="C50" s="90">
        <f t="shared" ref="C50:J57" si="173">IFERROR(D37/C37,"")</f>
        <v>1.2908521830250264</v>
      </c>
      <c r="D50" s="90">
        <f t="shared" si="173"/>
        <v>1.0666072883743112</v>
      </c>
      <c r="E50" s="90">
        <f t="shared" si="173"/>
        <v>1.0322936848538322</v>
      </c>
      <c r="F50" s="90">
        <f t="shared" si="173"/>
        <v>1.0200022676051788</v>
      </c>
      <c r="G50" s="90">
        <f t="shared" si="173"/>
        <v>1.0113482688068938</v>
      </c>
      <c r="H50" s="90">
        <f t="shared" si="173"/>
        <v>1.0085360008233337</v>
      </c>
      <c r="I50" s="90">
        <f t="shared" si="173"/>
        <v>1.0233044429412115</v>
      </c>
      <c r="J50" s="90">
        <f t="shared" si="173"/>
        <v>1.0081746178108706</v>
      </c>
      <c r="K50" s="22"/>
      <c r="L50" s="22"/>
      <c r="M50" s="91">
        <f>$A$37</f>
        <v>20142</v>
      </c>
      <c r="N50" s="105"/>
      <c r="O50" s="90" t="str">
        <f t="shared" ref="O50:V57" si="174">IFERROR(P37/O37,"")</f>
        <v/>
      </c>
      <c r="P50" s="90" t="str">
        <f t="shared" si="174"/>
        <v/>
      </c>
      <c r="Q50" s="90" t="str">
        <f t="shared" si="174"/>
        <v/>
      </c>
      <c r="R50" s="90" t="str">
        <f t="shared" si="174"/>
        <v/>
      </c>
      <c r="S50" s="90" t="str">
        <f t="shared" si="174"/>
        <v/>
      </c>
      <c r="T50" s="90" t="str">
        <f t="shared" si="174"/>
        <v/>
      </c>
      <c r="U50" s="90" t="str">
        <f t="shared" si="174"/>
        <v/>
      </c>
      <c r="V50" s="90" t="str">
        <f t="shared" si="174"/>
        <v/>
      </c>
      <c r="W50" s="22"/>
      <c r="X50" s="22"/>
      <c r="Y50" s="91">
        <f>$A$37</f>
        <v>20142</v>
      </c>
      <c r="Z50" s="105"/>
      <c r="AA50" s="90" t="str">
        <f t="shared" ref="AA50:AH57" si="175">IFERROR(AB37/AA37,"")</f>
        <v/>
      </c>
      <c r="AB50" s="90" t="str">
        <f t="shared" si="175"/>
        <v/>
      </c>
      <c r="AC50" s="90" t="str">
        <f t="shared" si="175"/>
        <v/>
      </c>
      <c r="AD50" s="90" t="str">
        <f t="shared" si="175"/>
        <v/>
      </c>
      <c r="AE50" s="90" t="str">
        <f t="shared" si="175"/>
        <v/>
      </c>
      <c r="AF50" s="90" t="str">
        <f t="shared" si="175"/>
        <v/>
      </c>
      <c r="AG50" s="90" t="str">
        <f t="shared" si="175"/>
        <v/>
      </c>
      <c r="AH50" s="90" t="str">
        <f t="shared" si="175"/>
        <v/>
      </c>
      <c r="AI50" s="22"/>
      <c r="AJ50" s="22"/>
      <c r="AK50" s="91">
        <f>$A$37</f>
        <v>20142</v>
      </c>
      <c r="AL50" s="105"/>
      <c r="AM50" s="90" t="str">
        <f t="shared" ref="AM50:AT57" si="176">IFERROR(AN37/AM37,"")</f>
        <v/>
      </c>
      <c r="AN50" s="90" t="str">
        <f t="shared" si="176"/>
        <v/>
      </c>
      <c r="AO50" s="90" t="str">
        <f t="shared" si="176"/>
        <v/>
      </c>
      <c r="AP50" s="90" t="str">
        <f t="shared" si="176"/>
        <v/>
      </c>
      <c r="AQ50" s="90" t="str">
        <f t="shared" si="176"/>
        <v/>
      </c>
      <c r="AR50" s="90" t="str">
        <f t="shared" si="176"/>
        <v/>
      </c>
      <c r="AS50" s="90" t="str">
        <f t="shared" si="176"/>
        <v/>
      </c>
      <c r="AT50" s="90" t="str">
        <f t="shared" si="176"/>
        <v/>
      </c>
      <c r="AU50" s="22"/>
      <c r="AV50" s="22"/>
      <c r="AW50" s="91">
        <f>$A$37</f>
        <v>20142</v>
      </c>
      <c r="AX50" s="105"/>
      <c r="AY50" s="90" t="str">
        <f t="shared" ref="AY50:BF57" si="177">IFERROR(AZ37/AY37,"")</f>
        <v/>
      </c>
      <c r="AZ50" s="90" t="str">
        <f t="shared" si="177"/>
        <v/>
      </c>
      <c r="BA50" s="90" t="str">
        <f t="shared" si="177"/>
        <v/>
      </c>
      <c r="BB50" s="90" t="str">
        <f t="shared" si="177"/>
        <v/>
      </c>
      <c r="BC50" s="90" t="str">
        <f t="shared" si="177"/>
        <v/>
      </c>
      <c r="BD50" s="90" t="str">
        <f t="shared" si="177"/>
        <v/>
      </c>
      <c r="BE50" s="90" t="str">
        <f t="shared" si="177"/>
        <v/>
      </c>
      <c r="BF50" s="90" t="str">
        <f t="shared" si="177"/>
        <v/>
      </c>
      <c r="BG50" s="22"/>
      <c r="BH50" s="22"/>
      <c r="BI50" s="91">
        <f>$A$37</f>
        <v>20142</v>
      </c>
      <c r="BJ50" s="105"/>
      <c r="BK50" s="90" t="str">
        <f t="shared" ref="BK50:BR57" si="178">IFERROR(BL37/BK37,"")</f>
        <v/>
      </c>
      <c r="BL50" s="90" t="str">
        <f t="shared" si="178"/>
        <v/>
      </c>
      <c r="BM50" s="90" t="str">
        <f t="shared" si="178"/>
        <v/>
      </c>
      <c r="BN50" s="90" t="str">
        <f t="shared" si="178"/>
        <v/>
      </c>
      <c r="BO50" s="90" t="str">
        <f t="shared" si="178"/>
        <v/>
      </c>
      <c r="BP50" s="90" t="str">
        <f t="shared" si="178"/>
        <v/>
      </c>
      <c r="BQ50" s="90" t="str">
        <f t="shared" si="178"/>
        <v/>
      </c>
      <c r="BR50" s="90" t="str">
        <f t="shared" si="178"/>
        <v/>
      </c>
      <c r="BS50" s="22"/>
      <c r="BT50" s="22"/>
      <c r="BU50" s="91">
        <f>$A$37</f>
        <v>20142</v>
      </c>
      <c r="BV50" s="105"/>
      <c r="BW50" s="90" t="str">
        <f t="shared" ref="BW50:CD57" si="179">IFERROR(BX37/BW37,"")</f>
        <v/>
      </c>
      <c r="BX50" s="90" t="str">
        <f t="shared" si="179"/>
        <v/>
      </c>
      <c r="BY50" s="90" t="str">
        <f t="shared" si="179"/>
        <v/>
      </c>
      <c r="BZ50" s="90" t="str">
        <f t="shared" si="179"/>
        <v/>
      </c>
      <c r="CA50" s="90" t="str">
        <f t="shared" si="179"/>
        <v/>
      </c>
      <c r="CB50" s="90" t="str">
        <f t="shared" si="179"/>
        <v/>
      </c>
      <c r="CC50" s="90" t="str">
        <f t="shared" si="179"/>
        <v/>
      </c>
      <c r="CD50" s="90" t="str">
        <f t="shared" si="179"/>
        <v/>
      </c>
      <c r="CE50" s="22"/>
      <c r="CF50" s="22"/>
      <c r="CG50" s="91">
        <f>$A$37</f>
        <v>20142</v>
      </c>
      <c r="CH50" s="105"/>
      <c r="CI50" s="90" t="str">
        <f t="shared" ref="CI50:CP57" si="180">IFERROR(CJ37/CI37,"")</f>
        <v/>
      </c>
      <c r="CJ50" s="90" t="str">
        <f t="shared" si="180"/>
        <v/>
      </c>
      <c r="CK50" s="90" t="str">
        <f t="shared" si="180"/>
        <v/>
      </c>
      <c r="CL50" s="90" t="str">
        <f t="shared" si="180"/>
        <v/>
      </c>
      <c r="CM50" s="90" t="str">
        <f t="shared" si="180"/>
        <v/>
      </c>
      <c r="CN50" s="90" t="str">
        <f t="shared" si="180"/>
        <v/>
      </c>
      <c r="CO50" s="90" t="str">
        <f t="shared" si="180"/>
        <v/>
      </c>
      <c r="CP50" s="90" t="str">
        <f t="shared" si="180"/>
        <v/>
      </c>
      <c r="CQ50" s="22"/>
      <c r="CR50" s="22"/>
      <c r="CS50" s="91">
        <f>$A$37</f>
        <v>20142</v>
      </c>
      <c r="CT50" s="105"/>
      <c r="CU50" s="90" t="str">
        <f t="shared" ref="CU50:DB57" si="181">IFERROR(CV37/CU37,"")</f>
        <v/>
      </c>
      <c r="CV50" s="90" t="str">
        <f t="shared" si="181"/>
        <v/>
      </c>
      <c r="CW50" s="90" t="str">
        <f t="shared" si="181"/>
        <v/>
      </c>
      <c r="CX50" s="90" t="str">
        <f t="shared" si="181"/>
        <v/>
      </c>
      <c r="CY50" s="90" t="str">
        <f t="shared" si="181"/>
        <v/>
      </c>
      <c r="CZ50" s="90" t="str">
        <f t="shared" si="181"/>
        <v/>
      </c>
      <c r="DA50" s="90" t="str">
        <f t="shared" si="181"/>
        <v/>
      </c>
      <c r="DB50" s="90" t="str">
        <f t="shared" si="181"/>
        <v/>
      </c>
      <c r="DC50" s="22"/>
      <c r="DD50" s="22"/>
      <c r="DE50" s="91">
        <f>$A$37</f>
        <v>20142</v>
      </c>
      <c r="DF50" s="105"/>
      <c r="DG50" s="90" t="str">
        <f t="shared" ref="DG50:DN57" si="182">IFERROR(DH37/DG37,"")</f>
        <v/>
      </c>
      <c r="DH50" s="90" t="str">
        <f t="shared" si="182"/>
        <v/>
      </c>
      <c r="DI50" s="90" t="str">
        <f t="shared" si="182"/>
        <v/>
      </c>
      <c r="DJ50" s="90" t="str">
        <f t="shared" si="182"/>
        <v/>
      </c>
      <c r="DK50" s="90" t="str">
        <f t="shared" si="182"/>
        <v/>
      </c>
      <c r="DL50" s="90" t="str">
        <f t="shared" si="182"/>
        <v/>
      </c>
      <c r="DM50" s="90" t="str">
        <f t="shared" si="182"/>
        <v/>
      </c>
      <c r="DN50" s="90" t="str">
        <f t="shared" si="182"/>
        <v/>
      </c>
      <c r="DO50" s="22"/>
      <c r="DP50" s="22"/>
    </row>
    <row r="51" spans="1:120" x14ac:dyDescent="0.25">
      <c r="A51" s="91">
        <f>$A$38</f>
        <v>20152</v>
      </c>
      <c r="B51" s="105"/>
      <c r="C51" s="90">
        <f t="shared" si="173"/>
        <v>1.329332706372742</v>
      </c>
      <c r="D51" s="90">
        <f t="shared" si="173"/>
        <v>1.0683292960260349</v>
      </c>
      <c r="E51" s="90">
        <f t="shared" si="173"/>
        <v>1.0560273892775529</v>
      </c>
      <c r="F51" s="90">
        <f t="shared" si="173"/>
        <v>1.0461166871498078</v>
      </c>
      <c r="G51" s="90">
        <f t="shared" si="173"/>
        <v>1.0199458679081908</v>
      </c>
      <c r="H51" s="90">
        <f t="shared" si="173"/>
        <v>1.0128718816060207</v>
      </c>
      <c r="I51" s="90">
        <f t="shared" si="173"/>
        <v>1.0338413251933167</v>
      </c>
      <c r="J51" s="22"/>
      <c r="K51" s="22"/>
      <c r="L51" s="22"/>
      <c r="M51" s="91">
        <f>$A$38</f>
        <v>20152</v>
      </c>
      <c r="N51" s="105"/>
      <c r="O51" s="90" t="str">
        <f t="shared" si="174"/>
        <v/>
      </c>
      <c r="P51" s="90" t="str">
        <f t="shared" si="174"/>
        <v/>
      </c>
      <c r="Q51" s="90" t="str">
        <f t="shared" si="174"/>
        <v/>
      </c>
      <c r="R51" s="90" t="str">
        <f t="shared" si="174"/>
        <v/>
      </c>
      <c r="S51" s="90" t="str">
        <f t="shared" si="174"/>
        <v/>
      </c>
      <c r="T51" s="90" t="str">
        <f t="shared" si="174"/>
        <v/>
      </c>
      <c r="U51" s="90" t="str">
        <f t="shared" si="174"/>
        <v/>
      </c>
      <c r="V51" s="22"/>
      <c r="W51" s="22"/>
      <c r="X51" s="22"/>
      <c r="Y51" s="91">
        <f>$A$38</f>
        <v>20152</v>
      </c>
      <c r="Z51" s="105"/>
      <c r="AA51" s="90" t="str">
        <f t="shared" si="175"/>
        <v/>
      </c>
      <c r="AB51" s="90" t="str">
        <f t="shared" si="175"/>
        <v/>
      </c>
      <c r="AC51" s="90" t="str">
        <f t="shared" si="175"/>
        <v/>
      </c>
      <c r="AD51" s="90" t="str">
        <f t="shared" si="175"/>
        <v/>
      </c>
      <c r="AE51" s="90" t="str">
        <f t="shared" si="175"/>
        <v/>
      </c>
      <c r="AF51" s="90" t="str">
        <f t="shared" si="175"/>
        <v/>
      </c>
      <c r="AG51" s="90" t="str">
        <f t="shared" si="175"/>
        <v/>
      </c>
      <c r="AH51" s="22"/>
      <c r="AI51" s="22"/>
      <c r="AJ51" s="22"/>
      <c r="AK51" s="91">
        <f>$A$38</f>
        <v>20152</v>
      </c>
      <c r="AL51" s="105"/>
      <c r="AM51" s="90" t="str">
        <f t="shared" si="176"/>
        <v/>
      </c>
      <c r="AN51" s="90" t="str">
        <f t="shared" si="176"/>
        <v/>
      </c>
      <c r="AO51" s="90" t="str">
        <f t="shared" si="176"/>
        <v/>
      </c>
      <c r="AP51" s="90" t="str">
        <f t="shared" si="176"/>
        <v/>
      </c>
      <c r="AQ51" s="90" t="str">
        <f t="shared" si="176"/>
        <v/>
      </c>
      <c r="AR51" s="90" t="str">
        <f t="shared" si="176"/>
        <v/>
      </c>
      <c r="AS51" s="90" t="str">
        <f t="shared" si="176"/>
        <v/>
      </c>
      <c r="AT51" s="22"/>
      <c r="AU51" s="22"/>
      <c r="AV51" s="22"/>
      <c r="AW51" s="91">
        <f>$A$38</f>
        <v>20152</v>
      </c>
      <c r="AX51" s="105"/>
      <c r="AY51" s="90" t="str">
        <f t="shared" si="177"/>
        <v/>
      </c>
      <c r="AZ51" s="90" t="str">
        <f t="shared" si="177"/>
        <v/>
      </c>
      <c r="BA51" s="90" t="str">
        <f t="shared" si="177"/>
        <v/>
      </c>
      <c r="BB51" s="90" t="str">
        <f t="shared" si="177"/>
        <v/>
      </c>
      <c r="BC51" s="90" t="str">
        <f t="shared" si="177"/>
        <v/>
      </c>
      <c r="BD51" s="90" t="str">
        <f t="shared" si="177"/>
        <v/>
      </c>
      <c r="BE51" s="90" t="str">
        <f t="shared" si="177"/>
        <v/>
      </c>
      <c r="BF51" s="22"/>
      <c r="BG51" s="22"/>
      <c r="BH51" s="22"/>
      <c r="BI51" s="91">
        <f>$A$38</f>
        <v>20152</v>
      </c>
      <c r="BJ51" s="105"/>
      <c r="BK51" s="90" t="str">
        <f t="shared" si="178"/>
        <v/>
      </c>
      <c r="BL51" s="90" t="str">
        <f t="shared" si="178"/>
        <v/>
      </c>
      <c r="BM51" s="90" t="str">
        <f t="shared" si="178"/>
        <v/>
      </c>
      <c r="BN51" s="90" t="str">
        <f t="shared" si="178"/>
        <v/>
      </c>
      <c r="BO51" s="90" t="str">
        <f t="shared" si="178"/>
        <v/>
      </c>
      <c r="BP51" s="90" t="str">
        <f t="shared" si="178"/>
        <v/>
      </c>
      <c r="BQ51" s="90" t="str">
        <f t="shared" si="178"/>
        <v/>
      </c>
      <c r="BR51" s="22"/>
      <c r="BS51" s="22"/>
      <c r="BT51" s="22"/>
      <c r="BU51" s="91">
        <f>$A$38</f>
        <v>20152</v>
      </c>
      <c r="BV51" s="105"/>
      <c r="BW51" s="90" t="str">
        <f t="shared" si="179"/>
        <v/>
      </c>
      <c r="BX51" s="90" t="str">
        <f t="shared" si="179"/>
        <v/>
      </c>
      <c r="BY51" s="90" t="str">
        <f t="shared" si="179"/>
        <v/>
      </c>
      <c r="BZ51" s="90" t="str">
        <f t="shared" si="179"/>
        <v/>
      </c>
      <c r="CA51" s="90" t="str">
        <f t="shared" si="179"/>
        <v/>
      </c>
      <c r="CB51" s="90" t="str">
        <f t="shared" si="179"/>
        <v/>
      </c>
      <c r="CC51" s="90" t="str">
        <f t="shared" si="179"/>
        <v/>
      </c>
      <c r="CD51" s="22"/>
      <c r="CE51" s="22"/>
      <c r="CF51" s="22"/>
      <c r="CG51" s="91">
        <f>$A$38</f>
        <v>20152</v>
      </c>
      <c r="CH51" s="105"/>
      <c r="CI51" s="90" t="str">
        <f t="shared" si="180"/>
        <v/>
      </c>
      <c r="CJ51" s="90" t="str">
        <f t="shared" si="180"/>
        <v/>
      </c>
      <c r="CK51" s="90" t="str">
        <f t="shared" si="180"/>
        <v/>
      </c>
      <c r="CL51" s="90" t="str">
        <f t="shared" si="180"/>
        <v/>
      </c>
      <c r="CM51" s="90" t="str">
        <f t="shared" si="180"/>
        <v/>
      </c>
      <c r="CN51" s="90" t="str">
        <f t="shared" si="180"/>
        <v/>
      </c>
      <c r="CO51" s="90" t="str">
        <f t="shared" si="180"/>
        <v/>
      </c>
      <c r="CP51" s="22"/>
      <c r="CQ51" s="22"/>
      <c r="CR51" s="22"/>
      <c r="CS51" s="91">
        <f>$A$38</f>
        <v>20152</v>
      </c>
      <c r="CT51" s="105"/>
      <c r="CU51" s="90" t="str">
        <f t="shared" si="181"/>
        <v/>
      </c>
      <c r="CV51" s="90" t="str">
        <f t="shared" si="181"/>
        <v/>
      </c>
      <c r="CW51" s="90" t="str">
        <f t="shared" si="181"/>
        <v/>
      </c>
      <c r="CX51" s="90" t="str">
        <f t="shared" si="181"/>
        <v/>
      </c>
      <c r="CY51" s="90" t="str">
        <f t="shared" si="181"/>
        <v/>
      </c>
      <c r="CZ51" s="90" t="str">
        <f t="shared" si="181"/>
        <v/>
      </c>
      <c r="DA51" s="90" t="str">
        <f t="shared" si="181"/>
        <v/>
      </c>
      <c r="DB51" s="22"/>
      <c r="DC51" s="22"/>
      <c r="DD51" s="22"/>
      <c r="DE51" s="91">
        <f>$A$38</f>
        <v>20152</v>
      </c>
      <c r="DF51" s="105"/>
      <c r="DG51" s="90" t="str">
        <f t="shared" si="182"/>
        <v/>
      </c>
      <c r="DH51" s="90" t="str">
        <f t="shared" si="182"/>
        <v/>
      </c>
      <c r="DI51" s="90" t="str">
        <f t="shared" si="182"/>
        <v/>
      </c>
      <c r="DJ51" s="90" t="str">
        <f t="shared" si="182"/>
        <v/>
      </c>
      <c r="DK51" s="90" t="str">
        <f t="shared" si="182"/>
        <v/>
      </c>
      <c r="DL51" s="90" t="str">
        <f t="shared" si="182"/>
        <v/>
      </c>
      <c r="DM51" s="90" t="str">
        <f t="shared" si="182"/>
        <v/>
      </c>
      <c r="DN51" s="22"/>
      <c r="DO51" s="22"/>
      <c r="DP51" s="22"/>
    </row>
    <row r="52" spans="1:120" x14ac:dyDescent="0.25">
      <c r="A52" s="91">
        <f>$A$39</f>
        <v>20162</v>
      </c>
      <c r="B52" s="105"/>
      <c r="C52" s="90">
        <f t="shared" si="173"/>
        <v>1.2654183646090877</v>
      </c>
      <c r="D52" s="90">
        <f t="shared" si="173"/>
        <v>1.0649583596389744</v>
      </c>
      <c r="E52" s="90">
        <f t="shared" si="173"/>
        <v>1.0640100308886393</v>
      </c>
      <c r="F52" s="90">
        <f t="shared" si="173"/>
        <v>1.019657054006851</v>
      </c>
      <c r="G52" s="90">
        <f t="shared" si="173"/>
        <v>1.0138324501602975</v>
      </c>
      <c r="H52" s="90">
        <f t="shared" si="173"/>
        <v>1.0173475911396674</v>
      </c>
      <c r="I52" s="22"/>
      <c r="J52" s="22"/>
      <c r="K52" s="22"/>
      <c r="L52" s="22"/>
      <c r="M52" s="91">
        <f>$A$39</f>
        <v>20162</v>
      </c>
      <c r="N52" s="105"/>
      <c r="O52" s="90" t="str">
        <f t="shared" si="174"/>
        <v/>
      </c>
      <c r="P52" s="90" t="str">
        <f t="shared" si="174"/>
        <v/>
      </c>
      <c r="Q52" s="90" t="str">
        <f t="shared" si="174"/>
        <v/>
      </c>
      <c r="R52" s="90" t="str">
        <f t="shared" si="174"/>
        <v/>
      </c>
      <c r="S52" s="90" t="str">
        <f t="shared" si="174"/>
        <v/>
      </c>
      <c r="T52" s="90" t="str">
        <f t="shared" si="174"/>
        <v/>
      </c>
      <c r="U52" s="22"/>
      <c r="V52" s="22"/>
      <c r="W52" s="22"/>
      <c r="X52" s="22"/>
      <c r="Y52" s="91">
        <f>$A$39</f>
        <v>20162</v>
      </c>
      <c r="Z52" s="105"/>
      <c r="AA52" s="90" t="str">
        <f t="shared" si="175"/>
        <v/>
      </c>
      <c r="AB52" s="90" t="str">
        <f t="shared" si="175"/>
        <v/>
      </c>
      <c r="AC52" s="90" t="str">
        <f t="shared" si="175"/>
        <v/>
      </c>
      <c r="AD52" s="90" t="str">
        <f t="shared" si="175"/>
        <v/>
      </c>
      <c r="AE52" s="90" t="str">
        <f t="shared" si="175"/>
        <v/>
      </c>
      <c r="AF52" s="90" t="str">
        <f t="shared" si="175"/>
        <v/>
      </c>
      <c r="AG52" s="22"/>
      <c r="AH52" s="22"/>
      <c r="AI52" s="22"/>
      <c r="AJ52" s="22"/>
      <c r="AK52" s="91">
        <f>$A$39</f>
        <v>20162</v>
      </c>
      <c r="AL52" s="105"/>
      <c r="AM52" s="90" t="str">
        <f t="shared" si="176"/>
        <v/>
      </c>
      <c r="AN52" s="90" t="str">
        <f t="shared" si="176"/>
        <v/>
      </c>
      <c r="AO52" s="90" t="str">
        <f t="shared" si="176"/>
        <v/>
      </c>
      <c r="AP52" s="90" t="str">
        <f t="shared" si="176"/>
        <v/>
      </c>
      <c r="AQ52" s="90" t="str">
        <f t="shared" si="176"/>
        <v/>
      </c>
      <c r="AR52" s="90" t="str">
        <f t="shared" si="176"/>
        <v/>
      </c>
      <c r="AS52" s="22"/>
      <c r="AT52" s="22"/>
      <c r="AU52" s="22"/>
      <c r="AV52" s="22"/>
      <c r="AW52" s="91">
        <f>$A$39</f>
        <v>20162</v>
      </c>
      <c r="AX52" s="105"/>
      <c r="AY52" s="90" t="str">
        <f t="shared" si="177"/>
        <v/>
      </c>
      <c r="AZ52" s="90" t="str">
        <f t="shared" si="177"/>
        <v/>
      </c>
      <c r="BA52" s="90" t="str">
        <f t="shared" si="177"/>
        <v/>
      </c>
      <c r="BB52" s="90" t="str">
        <f t="shared" si="177"/>
        <v/>
      </c>
      <c r="BC52" s="90" t="str">
        <f t="shared" si="177"/>
        <v/>
      </c>
      <c r="BD52" s="90" t="str">
        <f t="shared" si="177"/>
        <v/>
      </c>
      <c r="BE52" s="22"/>
      <c r="BF52" s="22"/>
      <c r="BG52" s="22"/>
      <c r="BH52" s="22"/>
      <c r="BI52" s="91">
        <f>$A$39</f>
        <v>20162</v>
      </c>
      <c r="BJ52" s="105"/>
      <c r="BK52" s="90" t="str">
        <f t="shared" si="178"/>
        <v/>
      </c>
      <c r="BL52" s="90" t="str">
        <f t="shared" si="178"/>
        <v/>
      </c>
      <c r="BM52" s="90" t="str">
        <f t="shared" si="178"/>
        <v/>
      </c>
      <c r="BN52" s="90" t="str">
        <f t="shared" si="178"/>
        <v/>
      </c>
      <c r="BO52" s="90" t="str">
        <f t="shared" si="178"/>
        <v/>
      </c>
      <c r="BP52" s="90" t="str">
        <f t="shared" si="178"/>
        <v/>
      </c>
      <c r="BQ52" s="22"/>
      <c r="BR52" s="22"/>
      <c r="BS52" s="22"/>
      <c r="BT52" s="22"/>
      <c r="BU52" s="91">
        <f>$A$39</f>
        <v>20162</v>
      </c>
      <c r="BV52" s="105"/>
      <c r="BW52" s="90" t="str">
        <f t="shared" si="179"/>
        <v/>
      </c>
      <c r="BX52" s="90" t="str">
        <f t="shared" si="179"/>
        <v/>
      </c>
      <c r="BY52" s="90" t="str">
        <f t="shared" si="179"/>
        <v/>
      </c>
      <c r="BZ52" s="90" t="str">
        <f t="shared" si="179"/>
        <v/>
      </c>
      <c r="CA52" s="90" t="str">
        <f t="shared" si="179"/>
        <v/>
      </c>
      <c r="CB52" s="90" t="str">
        <f t="shared" si="179"/>
        <v/>
      </c>
      <c r="CC52" s="22"/>
      <c r="CD52" s="22"/>
      <c r="CE52" s="22"/>
      <c r="CF52" s="22"/>
      <c r="CG52" s="91">
        <f>$A$39</f>
        <v>20162</v>
      </c>
      <c r="CH52" s="105"/>
      <c r="CI52" s="90" t="str">
        <f t="shared" si="180"/>
        <v/>
      </c>
      <c r="CJ52" s="90" t="str">
        <f t="shared" si="180"/>
        <v/>
      </c>
      <c r="CK52" s="90" t="str">
        <f t="shared" si="180"/>
        <v/>
      </c>
      <c r="CL52" s="90" t="str">
        <f t="shared" si="180"/>
        <v/>
      </c>
      <c r="CM52" s="90" t="str">
        <f t="shared" si="180"/>
        <v/>
      </c>
      <c r="CN52" s="90" t="str">
        <f t="shared" si="180"/>
        <v/>
      </c>
      <c r="CO52" s="22"/>
      <c r="CP52" s="22"/>
      <c r="CQ52" s="22"/>
      <c r="CR52" s="22"/>
      <c r="CS52" s="91">
        <f>$A$39</f>
        <v>20162</v>
      </c>
      <c r="CT52" s="105"/>
      <c r="CU52" s="90" t="str">
        <f t="shared" si="181"/>
        <v/>
      </c>
      <c r="CV52" s="90" t="str">
        <f t="shared" si="181"/>
        <v/>
      </c>
      <c r="CW52" s="90" t="str">
        <f t="shared" si="181"/>
        <v/>
      </c>
      <c r="CX52" s="90" t="str">
        <f t="shared" si="181"/>
        <v/>
      </c>
      <c r="CY52" s="90" t="str">
        <f t="shared" si="181"/>
        <v/>
      </c>
      <c r="CZ52" s="90" t="str">
        <f t="shared" si="181"/>
        <v/>
      </c>
      <c r="DA52" s="22"/>
      <c r="DB52" s="22"/>
      <c r="DC52" s="22"/>
      <c r="DD52" s="22"/>
      <c r="DE52" s="91">
        <f>$A$39</f>
        <v>20162</v>
      </c>
      <c r="DF52" s="105"/>
      <c r="DG52" s="90" t="str">
        <f t="shared" si="182"/>
        <v/>
      </c>
      <c r="DH52" s="90" t="str">
        <f t="shared" si="182"/>
        <v/>
      </c>
      <c r="DI52" s="90" t="str">
        <f t="shared" si="182"/>
        <v/>
      </c>
      <c r="DJ52" s="90" t="str">
        <f t="shared" si="182"/>
        <v/>
      </c>
      <c r="DK52" s="90" t="str">
        <f t="shared" si="182"/>
        <v/>
      </c>
      <c r="DL52" s="90" t="str">
        <f t="shared" si="182"/>
        <v/>
      </c>
      <c r="DM52" s="22"/>
      <c r="DN52" s="22"/>
      <c r="DO52" s="22"/>
      <c r="DP52" s="22"/>
    </row>
    <row r="53" spans="1:120" x14ac:dyDescent="0.25">
      <c r="A53" s="91">
        <f>$A$40</f>
        <v>20172</v>
      </c>
      <c r="B53" s="105"/>
      <c r="C53" s="90">
        <f>IFERROR(D40/C40,"")</f>
        <v>1.2486909426391004</v>
      </c>
      <c r="D53" s="90">
        <f t="shared" ref="D53:G53" si="183">IFERROR(E40/D40,"")</f>
        <v>1.0767235060623437</v>
      </c>
      <c r="E53" s="90">
        <f t="shared" si="183"/>
        <v>1.0406898023980309</v>
      </c>
      <c r="F53" s="90">
        <f t="shared" si="183"/>
        <v>1.0331695445540652</v>
      </c>
      <c r="G53" s="90">
        <f t="shared" si="183"/>
        <v>1.0319824059798248</v>
      </c>
      <c r="H53" s="22"/>
      <c r="I53" s="22"/>
      <c r="J53" s="22"/>
      <c r="K53" s="22"/>
      <c r="L53" s="22"/>
      <c r="M53" s="91">
        <f>$A$40</f>
        <v>20172</v>
      </c>
      <c r="N53" s="105"/>
      <c r="O53" s="90" t="str">
        <f t="shared" si="174"/>
        <v/>
      </c>
      <c r="P53" s="90" t="str">
        <f t="shared" si="174"/>
        <v/>
      </c>
      <c r="Q53" s="90" t="str">
        <f t="shared" si="174"/>
        <v/>
      </c>
      <c r="R53" s="90" t="str">
        <f t="shared" si="174"/>
        <v/>
      </c>
      <c r="S53" s="90" t="str">
        <f t="shared" si="174"/>
        <v/>
      </c>
      <c r="T53" s="22"/>
      <c r="U53" s="22"/>
      <c r="V53" s="22"/>
      <c r="W53" s="22"/>
      <c r="X53" s="22"/>
      <c r="Y53" s="91">
        <f>$A$40</f>
        <v>20172</v>
      </c>
      <c r="Z53" s="105"/>
      <c r="AA53" s="90" t="str">
        <f t="shared" si="175"/>
        <v/>
      </c>
      <c r="AB53" s="90" t="str">
        <f t="shared" si="175"/>
        <v/>
      </c>
      <c r="AC53" s="90" t="str">
        <f t="shared" si="175"/>
        <v/>
      </c>
      <c r="AD53" s="90" t="str">
        <f t="shared" si="175"/>
        <v/>
      </c>
      <c r="AE53" s="90" t="str">
        <f t="shared" si="175"/>
        <v/>
      </c>
      <c r="AF53" s="22"/>
      <c r="AG53" s="22"/>
      <c r="AH53" s="22"/>
      <c r="AI53" s="22"/>
      <c r="AJ53" s="22"/>
      <c r="AK53" s="91">
        <f>$A$40</f>
        <v>20172</v>
      </c>
      <c r="AL53" s="105"/>
      <c r="AM53" s="90" t="str">
        <f t="shared" si="176"/>
        <v/>
      </c>
      <c r="AN53" s="90" t="str">
        <f t="shared" si="176"/>
        <v/>
      </c>
      <c r="AO53" s="90" t="str">
        <f t="shared" si="176"/>
        <v/>
      </c>
      <c r="AP53" s="90" t="str">
        <f t="shared" si="176"/>
        <v/>
      </c>
      <c r="AQ53" s="90" t="str">
        <f t="shared" si="176"/>
        <v/>
      </c>
      <c r="AR53" s="22"/>
      <c r="AS53" s="22"/>
      <c r="AT53" s="22"/>
      <c r="AU53" s="22"/>
      <c r="AV53" s="22"/>
      <c r="AW53" s="91">
        <f>$A$40</f>
        <v>20172</v>
      </c>
      <c r="AX53" s="105"/>
      <c r="AY53" s="90" t="str">
        <f t="shared" si="177"/>
        <v/>
      </c>
      <c r="AZ53" s="90" t="str">
        <f t="shared" si="177"/>
        <v/>
      </c>
      <c r="BA53" s="90" t="str">
        <f t="shared" si="177"/>
        <v/>
      </c>
      <c r="BB53" s="90" t="str">
        <f t="shared" si="177"/>
        <v/>
      </c>
      <c r="BC53" s="90" t="str">
        <f t="shared" si="177"/>
        <v/>
      </c>
      <c r="BD53" s="22"/>
      <c r="BE53" s="22"/>
      <c r="BF53" s="22"/>
      <c r="BG53" s="22"/>
      <c r="BH53" s="22"/>
      <c r="BI53" s="91">
        <f>$A$40</f>
        <v>20172</v>
      </c>
      <c r="BJ53" s="105"/>
      <c r="BK53" s="90" t="str">
        <f t="shared" si="178"/>
        <v/>
      </c>
      <c r="BL53" s="90" t="str">
        <f t="shared" si="178"/>
        <v/>
      </c>
      <c r="BM53" s="90" t="str">
        <f t="shared" si="178"/>
        <v/>
      </c>
      <c r="BN53" s="90" t="str">
        <f t="shared" si="178"/>
        <v/>
      </c>
      <c r="BO53" s="90" t="str">
        <f t="shared" si="178"/>
        <v/>
      </c>
      <c r="BP53" s="22"/>
      <c r="BQ53" s="22"/>
      <c r="BR53" s="22"/>
      <c r="BS53" s="22"/>
      <c r="BT53" s="22"/>
      <c r="BU53" s="91">
        <f>$A$40</f>
        <v>20172</v>
      </c>
      <c r="BV53" s="105"/>
      <c r="BW53" s="90" t="str">
        <f t="shared" si="179"/>
        <v/>
      </c>
      <c r="BX53" s="90" t="str">
        <f t="shared" si="179"/>
        <v/>
      </c>
      <c r="BY53" s="90" t="str">
        <f t="shared" si="179"/>
        <v/>
      </c>
      <c r="BZ53" s="90" t="str">
        <f t="shared" si="179"/>
        <v/>
      </c>
      <c r="CA53" s="90" t="str">
        <f t="shared" si="179"/>
        <v/>
      </c>
      <c r="CB53" s="22"/>
      <c r="CC53" s="22"/>
      <c r="CD53" s="22"/>
      <c r="CE53" s="22"/>
      <c r="CF53" s="22"/>
      <c r="CG53" s="91">
        <f>$A$40</f>
        <v>20172</v>
      </c>
      <c r="CH53" s="105"/>
      <c r="CI53" s="90" t="str">
        <f t="shared" si="180"/>
        <v/>
      </c>
      <c r="CJ53" s="90" t="str">
        <f t="shared" si="180"/>
        <v/>
      </c>
      <c r="CK53" s="90" t="str">
        <f t="shared" si="180"/>
        <v/>
      </c>
      <c r="CL53" s="90" t="str">
        <f t="shared" si="180"/>
        <v/>
      </c>
      <c r="CM53" s="90" t="str">
        <f t="shared" si="180"/>
        <v/>
      </c>
      <c r="CN53" s="22"/>
      <c r="CO53" s="22"/>
      <c r="CP53" s="22"/>
      <c r="CQ53" s="22"/>
      <c r="CR53" s="22"/>
      <c r="CS53" s="91">
        <f>$A$40</f>
        <v>20172</v>
      </c>
      <c r="CT53" s="105"/>
      <c r="CU53" s="90" t="str">
        <f t="shared" si="181"/>
        <v/>
      </c>
      <c r="CV53" s="90" t="str">
        <f t="shared" si="181"/>
        <v/>
      </c>
      <c r="CW53" s="90" t="str">
        <f t="shared" si="181"/>
        <v/>
      </c>
      <c r="CX53" s="90" t="str">
        <f t="shared" si="181"/>
        <v/>
      </c>
      <c r="CY53" s="90" t="str">
        <f t="shared" si="181"/>
        <v/>
      </c>
      <c r="CZ53" s="22"/>
      <c r="DA53" s="22"/>
      <c r="DB53" s="22"/>
      <c r="DC53" s="22"/>
      <c r="DD53" s="22"/>
      <c r="DE53" s="91">
        <f>$A$40</f>
        <v>20172</v>
      </c>
      <c r="DF53" s="105"/>
      <c r="DG53" s="90" t="str">
        <f t="shared" si="182"/>
        <v/>
      </c>
      <c r="DH53" s="90" t="str">
        <f t="shared" si="182"/>
        <v/>
      </c>
      <c r="DI53" s="90" t="str">
        <f t="shared" si="182"/>
        <v/>
      </c>
      <c r="DJ53" s="90" t="str">
        <f t="shared" si="182"/>
        <v/>
      </c>
      <c r="DK53" s="90" t="str">
        <f t="shared" si="182"/>
        <v/>
      </c>
      <c r="DL53" s="22"/>
      <c r="DM53" s="22"/>
      <c r="DN53" s="22"/>
      <c r="DO53" s="22"/>
      <c r="DP53" s="22"/>
    </row>
    <row r="54" spans="1:120" x14ac:dyDescent="0.25">
      <c r="A54" s="91">
        <f>$A$41</f>
        <v>20182</v>
      </c>
      <c r="B54" s="105"/>
      <c r="C54" s="90">
        <f t="shared" si="173"/>
        <v>1.2868871835030287</v>
      </c>
      <c r="D54" s="90">
        <f t="shared" si="173"/>
        <v>1.0611738317516091</v>
      </c>
      <c r="E54" s="90">
        <f t="shared" si="173"/>
        <v>1.0538015268212684</v>
      </c>
      <c r="F54" s="90">
        <f t="shared" si="173"/>
        <v>1.0444497099033023</v>
      </c>
      <c r="G54" s="22"/>
      <c r="H54" s="22"/>
      <c r="I54" s="22"/>
      <c r="J54" s="22"/>
      <c r="K54" s="22"/>
      <c r="L54" s="22"/>
      <c r="M54" s="91">
        <f>$A$41</f>
        <v>20182</v>
      </c>
      <c r="N54" s="105"/>
      <c r="O54" s="90" t="str">
        <f t="shared" si="174"/>
        <v/>
      </c>
      <c r="P54" s="90" t="str">
        <f t="shared" si="174"/>
        <v/>
      </c>
      <c r="Q54" s="90" t="str">
        <f t="shared" si="174"/>
        <v/>
      </c>
      <c r="R54" s="90" t="str">
        <f t="shared" si="174"/>
        <v/>
      </c>
      <c r="S54" s="22"/>
      <c r="T54" s="22"/>
      <c r="U54" s="22"/>
      <c r="V54" s="22"/>
      <c r="W54" s="22"/>
      <c r="X54" s="22"/>
      <c r="Y54" s="91">
        <f>$A$41</f>
        <v>20182</v>
      </c>
      <c r="Z54" s="105"/>
      <c r="AA54" s="90" t="str">
        <f t="shared" si="175"/>
        <v/>
      </c>
      <c r="AB54" s="90" t="str">
        <f t="shared" si="175"/>
        <v/>
      </c>
      <c r="AC54" s="90" t="str">
        <f t="shared" si="175"/>
        <v/>
      </c>
      <c r="AD54" s="90" t="str">
        <f t="shared" si="175"/>
        <v/>
      </c>
      <c r="AE54" s="22"/>
      <c r="AF54" s="22"/>
      <c r="AG54" s="22"/>
      <c r="AH54" s="22"/>
      <c r="AI54" s="22"/>
      <c r="AJ54" s="22"/>
      <c r="AK54" s="91">
        <f>$A$41</f>
        <v>20182</v>
      </c>
      <c r="AL54" s="105"/>
      <c r="AM54" s="90" t="str">
        <f t="shared" si="176"/>
        <v/>
      </c>
      <c r="AN54" s="90" t="str">
        <f t="shared" si="176"/>
        <v/>
      </c>
      <c r="AO54" s="90" t="str">
        <f t="shared" si="176"/>
        <v/>
      </c>
      <c r="AP54" s="90" t="str">
        <f t="shared" si="176"/>
        <v/>
      </c>
      <c r="AQ54" s="22"/>
      <c r="AR54" s="22"/>
      <c r="AS54" s="22"/>
      <c r="AT54" s="22"/>
      <c r="AU54" s="22"/>
      <c r="AV54" s="22"/>
      <c r="AW54" s="91">
        <f>$A$41</f>
        <v>20182</v>
      </c>
      <c r="AX54" s="105"/>
      <c r="AY54" s="90" t="str">
        <f t="shared" si="177"/>
        <v/>
      </c>
      <c r="AZ54" s="90" t="str">
        <f t="shared" si="177"/>
        <v/>
      </c>
      <c r="BA54" s="90" t="str">
        <f t="shared" si="177"/>
        <v/>
      </c>
      <c r="BB54" s="90" t="str">
        <f t="shared" si="177"/>
        <v/>
      </c>
      <c r="BC54" s="22"/>
      <c r="BD54" s="22"/>
      <c r="BE54" s="22"/>
      <c r="BF54" s="22"/>
      <c r="BG54" s="22"/>
      <c r="BH54" s="22"/>
      <c r="BI54" s="91">
        <f>$A$41</f>
        <v>20182</v>
      </c>
      <c r="BJ54" s="105"/>
      <c r="BK54" s="90" t="str">
        <f t="shared" si="178"/>
        <v/>
      </c>
      <c r="BL54" s="90" t="str">
        <f t="shared" si="178"/>
        <v/>
      </c>
      <c r="BM54" s="90" t="str">
        <f t="shared" si="178"/>
        <v/>
      </c>
      <c r="BN54" s="90" t="str">
        <f t="shared" si="178"/>
        <v/>
      </c>
      <c r="BO54" s="22"/>
      <c r="BP54" s="22"/>
      <c r="BQ54" s="22"/>
      <c r="BR54" s="22"/>
      <c r="BS54" s="22"/>
      <c r="BT54" s="22"/>
      <c r="BU54" s="91">
        <f>$A$41</f>
        <v>20182</v>
      </c>
      <c r="BV54" s="105"/>
      <c r="BW54" s="90" t="str">
        <f t="shared" si="179"/>
        <v/>
      </c>
      <c r="BX54" s="90" t="str">
        <f t="shared" si="179"/>
        <v/>
      </c>
      <c r="BY54" s="90" t="str">
        <f t="shared" si="179"/>
        <v/>
      </c>
      <c r="BZ54" s="90" t="str">
        <f t="shared" si="179"/>
        <v/>
      </c>
      <c r="CA54" s="22"/>
      <c r="CB54" s="22"/>
      <c r="CC54" s="22"/>
      <c r="CD54" s="22"/>
      <c r="CE54" s="22"/>
      <c r="CF54" s="22"/>
      <c r="CG54" s="91">
        <f>$A$41</f>
        <v>20182</v>
      </c>
      <c r="CH54" s="105"/>
      <c r="CI54" s="90" t="str">
        <f t="shared" si="180"/>
        <v/>
      </c>
      <c r="CJ54" s="90" t="str">
        <f t="shared" si="180"/>
        <v/>
      </c>
      <c r="CK54" s="90" t="str">
        <f t="shared" si="180"/>
        <v/>
      </c>
      <c r="CL54" s="90" t="str">
        <f t="shared" si="180"/>
        <v/>
      </c>
      <c r="CM54" s="22"/>
      <c r="CN54" s="22"/>
      <c r="CO54" s="22"/>
      <c r="CP54" s="22"/>
      <c r="CQ54" s="22"/>
      <c r="CR54" s="22"/>
      <c r="CS54" s="91">
        <f>$A$41</f>
        <v>20182</v>
      </c>
      <c r="CT54" s="105"/>
      <c r="CU54" s="90" t="str">
        <f t="shared" si="181"/>
        <v/>
      </c>
      <c r="CV54" s="90" t="str">
        <f t="shared" si="181"/>
        <v/>
      </c>
      <c r="CW54" s="90" t="str">
        <f t="shared" si="181"/>
        <v/>
      </c>
      <c r="CX54" s="90" t="str">
        <f t="shared" si="181"/>
        <v/>
      </c>
      <c r="CY54" s="22"/>
      <c r="CZ54" s="22"/>
      <c r="DA54" s="22"/>
      <c r="DB54" s="22"/>
      <c r="DC54" s="22"/>
      <c r="DD54" s="22"/>
      <c r="DE54" s="91">
        <f>$A$41</f>
        <v>20182</v>
      </c>
      <c r="DF54" s="105"/>
      <c r="DG54" s="90" t="str">
        <f t="shared" si="182"/>
        <v/>
      </c>
      <c r="DH54" s="90" t="str">
        <f t="shared" si="182"/>
        <v/>
      </c>
      <c r="DI54" s="90" t="str">
        <f t="shared" si="182"/>
        <v/>
      </c>
      <c r="DJ54" s="90" t="str">
        <f t="shared" si="182"/>
        <v/>
      </c>
      <c r="DK54" s="22"/>
      <c r="DL54" s="22"/>
      <c r="DM54" s="22"/>
      <c r="DN54" s="22"/>
      <c r="DO54" s="22"/>
      <c r="DP54" s="22"/>
    </row>
    <row r="55" spans="1:120" x14ac:dyDescent="0.25">
      <c r="A55" s="91">
        <f>$A$42</f>
        <v>20192</v>
      </c>
      <c r="B55" s="105"/>
      <c r="C55" s="90">
        <f t="shared" si="173"/>
        <v>1.3650968215469714</v>
      </c>
      <c r="D55" s="90">
        <f t="shared" si="173"/>
        <v>1.0797233384487479</v>
      </c>
      <c r="E55" s="90">
        <f t="shared" si="173"/>
        <v>1.080968539629543</v>
      </c>
      <c r="F55" s="22"/>
      <c r="G55" s="22"/>
      <c r="H55" s="22"/>
      <c r="I55" s="22"/>
      <c r="J55" s="22"/>
      <c r="K55" s="22"/>
      <c r="L55" s="22"/>
      <c r="M55" s="91">
        <f>$A$42</f>
        <v>20192</v>
      </c>
      <c r="N55" s="105"/>
      <c r="O55" s="90" t="str">
        <f t="shared" si="174"/>
        <v/>
      </c>
      <c r="P55" s="90" t="str">
        <f t="shared" si="174"/>
        <v/>
      </c>
      <c r="Q55" s="90" t="str">
        <f t="shared" si="174"/>
        <v/>
      </c>
      <c r="R55" s="22"/>
      <c r="S55" s="22"/>
      <c r="T55" s="22"/>
      <c r="U55" s="22"/>
      <c r="V55" s="22"/>
      <c r="W55" s="22"/>
      <c r="X55" s="22"/>
      <c r="Y55" s="91">
        <f>$A$42</f>
        <v>20192</v>
      </c>
      <c r="Z55" s="105"/>
      <c r="AA55" s="90" t="str">
        <f t="shared" si="175"/>
        <v/>
      </c>
      <c r="AB55" s="90" t="str">
        <f t="shared" si="175"/>
        <v/>
      </c>
      <c r="AC55" s="90" t="str">
        <f t="shared" si="175"/>
        <v/>
      </c>
      <c r="AD55" s="22"/>
      <c r="AE55" s="22"/>
      <c r="AF55" s="22"/>
      <c r="AG55" s="22"/>
      <c r="AH55" s="22"/>
      <c r="AI55" s="22"/>
      <c r="AJ55" s="22"/>
      <c r="AK55" s="91">
        <f>$A$42</f>
        <v>20192</v>
      </c>
      <c r="AL55" s="105"/>
      <c r="AM55" s="90" t="str">
        <f t="shared" si="176"/>
        <v/>
      </c>
      <c r="AN55" s="90" t="str">
        <f t="shared" si="176"/>
        <v/>
      </c>
      <c r="AO55" s="90" t="str">
        <f t="shared" si="176"/>
        <v/>
      </c>
      <c r="AP55" s="22"/>
      <c r="AQ55" s="22"/>
      <c r="AR55" s="22"/>
      <c r="AS55" s="22"/>
      <c r="AT55" s="22"/>
      <c r="AU55" s="22"/>
      <c r="AV55" s="22"/>
      <c r="AW55" s="91">
        <f>$A$42</f>
        <v>20192</v>
      </c>
      <c r="AX55" s="105"/>
      <c r="AY55" s="90" t="str">
        <f t="shared" si="177"/>
        <v/>
      </c>
      <c r="AZ55" s="90" t="str">
        <f t="shared" si="177"/>
        <v/>
      </c>
      <c r="BA55" s="90" t="str">
        <f t="shared" si="177"/>
        <v/>
      </c>
      <c r="BB55" s="22"/>
      <c r="BC55" s="22"/>
      <c r="BD55" s="22"/>
      <c r="BE55" s="22"/>
      <c r="BF55" s="22"/>
      <c r="BG55" s="22"/>
      <c r="BH55" s="22"/>
      <c r="BI55" s="91">
        <f>$A$42</f>
        <v>20192</v>
      </c>
      <c r="BJ55" s="105"/>
      <c r="BK55" s="90" t="str">
        <f t="shared" si="178"/>
        <v/>
      </c>
      <c r="BL55" s="90" t="str">
        <f t="shared" si="178"/>
        <v/>
      </c>
      <c r="BM55" s="90" t="str">
        <f t="shared" si="178"/>
        <v/>
      </c>
      <c r="BN55" s="22"/>
      <c r="BO55" s="22"/>
      <c r="BP55" s="22"/>
      <c r="BQ55" s="22"/>
      <c r="BR55" s="22"/>
      <c r="BS55" s="22"/>
      <c r="BT55" s="22"/>
      <c r="BU55" s="91">
        <f>$A$42</f>
        <v>20192</v>
      </c>
      <c r="BV55" s="105"/>
      <c r="BW55" s="90" t="str">
        <f t="shared" si="179"/>
        <v/>
      </c>
      <c r="BX55" s="90" t="str">
        <f t="shared" si="179"/>
        <v/>
      </c>
      <c r="BY55" s="90" t="str">
        <f t="shared" si="179"/>
        <v/>
      </c>
      <c r="BZ55" s="22"/>
      <c r="CA55" s="22"/>
      <c r="CB55" s="22"/>
      <c r="CC55" s="22"/>
      <c r="CD55" s="22"/>
      <c r="CE55" s="22"/>
      <c r="CF55" s="22"/>
      <c r="CG55" s="91">
        <f>$A$42</f>
        <v>20192</v>
      </c>
      <c r="CH55" s="105"/>
      <c r="CI55" s="90" t="str">
        <f t="shared" si="180"/>
        <v/>
      </c>
      <c r="CJ55" s="90" t="str">
        <f t="shared" si="180"/>
        <v/>
      </c>
      <c r="CK55" s="90" t="str">
        <f t="shared" si="180"/>
        <v/>
      </c>
      <c r="CL55" s="22"/>
      <c r="CM55" s="22"/>
      <c r="CN55" s="22"/>
      <c r="CO55" s="22"/>
      <c r="CP55" s="22"/>
      <c r="CQ55" s="22"/>
      <c r="CR55" s="22"/>
      <c r="CS55" s="91">
        <f>$A$42</f>
        <v>20192</v>
      </c>
      <c r="CT55" s="105"/>
      <c r="CU55" s="90" t="str">
        <f t="shared" si="181"/>
        <v/>
      </c>
      <c r="CV55" s="90" t="str">
        <f t="shared" si="181"/>
        <v/>
      </c>
      <c r="CW55" s="90" t="str">
        <f t="shared" si="181"/>
        <v/>
      </c>
      <c r="CX55" s="22"/>
      <c r="CY55" s="22"/>
      <c r="CZ55" s="22"/>
      <c r="DA55" s="22"/>
      <c r="DB55" s="22"/>
      <c r="DC55" s="22"/>
      <c r="DD55" s="22"/>
      <c r="DE55" s="91">
        <f>$A$42</f>
        <v>20192</v>
      </c>
      <c r="DF55" s="105"/>
      <c r="DG55" s="90" t="str">
        <f t="shared" si="182"/>
        <v/>
      </c>
      <c r="DH55" s="90" t="str">
        <f t="shared" si="182"/>
        <v/>
      </c>
      <c r="DI55" s="90" t="str">
        <f t="shared" si="182"/>
        <v/>
      </c>
      <c r="DJ55" s="22"/>
      <c r="DK55" s="22"/>
      <c r="DL55" s="22"/>
      <c r="DM55" s="22"/>
      <c r="DN55" s="22"/>
      <c r="DO55" s="22"/>
      <c r="DP55" s="22"/>
    </row>
    <row r="56" spans="1:120" x14ac:dyDescent="0.25">
      <c r="A56" s="91">
        <f>$A$43</f>
        <v>20202</v>
      </c>
      <c r="B56" s="105"/>
      <c r="C56" s="90">
        <f t="shared" si="173"/>
        <v>1.3800783681864961</v>
      </c>
      <c r="D56" s="90">
        <f t="shared" si="173"/>
        <v>1.1038246728573511</v>
      </c>
      <c r="E56" s="22"/>
      <c r="F56" s="22"/>
      <c r="G56" s="22"/>
      <c r="H56" s="22"/>
      <c r="I56" s="22"/>
      <c r="J56" s="22"/>
      <c r="K56" s="22"/>
      <c r="L56" s="22"/>
      <c r="M56" s="91">
        <f>$A$43</f>
        <v>20202</v>
      </c>
      <c r="N56" s="105"/>
      <c r="O56" s="90" t="str">
        <f t="shared" si="174"/>
        <v/>
      </c>
      <c r="P56" s="90" t="str">
        <f t="shared" si="174"/>
        <v/>
      </c>
      <c r="Q56" s="22"/>
      <c r="R56" s="22"/>
      <c r="S56" s="22"/>
      <c r="T56" s="22"/>
      <c r="U56" s="22"/>
      <c r="V56" s="22"/>
      <c r="W56" s="22"/>
      <c r="X56" s="22"/>
      <c r="Y56" s="91">
        <f>$A$43</f>
        <v>20202</v>
      </c>
      <c r="Z56" s="105"/>
      <c r="AA56" s="90" t="str">
        <f t="shared" si="175"/>
        <v/>
      </c>
      <c r="AB56" s="90" t="str">
        <f t="shared" si="175"/>
        <v/>
      </c>
      <c r="AC56" s="22"/>
      <c r="AD56" s="22"/>
      <c r="AE56" s="22"/>
      <c r="AF56" s="22"/>
      <c r="AG56" s="22"/>
      <c r="AH56" s="22"/>
      <c r="AI56" s="22"/>
      <c r="AJ56" s="22"/>
      <c r="AK56" s="91">
        <f>$A$43</f>
        <v>20202</v>
      </c>
      <c r="AL56" s="105"/>
      <c r="AM56" s="90" t="str">
        <f t="shared" si="176"/>
        <v/>
      </c>
      <c r="AN56" s="90" t="str">
        <f t="shared" si="176"/>
        <v/>
      </c>
      <c r="AO56" s="22"/>
      <c r="AP56" s="22"/>
      <c r="AQ56" s="22"/>
      <c r="AR56" s="22"/>
      <c r="AS56" s="22"/>
      <c r="AT56" s="22"/>
      <c r="AU56" s="22"/>
      <c r="AV56" s="22"/>
      <c r="AW56" s="91">
        <f>$A$43</f>
        <v>20202</v>
      </c>
      <c r="AX56" s="105"/>
      <c r="AY56" s="90" t="str">
        <f t="shared" si="177"/>
        <v/>
      </c>
      <c r="AZ56" s="90" t="str">
        <f t="shared" si="177"/>
        <v/>
      </c>
      <c r="BA56" s="22"/>
      <c r="BB56" s="22"/>
      <c r="BC56" s="22"/>
      <c r="BD56" s="22"/>
      <c r="BE56" s="22"/>
      <c r="BF56" s="22"/>
      <c r="BG56" s="22"/>
      <c r="BH56" s="22"/>
      <c r="BI56" s="91">
        <f>$A$43</f>
        <v>20202</v>
      </c>
      <c r="BJ56" s="105"/>
      <c r="BK56" s="90" t="str">
        <f t="shared" si="178"/>
        <v/>
      </c>
      <c r="BL56" s="90" t="str">
        <f t="shared" si="178"/>
        <v/>
      </c>
      <c r="BM56" s="22"/>
      <c r="BN56" s="22"/>
      <c r="BO56" s="22"/>
      <c r="BP56" s="22"/>
      <c r="BQ56" s="22"/>
      <c r="BR56" s="22"/>
      <c r="BS56" s="22"/>
      <c r="BT56" s="22"/>
      <c r="BU56" s="91">
        <f>$A$43</f>
        <v>20202</v>
      </c>
      <c r="BV56" s="105"/>
      <c r="BW56" s="90" t="str">
        <f t="shared" si="179"/>
        <v/>
      </c>
      <c r="BX56" s="90" t="str">
        <f t="shared" si="179"/>
        <v/>
      </c>
      <c r="BY56" s="22"/>
      <c r="BZ56" s="22"/>
      <c r="CA56" s="22"/>
      <c r="CB56" s="22"/>
      <c r="CC56" s="22"/>
      <c r="CD56" s="22"/>
      <c r="CE56" s="22"/>
      <c r="CF56" s="22"/>
      <c r="CG56" s="91">
        <f>$A$43</f>
        <v>20202</v>
      </c>
      <c r="CH56" s="105"/>
      <c r="CI56" s="90" t="str">
        <f t="shared" si="180"/>
        <v/>
      </c>
      <c r="CJ56" s="90" t="str">
        <f t="shared" si="180"/>
        <v/>
      </c>
      <c r="CK56" s="22"/>
      <c r="CL56" s="22"/>
      <c r="CM56" s="22"/>
      <c r="CN56" s="22"/>
      <c r="CO56" s="22"/>
      <c r="CP56" s="22"/>
      <c r="CQ56" s="22"/>
      <c r="CR56" s="22"/>
      <c r="CS56" s="91">
        <f>$A$43</f>
        <v>20202</v>
      </c>
      <c r="CT56" s="105"/>
      <c r="CU56" s="90" t="str">
        <f t="shared" si="181"/>
        <v/>
      </c>
      <c r="CV56" s="90" t="str">
        <f t="shared" si="181"/>
        <v/>
      </c>
      <c r="CW56" s="22"/>
      <c r="CX56" s="22"/>
      <c r="CY56" s="22"/>
      <c r="CZ56" s="22"/>
      <c r="DA56" s="22"/>
      <c r="DB56" s="22"/>
      <c r="DC56" s="22"/>
      <c r="DD56" s="22"/>
      <c r="DE56" s="91">
        <f>$A$43</f>
        <v>20202</v>
      </c>
      <c r="DF56" s="105"/>
      <c r="DG56" s="90" t="str">
        <f t="shared" si="182"/>
        <v/>
      </c>
      <c r="DH56" s="90" t="str">
        <f t="shared" si="182"/>
        <v/>
      </c>
      <c r="DI56" s="22"/>
      <c r="DJ56" s="22"/>
      <c r="DK56" s="22"/>
      <c r="DL56" s="22"/>
      <c r="DM56" s="22"/>
      <c r="DN56" s="22"/>
      <c r="DO56" s="22"/>
      <c r="DP56" s="22"/>
    </row>
    <row r="57" spans="1:120" x14ac:dyDescent="0.25">
      <c r="A57" s="91">
        <f>$A$44</f>
        <v>20212</v>
      </c>
      <c r="B57" s="105"/>
      <c r="C57" s="90">
        <f t="shared" si="173"/>
        <v>1.4440816262977716</v>
      </c>
      <c r="D57" s="22"/>
      <c r="E57" s="22"/>
      <c r="F57" s="22"/>
      <c r="G57" s="22"/>
      <c r="H57" s="22"/>
      <c r="I57" s="22"/>
      <c r="J57" s="22"/>
      <c r="K57" s="22"/>
      <c r="L57" s="22"/>
      <c r="M57" s="91">
        <f>$A$44</f>
        <v>20212</v>
      </c>
      <c r="N57" s="105"/>
      <c r="O57" s="90" t="str">
        <f t="shared" si="174"/>
        <v/>
      </c>
      <c r="P57" s="22"/>
      <c r="Q57" s="22"/>
      <c r="R57" s="22"/>
      <c r="S57" s="22"/>
      <c r="T57" s="22"/>
      <c r="U57" s="22"/>
      <c r="V57" s="22"/>
      <c r="W57" s="22"/>
      <c r="X57" s="22"/>
      <c r="Y57" s="91">
        <f>$A$44</f>
        <v>20212</v>
      </c>
      <c r="Z57" s="105"/>
      <c r="AA57" s="90" t="str">
        <f t="shared" si="175"/>
        <v/>
      </c>
      <c r="AB57" s="22"/>
      <c r="AC57" s="22"/>
      <c r="AD57" s="22"/>
      <c r="AE57" s="22"/>
      <c r="AF57" s="22"/>
      <c r="AG57" s="22"/>
      <c r="AH57" s="22"/>
      <c r="AI57" s="22"/>
      <c r="AJ57" s="22"/>
      <c r="AK57" s="91">
        <f>$A$44</f>
        <v>20212</v>
      </c>
      <c r="AL57" s="105"/>
      <c r="AM57" s="90" t="str">
        <f t="shared" si="176"/>
        <v/>
      </c>
      <c r="AN57" s="22"/>
      <c r="AO57" s="22"/>
      <c r="AP57" s="22"/>
      <c r="AQ57" s="22"/>
      <c r="AR57" s="22"/>
      <c r="AS57" s="22"/>
      <c r="AT57" s="22"/>
      <c r="AU57" s="22"/>
      <c r="AV57" s="22"/>
      <c r="AW57" s="91">
        <f>$A$44</f>
        <v>20212</v>
      </c>
      <c r="AX57" s="105"/>
      <c r="AY57" s="90" t="str">
        <f t="shared" si="177"/>
        <v/>
      </c>
      <c r="AZ57" s="22"/>
      <c r="BA57" s="22"/>
      <c r="BB57" s="22"/>
      <c r="BC57" s="22"/>
      <c r="BD57" s="22"/>
      <c r="BE57" s="22"/>
      <c r="BF57" s="22"/>
      <c r="BG57" s="22"/>
      <c r="BH57" s="22"/>
      <c r="BI57" s="91">
        <f>$A$44</f>
        <v>20212</v>
      </c>
      <c r="BJ57" s="105"/>
      <c r="BK57" s="90" t="str">
        <f t="shared" si="178"/>
        <v/>
      </c>
      <c r="BL57" s="22"/>
      <c r="BM57" s="22"/>
      <c r="BN57" s="22"/>
      <c r="BO57" s="22"/>
      <c r="BP57" s="22"/>
      <c r="BQ57" s="22"/>
      <c r="BR57" s="22"/>
      <c r="BS57" s="22"/>
      <c r="BT57" s="22"/>
      <c r="BU57" s="91">
        <f>$A$44</f>
        <v>20212</v>
      </c>
      <c r="BV57" s="105"/>
      <c r="BW57" s="90" t="str">
        <f t="shared" si="179"/>
        <v/>
      </c>
      <c r="BX57" s="22"/>
      <c r="BY57" s="22"/>
      <c r="BZ57" s="22"/>
      <c r="CA57" s="22"/>
      <c r="CB57" s="22"/>
      <c r="CC57" s="22"/>
      <c r="CD57" s="22"/>
      <c r="CE57" s="22"/>
      <c r="CF57" s="22"/>
      <c r="CG57" s="91">
        <f>$A$44</f>
        <v>20212</v>
      </c>
      <c r="CH57" s="105"/>
      <c r="CI57" s="90" t="str">
        <f t="shared" si="180"/>
        <v/>
      </c>
      <c r="CJ57" s="22"/>
      <c r="CK57" s="22"/>
      <c r="CL57" s="22"/>
      <c r="CM57" s="22"/>
      <c r="CN57" s="22"/>
      <c r="CO57" s="22"/>
      <c r="CP57" s="22"/>
      <c r="CQ57" s="22"/>
      <c r="CR57" s="22"/>
      <c r="CS57" s="91">
        <f>$A$44</f>
        <v>20212</v>
      </c>
      <c r="CT57" s="105"/>
      <c r="CU57" s="90" t="str">
        <f t="shared" si="181"/>
        <v/>
      </c>
      <c r="CV57" s="22"/>
      <c r="CW57" s="22"/>
      <c r="CX57" s="22"/>
      <c r="CY57" s="22"/>
      <c r="CZ57" s="22"/>
      <c r="DA57" s="22"/>
      <c r="DB57" s="22"/>
      <c r="DC57" s="22"/>
      <c r="DD57" s="22"/>
      <c r="DE57" s="91">
        <f>$A$44</f>
        <v>20212</v>
      </c>
      <c r="DF57" s="105"/>
      <c r="DG57" s="90" t="str">
        <f t="shared" si="182"/>
        <v/>
      </c>
      <c r="DH57" s="22"/>
      <c r="DI57" s="22"/>
      <c r="DJ57" s="22"/>
      <c r="DK57" s="22"/>
      <c r="DL57" s="22"/>
      <c r="DM57" s="22"/>
      <c r="DN57" s="22"/>
      <c r="DO57" s="22"/>
      <c r="DP57" s="22"/>
    </row>
    <row r="58" spans="1:120" x14ac:dyDescent="0.25">
      <c r="A58" s="108"/>
      <c r="B58" s="108"/>
      <c r="C58" s="108"/>
      <c r="D58" s="108"/>
      <c r="E58" s="108"/>
      <c r="F58" s="108"/>
      <c r="G58" s="108"/>
      <c r="H58" s="108"/>
      <c r="I58" s="108"/>
      <c r="J58" s="108"/>
      <c r="K58" s="108"/>
      <c r="L58" s="109" t="s">
        <v>38</v>
      </c>
      <c r="M58" s="108"/>
      <c r="N58" s="108"/>
      <c r="O58" s="108"/>
      <c r="P58" s="108"/>
      <c r="Q58" s="108"/>
      <c r="R58" s="108"/>
      <c r="S58" s="108"/>
      <c r="T58" s="108"/>
      <c r="U58" s="108"/>
      <c r="V58" s="108"/>
      <c r="W58" s="108"/>
      <c r="X58" s="109" t="s">
        <v>38</v>
      </c>
      <c r="Y58" s="108"/>
      <c r="Z58" s="108"/>
      <c r="AA58" s="108"/>
      <c r="AB58" s="108"/>
      <c r="AC58" s="108"/>
      <c r="AD58" s="108"/>
      <c r="AE58" s="108"/>
      <c r="AF58" s="108"/>
      <c r="AG58" s="108"/>
      <c r="AH58" s="108"/>
      <c r="AI58" s="108"/>
      <c r="AJ58" s="109" t="s">
        <v>38</v>
      </c>
      <c r="AK58" s="108"/>
      <c r="AL58" s="108"/>
      <c r="AM58" s="108"/>
      <c r="AN58" s="108"/>
      <c r="AO58" s="108"/>
      <c r="AP58" s="108"/>
      <c r="AQ58" s="108"/>
      <c r="AR58" s="108"/>
      <c r="AS58" s="108"/>
      <c r="AT58" s="108"/>
      <c r="AU58" s="108"/>
      <c r="AV58" s="109" t="s">
        <v>38</v>
      </c>
      <c r="AW58" s="108"/>
      <c r="AX58" s="108"/>
      <c r="AY58" s="108"/>
      <c r="AZ58" s="108"/>
      <c r="BA58" s="108"/>
      <c r="BB58" s="108"/>
      <c r="BC58" s="108"/>
      <c r="BD58" s="108"/>
      <c r="BE58" s="108"/>
      <c r="BF58" s="108"/>
      <c r="BG58" s="108"/>
      <c r="BH58" s="109" t="s">
        <v>38</v>
      </c>
      <c r="BI58" s="108"/>
      <c r="BJ58" s="108"/>
      <c r="BK58" s="108"/>
      <c r="BL58" s="108"/>
      <c r="BM58" s="108"/>
      <c r="BN58" s="108"/>
      <c r="BO58" s="108"/>
      <c r="BP58" s="108"/>
      <c r="BQ58" s="108"/>
      <c r="BR58" s="108"/>
      <c r="BS58" s="108"/>
      <c r="BT58" s="109" t="s">
        <v>38</v>
      </c>
      <c r="BU58" s="108"/>
      <c r="BV58" s="108"/>
      <c r="BW58" s="108"/>
      <c r="BX58" s="108"/>
      <c r="BY58" s="108"/>
      <c r="BZ58" s="108"/>
      <c r="CA58" s="108"/>
      <c r="CB58" s="108"/>
      <c r="CC58" s="108"/>
      <c r="CD58" s="108"/>
      <c r="CE58" s="108"/>
      <c r="CF58" s="109" t="s">
        <v>38</v>
      </c>
      <c r="CG58" s="108"/>
      <c r="CH58" s="108"/>
      <c r="CI58" s="108"/>
      <c r="CJ58" s="108"/>
      <c r="CK58" s="108"/>
      <c r="CL58" s="108"/>
      <c r="CM58" s="108"/>
      <c r="CN58" s="108"/>
      <c r="CO58" s="108"/>
      <c r="CP58" s="108"/>
      <c r="CQ58" s="108"/>
      <c r="CR58" s="109" t="s">
        <v>38</v>
      </c>
      <c r="CS58" s="108"/>
      <c r="CT58" s="108"/>
      <c r="CU58" s="108"/>
      <c r="CV58" s="108"/>
      <c r="CW58" s="108"/>
      <c r="CX58" s="108"/>
      <c r="CY58" s="108"/>
      <c r="CZ58" s="108"/>
      <c r="DA58" s="108"/>
      <c r="DB58" s="108"/>
      <c r="DC58" s="108"/>
      <c r="DD58" s="109" t="s">
        <v>38</v>
      </c>
      <c r="DE58" s="108"/>
      <c r="DF58" s="108"/>
      <c r="DG58" s="108"/>
      <c r="DH58" s="108"/>
      <c r="DI58" s="108"/>
      <c r="DJ58" s="108"/>
      <c r="DK58" s="108"/>
      <c r="DL58" s="108"/>
      <c r="DM58" s="108"/>
      <c r="DN58" s="108"/>
      <c r="DO58" s="108"/>
      <c r="DP58" s="109" t="s">
        <v>38</v>
      </c>
    </row>
    <row r="59" spans="1:120" x14ac:dyDescent="0.25">
      <c r="A59" s="11" t="s">
        <v>37</v>
      </c>
      <c r="B59" s="107"/>
      <c r="C59" s="93">
        <f>IFERROR(SUM(D42:D44)/SUM(C42:C44),1)</f>
        <v>1.3962894152882421</v>
      </c>
      <c r="D59" s="93">
        <f>IFERROR(SUM(E41:E43)/SUM(D41:D43),1)</f>
        <v>1.0821647187858721</v>
      </c>
      <c r="E59" s="93">
        <f>IFERROR(SUM(F40:F42)/SUM(E40:E42),1)</f>
        <v>1.0580041661299424</v>
      </c>
      <c r="F59" s="93">
        <f>IFERROR(SUM(G39:G41)/SUM(F39:F41),1)</f>
        <v>1.0319198640437082</v>
      </c>
      <c r="G59" s="93">
        <f>IFERROR(SUM(H38:H40)/SUM(G38:G40),1)</f>
        <v>1.0224132051312946</v>
      </c>
      <c r="H59" s="93">
        <f>IFERROR(SUM(I37:I39)/SUM(H37:H39),1)</f>
        <v>1.0131235857356324</v>
      </c>
      <c r="I59" s="93">
        <f>IFERROR(SUM(J36:J38)/SUM(I36:I38),1)</f>
        <v>1.0206100947854659</v>
      </c>
      <c r="J59" s="93">
        <f>IFERROR(SUM(K36:K37)/SUM(J36:J37),1)</f>
        <v>1.0057107499830706</v>
      </c>
      <c r="K59" s="93">
        <f>IFERROR(SUM(L36:L36)/SUM(K36:K36),1)</f>
        <v>1.0054009023577926</v>
      </c>
      <c r="L59" s="93">
        <v>1</v>
      </c>
      <c r="M59" s="285" t="s">
        <v>37</v>
      </c>
      <c r="N59" s="107"/>
      <c r="O59" s="93">
        <f>IFERROR(SUM(P42:P44)/SUM(O42:O44),1)</f>
        <v>1</v>
      </c>
      <c r="P59" s="93">
        <f>IFERROR(SUM(Q41:Q43)/SUM(P41:P43),1)</f>
        <v>1</v>
      </c>
      <c r="Q59" s="93">
        <f>IFERROR(SUM(R40:R42)/SUM(Q40:Q42),1)</f>
        <v>1</v>
      </c>
      <c r="R59" s="93">
        <f>IFERROR(SUM(S39:S41)/SUM(R39:R41),1)</f>
        <v>1</v>
      </c>
      <c r="S59" s="93">
        <f>IFERROR(SUM(T38:T40)/SUM(S38:S40),1)</f>
        <v>1</v>
      </c>
      <c r="T59" s="93">
        <f>IFERROR(SUM(U37:U39)/SUM(T37:T39),1)</f>
        <v>1</v>
      </c>
      <c r="U59" s="93">
        <f>IFERROR(SUM(V36:V38)/SUM(U36:U38),1)</f>
        <v>1</v>
      </c>
      <c r="V59" s="93">
        <f>IFERROR(SUM(W36:W37)/SUM(V36:V37),1)</f>
        <v>1</v>
      </c>
      <c r="W59" s="93">
        <f>IFERROR(SUM(X36:X36)/SUM(W36:W36),1)</f>
        <v>1</v>
      </c>
      <c r="X59" s="93">
        <v>1</v>
      </c>
      <c r="Y59" s="285" t="s">
        <v>37</v>
      </c>
      <c r="Z59" s="107"/>
      <c r="AA59" s="93">
        <f>IFERROR(SUM(AB42:AB44)/SUM(AA42:AA44),1)</f>
        <v>1</v>
      </c>
      <c r="AB59" s="93">
        <f>IFERROR(SUM(AC41:AC43)/SUM(AB41:AB43),1)</f>
        <v>1</v>
      </c>
      <c r="AC59" s="93">
        <f>IFERROR(SUM(AD40:AD42)/SUM(AC40:AC42),1)</f>
        <v>1</v>
      </c>
      <c r="AD59" s="93">
        <f>IFERROR(SUM(AE39:AE41)/SUM(AD39:AD41),1)</f>
        <v>1</v>
      </c>
      <c r="AE59" s="93">
        <f>IFERROR(SUM(AF38:AF40)/SUM(AE38:AE40),1)</f>
        <v>1</v>
      </c>
      <c r="AF59" s="93">
        <f>IFERROR(SUM(AG37:AG39)/SUM(AF37:AF39),1)</f>
        <v>1</v>
      </c>
      <c r="AG59" s="93">
        <f>IFERROR(SUM(AH36:AH38)/SUM(AG36:AG38),1)</f>
        <v>1</v>
      </c>
      <c r="AH59" s="93">
        <f>IFERROR(SUM(AI36:AI37)/SUM(AH36:AH37),1)</f>
        <v>1</v>
      </c>
      <c r="AI59" s="93">
        <f>IFERROR(SUM(AJ36:AJ36)/SUM(AI36:AI36),1)</f>
        <v>1</v>
      </c>
      <c r="AJ59" s="93">
        <v>1</v>
      </c>
      <c r="AK59" s="285" t="s">
        <v>37</v>
      </c>
      <c r="AL59" s="107"/>
      <c r="AM59" s="93">
        <f>IFERROR(SUM(AN42:AN44)/SUM(AM42:AM44),1)</f>
        <v>1</v>
      </c>
      <c r="AN59" s="93">
        <f>IFERROR(SUM(AO41:AO43)/SUM(AN41:AN43),1)</f>
        <v>1</v>
      </c>
      <c r="AO59" s="93">
        <f>IFERROR(SUM(AP40:AP42)/SUM(AO40:AO42),1)</f>
        <v>1</v>
      </c>
      <c r="AP59" s="93">
        <f>IFERROR(SUM(AQ39:AQ41)/SUM(AP39:AP41),1)</f>
        <v>1</v>
      </c>
      <c r="AQ59" s="93">
        <f>IFERROR(SUM(AR38:AR40)/SUM(AQ38:AQ40),1)</f>
        <v>1</v>
      </c>
      <c r="AR59" s="93">
        <f>IFERROR(SUM(AS37:AS39)/SUM(AR37:AR39),1)</f>
        <v>1</v>
      </c>
      <c r="AS59" s="93">
        <f>IFERROR(SUM(AT36:AT38)/SUM(AS36:AS38),1)</f>
        <v>1</v>
      </c>
      <c r="AT59" s="93">
        <f>IFERROR(SUM(AU36:AU37)/SUM(AT36:AT37),1)</f>
        <v>1</v>
      </c>
      <c r="AU59" s="93">
        <f>IFERROR(SUM(AV36:AV36)/SUM(AU36:AU36),1)</f>
        <v>1</v>
      </c>
      <c r="AV59" s="93">
        <v>1</v>
      </c>
      <c r="AW59" s="285" t="s">
        <v>37</v>
      </c>
      <c r="AX59" s="107"/>
      <c r="AY59" s="93">
        <f>IFERROR(SUM(AZ42:AZ44)/SUM(AY42:AY44),1)</f>
        <v>1</v>
      </c>
      <c r="AZ59" s="93">
        <f>IFERROR(SUM(BA41:BA43)/SUM(AZ41:AZ43),1)</f>
        <v>1</v>
      </c>
      <c r="BA59" s="93">
        <f>IFERROR(SUM(BB40:BB42)/SUM(BA40:BA42),1)</f>
        <v>1</v>
      </c>
      <c r="BB59" s="93">
        <f>IFERROR(SUM(BC39:BC41)/SUM(BB39:BB41),1)</f>
        <v>1</v>
      </c>
      <c r="BC59" s="93">
        <f>IFERROR(SUM(BD38:BD40)/SUM(BC38:BC40),1)</f>
        <v>1</v>
      </c>
      <c r="BD59" s="93">
        <f>IFERROR(SUM(BE37:BE39)/SUM(BD37:BD39),1)</f>
        <v>1</v>
      </c>
      <c r="BE59" s="93">
        <f>IFERROR(SUM(BF36:BF38)/SUM(BE36:BE38),1)</f>
        <v>1</v>
      </c>
      <c r="BF59" s="93">
        <f>IFERROR(SUM(BG36:BG37)/SUM(BF36:BF37),1)</f>
        <v>1</v>
      </c>
      <c r="BG59" s="93">
        <f>IFERROR(SUM(BH36:BH36)/SUM(BG36:BG36),1)</f>
        <v>1</v>
      </c>
      <c r="BH59" s="93">
        <v>1</v>
      </c>
      <c r="BI59" s="285" t="s">
        <v>37</v>
      </c>
      <c r="BJ59" s="107"/>
      <c r="BK59" s="93">
        <f>IFERROR(SUM(BL42:BL44)/SUM(BK42:BK44),1)</f>
        <v>1</v>
      </c>
      <c r="BL59" s="93">
        <f>IFERROR(SUM(BM41:BM43)/SUM(BL41:BL43),1)</f>
        <v>1</v>
      </c>
      <c r="BM59" s="93">
        <f>IFERROR(SUM(BN40:BN42)/SUM(BM40:BM42),1)</f>
        <v>1</v>
      </c>
      <c r="BN59" s="93">
        <f>IFERROR(SUM(BO39:BO41)/SUM(BN39:BN41),1)</f>
        <v>1</v>
      </c>
      <c r="BO59" s="93">
        <f>IFERROR(SUM(BP38:BP40)/SUM(BO38:BO40),1)</f>
        <v>1</v>
      </c>
      <c r="BP59" s="93">
        <f>IFERROR(SUM(BQ37:BQ39)/SUM(BP37:BP39),1)</f>
        <v>1</v>
      </c>
      <c r="BQ59" s="93">
        <f>IFERROR(SUM(BR36:BR38)/SUM(BQ36:BQ38),1)</f>
        <v>1</v>
      </c>
      <c r="BR59" s="93">
        <f>IFERROR(SUM(BS36:BS37)/SUM(BR36:BR37),1)</f>
        <v>1</v>
      </c>
      <c r="BS59" s="93">
        <f>IFERROR(SUM(BT36:BT36)/SUM(BS36:BS36),1)</f>
        <v>1</v>
      </c>
      <c r="BT59" s="93">
        <v>1</v>
      </c>
      <c r="BU59" s="285" t="s">
        <v>37</v>
      </c>
      <c r="BV59" s="107"/>
      <c r="BW59" s="93">
        <f>IFERROR(SUM(BX42:BX44)/SUM(BW42:BW44),1)</f>
        <v>1</v>
      </c>
      <c r="BX59" s="93">
        <f>IFERROR(SUM(BY41:BY43)/SUM(BX41:BX43),1)</f>
        <v>1</v>
      </c>
      <c r="BY59" s="93">
        <f>IFERROR(SUM(BZ40:BZ42)/SUM(BY40:BY42),1)</f>
        <v>1</v>
      </c>
      <c r="BZ59" s="93">
        <f>IFERROR(SUM(CA39:CA41)/SUM(BZ39:BZ41),1)</f>
        <v>1</v>
      </c>
      <c r="CA59" s="93">
        <f>IFERROR(SUM(CB38:CB40)/SUM(CA38:CA40),1)</f>
        <v>1</v>
      </c>
      <c r="CB59" s="93">
        <f>IFERROR(SUM(CC37:CC39)/SUM(CB37:CB39),1)</f>
        <v>1</v>
      </c>
      <c r="CC59" s="93">
        <f>IFERROR(SUM(CD36:CD38)/SUM(CC36:CC38),1)</f>
        <v>1</v>
      </c>
      <c r="CD59" s="93">
        <f>IFERROR(SUM(CE36:CE37)/SUM(CD36:CD37),1)</f>
        <v>1</v>
      </c>
      <c r="CE59" s="93">
        <f>IFERROR(SUM(CF36:CF36)/SUM(CE36:CE36),1)</f>
        <v>1</v>
      </c>
      <c r="CF59" s="93">
        <v>1</v>
      </c>
      <c r="CG59" s="285" t="s">
        <v>37</v>
      </c>
      <c r="CH59" s="107"/>
      <c r="CI59" s="93">
        <f>IFERROR(SUM(CJ42:CJ44)/SUM(CI42:CI44),1)</f>
        <v>1</v>
      </c>
      <c r="CJ59" s="93">
        <f>IFERROR(SUM(CK41:CK43)/SUM(CJ41:CJ43),1)</f>
        <v>1</v>
      </c>
      <c r="CK59" s="93">
        <f>IFERROR(SUM(CL40:CL42)/SUM(CK40:CK42),1)</f>
        <v>1</v>
      </c>
      <c r="CL59" s="93">
        <f>IFERROR(SUM(CM39:CM41)/SUM(CL39:CL41),1)</f>
        <v>1</v>
      </c>
      <c r="CM59" s="93">
        <f>IFERROR(SUM(CN38:CN40)/SUM(CM38:CM40),1)</f>
        <v>1</v>
      </c>
      <c r="CN59" s="93">
        <f>IFERROR(SUM(CO37:CO39)/SUM(CN37:CN39),1)</f>
        <v>1</v>
      </c>
      <c r="CO59" s="93">
        <f>IFERROR(SUM(CP36:CP38)/SUM(CO36:CO38),1)</f>
        <v>1</v>
      </c>
      <c r="CP59" s="93">
        <f>IFERROR(SUM(CQ36:CQ37)/SUM(CP36:CP37),1)</f>
        <v>1</v>
      </c>
      <c r="CQ59" s="93">
        <f>IFERROR(SUM(CR36:CR36)/SUM(CQ36:CQ36),1)</f>
        <v>1</v>
      </c>
      <c r="CR59" s="93">
        <v>1</v>
      </c>
      <c r="CS59" s="285" t="s">
        <v>37</v>
      </c>
      <c r="CT59" s="107"/>
      <c r="CU59" s="93">
        <f>IFERROR(SUM(CV42:CV44)/SUM(CU42:CU44),1)</f>
        <v>1</v>
      </c>
      <c r="CV59" s="93">
        <f>IFERROR(SUM(CW41:CW43)/SUM(CV41:CV43),1)</f>
        <v>1</v>
      </c>
      <c r="CW59" s="93">
        <f>IFERROR(SUM(CX40:CX42)/SUM(CW40:CW42),1)</f>
        <v>1</v>
      </c>
      <c r="CX59" s="93">
        <f>IFERROR(SUM(CY39:CY41)/SUM(CX39:CX41),1)</f>
        <v>1</v>
      </c>
      <c r="CY59" s="93">
        <f>IFERROR(SUM(CZ38:CZ40)/SUM(CY38:CY40),1)</f>
        <v>1</v>
      </c>
      <c r="CZ59" s="93">
        <f>IFERROR(SUM(DA37:DA39)/SUM(CZ37:CZ39),1)</f>
        <v>1</v>
      </c>
      <c r="DA59" s="93">
        <f>IFERROR(SUM(DB36:DB38)/SUM(DA36:DA38),1)</f>
        <v>1</v>
      </c>
      <c r="DB59" s="93">
        <f>IFERROR(SUM(DC36:DC37)/SUM(DB36:DB37),1)</f>
        <v>1</v>
      </c>
      <c r="DC59" s="93">
        <f>IFERROR(SUM(DD36:DD36)/SUM(DC36:DC36),1)</f>
        <v>1</v>
      </c>
      <c r="DD59" s="93">
        <v>1</v>
      </c>
      <c r="DE59" s="285" t="s">
        <v>37</v>
      </c>
      <c r="DF59" s="107"/>
      <c r="DG59" s="93">
        <f>IFERROR(SUM(DH42:DH44)/SUM(DG42:DG44),1)</f>
        <v>1</v>
      </c>
      <c r="DH59" s="93">
        <f>IFERROR(SUM(DI41:DI43)/SUM(DH41:DH43),1)</f>
        <v>1</v>
      </c>
      <c r="DI59" s="93">
        <f>IFERROR(SUM(DJ40:DJ42)/SUM(DI40:DI42),1)</f>
        <v>1</v>
      </c>
      <c r="DJ59" s="93">
        <f>IFERROR(SUM(DK39:DK41)/SUM(DJ39:DJ41),1)</f>
        <v>1</v>
      </c>
      <c r="DK59" s="93">
        <f>IFERROR(SUM(DL38:DL40)/SUM(DK38:DK40),1)</f>
        <v>1</v>
      </c>
      <c r="DL59" s="93">
        <f>IFERROR(SUM(DM37:DM39)/SUM(DL37:DL39),1)</f>
        <v>1</v>
      </c>
      <c r="DM59" s="93">
        <f>IFERROR(SUM(DN36:DN38)/SUM(DM36:DM38),1)</f>
        <v>1</v>
      </c>
      <c r="DN59" s="93">
        <f>IFERROR(SUM(DO36:DO37)/SUM(DN36:DN37),1)</f>
        <v>1</v>
      </c>
      <c r="DO59" s="93">
        <f>IFERROR(SUM(DP36:DP36)/SUM(DO36:DO36),1)</f>
        <v>1</v>
      </c>
      <c r="DP59" s="93">
        <v>1</v>
      </c>
    </row>
    <row r="60" spans="1:120" ht="15.75" thickBot="1" x14ac:dyDescent="0.3">
      <c r="A60" s="11" t="s">
        <v>40</v>
      </c>
      <c r="B60" s="107"/>
      <c r="C60" s="93">
        <f>IF(C59=0,1,C59)</f>
        <v>1.3962894152882421</v>
      </c>
      <c r="D60" s="93">
        <f t="shared" ref="D60:K60" si="184">IF(D59=0,1,D59)</f>
        <v>1.0821647187858721</v>
      </c>
      <c r="E60" s="93">
        <f t="shared" si="184"/>
        <v>1.0580041661299424</v>
      </c>
      <c r="F60" s="93">
        <f t="shared" si="184"/>
        <v>1.0319198640437082</v>
      </c>
      <c r="G60" s="93">
        <f t="shared" si="184"/>
        <v>1.0224132051312946</v>
      </c>
      <c r="H60" s="93">
        <f t="shared" si="184"/>
        <v>1.0131235857356324</v>
      </c>
      <c r="I60" s="93">
        <f t="shared" si="184"/>
        <v>1.0206100947854659</v>
      </c>
      <c r="J60" s="93">
        <f t="shared" si="184"/>
        <v>1.0057107499830706</v>
      </c>
      <c r="K60" s="93">
        <f t="shared" si="184"/>
        <v>1.0054009023577926</v>
      </c>
      <c r="L60" s="93">
        <f>IF(L59=0,1,L59)</f>
        <v>1</v>
      </c>
      <c r="M60" s="285" t="s">
        <v>40</v>
      </c>
      <c r="N60" s="107"/>
      <c r="O60" s="93">
        <f>IF(O59=0,1,O59)</f>
        <v>1</v>
      </c>
      <c r="P60" s="93">
        <f t="shared" ref="P60:W60" si="185">IF(P59=0,1,P59)</f>
        <v>1</v>
      </c>
      <c r="Q60" s="93">
        <f t="shared" si="185"/>
        <v>1</v>
      </c>
      <c r="R60" s="93">
        <f t="shared" si="185"/>
        <v>1</v>
      </c>
      <c r="S60" s="93">
        <f t="shared" si="185"/>
        <v>1</v>
      </c>
      <c r="T60" s="93">
        <f t="shared" si="185"/>
        <v>1</v>
      </c>
      <c r="U60" s="93">
        <f t="shared" si="185"/>
        <v>1</v>
      </c>
      <c r="V60" s="93">
        <f t="shared" si="185"/>
        <v>1</v>
      </c>
      <c r="W60" s="93">
        <f t="shared" si="185"/>
        <v>1</v>
      </c>
      <c r="X60" s="93">
        <f>IF(X59=0,1,X59)</f>
        <v>1</v>
      </c>
      <c r="Y60" s="285" t="s">
        <v>40</v>
      </c>
      <c r="Z60" s="107"/>
      <c r="AA60" s="93">
        <f>IF(AA59=0,1,AA59)</f>
        <v>1</v>
      </c>
      <c r="AB60" s="93">
        <f t="shared" ref="AB60:AI60" si="186">IF(AB59=0,1,AB59)</f>
        <v>1</v>
      </c>
      <c r="AC60" s="93">
        <f t="shared" si="186"/>
        <v>1</v>
      </c>
      <c r="AD60" s="93">
        <f t="shared" si="186"/>
        <v>1</v>
      </c>
      <c r="AE60" s="93">
        <f t="shared" si="186"/>
        <v>1</v>
      </c>
      <c r="AF60" s="93">
        <f t="shared" si="186"/>
        <v>1</v>
      </c>
      <c r="AG60" s="93">
        <f t="shared" si="186"/>
        <v>1</v>
      </c>
      <c r="AH60" s="93">
        <f t="shared" si="186"/>
        <v>1</v>
      </c>
      <c r="AI60" s="93">
        <f t="shared" si="186"/>
        <v>1</v>
      </c>
      <c r="AJ60" s="93">
        <f>IF(AJ59=0,1,AJ59)</f>
        <v>1</v>
      </c>
      <c r="AK60" s="285" t="s">
        <v>40</v>
      </c>
      <c r="AL60" s="107"/>
      <c r="AM60" s="93">
        <f>IF(AM59=0,1,AM59)</f>
        <v>1</v>
      </c>
      <c r="AN60" s="93">
        <f t="shared" ref="AN60:AU60" si="187">IF(AN59=0,1,AN59)</f>
        <v>1</v>
      </c>
      <c r="AO60" s="93">
        <f t="shared" si="187"/>
        <v>1</v>
      </c>
      <c r="AP60" s="93">
        <f t="shared" si="187"/>
        <v>1</v>
      </c>
      <c r="AQ60" s="93">
        <f t="shared" si="187"/>
        <v>1</v>
      </c>
      <c r="AR60" s="93">
        <f t="shared" si="187"/>
        <v>1</v>
      </c>
      <c r="AS60" s="93">
        <f t="shared" si="187"/>
        <v>1</v>
      </c>
      <c r="AT60" s="93">
        <f t="shared" si="187"/>
        <v>1</v>
      </c>
      <c r="AU60" s="93">
        <f t="shared" si="187"/>
        <v>1</v>
      </c>
      <c r="AV60" s="93">
        <f>IF(AV59=0,1,AV59)</f>
        <v>1</v>
      </c>
      <c r="AW60" s="285" t="s">
        <v>40</v>
      </c>
      <c r="AX60" s="107"/>
      <c r="AY60" s="93">
        <f>IF(AY59=0,1,AY59)</f>
        <v>1</v>
      </c>
      <c r="AZ60" s="93">
        <f t="shared" ref="AZ60:BG60" si="188">IF(AZ59=0,1,AZ59)</f>
        <v>1</v>
      </c>
      <c r="BA60" s="93">
        <f t="shared" si="188"/>
        <v>1</v>
      </c>
      <c r="BB60" s="93">
        <f t="shared" si="188"/>
        <v>1</v>
      </c>
      <c r="BC60" s="93">
        <f t="shared" si="188"/>
        <v>1</v>
      </c>
      <c r="BD60" s="93">
        <f t="shared" si="188"/>
        <v>1</v>
      </c>
      <c r="BE60" s="93">
        <f t="shared" si="188"/>
        <v>1</v>
      </c>
      <c r="BF60" s="93">
        <f t="shared" si="188"/>
        <v>1</v>
      </c>
      <c r="BG60" s="93">
        <f t="shared" si="188"/>
        <v>1</v>
      </c>
      <c r="BH60" s="93">
        <f>IF(BH59=0,1,BH59)</f>
        <v>1</v>
      </c>
      <c r="BI60" s="285" t="s">
        <v>40</v>
      </c>
      <c r="BJ60" s="107"/>
      <c r="BK60" s="93">
        <f>IF(BK59=0,1,BK59)</f>
        <v>1</v>
      </c>
      <c r="BL60" s="93">
        <f t="shared" ref="BL60:BS60" si="189">IF(BL59=0,1,BL59)</f>
        <v>1</v>
      </c>
      <c r="BM60" s="93">
        <f t="shared" si="189"/>
        <v>1</v>
      </c>
      <c r="BN60" s="93">
        <f t="shared" si="189"/>
        <v>1</v>
      </c>
      <c r="BO60" s="93">
        <f t="shared" si="189"/>
        <v>1</v>
      </c>
      <c r="BP60" s="93">
        <f t="shared" si="189"/>
        <v>1</v>
      </c>
      <c r="BQ60" s="93">
        <f t="shared" si="189"/>
        <v>1</v>
      </c>
      <c r="BR60" s="93">
        <f t="shared" si="189"/>
        <v>1</v>
      </c>
      <c r="BS60" s="93">
        <f t="shared" si="189"/>
        <v>1</v>
      </c>
      <c r="BT60" s="93">
        <f>IF(BT59=0,1,BT59)</f>
        <v>1</v>
      </c>
      <c r="BU60" s="285" t="s">
        <v>40</v>
      </c>
      <c r="BV60" s="107"/>
      <c r="BW60" s="93">
        <f>IF(BW59=0,1,BW59)</f>
        <v>1</v>
      </c>
      <c r="BX60" s="93">
        <f t="shared" ref="BX60:CE60" si="190">IF(BX59=0,1,BX59)</f>
        <v>1</v>
      </c>
      <c r="BY60" s="93">
        <f t="shared" si="190"/>
        <v>1</v>
      </c>
      <c r="BZ60" s="93">
        <f t="shared" si="190"/>
        <v>1</v>
      </c>
      <c r="CA60" s="93">
        <f t="shared" si="190"/>
        <v>1</v>
      </c>
      <c r="CB60" s="93">
        <f t="shared" si="190"/>
        <v>1</v>
      </c>
      <c r="CC60" s="93">
        <f t="shared" si="190"/>
        <v>1</v>
      </c>
      <c r="CD60" s="93">
        <f t="shared" si="190"/>
        <v>1</v>
      </c>
      <c r="CE60" s="93">
        <f t="shared" si="190"/>
        <v>1</v>
      </c>
      <c r="CF60" s="93">
        <f>IF(CF59=0,1,CF59)</f>
        <v>1</v>
      </c>
      <c r="CG60" s="285" t="s">
        <v>40</v>
      </c>
      <c r="CH60" s="107"/>
      <c r="CI60" s="93">
        <f>IF(CI59=0,1,CI59)</f>
        <v>1</v>
      </c>
      <c r="CJ60" s="93">
        <f t="shared" ref="CJ60:CQ60" si="191">IF(CJ59=0,1,CJ59)</f>
        <v>1</v>
      </c>
      <c r="CK60" s="93">
        <f t="shared" si="191"/>
        <v>1</v>
      </c>
      <c r="CL60" s="93">
        <f t="shared" si="191"/>
        <v>1</v>
      </c>
      <c r="CM60" s="93">
        <f t="shared" si="191"/>
        <v>1</v>
      </c>
      <c r="CN60" s="93">
        <f t="shared" si="191"/>
        <v>1</v>
      </c>
      <c r="CO60" s="93">
        <f t="shared" si="191"/>
        <v>1</v>
      </c>
      <c r="CP60" s="93">
        <f t="shared" si="191"/>
        <v>1</v>
      </c>
      <c r="CQ60" s="93">
        <f t="shared" si="191"/>
        <v>1</v>
      </c>
      <c r="CR60" s="93">
        <f>IF(CR59=0,1,CR59)</f>
        <v>1</v>
      </c>
      <c r="CS60" s="285" t="s">
        <v>40</v>
      </c>
      <c r="CT60" s="107"/>
      <c r="CU60" s="93">
        <f>IF(CU59=0,1,CU59)</f>
        <v>1</v>
      </c>
      <c r="CV60" s="93">
        <f t="shared" ref="CV60:DC60" si="192">IF(CV59=0,1,CV59)</f>
        <v>1</v>
      </c>
      <c r="CW60" s="93">
        <f t="shared" si="192"/>
        <v>1</v>
      </c>
      <c r="CX60" s="93">
        <f t="shared" si="192"/>
        <v>1</v>
      </c>
      <c r="CY60" s="93">
        <f t="shared" si="192"/>
        <v>1</v>
      </c>
      <c r="CZ60" s="93">
        <f t="shared" si="192"/>
        <v>1</v>
      </c>
      <c r="DA60" s="93">
        <f t="shared" si="192"/>
        <v>1</v>
      </c>
      <c r="DB60" s="93">
        <f t="shared" si="192"/>
        <v>1</v>
      </c>
      <c r="DC60" s="93">
        <f t="shared" si="192"/>
        <v>1</v>
      </c>
      <c r="DD60" s="93">
        <f>IF(DD59=0,1,DD59)</f>
        <v>1</v>
      </c>
      <c r="DE60" s="285" t="s">
        <v>40</v>
      </c>
      <c r="DF60" s="107"/>
      <c r="DG60" s="93">
        <f>IF(DG59=0,1,DG59)</f>
        <v>1</v>
      </c>
      <c r="DH60" s="93">
        <f t="shared" ref="DH60:DO60" si="193">IF(DH59=0,1,DH59)</f>
        <v>1</v>
      </c>
      <c r="DI60" s="93">
        <f t="shared" si="193"/>
        <v>1</v>
      </c>
      <c r="DJ60" s="93">
        <f t="shared" si="193"/>
        <v>1</v>
      </c>
      <c r="DK60" s="93">
        <f t="shared" si="193"/>
        <v>1</v>
      </c>
      <c r="DL60" s="93">
        <f t="shared" si="193"/>
        <v>1</v>
      </c>
      <c r="DM60" s="93">
        <f t="shared" si="193"/>
        <v>1</v>
      </c>
      <c r="DN60" s="93">
        <f t="shared" si="193"/>
        <v>1</v>
      </c>
      <c r="DO60" s="93">
        <f t="shared" si="193"/>
        <v>1</v>
      </c>
      <c r="DP60" s="93">
        <f>IF(DP59=0,1,DP59)</f>
        <v>1</v>
      </c>
    </row>
    <row r="61" spans="1:120" ht="15.75" thickBot="1" x14ac:dyDescent="0.3">
      <c r="A61" s="111" t="s">
        <v>39</v>
      </c>
      <c r="B61" s="115"/>
      <c r="C61" s="113">
        <f>PRODUCT(C60:L60)</f>
        <v>1.763450467384323</v>
      </c>
      <c r="D61" s="113">
        <f>PRODUCT(D60:L60)</f>
        <v>1.2629548344891564</v>
      </c>
      <c r="E61" s="113">
        <f>PRODUCT(E60:L60)</f>
        <v>1.1670633985426182</v>
      </c>
      <c r="F61" s="113">
        <f>PRODUCT(F60:L60)</f>
        <v>1.103080154033421</v>
      </c>
      <c r="G61" s="113">
        <f>PRODUCT(G60:L60)</f>
        <v>1.0689591241231295</v>
      </c>
      <c r="H61" s="113">
        <f>PRODUCT(H60:L60)</f>
        <v>1.0455255455995969</v>
      </c>
      <c r="I61" s="113">
        <f>PRODUCT(I60:L60)</f>
        <v>1.0319822382186843</v>
      </c>
      <c r="J61" s="113">
        <f>PRODUCT(J60:L60)</f>
        <v>1.0111424955439114</v>
      </c>
      <c r="K61" s="113">
        <f>PRODUCT(K60:L60)</f>
        <v>1.0054009023577926</v>
      </c>
      <c r="L61" s="114">
        <f>PRODUCT(L60:L60)</f>
        <v>1</v>
      </c>
      <c r="M61" s="111" t="s">
        <v>39</v>
      </c>
      <c r="N61" s="115"/>
      <c r="O61" s="113">
        <f>PRODUCT(O60:X60)</f>
        <v>1</v>
      </c>
      <c r="P61" s="113">
        <f>PRODUCT(P60:X60)</f>
        <v>1</v>
      </c>
      <c r="Q61" s="113">
        <f>PRODUCT(Q60:X60)</f>
        <v>1</v>
      </c>
      <c r="R61" s="113">
        <f>PRODUCT(R60:X60)</f>
        <v>1</v>
      </c>
      <c r="S61" s="113">
        <f>PRODUCT(S60:X60)</f>
        <v>1</v>
      </c>
      <c r="T61" s="113">
        <f>PRODUCT(T60:X60)</f>
        <v>1</v>
      </c>
      <c r="U61" s="113">
        <f>PRODUCT(U60:X60)</f>
        <v>1</v>
      </c>
      <c r="V61" s="113">
        <f>PRODUCT(V60:X60)</f>
        <v>1</v>
      </c>
      <c r="W61" s="113">
        <f>PRODUCT(W60:X60)</f>
        <v>1</v>
      </c>
      <c r="X61" s="114">
        <f>PRODUCT(X60:X60)</f>
        <v>1</v>
      </c>
      <c r="Y61" s="111" t="s">
        <v>39</v>
      </c>
      <c r="Z61" s="115"/>
      <c r="AA61" s="113">
        <f>PRODUCT(AA60:AJ60)</f>
        <v>1</v>
      </c>
      <c r="AB61" s="113">
        <f>PRODUCT(AB60:AJ60)</f>
        <v>1</v>
      </c>
      <c r="AC61" s="113">
        <f>PRODUCT(AC60:AJ60)</f>
        <v>1</v>
      </c>
      <c r="AD61" s="113">
        <f>PRODUCT(AD60:AJ60)</f>
        <v>1</v>
      </c>
      <c r="AE61" s="113">
        <f>PRODUCT(AE60:AJ60)</f>
        <v>1</v>
      </c>
      <c r="AF61" s="113">
        <f>PRODUCT(AF60:AJ60)</f>
        <v>1</v>
      </c>
      <c r="AG61" s="113">
        <f>PRODUCT(AG60:AJ60)</f>
        <v>1</v>
      </c>
      <c r="AH61" s="113">
        <f>PRODUCT(AH60:AJ60)</f>
        <v>1</v>
      </c>
      <c r="AI61" s="113">
        <f>PRODUCT(AI60:AJ60)</f>
        <v>1</v>
      </c>
      <c r="AJ61" s="114">
        <f>PRODUCT(AJ60:AJ60)</f>
        <v>1</v>
      </c>
      <c r="AK61" s="111" t="s">
        <v>39</v>
      </c>
      <c r="AL61" s="115"/>
      <c r="AM61" s="113">
        <f>PRODUCT(AM60:AV60)</f>
        <v>1</v>
      </c>
      <c r="AN61" s="113">
        <f>PRODUCT(AN60:AV60)</f>
        <v>1</v>
      </c>
      <c r="AO61" s="113">
        <f>PRODUCT(AO60:AV60)</f>
        <v>1</v>
      </c>
      <c r="AP61" s="113">
        <f>PRODUCT(AP60:AV60)</f>
        <v>1</v>
      </c>
      <c r="AQ61" s="113">
        <f>PRODUCT(AQ60:AV60)</f>
        <v>1</v>
      </c>
      <c r="AR61" s="113">
        <f>PRODUCT(AR60:AV60)</f>
        <v>1</v>
      </c>
      <c r="AS61" s="113">
        <f>PRODUCT(AS60:AV60)</f>
        <v>1</v>
      </c>
      <c r="AT61" s="113">
        <f>PRODUCT(AT60:AV60)</f>
        <v>1</v>
      </c>
      <c r="AU61" s="113">
        <f>PRODUCT(AU60:AV60)</f>
        <v>1</v>
      </c>
      <c r="AV61" s="114">
        <f>PRODUCT(AV60:AV60)</f>
        <v>1</v>
      </c>
      <c r="AW61" s="111" t="s">
        <v>39</v>
      </c>
      <c r="AX61" s="115"/>
      <c r="AY61" s="113">
        <f>PRODUCT(AY60:BH60)</f>
        <v>1</v>
      </c>
      <c r="AZ61" s="113">
        <f>PRODUCT(AZ60:BH60)</f>
        <v>1</v>
      </c>
      <c r="BA61" s="113">
        <f>PRODUCT(BA60:BH60)</f>
        <v>1</v>
      </c>
      <c r="BB61" s="113">
        <f>PRODUCT(BB60:BH60)</f>
        <v>1</v>
      </c>
      <c r="BC61" s="113">
        <f>PRODUCT(BC60:BH60)</f>
        <v>1</v>
      </c>
      <c r="BD61" s="113">
        <f>PRODUCT(BD60:BH60)</f>
        <v>1</v>
      </c>
      <c r="BE61" s="113">
        <f>PRODUCT(BE60:BH60)</f>
        <v>1</v>
      </c>
      <c r="BF61" s="113">
        <f>PRODUCT(BF60:BH60)</f>
        <v>1</v>
      </c>
      <c r="BG61" s="113">
        <f>PRODUCT(BG60:BH60)</f>
        <v>1</v>
      </c>
      <c r="BH61" s="114">
        <f>PRODUCT(BH60:BH60)</f>
        <v>1</v>
      </c>
      <c r="BI61" s="111" t="s">
        <v>39</v>
      </c>
      <c r="BJ61" s="115"/>
      <c r="BK61" s="113">
        <f>PRODUCT(BK60:BT60)</f>
        <v>1</v>
      </c>
      <c r="BL61" s="113">
        <f>PRODUCT(BL60:BT60)</f>
        <v>1</v>
      </c>
      <c r="BM61" s="113">
        <f>PRODUCT(BM60:BT60)</f>
        <v>1</v>
      </c>
      <c r="BN61" s="113">
        <f>PRODUCT(BN60:BT60)</f>
        <v>1</v>
      </c>
      <c r="BO61" s="113">
        <f>PRODUCT(BO60:BT60)</f>
        <v>1</v>
      </c>
      <c r="BP61" s="113">
        <f>PRODUCT(BP60:BT60)</f>
        <v>1</v>
      </c>
      <c r="BQ61" s="113">
        <f>PRODUCT(BQ60:BT60)</f>
        <v>1</v>
      </c>
      <c r="BR61" s="113">
        <f>PRODUCT(BR60:BT60)</f>
        <v>1</v>
      </c>
      <c r="BS61" s="113">
        <f>PRODUCT(BS60:BT60)</f>
        <v>1</v>
      </c>
      <c r="BT61" s="114">
        <f>PRODUCT(BT60:BT60)</f>
        <v>1</v>
      </c>
      <c r="BU61" s="111" t="s">
        <v>39</v>
      </c>
      <c r="BV61" s="115"/>
      <c r="BW61" s="113">
        <f>PRODUCT(BW60:CF60)</f>
        <v>1</v>
      </c>
      <c r="BX61" s="113">
        <f>PRODUCT(BX60:CF60)</f>
        <v>1</v>
      </c>
      <c r="BY61" s="113">
        <f>PRODUCT(BY60:CF60)</f>
        <v>1</v>
      </c>
      <c r="BZ61" s="113">
        <f>PRODUCT(BZ60:CF60)</f>
        <v>1</v>
      </c>
      <c r="CA61" s="113">
        <f>PRODUCT(CA60:CF60)</f>
        <v>1</v>
      </c>
      <c r="CB61" s="113">
        <f>PRODUCT(CB60:CF60)</f>
        <v>1</v>
      </c>
      <c r="CC61" s="113">
        <f>PRODUCT(CC60:CF60)</f>
        <v>1</v>
      </c>
      <c r="CD61" s="113">
        <f>PRODUCT(CD60:CF60)</f>
        <v>1</v>
      </c>
      <c r="CE61" s="113">
        <f>PRODUCT(CE60:CF60)</f>
        <v>1</v>
      </c>
      <c r="CF61" s="114">
        <f>PRODUCT(CF60:CF60)</f>
        <v>1</v>
      </c>
      <c r="CG61" s="111" t="s">
        <v>39</v>
      </c>
      <c r="CH61" s="115"/>
      <c r="CI61" s="113">
        <f>PRODUCT(CI60:CR60)</f>
        <v>1</v>
      </c>
      <c r="CJ61" s="113">
        <f>PRODUCT(CJ60:CR60)</f>
        <v>1</v>
      </c>
      <c r="CK61" s="113">
        <f>PRODUCT(CK60:CR60)</f>
        <v>1</v>
      </c>
      <c r="CL61" s="113">
        <f>PRODUCT(CL60:CR60)</f>
        <v>1</v>
      </c>
      <c r="CM61" s="113">
        <f>PRODUCT(CM60:CR60)</f>
        <v>1</v>
      </c>
      <c r="CN61" s="113">
        <f>PRODUCT(CN60:CR60)</f>
        <v>1</v>
      </c>
      <c r="CO61" s="113">
        <f>PRODUCT(CO60:CR60)</f>
        <v>1</v>
      </c>
      <c r="CP61" s="113">
        <f>PRODUCT(CP60:CR60)</f>
        <v>1</v>
      </c>
      <c r="CQ61" s="113">
        <f>PRODUCT(CQ60:CR60)</f>
        <v>1</v>
      </c>
      <c r="CR61" s="114">
        <f>PRODUCT(CR60:CR60)</f>
        <v>1</v>
      </c>
      <c r="CS61" s="111" t="s">
        <v>39</v>
      </c>
      <c r="CT61" s="115"/>
      <c r="CU61" s="113">
        <f>PRODUCT(CU60:DD60)</f>
        <v>1</v>
      </c>
      <c r="CV61" s="113">
        <f>PRODUCT(CV60:DD60)</f>
        <v>1</v>
      </c>
      <c r="CW61" s="113">
        <f>PRODUCT(CW60:DD60)</f>
        <v>1</v>
      </c>
      <c r="CX61" s="113">
        <f>PRODUCT(CX60:DD60)</f>
        <v>1</v>
      </c>
      <c r="CY61" s="113">
        <f>PRODUCT(CY60:DD60)</f>
        <v>1</v>
      </c>
      <c r="CZ61" s="113">
        <f>PRODUCT(CZ60:DD60)</f>
        <v>1</v>
      </c>
      <c r="DA61" s="113">
        <f>PRODUCT(DA60:DD60)</f>
        <v>1</v>
      </c>
      <c r="DB61" s="113">
        <f>PRODUCT(DB60:DD60)</f>
        <v>1</v>
      </c>
      <c r="DC61" s="113">
        <f>PRODUCT(DC60:DD60)</f>
        <v>1</v>
      </c>
      <c r="DD61" s="114">
        <f>PRODUCT(DD60:DD60)</f>
        <v>1</v>
      </c>
      <c r="DE61" s="111" t="s">
        <v>39</v>
      </c>
      <c r="DF61" s="115"/>
      <c r="DG61" s="113">
        <f>PRODUCT(DG60:DP60)</f>
        <v>1</v>
      </c>
      <c r="DH61" s="113">
        <f>PRODUCT(DH60:DP60)</f>
        <v>1</v>
      </c>
      <c r="DI61" s="113">
        <f>PRODUCT(DI60:DP60)</f>
        <v>1</v>
      </c>
      <c r="DJ61" s="113">
        <f>PRODUCT(DJ60:DP60)</f>
        <v>1</v>
      </c>
      <c r="DK61" s="113">
        <f>PRODUCT(DK60:DP60)</f>
        <v>1</v>
      </c>
      <c r="DL61" s="113">
        <f>PRODUCT(DL60:DP60)</f>
        <v>1</v>
      </c>
      <c r="DM61" s="113">
        <f>PRODUCT(DM60:DP60)</f>
        <v>1</v>
      </c>
      <c r="DN61" s="113">
        <f>PRODUCT(DN60:DP60)</f>
        <v>1</v>
      </c>
      <c r="DO61" s="113">
        <f>PRODUCT(DO60:DP60)</f>
        <v>1</v>
      </c>
      <c r="DP61" s="114">
        <f>PRODUCT(DP60:DP60)</f>
        <v>1</v>
      </c>
    </row>
    <row r="62" spans="1:120" x14ac:dyDescent="0.25">
      <c r="A62" s="95" t="s">
        <v>41</v>
      </c>
      <c r="B62" s="106"/>
      <c r="C62" s="99">
        <f>C61*C45</f>
        <v>116539849.64685184</v>
      </c>
      <c r="D62" s="99">
        <f>D61*D44</f>
        <v>99836883.773262396</v>
      </c>
      <c r="E62" s="99">
        <f>E61*E43</f>
        <v>94114069.866338044</v>
      </c>
      <c r="F62" s="99">
        <f>F61*F42</f>
        <v>99053602.384950519</v>
      </c>
      <c r="G62" s="99">
        <f>G61*G41</f>
        <v>82947605.489827082</v>
      </c>
      <c r="H62" s="99">
        <f>H61*H40</f>
        <v>107967430.40975107</v>
      </c>
      <c r="I62" s="99">
        <f>I61*I39</f>
        <v>93102045.272314966</v>
      </c>
      <c r="J62" s="99">
        <f>J61*J38</f>
        <v>90604462.565469101</v>
      </c>
      <c r="K62" s="99">
        <f>K61*K37</f>
        <v>80502631.907623485</v>
      </c>
      <c r="L62" s="99">
        <f>L61*L36</f>
        <v>79676770.210000008</v>
      </c>
      <c r="M62" s="95" t="s">
        <v>41</v>
      </c>
      <c r="N62" s="106"/>
      <c r="O62" s="99">
        <f>O61*O45</f>
        <v>0</v>
      </c>
      <c r="P62" s="99">
        <f>P61*P44</f>
        <v>0</v>
      </c>
      <c r="Q62" s="99">
        <f>Q61*Q43</f>
        <v>0</v>
      </c>
      <c r="R62" s="99">
        <f>R61*R42</f>
        <v>0</v>
      </c>
      <c r="S62" s="99">
        <f>S61*S41</f>
        <v>0</v>
      </c>
      <c r="T62" s="99">
        <f>T61*T40</f>
        <v>0</v>
      </c>
      <c r="U62" s="99">
        <f>U61*U39</f>
        <v>0</v>
      </c>
      <c r="V62" s="99">
        <f>V61*V38</f>
        <v>0</v>
      </c>
      <c r="W62" s="99">
        <f>W61*W37</f>
        <v>0</v>
      </c>
      <c r="X62" s="99">
        <f>X61*X36</f>
        <v>0</v>
      </c>
      <c r="Y62" s="95" t="s">
        <v>41</v>
      </c>
      <c r="Z62" s="106"/>
      <c r="AA62" s="99">
        <f>AA61*AA45</f>
        <v>0</v>
      </c>
      <c r="AB62" s="99">
        <f>AB61*AB44</f>
        <v>0</v>
      </c>
      <c r="AC62" s="99">
        <f>AC61*AC43</f>
        <v>0</v>
      </c>
      <c r="AD62" s="99">
        <f>AD61*AD42</f>
        <v>0</v>
      </c>
      <c r="AE62" s="99">
        <f>AE61*AE41</f>
        <v>0</v>
      </c>
      <c r="AF62" s="99">
        <f>AF61*AF40</f>
        <v>0</v>
      </c>
      <c r="AG62" s="99">
        <f>AG61*AG39</f>
        <v>0</v>
      </c>
      <c r="AH62" s="99">
        <f>AH61*AH38</f>
        <v>0</v>
      </c>
      <c r="AI62" s="99">
        <f>AI61*AI37</f>
        <v>0</v>
      </c>
      <c r="AJ62" s="99">
        <f>AJ61*AJ36</f>
        <v>0</v>
      </c>
      <c r="AK62" s="95" t="s">
        <v>41</v>
      </c>
      <c r="AL62" s="106"/>
      <c r="AM62" s="99">
        <f>AM61*AM45</f>
        <v>0</v>
      </c>
      <c r="AN62" s="99">
        <f>AN61*AN44</f>
        <v>0</v>
      </c>
      <c r="AO62" s="99">
        <f>AO61*AO43</f>
        <v>0</v>
      </c>
      <c r="AP62" s="99">
        <f>AP61*AP42</f>
        <v>0</v>
      </c>
      <c r="AQ62" s="99">
        <f>AQ61*AQ41</f>
        <v>0</v>
      </c>
      <c r="AR62" s="99">
        <f>AR61*AR40</f>
        <v>0</v>
      </c>
      <c r="AS62" s="99">
        <f>AS61*AS39</f>
        <v>0</v>
      </c>
      <c r="AT62" s="99">
        <f>AT61*AT38</f>
        <v>0</v>
      </c>
      <c r="AU62" s="99">
        <f>AU61*AU37</f>
        <v>0</v>
      </c>
      <c r="AV62" s="99">
        <f>AV61*AV36</f>
        <v>0</v>
      </c>
      <c r="AW62" s="95" t="s">
        <v>41</v>
      </c>
      <c r="AX62" s="106"/>
      <c r="AY62" s="99">
        <f>AY61*AY45</f>
        <v>0</v>
      </c>
      <c r="AZ62" s="99">
        <f>AZ61*AZ44</f>
        <v>0</v>
      </c>
      <c r="BA62" s="99">
        <f>BA61*BA43</f>
        <v>0</v>
      </c>
      <c r="BB62" s="99">
        <f>BB61*BB42</f>
        <v>0</v>
      </c>
      <c r="BC62" s="99">
        <f>BC61*BC41</f>
        <v>0</v>
      </c>
      <c r="BD62" s="99">
        <f>BD61*BD40</f>
        <v>0</v>
      </c>
      <c r="BE62" s="99">
        <f>BE61*BE39</f>
        <v>0</v>
      </c>
      <c r="BF62" s="99">
        <f>BF61*BF38</f>
        <v>0</v>
      </c>
      <c r="BG62" s="99">
        <f>BG61*BG37</f>
        <v>0</v>
      </c>
      <c r="BH62" s="99">
        <f>BH61*BH36</f>
        <v>0</v>
      </c>
      <c r="BI62" s="95" t="s">
        <v>41</v>
      </c>
      <c r="BJ62" s="106"/>
      <c r="BK62" s="99">
        <f>BK61*BK45</f>
        <v>0</v>
      </c>
      <c r="BL62" s="99">
        <f>BL61*BL44</f>
        <v>0</v>
      </c>
      <c r="BM62" s="99">
        <f>BM61*BM43</f>
        <v>0</v>
      </c>
      <c r="BN62" s="99">
        <f>BN61*BN42</f>
        <v>0</v>
      </c>
      <c r="BO62" s="99">
        <f>BO61*BO41</f>
        <v>0</v>
      </c>
      <c r="BP62" s="99">
        <f>BP61*BP40</f>
        <v>0</v>
      </c>
      <c r="BQ62" s="99">
        <f>BQ61*BQ39</f>
        <v>0</v>
      </c>
      <c r="BR62" s="99">
        <f>BR61*BR38</f>
        <v>0</v>
      </c>
      <c r="BS62" s="99">
        <f>BS61*BS37</f>
        <v>0</v>
      </c>
      <c r="BT62" s="99">
        <f>BT61*BT36</f>
        <v>0</v>
      </c>
      <c r="BU62" s="95" t="s">
        <v>41</v>
      </c>
      <c r="BV62" s="106"/>
      <c r="BW62" s="99">
        <f>BW61*BW45</f>
        <v>0</v>
      </c>
      <c r="BX62" s="99">
        <f>BX61*BX44</f>
        <v>0</v>
      </c>
      <c r="BY62" s="99">
        <f>BY61*BY43</f>
        <v>0</v>
      </c>
      <c r="BZ62" s="99">
        <f>BZ61*BZ42</f>
        <v>0</v>
      </c>
      <c r="CA62" s="99">
        <f>CA61*CA41</f>
        <v>0</v>
      </c>
      <c r="CB62" s="99">
        <f>CB61*CB40</f>
        <v>0</v>
      </c>
      <c r="CC62" s="99">
        <f>CC61*CC39</f>
        <v>0</v>
      </c>
      <c r="CD62" s="99">
        <f>CD61*CD38</f>
        <v>0</v>
      </c>
      <c r="CE62" s="99">
        <f>CE61*CE37</f>
        <v>0</v>
      </c>
      <c r="CF62" s="99">
        <f>CF61*CF36</f>
        <v>0</v>
      </c>
      <c r="CG62" s="95" t="s">
        <v>41</v>
      </c>
      <c r="CH62" s="106"/>
      <c r="CI62" s="99">
        <f>CI61*CI45</f>
        <v>0</v>
      </c>
      <c r="CJ62" s="99">
        <f>CJ61*CJ44</f>
        <v>0</v>
      </c>
      <c r="CK62" s="99">
        <f>CK61*CK43</f>
        <v>0</v>
      </c>
      <c r="CL62" s="99">
        <f>CL61*CL42</f>
        <v>0</v>
      </c>
      <c r="CM62" s="99">
        <f>CM61*CM41</f>
        <v>0</v>
      </c>
      <c r="CN62" s="99">
        <f>CN61*CN40</f>
        <v>0</v>
      </c>
      <c r="CO62" s="99">
        <f>CO61*CO39</f>
        <v>0</v>
      </c>
      <c r="CP62" s="99">
        <f>CP61*CP38</f>
        <v>0</v>
      </c>
      <c r="CQ62" s="99">
        <f>CQ61*CQ37</f>
        <v>0</v>
      </c>
      <c r="CR62" s="99">
        <f>CR61*CR36</f>
        <v>0</v>
      </c>
      <c r="CS62" s="95" t="s">
        <v>41</v>
      </c>
      <c r="CT62" s="106"/>
      <c r="CU62" s="99">
        <f>CU61*CU45</f>
        <v>0</v>
      </c>
      <c r="CV62" s="99">
        <f>CV61*CV44</f>
        <v>0</v>
      </c>
      <c r="CW62" s="99">
        <f>CW61*CW43</f>
        <v>0</v>
      </c>
      <c r="CX62" s="99">
        <f>CX61*CX42</f>
        <v>0</v>
      </c>
      <c r="CY62" s="99">
        <f>CY61*CY41</f>
        <v>0</v>
      </c>
      <c r="CZ62" s="99">
        <f>CZ61*CZ40</f>
        <v>0</v>
      </c>
      <c r="DA62" s="99">
        <f>DA61*DA39</f>
        <v>0</v>
      </c>
      <c r="DB62" s="99">
        <f>DB61*DB38</f>
        <v>0</v>
      </c>
      <c r="DC62" s="99">
        <f>DC61*DC37</f>
        <v>0</v>
      </c>
      <c r="DD62" s="99">
        <f>DD61*DD36</f>
        <v>0</v>
      </c>
      <c r="DE62" s="95" t="s">
        <v>41</v>
      </c>
      <c r="DF62" s="106"/>
      <c r="DG62" s="99">
        <f>DG61*DG45</f>
        <v>0</v>
      </c>
      <c r="DH62" s="99">
        <f>DH61*DH44</f>
        <v>0</v>
      </c>
      <c r="DI62" s="99">
        <f>DI61*DI43</f>
        <v>0</v>
      </c>
      <c r="DJ62" s="99">
        <f>DJ61*DJ42</f>
        <v>0</v>
      </c>
      <c r="DK62" s="99">
        <f>DK61*DK41</f>
        <v>0</v>
      </c>
      <c r="DL62" s="99">
        <f>DL61*DL40</f>
        <v>0</v>
      </c>
      <c r="DM62" s="99">
        <f>DM61*DM39</f>
        <v>0</v>
      </c>
      <c r="DN62" s="99">
        <f>DN61*DN38</f>
        <v>0</v>
      </c>
      <c r="DO62" s="99">
        <f>DO61*DO37</f>
        <v>0</v>
      </c>
      <c r="DP62" s="99">
        <f>DP61*DP36</f>
        <v>0</v>
      </c>
    </row>
    <row r="63" spans="1:120" ht="21" x14ac:dyDescent="0.35">
      <c r="A63" s="137" t="str">
        <f>Co_Name</f>
        <v>State Farm General Insurance Company</v>
      </c>
      <c r="B63" s="68"/>
      <c r="C63" s="40"/>
      <c r="D63" s="18"/>
      <c r="E63" s="18"/>
      <c r="F63" s="18"/>
      <c r="G63" s="18"/>
      <c r="H63" s="18"/>
      <c r="I63" s="18"/>
      <c r="J63" s="18"/>
      <c r="K63" s="18"/>
      <c r="L63" s="18"/>
      <c r="M63" s="137" t="str">
        <f>Co_Name</f>
        <v>State Farm General Insurance Company</v>
      </c>
      <c r="N63" s="68"/>
      <c r="O63" s="40"/>
      <c r="P63" s="18"/>
      <c r="Q63" s="18"/>
      <c r="R63" s="18"/>
      <c r="S63" s="18"/>
      <c r="T63" s="18"/>
      <c r="U63" s="18"/>
      <c r="V63" s="18"/>
      <c r="W63" s="18"/>
      <c r="X63" s="18"/>
      <c r="Y63" s="137" t="str">
        <f>Co_Name</f>
        <v>State Farm General Insurance Company</v>
      </c>
      <c r="Z63" s="68"/>
      <c r="AA63" s="40"/>
      <c r="AB63" s="18"/>
      <c r="AC63" s="18"/>
      <c r="AD63" s="18"/>
      <c r="AE63" s="18"/>
      <c r="AF63" s="18"/>
      <c r="AG63" s="18"/>
      <c r="AH63" s="18"/>
      <c r="AI63" s="18"/>
      <c r="AJ63" s="18"/>
      <c r="AK63" s="137" t="str">
        <f>Co_Name</f>
        <v>State Farm General Insurance Company</v>
      </c>
      <c r="AL63" s="68"/>
      <c r="AM63" s="40"/>
      <c r="AN63" s="18"/>
      <c r="AO63" s="18"/>
      <c r="AP63" s="18"/>
      <c r="AQ63" s="18"/>
      <c r="AR63" s="18"/>
      <c r="AS63" s="18"/>
      <c r="AT63" s="18"/>
      <c r="AU63" s="18"/>
      <c r="AV63" s="18"/>
      <c r="AW63" s="137" t="str">
        <f>Co_Name</f>
        <v>State Farm General Insurance Company</v>
      </c>
      <c r="AX63" s="68"/>
      <c r="AY63" s="40"/>
      <c r="AZ63" s="18"/>
      <c r="BA63" s="18"/>
      <c r="BB63" s="18"/>
      <c r="BC63" s="18"/>
      <c r="BD63" s="18"/>
      <c r="BE63" s="18"/>
      <c r="BF63" s="18"/>
      <c r="BG63" s="18"/>
      <c r="BH63" s="18"/>
      <c r="BI63" s="137" t="str">
        <f>Co_Name</f>
        <v>State Farm General Insurance Company</v>
      </c>
      <c r="BJ63" s="68"/>
      <c r="BK63" s="40"/>
      <c r="BL63" s="18"/>
      <c r="BM63" s="18"/>
      <c r="BN63" s="18"/>
      <c r="BO63" s="18"/>
      <c r="BP63" s="18"/>
      <c r="BQ63" s="18"/>
      <c r="BR63" s="18"/>
      <c r="BS63" s="18"/>
      <c r="BT63" s="18"/>
      <c r="BU63" s="137" t="str">
        <f>Co_Name</f>
        <v>State Farm General Insurance Company</v>
      </c>
      <c r="BV63" s="68"/>
      <c r="BW63" s="40"/>
      <c r="BX63" s="18"/>
      <c r="BY63" s="18"/>
      <c r="BZ63" s="18"/>
      <c r="CA63" s="18"/>
      <c r="CB63" s="18"/>
      <c r="CC63" s="18"/>
      <c r="CD63" s="18"/>
      <c r="CE63" s="18"/>
      <c r="CF63" s="18"/>
      <c r="CG63" s="137" t="str">
        <f>Co_Name</f>
        <v>State Farm General Insurance Company</v>
      </c>
      <c r="CH63" s="68"/>
      <c r="CI63" s="40"/>
      <c r="CJ63" s="18"/>
      <c r="CK63" s="18"/>
      <c r="CL63" s="18"/>
      <c r="CM63" s="18"/>
      <c r="CN63" s="18"/>
      <c r="CO63" s="18"/>
      <c r="CP63" s="18"/>
      <c r="CQ63" s="18"/>
      <c r="CR63" s="18"/>
      <c r="CS63" s="137" t="str">
        <f>Co_Name</f>
        <v>State Farm General Insurance Company</v>
      </c>
      <c r="CT63" s="68"/>
      <c r="CU63" s="40"/>
      <c r="CV63" s="18"/>
      <c r="CW63" s="18"/>
      <c r="CX63" s="18"/>
      <c r="CY63" s="18"/>
      <c r="CZ63" s="18"/>
      <c r="DA63" s="18"/>
      <c r="DB63" s="18"/>
      <c r="DC63" s="18"/>
      <c r="DD63" s="18"/>
      <c r="DE63" s="137" t="str">
        <f>Co_Name</f>
        <v>State Farm General Insurance Company</v>
      </c>
      <c r="DF63" s="68"/>
      <c r="DG63" s="40"/>
      <c r="DH63" s="18"/>
      <c r="DI63" s="18"/>
      <c r="DJ63" s="18"/>
      <c r="DK63" s="18"/>
      <c r="DL63" s="18"/>
      <c r="DM63" s="18"/>
      <c r="DN63" s="18"/>
      <c r="DO63" s="18"/>
      <c r="DP63" s="18"/>
    </row>
    <row r="64" spans="1:120" ht="21" x14ac:dyDescent="0.35">
      <c r="A64" s="137" t="str">
        <f>A$2</f>
        <v>Homeowners Multiple Peril</v>
      </c>
      <c r="B64" s="68"/>
      <c r="C64" s="40"/>
      <c r="D64" s="18"/>
      <c r="E64" s="18"/>
      <c r="F64" s="18"/>
      <c r="G64" s="18"/>
      <c r="H64" s="18"/>
      <c r="I64" s="18"/>
      <c r="J64" s="18"/>
      <c r="K64" s="18"/>
      <c r="L64" s="18"/>
      <c r="M64" s="137" t="str">
        <f>M$2</f>
        <v/>
      </c>
      <c r="N64" s="68"/>
      <c r="O64" s="40"/>
      <c r="P64" s="18"/>
      <c r="Q64" s="18"/>
      <c r="R64" s="18"/>
      <c r="S64" s="18"/>
      <c r="T64" s="18"/>
      <c r="U64" s="18"/>
      <c r="V64" s="18"/>
      <c r="W64" s="18"/>
      <c r="X64" s="18"/>
      <c r="Y64" s="137" t="str">
        <f>Y$2</f>
        <v/>
      </c>
      <c r="Z64" s="68"/>
      <c r="AA64" s="40"/>
      <c r="AB64" s="18"/>
      <c r="AC64" s="18"/>
      <c r="AD64" s="18"/>
      <c r="AE64" s="18"/>
      <c r="AF64" s="18"/>
      <c r="AG64" s="18"/>
      <c r="AH64" s="18"/>
      <c r="AI64" s="18"/>
      <c r="AJ64" s="18"/>
      <c r="AK64" s="137" t="str">
        <f>AK$2</f>
        <v/>
      </c>
      <c r="AL64" s="68"/>
      <c r="AM64" s="40"/>
      <c r="AN64" s="18"/>
      <c r="AO64" s="18"/>
      <c r="AP64" s="18"/>
      <c r="AQ64" s="18"/>
      <c r="AR64" s="18"/>
      <c r="AS64" s="18"/>
      <c r="AT64" s="18"/>
      <c r="AU64" s="18"/>
      <c r="AV64" s="18"/>
      <c r="AW64" s="137" t="str">
        <f>AW$2</f>
        <v/>
      </c>
      <c r="AX64" s="68"/>
      <c r="AY64" s="40"/>
      <c r="AZ64" s="18"/>
      <c r="BA64" s="18"/>
      <c r="BB64" s="18"/>
      <c r="BC64" s="18"/>
      <c r="BD64" s="18"/>
      <c r="BE64" s="18"/>
      <c r="BF64" s="18"/>
      <c r="BG64" s="18"/>
      <c r="BH64" s="18"/>
      <c r="BI64" s="137" t="str">
        <f>BI$2</f>
        <v/>
      </c>
      <c r="BJ64" s="68"/>
      <c r="BK64" s="40"/>
      <c r="BL64" s="18"/>
      <c r="BM64" s="18"/>
      <c r="BN64" s="18"/>
      <c r="BO64" s="18"/>
      <c r="BP64" s="18"/>
      <c r="BQ64" s="18"/>
      <c r="BR64" s="18"/>
      <c r="BS64" s="18"/>
      <c r="BT64" s="18"/>
      <c r="BU64" s="137" t="str">
        <f>BU$2</f>
        <v/>
      </c>
      <c r="BV64" s="68"/>
      <c r="BW64" s="40"/>
      <c r="BX64" s="18"/>
      <c r="BY64" s="18"/>
      <c r="BZ64" s="18"/>
      <c r="CA64" s="18"/>
      <c r="CB64" s="18"/>
      <c r="CC64" s="18"/>
      <c r="CD64" s="18"/>
      <c r="CE64" s="18"/>
      <c r="CF64" s="18"/>
      <c r="CG64" s="137" t="str">
        <f>CG$2</f>
        <v/>
      </c>
      <c r="CH64" s="68"/>
      <c r="CI64" s="40"/>
      <c r="CJ64" s="18"/>
      <c r="CK64" s="18"/>
      <c r="CL64" s="18"/>
      <c r="CM64" s="18"/>
      <c r="CN64" s="18"/>
      <c r="CO64" s="18"/>
      <c r="CP64" s="18"/>
      <c r="CQ64" s="18"/>
      <c r="CR64" s="18"/>
      <c r="CS64" s="137" t="str">
        <f>CS$2</f>
        <v/>
      </c>
      <c r="CT64" s="68"/>
      <c r="CU64" s="40"/>
      <c r="CV64" s="18"/>
      <c r="CW64" s="18"/>
      <c r="CX64" s="18"/>
      <c r="CY64" s="18"/>
      <c r="CZ64" s="18"/>
      <c r="DA64" s="18"/>
      <c r="DB64" s="18"/>
      <c r="DC64" s="18"/>
      <c r="DD64" s="18"/>
      <c r="DE64" s="137" t="str">
        <f>DE$2</f>
        <v/>
      </c>
      <c r="DF64" s="68"/>
      <c r="DG64" s="40"/>
      <c r="DH64" s="18"/>
      <c r="DI64" s="18"/>
      <c r="DJ64" s="18"/>
      <c r="DK64" s="18"/>
      <c r="DL64" s="18"/>
      <c r="DM64" s="18"/>
      <c r="DN64" s="18"/>
      <c r="DO64" s="18"/>
      <c r="DP64" s="18"/>
    </row>
    <row r="65" spans="1:120" ht="21" customHeight="1" x14ac:dyDescent="0.25">
      <c r="C65" s="40"/>
    </row>
    <row r="66" spans="1:120" ht="21" x14ac:dyDescent="0.25">
      <c r="A66" s="48" t="s">
        <v>198</v>
      </c>
      <c r="B66" s="48"/>
      <c r="C66" s="18"/>
      <c r="D66" s="18"/>
      <c r="E66" s="18"/>
      <c r="F66" s="18"/>
      <c r="G66" s="18"/>
      <c r="H66" s="18"/>
      <c r="I66" s="18"/>
      <c r="J66" s="18"/>
      <c r="K66" s="18"/>
      <c r="L66" s="18"/>
      <c r="M66" s="48" t="s">
        <v>198</v>
      </c>
      <c r="N66" s="48"/>
      <c r="O66" s="18"/>
      <c r="P66" s="18"/>
      <c r="Q66" s="18"/>
      <c r="R66" s="18"/>
      <c r="S66" s="18"/>
      <c r="T66" s="18"/>
      <c r="U66" s="18"/>
      <c r="V66" s="18"/>
      <c r="W66" s="18"/>
      <c r="X66" s="18"/>
      <c r="Y66" s="48" t="s">
        <v>198</v>
      </c>
      <c r="Z66" s="48"/>
      <c r="AA66" s="18"/>
      <c r="AB66" s="18"/>
      <c r="AC66" s="18"/>
      <c r="AD66" s="18"/>
      <c r="AE66" s="18"/>
      <c r="AF66" s="18"/>
      <c r="AG66" s="18"/>
      <c r="AH66" s="18"/>
      <c r="AI66" s="18"/>
      <c r="AJ66" s="18"/>
      <c r="AK66" s="48" t="s">
        <v>198</v>
      </c>
      <c r="AL66" s="48"/>
      <c r="AM66" s="18"/>
      <c r="AN66" s="18"/>
      <c r="AO66" s="18"/>
      <c r="AP66" s="18"/>
      <c r="AQ66" s="18"/>
      <c r="AR66" s="18"/>
      <c r="AS66" s="18"/>
      <c r="AT66" s="18"/>
      <c r="AU66" s="18"/>
      <c r="AV66" s="18"/>
      <c r="AW66" s="48" t="s">
        <v>198</v>
      </c>
      <c r="AX66" s="48"/>
      <c r="AY66" s="18"/>
      <c r="AZ66" s="18"/>
      <c r="BA66" s="18"/>
      <c r="BB66" s="18"/>
      <c r="BC66" s="18"/>
      <c r="BD66" s="18"/>
      <c r="BE66" s="18"/>
      <c r="BF66" s="18"/>
      <c r="BG66" s="18"/>
      <c r="BH66" s="18"/>
      <c r="BI66" s="48" t="s">
        <v>198</v>
      </c>
      <c r="BJ66" s="48"/>
      <c r="BK66" s="18"/>
      <c r="BL66" s="18"/>
      <c r="BM66" s="18"/>
      <c r="BN66" s="18"/>
      <c r="BO66" s="18"/>
      <c r="BP66" s="18"/>
      <c r="BQ66" s="18"/>
      <c r="BR66" s="18"/>
      <c r="BS66" s="18"/>
      <c r="BT66" s="18"/>
      <c r="BU66" s="48" t="s">
        <v>198</v>
      </c>
      <c r="BV66" s="48"/>
      <c r="BW66" s="18"/>
      <c r="BX66" s="18"/>
      <c r="BY66" s="18"/>
      <c r="BZ66" s="18"/>
      <c r="CA66" s="18"/>
      <c r="CB66" s="18"/>
      <c r="CC66" s="18"/>
      <c r="CD66" s="18"/>
      <c r="CE66" s="18"/>
      <c r="CF66" s="18"/>
      <c r="CG66" s="48" t="s">
        <v>198</v>
      </c>
      <c r="CH66" s="48"/>
      <c r="CI66" s="18"/>
      <c r="CJ66" s="18"/>
      <c r="CK66" s="18"/>
      <c r="CL66" s="18"/>
      <c r="CM66" s="18"/>
      <c r="CN66" s="18"/>
      <c r="CO66" s="18"/>
      <c r="CP66" s="18"/>
      <c r="CQ66" s="18"/>
      <c r="CR66" s="18"/>
      <c r="CS66" s="48" t="s">
        <v>198</v>
      </c>
      <c r="CT66" s="48"/>
      <c r="CU66" s="18"/>
      <c r="CV66" s="18"/>
      <c r="CW66" s="18"/>
      <c r="CX66" s="18"/>
      <c r="CY66" s="18"/>
      <c r="CZ66" s="18"/>
      <c r="DA66" s="18"/>
      <c r="DB66" s="18"/>
      <c r="DC66" s="18"/>
      <c r="DD66" s="18"/>
      <c r="DE66" s="48" t="s">
        <v>198</v>
      </c>
      <c r="DF66" s="48"/>
      <c r="DG66" s="18"/>
      <c r="DH66" s="18"/>
      <c r="DI66" s="18"/>
      <c r="DJ66" s="18"/>
      <c r="DK66" s="18"/>
      <c r="DL66" s="18"/>
      <c r="DM66" s="18"/>
      <c r="DN66" s="18"/>
      <c r="DO66" s="18"/>
      <c r="DP66" s="18"/>
    </row>
    <row r="67" spans="1:120" x14ac:dyDescent="0.25">
      <c r="A67" s="138" t="str">
        <f>A$5</f>
        <v>Rental Dwelling</v>
      </c>
      <c r="B67" s="69"/>
      <c r="C67" s="18"/>
      <c r="D67" s="18"/>
      <c r="E67" s="18"/>
      <c r="F67" s="18"/>
      <c r="G67" s="18"/>
      <c r="H67" s="18"/>
      <c r="I67" s="18"/>
      <c r="J67" s="18"/>
      <c r="K67" s="18"/>
      <c r="L67" s="18"/>
      <c r="M67" s="138">
        <f>M$5</f>
        <v>0</v>
      </c>
      <c r="N67" s="69"/>
      <c r="O67" s="18"/>
      <c r="P67" s="18"/>
      <c r="Q67" s="18"/>
      <c r="R67" s="18"/>
      <c r="S67" s="18"/>
      <c r="T67" s="18"/>
      <c r="U67" s="18"/>
      <c r="V67" s="18"/>
      <c r="W67" s="18"/>
      <c r="X67" s="18"/>
      <c r="Y67" s="138">
        <f>Y$5</f>
        <v>0</v>
      </c>
      <c r="Z67" s="69"/>
      <c r="AA67" s="18"/>
      <c r="AB67" s="18"/>
      <c r="AC67" s="18"/>
      <c r="AD67" s="18"/>
      <c r="AE67" s="18"/>
      <c r="AF67" s="18"/>
      <c r="AG67" s="18"/>
      <c r="AH67" s="18"/>
      <c r="AI67" s="18"/>
      <c r="AJ67" s="18"/>
      <c r="AK67" s="138">
        <f>AK$5</f>
        <v>0</v>
      </c>
      <c r="AL67" s="69"/>
      <c r="AM67" s="18"/>
      <c r="AN67" s="18"/>
      <c r="AO67" s="18"/>
      <c r="AP67" s="18"/>
      <c r="AQ67" s="18"/>
      <c r="AR67" s="18"/>
      <c r="AS67" s="18"/>
      <c r="AT67" s="18"/>
      <c r="AU67" s="18"/>
      <c r="AV67" s="18"/>
      <c r="AW67" s="138">
        <f>AW$5</f>
        <v>0</v>
      </c>
      <c r="AX67" s="69"/>
      <c r="AY67" s="18"/>
      <c r="AZ67" s="18"/>
      <c r="BA67" s="18"/>
      <c r="BB67" s="18"/>
      <c r="BC67" s="18"/>
      <c r="BD67" s="18"/>
      <c r="BE67" s="18"/>
      <c r="BF67" s="18"/>
      <c r="BG67" s="18"/>
      <c r="BH67" s="18"/>
      <c r="BI67" s="138">
        <f>BI$5</f>
        <v>0</v>
      </c>
      <c r="BJ67" s="69"/>
      <c r="BK67" s="18"/>
      <c r="BL67" s="18"/>
      <c r="BM67" s="18"/>
      <c r="BN67" s="18"/>
      <c r="BO67" s="18"/>
      <c r="BP67" s="18"/>
      <c r="BQ67" s="18"/>
      <c r="BR67" s="18"/>
      <c r="BS67" s="18"/>
      <c r="BT67" s="18"/>
      <c r="BU67" s="138">
        <f>BU$5</f>
        <v>0</v>
      </c>
      <c r="BV67" s="69"/>
      <c r="BW67" s="18"/>
      <c r="BX67" s="18"/>
      <c r="BY67" s="18"/>
      <c r="BZ67" s="18"/>
      <c r="CA67" s="18"/>
      <c r="CB67" s="18"/>
      <c r="CC67" s="18"/>
      <c r="CD67" s="18"/>
      <c r="CE67" s="18"/>
      <c r="CF67" s="18"/>
      <c r="CG67" s="138">
        <f>CG$5</f>
        <v>0</v>
      </c>
      <c r="CH67" s="69"/>
      <c r="CI67" s="18"/>
      <c r="CJ67" s="18"/>
      <c r="CK67" s="18"/>
      <c r="CL67" s="18"/>
      <c r="CM67" s="18"/>
      <c r="CN67" s="18"/>
      <c r="CO67" s="18"/>
      <c r="CP67" s="18"/>
      <c r="CQ67" s="18"/>
      <c r="CR67" s="18"/>
      <c r="CS67" s="138">
        <f>CS$5</f>
        <v>0</v>
      </c>
      <c r="CT67" s="69"/>
      <c r="CU67" s="18"/>
      <c r="CV67" s="18"/>
      <c r="CW67" s="18"/>
      <c r="CX67" s="18"/>
      <c r="CY67" s="18"/>
      <c r="CZ67" s="18"/>
      <c r="DA67" s="18"/>
      <c r="DB67" s="18"/>
      <c r="DC67" s="18"/>
      <c r="DD67" s="18"/>
      <c r="DE67" s="138">
        <f>DE$5</f>
        <v>0</v>
      </c>
      <c r="DF67" s="69"/>
      <c r="DG67" s="18"/>
      <c r="DH67" s="18"/>
      <c r="DI67" s="18"/>
      <c r="DJ67" s="18"/>
      <c r="DK67" s="18"/>
      <c r="DL67" s="18"/>
      <c r="DM67" s="18"/>
      <c r="DN67" s="18"/>
      <c r="DO67" s="18"/>
      <c r="DP67" s="18"/>
    </row>
    <row r="69" spans="1:120" x14ac:dyDescent="0.25">
      <c r="A69" s="102"/>
      <c r="B69" s="129"/>
      <c r="C69" s="129" t="s">
        <v>4</v>
      </c>
      <c r="D69" s="103"/>
      <c r="E69" s="103"/>
      <c r="F69" s="103"/>
      <c r="G69" s="103"/>
      <c r="H69" s="103"/>
      <c r="I69" s="103"/>
      <c r="J69" s="103"/>
      <c r="K69" s="103"/>
      <c r="L69" s="103"/>
      <c r="M69" s="102"/>
      <c r="N69" s="129"/>
      <c r="O69" s="129" t="s">
        <v>4</v>
      </c>
      <c r="P69" s="103"/>
      <c r="Q69" s="103"/>
      <c r="R69" s="103"/>
      <c r="S69" s="103"/>
      <c r="T69" s="103"/>
      <c r="U69" s="103"/>
      <c r="V69" s="103"/>
      <c r="W69" s="103"/>
      <c r="X69" s="103"/>
      <c r="Y69" s="102"/>
      <c r="Z69" s="129"/>
      <c r="AA69" s="129" t="s">
        <v>4</v>
      </c>
      <c r="AB69" s="103"/>
      <c r="AC69" s="103"/>
      <c r="AD69" s="103"/>
      <c r="AE69" s="103"/>
      <c r="AF69" s="103"/>
      <c r="AG69" s="103"/>
      <c r="AH69" s="103"/>
      <c r="AI69" s="103"/>
      <c r="AJ69" s="103"/>
      <c r="AK69" s="102"/>
      <c r="AL69" s="129"/>
      <c r="AM69" s="129" t="s">
        <v>4</v>
      </c>
      <c r="AN69" s="103"/>
      <c r="AO69" s="103"/>
      <c r="AP69" s="103"/>
      <c r="AQ69" s="103"/>
      <c r="AR69" s="103"/>
      <c r="AS69" s="103"/>
      <c r="AT69" s="103"/>
      <c r="AU69" s="103"/>
      <c r="AV69" s="103"/>
      <c r="AW69" s="102"/>
      <c r="AX69" s="129"/>
      <c r="AY69" s="129" t="s">
        <v>4</v>
      </c>
      <c r="AZ69" s="103"/>
      <c r="BA69" s="103"/>
      <c r="BB69" s="103"/>
      <c r="BC69" s="103"/>
      <c r="BD69" s="103"/>
      <c r="BE69" s="103"/>
      <c r="BF69" s="103"/>
      <c r="BG69" s="103"/>
      <c r="BH69" s="103"/>
      <c r="BI69" s="102"/>
      <c r="BJ69" s="129"/>
      <c r="BK69" s="129" t="s">
        <v>4</v>
      </c>
      <c r="BL69" s="103"/>
      <c r="BM69" s="103"/>
      <c r="BN69" s="103"/>
      <c r="BO69" s="103"/>
      <c r="BP69" s="103"/>
      <c r="BQ69" s="103"/>
      <c r="BR69" s="103"/>
      <c r="BS69" s="103"/>
      <c r="BT69" s="103"/>
      <c r="BU69" s="102"/>
      <c r="BV69" s="129"/>
      <c r="BW69" s="129" t="s">
        <v>4</v>
      </c>
      <c r="BX69" s="103"/>
      <c r="BY69" s="103"/>
      <c r="BZ69" s="103"/>
      <c r="CA69" s="103"/>
      <c r="CB69" s="103"/>
      <c r="CC69" s="103"/>
      <c r="CD69" s="103"/>
      <c r="CE69" s="103"/>
      <c r="CF69" s="103"/>
      <c r="CG69" s="102"/>
      <c r="CH69" s="129"/>
      <c r="CI69" s="129" t="s">
        <v>4</v>
      </c>
      <c r="CJ69" s="103"/>
      <c r="CK69" s="103"/>
      <c r="CL69" s="103"/>
      <c r="CM69" s="103"/>
      <c r="CN69" s="103"/>
      <c r="CO69" s="103"/>
      <c r="CP69" s="103"/>
      <c r="CQ69" s="103"/>
      <c r="CR69" s="103"/>
      <c r="CS69" s="102"/>
      <c r="CT69" s="129"/>
      <c r="CU69" s="129" t="s">
        <v>4</v>
      </c>
      <c r="CV69" s="103"/>
      <c r="CW69" s="103"/>
      <c r="CX69" s="103"/>
      <c r="CY69" s="103"/>
      <c r="CZ69" s="103"/>
      <c r="DA69" s="103"/>
      <c r="DB69" s="103"/>
      <c r="DC69" s="103"/>
      <c r="DD69" s="103"/>
      <c r="DE69" s="102"/>
      <c r="DF69" s="129"/>
      <c r="DG69" s="129" t="s">
        <v>4</v>
      </c>
      <c r="DH69" s="103"/>
      <c r="DI69" s="103"/>
      <c r="DJ69" s="103"/>
      <c r="DK69" s="103"/>
      <c r="DL69" s="103"/>
      <c r="DM69" s="103"/>
      <c r="DN69" s="103"/>
      <c r="DO69" s="103"/>
      <c r="DP69" s="103"/>
    </row>
    <row r="70" spans="1:120" ht="30" x14ac:dyDescent="0.25">
      <c r="A70" s="92" t="str">
        <f>$A$35</f>
        <v>Fiscal Accident Year Data Ending</v>
      </c>
      <c r="B70" s="98">
        <f>$B$35</f>
        <v>0</v>
      </c>
      <c r="C70" s="98" t="str">
        <f>$C$35</f>
        <v>12</v>
      </c>
      <c r="D70" s="98">
        <f>$D$35</f>
        <v>24</v>
      </c>
      <c r="E70" s="98">
        <f>$E$35</f>
        <v>36</v>
      </c>
      <c r="F70" s="98">
        <f>$F$35</f>
        <v>48</v>
      </c>
      <c r="G70" s="98">
        <f>$G$35</f>
        <v>60</v>
      </c>
      <c r="H70" s="98">
        <f>$H$35</f>
        <v>72</v>
      </c>
      <c r="I70" s="98">
        <f>$I$35</f>
        <v>84</v>
      </c>
      <c r="J70" s="98">
        <f>$J$35</f>
        <v>96</v>
      </c>
      <c r="K70" s="98">
        <f>$K$35</f>
        <v>108</v>
      </c>
      <c r="L70" s="98">
        <f>$L$35</f>
        <v>120</v>
      </c>
      <c r="M70" s="92" t="str">
        <f>$A$35</f>
        <v>Fiscal Accident Year Data Ending</v>
      </c>
      <c r="N70" s="98">
        <f>$B$35</f>
        <v>0</v>
      </c>
      <c r="O70" s="98" t="str">
        <f>$C$35</f>
        <v>12</v>
      </c>
      <c r="P70" s="98">
        <f>$D$35</f>
        <v>24</v>
      </c>
      <c r="Q70" s="98">
        <f>$E$35</f>
        <v>36</v>
      </c>
      <c r="R70" s="98">
        <f>$F$35</f>
        <v>48</v>
      </c>
      <c r="S70" s="98">
        <f>$G$35</f>
        <v>60</v>
      </c>
      <c r="T70" s="98">
        <f>$H$35</f>
        <v>72</v>
      </c>
      <c r="U70" s="98">
        <f>$I$35</f>
        <v>84</v>
      </c>
      <c r="V70" s="98">
        <f>$J$35</f>
        <v>96</v>
      </c>
      <c r="W70" s="98">
        <f>$K$35</f>
        <v>108</v>
      </c>
      <c r="X70" s="98">
        <f>$L$35</f>
        <v>120</v>
      </c>
      <c r="Y70" s="92" t="str">
        <f>$A$35</f>
        <v>Fiscal Accident Year Data Ending</v>
      </c>
      <c r="Z70" s="98">
        <f>$B$35</f>
        <v>0</v>
      </c>
      <c r="AA70" s="98" t="str">
        <f>$C$35</f>
        <v>12</v>
      </c>
      <c r="AB70" s="98">
        <f>$D$35</f>
        <v>24</v>
      </c>
      <c r="AC70" s="98">
        <f>$E$35</f>
        <v>36</v>
      </c>
      <c r="AD70" s="98">
        <f>$F$35</f>
        <v>48</v>
      </c>
      <c r="AE70" s="98">
        <f>$G$35</f>
        <v>60</v>
      </c>
      <c r="AF70" s="98">
        <f>$H$35</f>
        <v>72</v>
      </c>
      <c r="AG70" s="98">
        <f>$I$35</f>
        <v>84</v>
      </c>
      <c r="AH70" s="98">
        <f>$J$35</f>
        <v>96</v>
      </c>
      <c r="AI70" s="98">
        <f>$K$35</f>
        <v>108</v>
      </c>
      <c r="AJ70" s="98">
        <f>$L$35</f>
        <v>120</v>
      </c>
      <c r="AK70" s="92" t="str">
        <f>$A$35</f>
        <v>Fiscal Accident Year Data Ending</v>
      </c>
      <c r="AL70" s="98">
        <f>$B$35</f>
        <v>0</v>
      </c>
      <c r="AM70" s="98" t="str">
        <f>$C$35</f>
        <v>12</v>
      </c>
      <c r="AN70" s="98">
        <f>$D$35</f>
        <v>24</v>
      </c>
      <c r="AO70" s="98">
        <f>$E$35</f>
        <v>36</v>
      </c>
      <c r="AP70" s="98">
        <f>$F$35</f>
        <v>48</v>
      </c>
      <c r="AQ70" s="98">
        <f>$G$35</f>
        <v>60</v>
      </c>
      <c r="AR70" s="98">
        <f>$H$35</f>
        <v>72</v>
      </c>
      <c r="AS70" s="98">
        <f>$I$35</f>
        <v>84</v>
      </c>
      <c r="AT70" s="98">
        <f>$J$35</f>
        <v>96</v>
      </c>
      <c r="AU70" s="98">
        <f>$K$35</f>
        <v>108</v>
      </c>
      <c r="AV70" s="98">
        <f>$L$35</f>
        <v>120</v>
      </c>
      <c r="AW70" s="92" t="str">
        <f>$A$35</f>
        <v>Fiscal Accident Year Data Ending</v>
      </c>
      <c r="AX70" s="98">
        <f>$B$35</f>
        <v>0</v>
      </c>
      <c r="AY70" s="98" t="str">
        <f>$C$35</f>
        <v>12</v>
      </c>
      <c r="AZ70" s="98">
        <f>$D$35</f>
        <v>24</v>
      </c>
      <c r="BA70" s="98">
        <f>$E$35</f>
        <v>36</v>
      </c>
      <c r="BB70" s="98">
        <f>$F$35</f>
        <v>48</v>
      </c>
      <c r="BC70" s="98">
        <f>$G$35</f>
        <v>60</v>
      </c>
      <c r="BD70" s="98">
        <f>$H$35</f>
        <v>72</v>
      </c>
      <c r="BE70" s="98">
        <f>$I$35</f>
        <v>84</v>
      </c>
      <c r="BF70" s="98">
        <f>$J$35</f>
        <v>96</v>
      </c>
      <c r="BG70" s="98">
        <f>$K$35</f>
        <v>108</v>
      </c>
      <c r="BH70" s="98">
        <f>$L$35</f>
        <v>120</v>
      </c>
      <c r="BI70" s="92" t="str">
        <f>$A$35</f>
        <v>Fiscal Accident Year Data Ending</v>
      </c>
      <c r="BJ70" s="98">
        <f>$B$35</f>
        <v>0</v>
      </c>
      <c r="BK70" s="98" t="str">
        <f>$C$35</f>
        <v>12</v>
      </c>
      <c r="BL70" s="98">
        <f>$D$35</f>
        <v>24</v>
      </c>
      <c r="BM70" s="98">
        <f>$E$35</f>
        <v>36</v>
      </c>
      <c r="BN70" s="98">
        <f>$F$35</f>
        <v>48</v>
      </c>
      <c r="BO70" s="98">
        <f>$G$35</f>
        <v>60</v>
      </c>
      <c r="BP70" s="98">
        <f>$H$35</f>
        <v>72</v>
      </c>
      <c r="BQ70" s="98">
        <f>$I$35</f>
        <v>84</v>
      </c>
      <c r="BR70" s="98">
        <f>$J$35</f>
        <v>96</v>
      </c>
      <c r="BS70" s="98">
        <f>$K$35</f>
        <v>108</v>
      </c>
      <c r="BT70" s="98">
        <f>$L$35</f>
        <v>120</v>
      </c>
      <c r="BU70" s="92" t="str">
        <f>$A$35</f>
        <v>Fiscal Accident Year Data Ending</v>
      </c>
      <c r="BV70" s="98">
        <f>$B$35</f>
        <v>0</v>
      </c>
      <c r="BW70" s="98" t="str">
        <f>$C$35</f>
        <v>12</v>
      </c>
      <c r="BX70" s="98">
        <f>$D$35</f>
        <v>24</v>
      </c>
      <c r="BY70" s="98">
        <f>$E$35</f>
        <v>36</v>
      </c>
      <c r="BZ70" s="98">
        <f>$F$35</f>
        <v>48</v>
      </c>
      <c r="CA70" s="98">
        <f>$G$35</f>
        <v>60</v>
      </c>
      <c r="CB70" s="98">
        <f>$H$35</f>
        <v>72</v>
      </c>
      <c r="CC70" s="98">
        <f>$I$35</f>
        <v>84</v>
      </c>
      <c r="CD70" s="98">
        <f>$J$35</f>
        <v>96</v>
      </c>
      <c r="CE70" s="98">
        <f>$K$35</f>
        <v>108</v>
      </c>
      <c r="CF70" s="98">
        <f>$L$35</f>
        <v>120</v>
      </c>
      <c r="CG70" s="92" t="str">
        <f>$A$35</f>
        <v>Fiscal Accident Year Data Ending</v>
      </c>
      <c r="CH70" s="98">
        <f>$B$35</f>
        <v>0</v>
      </c>
      <c r="CI70" s="98" t="str">
        <f>$C$35</f>
        <v>12</v>
      </c>
      <c r="CJ70" s="98">
        <f>$D$35</f>
        <v>24</v>
      </c>
      <c r="CK70" s="98">
        <f>$E$35</f>
        <v>36</v>
      </c>
      <c r="CL70" s="98">
        <f>$F$35</f>
        <v>48</v>
      </c>
      <c r="CM70" s="98">
        <f>$G$35</f>
        <v>60</v>
      </c>
      <c r="CN70" s="98">
        <f>$H$35</f>
        <v>72</v>
      </c>
      <c r="CO70" s="98">
        <f>$I$35</f>
        <v>84</v>
      </c>
      <c r="CP70" s="98">
        <f>$J$35</f>
        <v>96</v>
      </c>
      <c r="CQ70" s="98">
        <f>$K$35</f>
        <v>108</v>
      </c>
      <c r="CR70" s="98">
        <f>$L$35</f>
        <v>120</v>
      </c>
      <c r="CS70" s="92" t="str">
        <f>$A$35</f>
        <v>Fiscal Accident Year Data Ending</v>
      </c>
      <c r="CT70" s="98">
        <f>$B$35</f>
        <v>0</v>
      </c>
      <c r="CU70" s="98" t="str">
        <f>$C$35</f>
        <v>12</v>
      </c>
      <c r="CV70" s="98">
        <f>$D$35</f>
        <v>24</v>
      </c>
      <c r="CW70" s="98">
        <f>$E$35</f>
        <v>36</v>
      </c>
      <c r="CX70" s="98">
        <f>$F$35</f>
        <v>48</v>
      </c>
      <c r="CY70" s="98">
        <f>$G$35</f>
        <v>60</v>
      </c>
      <c r="CZ70" s="98">
        <f>$H$35</f>
        <v>72</v>
      </c>
      <c r="DA70" s="98">
        <f>$I$35</f>
        <v>84</v>
      </c>
      <c r="DB70" s="98">
        <f>$J$35</f>
        <v>96</v>
      </c>
      <c r="DC70" s="98">
        <f>$K$35</f>
        <v>108</v>
      </c>
      <c r="DD70" s="98">
        <f>$L$35</f>
        <v>120</v>
      </c>
      <c r="DE70" s="92" t="str">
        <f>$A$35</f>
        <v>Fiscal Accident Year Data Ending</v>
      </c>
      <c r="DF70" s="98">
        <f>$B$35</f>
        <v>0</v>
      </c>
      <c r="DG70" s="98" t="str">
        <f>$C$35</f>
        <v>12</v>
      </c>
      <c r="DH70" s="98">
        <f>$D$35</f>
        <v>24</v>
      </c>
      <c r="DI70" s="98">
        <f>$E$35</f>
        <v>36</v>
      </c>
      <c r="DJ70" s="98">
        <f>$F$35</f>
        <v>48</v>
      </c>
      <c r="DK70" s="98">
        <f>$G$35</f>
        <v>60</v>
      </c>
      <c r="DL70" s="98">
        <f>$H$35</f>
        <v>72</v>
      </c>
      <c r="DM70" s="98">
        <f>$I$35</f>
        <v>84</v>
      </c>
      <c r="DN70" s="98">
        <f>$J$35</f>
        <v>96</v>
      </c>
      <c r="DO70" s="98">
        <f>$K$35</f>
        <v>108</v>
      </c>
      <c r="DP70" s="98">
        <f>$L$35</f>
        <v>120</v>
      </c>
    </row>
    <row r="71" spans="1:120" ht="15" customHeight="1" x14ac:dyDescent="0.25">
      <c r="A71" s="31">
        <f>$A$36</f>
        <v>20132</v>
      </c>
      <c r="B71" s="21"/>
      <c r="C71" s="21">
        <v>47394011.340000004</v>
      </c>
      <c r="D71" s="21">
        <v>65114495</v>
      </c>
      <c r="E71" s="21">
        <v>68962073.099999994</v>
      </c>
      <c r="F71" s="21">
        <v>70011661.200000003</v>
      </c>
      <c r="G71" s="21">
        <v>70220187.120000005</v>
      </c>
      <c r="H71" s="21">
        <v>70613914.099999994</v>
      </c>
      <c r="I71" s="21">
        <v>70863264.239999995</v>
      </c>
      <c r="J71" s="21">
        <v>71049994.340000004</v>
      </c>
      <c r="K71" s="21">
        <v>71203748.870000005</v>
      </c>
      <c r="L71" s="21">
        <v>71490670.010000005</v>
      </c>
      <c r="M71" s="31">
        <f>$A$36</f>
        <v>20132</v>
      </c>
      <c r="N71" s="21"/>
      <c r="O71" s="21"/>
      <c r="P71" s="21"/>
      <c r="Q71" s="21"/>
      <c r="R71" s="21"/>
      <c r="S71" s="21"/>
      <c r="T71" s="21"/>
      <c r="U71" s="21"/>
      <c r="V71" s="21"/>
      <c r="W71" s="21"/>
      <c r="X71" s="21"/>
      <c r="Y71" s="31">
        <f>$A$36</f>
        <v>20132</v>
      </c>
      <c r="Z71" s="21"/>
      <c r="AA71" s="21"/>
      <c r="AB71" s="21"/>
      <c r="AC71" s="21"/>
      <c r="AD71" s="21"/>
      <c r="AE71" s="21"/>
      <c r="AF71" s="21"/>
      <c r="AG71" s="21"/>
      <c r="AH71" s="21"/>
      <c r="AI71" s="21"/>
      <c r="AJ71" s="21"/>
      <c r="AK71" s="31">
        <f>$A$36</f>
        <v>20132</v>
      </c>
      <c r="AL71" s="21"/>
      <c r="AM71" s="21"/>
      <c r="AN71" s="21"/>
      <c r="AO71" s="21"/>
      <c r="AP71" s="21"/>
      <c r="AQ71" s="21"/>
      <c r="AR71" s="21"/>
      <c r="AS71" s="21"/>
      <c r="AT71" s="21"/>
      <c r="AU71" s="21"/>
      <c r="AV71" s="21"/>
      <c r="AW71" s="31">
        <f>$A$36</f>
        <v>20132</v>
      </c>
      <c r="AX71" s="21"/>
      <c r="AY71" s="21"/>
      <c r="AZ71" s="21"/>
      <c r="BA71" s="21"/>
      <c r="BB71" s="21"/>
      <c r="BC71" s="21"/>
      <c r="BD71" s="21"/>
      <c r="BE71" s="21"/>
      <c r="BF71" s="21"/>
      <c r="BG71" s="21"/>
      <c r="BH71" s="21"/>
      <c r="BI71" s="31">
        <f>$A$36</f>
        <v>20132</v>
      </c>
      <c r="BJ71" s="21"/>
      <c r="BK71" s="21"/>
      <c r="BL71" s="21"/>
      <c r="BM71" s="21"/>
      <c r="BN71" s="21"/>
      <c r="BO71" s="21"/>
      <c r="BP71" s="21"/>
      <c r="BQ71" s="21"/>
      <c r="BR71" s="21"/>
      <c r="BS71" s="21"/>
      <c r="BT71" s="21"/>
      <c r="BU71" s="31">
        <f>$A$36</f>
        <v>20132</v>
      </c>
      <c r="BV71" s="21"/>
      <c r="BW71" s="21"/>
      <c r="BX71" s="21"/>
      <c r="BY71" s="21"/>
      <c r="BZ71" s="21"/>
      <c r="CA71" s="21"/>
      <c r="CB71" s="21"/>
      <c r="CC71" s="21"/>
      <c r="CD71" s="21"/>
      <c r="CE71" s="21"/>
      <c r="CF71" s="21"/>
      <c r="CG71" s="31">
        <f>$A$36</f>
        <v>20132</v>
      </c>
      <c r="CH71" s="21"/>
      <c r="CI71" s="21"/>
      <c r="CJ71" s="21"/>
      <c r="CK71" s="21"/>
      <c r="CL71" s="21"/>
      <c r="CM71" s="21"/>
      <c r="CN71" s="21"/>
      <c r="CO71" s="21"/>
      <c r="CP71" s="21"/>
      <c r="CQ71" s="21"/>
      <c r="CR71" s="21"/>
      <c r="CS71" s="31">
        <f>$A$36</f>
        <v>20132</v>
      </c>
      <c r="CT71" s="21"/>
      <c r="CU71" s="21"/>
      <c r="CV71" s="21"/>
      <c r="CW71" s="21"/>
      <c r="CX71" s="21"/>
      <c r="CY71" s="21"/>
      <c r="CZ71" s="21"/>
      <c r="DA71" s="21"/>
      <c r="DB71" s="21"/>
      <c r="DC71" s="21"/>
      <c r="DD71" s="21"/>
      <c r="DE71" s="31">
        <f>$A$36</f>
        <v>20132</v>
      </c>
      <c r="DF71" s="21"/>
      <c r="DG71" s="21"/>
      <c r="DH71" s="21"/>
      <c r="DI71" s="21"/>
      <c r="DJ71" s="21"/>
      <c r="DK71" s="21"/>
      <c r="DL71" s="21"/>
      <c r="DM71" s="21"/>
      <c r="DN71" s="21"/>
      <c r="DO71" s="21"/>
      <c r="DP71" s="21"/>
    </row>
    <row r="72" spans="1:120" ht="15" customHeight="1" x14ac:dyDescent="0.25">
      <c r="A72" s="31">
        <f>$A$37</f>
        <v>20142</v>
      </c>
      <c r="B72" s="21"/>
      <c r="C72" s="21">
        <v>51724665.75</v>
      </c>
      <c r="D72" s="21">
        <v>65327618.210000001</v>
      </c>
      <c r="E72" s="21">
        <v>67943095.730000004</v>
      </c>
      <c r="F72" s="21">
        <v>68980143.25</v>
      </c>
      <c r="G72" s="21">
        <v>69646248.890000001</v>
      </c>
      <c r="H72" s="21">
        <v>70033580.129999995</v>
      </c>
      <c r="I72" s="21">
        <v>70370423.400000006</v>
      </c>
      <c r="J72" s="21">
        <v>71513359.530000001</v>
      </c>
      <c r="K72" s="21">
        <v>71717584.049999997</v>
      </c>
      <c r="L72" s="134"/>
      <c r="M72" s="31">
        <f>$A$37</f>
        <v>20142</v>
      </c>
      <c r="N72" s="21"/>
      <c r="O72" s="21"/>
      <c r="P72" s="21"/>
      <c r="Q72" s="21"/>
      <c r="R72" s="21"/>
      <c r="S72" s="21"/>
      <c r="T72" s="21"/>
      <c r="U72" s="21"/>
      <c r="V72" s="21"/>
      <c r="W72" s="21"/>
      <c r="X72" s="134"/>
      <c r="Y72" s="31">
        <f>$A$37</f>
        <v>20142</v>
      </c>
      <c r="Z72" s="21"/>
      <c r="AA72" s="21"/>
      <c r="AB72" s="21"/>
      <c r="AC72" s="21"/>
      <c r="AD72" s="21"/>
      <c r="AE72" s="21"/>
      <c r="AF72" s="21"/>
      <c r="AG72" s="21"/>
      <c r="AH72" s="21"/>
      <c r="AI72" s="21"/>
      <c r="AJ72" s="134"/>
      <c r="AK72" s="31">
        <f>$A$37</f>
        <v>20142</v>
      </c>
      <c r="AL72" s="21"/>
      <c r="AM72" s="21"/>
      <c r="AN72" s="21"/>
      <c r="AO72" s="21"/>
      <c r="AP72" s="21"/>
      <c r="AQ72" s="21"/>
      <c r="AR72" s="21"/>
      <c r="AS72" s="21"/>
      <c r="AT72" s="21"/>
      <c r="AU72" s="21"/>
      <c r="AV72" s="134"/>
      <c r="AW72" s="31">
        <f>$A$37</f>
        <v>20142</v>
      </c>
      <c r="AX72" s="21"/>
      <c r="AY72" s="21"/>
      <c r="AZ72" s="21"/>
      <c r="BA72" s="21"/>
      <c r="BB72" s="21"/>
      <c r="BC72" s="21"/>
      <c r="BD72" s="21"/>
      <c r="BE72" s="21"/>
      <c r="BF72" s="21"/>
      <c r="BG72" s="21"/>
      <c r="BH72" s="134"/>
      <c r="BI72" s="31">
        <f>$A$37</f>
        <v>20142</v>
      </c>
      <c r="BJ72" s="21"/>
      <c r="BK72" s="21"/>
      <c r="BL72" s="21"/>
      <c r="BM72" s="21"/>
      <c r="BN72" s="21"/>
      <c r="BO72" s="21"/>
      <c r="BP72" s="21"/>
      <c r="BQ72" s="21"/>
      <c r="BR72" s="21"/>
      <c r="BS72" s="21"/>
      <c r="BT72" s="134"/>
      <c r="BU72" s="31">
        <f>$A$37</f>
        <v>20142</v>
      </c>
      <c r="BV72" s="21"/>
      <c r="BW72" s="21"/>
      <c r="BX72" s="21"/>
      <c r="BY72" s="21"/>
      <c r="BZ72" s="21"/>
      <c r="CA72" s="21"/>
      <c r="CB72" s="21"/>
      <c r="CC72" s="21"/>
      <c r="CD72" s="21"/>
      <c r="CE72" s="21"/>
      <c r="CF72" s="134"/>
      <c r="CG72" s="31">
        <f>$A$37</f>
        <v>20142</v>
      </c>
      <c r="CH72" s="21"/>
      <c r="CI72" s="21"/>
      <c r="CJ72" s="21"/>
      <c r="CK72" s="21"/>
      <c r="CL72" s="21"/>
      <c r="CM72" s="21"/>
      <c r="CN72" s="21"/>
      <c r="CO72" s="21"/>
      <c r="CP72" s="21"/>
      <c r="CQ72" s="21"/>
      <c r="CR72" s="134"/>
      <c r="CS72" s="31">
        <f>$A$37</f>
        <v>20142</v>
      </c>
      <c r="CT72" s="21"/>
      <c r="CU72" s="21"/>
      <c r="CV72" s="21"/>
      <c r="CW72" s="21"/>
      <c r="CX72" s="21"/>
      <c r="CY72" s="21"/>
      <c r="CZ72" s="21"/>
      <c r="DA72" s="21"/>
      <c r="DB72" s="21"/>
      <c r="DC72" s="21"/>
      <c r="DD72" s="134"/>
      <c r="DE72" s="31">
        <f>$A$37</f>
        <v>20142</v>
      </c>
      <c r="DF72" s="21"/>
      <c r="DG72" s="21"/>
      <c r="DH72" s="21"/>
      <c r="DI72" s="21"/>
      <c r="DJ72" s="21"/>
      <c r="DK72" s="21"/>
      <c r="DL72" s="21"/>
      <c r="DM72" s="21"/>
      <c r="DN72" s="21"/>
      <c r="DO72" s="21"/>
      <c r="DP72" s="134"/>
    </row>
    <row r="73" spans="1:120" ht="15" customHeight="1" x14ac:dyDescent="0.25">
      <c r="A73" s="31">
        <f>$A$38</f>
        <v>20152</v>
      </c>
      <c r="B73" s="21"/>
      <c r="C73" s="21">
        <v>52791890.859999999</v>
      </c>
      <c r="D73" s="21">
        <v>68032485.219999999</v>
      </c>
      <c r="E73" s="21">
        <v>70875936.75</v>
      </c>
      <c r="F73" s="21">
        <v>73466538.879999995</v>
      </c>
      <c r="G73" s="21">
        <v>75792651.980000004</v>
      </c>
      <c r="H73" s="21">
        <v>76594281.400000006</v>
      </c>
      <c r="I73" s="21">
        <v>77053639.560000002</v>
      </c>
      <c r="J73" s="21">
        <v>79401139.560000002</v>
      </c>
      <c r="K73" s="134"/>
      <c r="L73" s="134"/>
      <c r="M73" s="31">
        <f>$A$38</f>
        <v>20152</v>
      </c>
      <c r="N73" s="21"/>
      <c r="O73" s="21"/>
      <c r="P73" s="21"/>
      <c r="Q73" s="21"/>
      <c r="R73" s="21"/>
      <c r="S73" s="21"/>
      <c r="T73" s="21"/>
      <c r="U73" s="21"/>
      <c r="V73" s="21"/>
      <c r="W73" s="134"/>
      <c r="X73" s="134"/>
      <c r="Y73" s="31">
        <f>$A$38</f>
        <v>20152</v>
      </c>
      <c r="Z73" s="21"/>
      <c r="AA73" s="21"/>
      <c r="AB73" s="21"/>
      <c r="AC73" s="21"/>
      <c r="AD73" s="21"/>
      <c r="AE73" s="21"/>
      <c r="AF73" s="21"/>
      <c r="AG73" s="21"/>
      <c r="AH73" s="21"/>
      <c r="AI73" s="134"/>
      <c r="AJ73" s="134"/>
      <c r="AK73" s="31">
        <f>$A$38</f>
        <v>20152</v>
      </c>
      <c r="AL73" s="21"/>
      <c r="AM73" s="21"/>
      <c r="AN73" s="21"/>
      <c r="AO73" s="21"/>
      <c r="AP73" s="21"/>
      <c r="AQ73" s="21"/>
      <c r="AR73" s="21"/>
      <c r="AS73" s="21"/>
      <c r="AT73" s="21"/>
      <c r="AU73" s="134"/>
      <c r="AV73" s="134"/>
      <c r="AW73" s="31">
        <f>$A$38</f>
        <v>20152</v>
      </c>
      <c r="AX73" s="21"/>
      <c r="AY73" s="21"/>
      <c r="AZ73" s="21"/>
      <c r="BA73" s="21"/>
      <c r="BB73" s="21"/>
      <c r="BC73" s="21"/>
      <c r="BD73" s="21"/>
      <c r="BE73" s="21"/>
      <c r="BF73" s="21"/>
      <c r="BG73" s="134"/>
      <c r="BH73" s="134"/>
      <c r="BI73" s="31">
        <f>$A$38</f>
        <v>20152</v>
      </c>
      <c r="BJ73" s="21"/>
      <c r="BK73" s="21"/>
      <c r="BL73" s="21"/>
      <c r="BM73" s="21"/>
      <c r="BN73" s="21"/>
      <c r="BO73" s="21"/>
      <c r="BP73" s="21"/>
      <c r="BQ73" s="21"/>
      <c r="BR73" s="21"/>
      <c r="BS73" s="134"/>
      <c r="BT73" s="134"/>
      <c r="BU73" s="31">
        <f>$A$38</f>
        <v>20152</v>
      </c>
      <c r="BV73" s="21"/>
      <c r="BW73" s="21"/>
      <c r="BX73" s="21"/>
      <c r="BY73" s="21"/>
      <c r="BZ73" s="21"/>
      <c r="CA73" s="21"/>
      <c r="CB73" s="21"/>
      <c r="CC73" s="21"/>
      <c r="CD73" s="21"/>
      <c r="CE73" s="134"/>
      <c r="CF73" s="134"/>
      <c r="CG73" s="31">
        <f>$A$38</f>
        <v>20152</v>
      </c>
      <c r="CH73" s="21"/>
      <c r="CI73" s="21"/>
      <c r="CJ73" s="21"/>
      <c r="CK73" s="21"/>
      <c r="CL73" s="21"/>
      <c r="CM73" s="21"/>
      <c r="CN73" s="21"/>
      <c r="CO73" s="21"/>
      <c r="CP73" s="21"/>
      <c r="CQ73" s="134"/>
      <c r="CR73" s="134"/>
      <c r="CS73" s="31">
        <f>$A$38</f>
        <v>20152</v>
      </c>
      <c r="CT73" s="21"/>
      <c r="CU73" s="21"/>
      <c r="CV73" s="21"/>
      <c r="CW73" s="21"/>
      <c r="CX73" s="21"/>
      <c r="CY73" s="21"/>
      <c r="CZ73" s="21"/>
      <c r="DA73" s="21"/>
      <c r="DB73" s="21"/>
      <c r="DC73" s="134"/>
      <c r="DD73" s="134"/>
      <c r="DE73" s="31">
        <f>$A$38</f>
        <v>20152</v>
      </c>
      <c r="DF73" s="21"/>
      <c r="DG73" s="21"/>
      <c r="DH73" s="21"/>
      <c r="DI73" s="21"/>
      <c r="DJ73" s="21"/>
      <c r="DK73" s="21"/>
      <c r="DL73" s="21"/>
      <c r="DM73" s="21"/>
      <c r="DN73" s="21"/>
      <c r="DO73" s="134"/>
      <c r="DP73" s="134"/>
    </row>
    <row r="74" spans="1:120" ht="15" customHeight="1" x14ac:dyDescent="0.25">
      <c r="A74" s="31">
        <f>$A$39</f>
        <v>20162</v>
      </c>
      <c r="B74" s="21"/>
      <c r="C74" s="21">
        <v>59088828.799999997</v>
      </c>
      <c r="D74" s="21">
        <v>73291640.120000005</v>
      </c>
      <c r="E74" s="21">
        <v>76215074.950000003</v>
      </c>
      <c r="F74" s="21">
        <v>79323095.290000007</v>
      </c>
      <c r="G74" s="21">
        <v>80184724.260000005</v>
      </c>
      <c r="H74" s="21">
        <v>80959835.069999993</v>
      </c>
      <c r="I74" s="21">
        <v>82199595.349999994</v>
      </c>
      <c r="J74" s="134"/>
      <c r="K74" s="134"/>
      <c r="L74" s="134"/>
      <c r="M74" s="31">
        <f>$A$39</f>
        <v>20162</v>
      </c>
      <c r="N74" s="21"/>
      <c r="O74" s="21"/>
      <c r="P74" s="21"/>
      <c r="Q74" s="21"/>
      <c r="R74" s="21"/>
      <c r="S74" s="21"/>
      <c r="T74" s="21"/>
      <c r="U74" s="21"/>
      <c r="V74" s="134"/>
      <c r="W74" s="134"/>
      <c r="X74" s="134"/>
      <c r="Y74" s="31">
        <f>$A$39</f>
        <v>20162</v>
      </c>
      <c r="Z74" s="21"/>
      <c r="AA74" s="21"/>
      <c r="AB74" s="21"/>
      <c r="AC74" s="21"/>
      <c r="AD74" s="21"/>
      <c r="AE74" s="21"/>
      <c r="AF74" s="21"/>
      <c r="AG74" s="21"/>
      <c r="AH74" s="134"/>
      <c r="AI74" s="134"/>
      <c r="AJ74" s="134"/>
      <c r="AK74" s="31">
        <f>$A$39</f>
        <v>20162</v>
      </c>
      <c r="AL74" s="21"/>
      <c r="AM74" s="21"/>
      <c r="AN74" s="21"/>
      <c r="AO74" s="21"/>
      <c r="AP74" s="21"/>
      <c r="AQ74" s="21"/>
      <c r="AR74" s="21"/>
      <c r="AS74" s="21"/>
      <c r="AT74" s="134"/>
      <c r="AU74" s="134"/>
      <c r="AV74" s="134"/>
      <c r="AW74" s="31">
        <f>$A$39</f>
        <v>20162</v>
      </c>
      <c r="AX74" s="21"/>
      <c r="AY74" s="21"/>
      <c r="AZ74" s="21"/>
      <c r="BA74" s="21"/>
      <c r="BB74" s="21"/>
      <c r="BC74" s="21"/>
      <c r="BD74" s="21"/>
      <c r="BE74" s="21"/>
      <c r="BF74" s="134"/>
      <c r="BG74" s="134"/>
      <c r="BH74" s="134"/>
      <c r="BI74" s="31">
        <f>$A$39</f>
        <v>20162</v>
      </c>
      <c r="BJ74" s="21"/>
      <c r="BK74" s="21"/>
      <c r="BL74" s="21"/>
      <c r="BM74" s="21"/>
      <c r="BN74" s="21"/>
      <c r="BO74" s="21"/>
      <c r="BP74" s="21"/>
      <c r="BQ74" s="21"/>
      <c r="BR74" s="134"/>
      <c r="BS74" s="134"/>
      <c r="BT74" s="134"/>
      <c r="BU74" s="31">
        <f>$A$39</f>
        <v>20162</v>
      </c>
      <c r="BV74" s="21"/>
      <c r="BW74" s="21"/>
      <c r="BX74" s="21"/>
      <c r="BY74" s="21"/>
      <c r="BZ74" s="21"/>
      <c r="CA74" s="21"/>
      <c r="CB74" s="21"/>
      <c r="CC74" s="21"/>
      <c r="CD74" s="134"/>
      <c r="CE74" s="134"/>
      <c r="CF74" s="134"/>
      <c r="CG74" s="31">
        <f>$A$39</f>
        <v>20162</v>
      </c>
      <c r="CH74" s="21"/>
      <c r="CI74" s="21"/>
      <c r="CJ74" s="21"/>
      <c r="CK74" s="21"/>
      <c r="CL74" s="21"/>
      <c r="CM74" s="21"/>
      <c r="CN74" s="21"/>
      <c r="CO74" s="21"/>
      <c r="CP74" s="134"/>
      <c r="CQ74" s="134"/>
      <c r="CR74" s="134"/>
      <c r="CS74" s="31">
        <f>$A$39</f>
        <v>20162</v>
      </c>
      <c r="CT74" s="21"/>
      <c r="CU74" s="21"/>
      <c r="CV74" s="21"/>
      <c r="CW74" s="21"/>
      <c r="CX74" s="21"/>
      <c r="CY74" s="21"/>
      <c r="CZ74" s="21"/>
      <c r="DA74" s="21"/>
      <c r="DB74" s="134"/>
      <c r="DC74" s="134"/>
      <c r="DD74" s="134"/>
      <c r="DE74" s="31">
        <f>$A$39</f>
        <v>20162</v>
      </c>
      <c r="DF74" s="21"/>
      <c r="DG74" s="21"/>
      <c r="DH74" s="21"/>
      <c r="DI74" s="21"/>
      <c r="DJ74" s="21"/>
      <c r="DK74" s="21"/>
      <c r="DL74" s="21"/>
      <c r="DM74" s="21"/>
      <c r="DN74" s="134"/>
      <c r="DO74" s="134"/>
      <c r="DP74" s="134"/>
    </row>
    <row r="75" spans="1:120" ht="15" customHeight="1" x14ac:dyDescent="0.25">
      <c r="A75" s="31">
        <f>$A$40</f>
        <v>20172</v>
      </c>
      <c r="B75" s="21"/>
      <c r="C75" s="21">
        <v>68425674.760000005</v>
      </c>
      <c r="D75" s="21">
        <v>83253798.730000004</v>
      </c>
      <c r="E75" s="21">
        <v>87631019.280000001</v>
      </c>
      <c r="F75" s="21">
        <v>89506324.069999993</v>
      </c>
      <c r="G75" s="21">
        <v>91658742.450000003</v>
      </c>
      <c r="H75" s="21">
        <v>94053978.290000007</v>
      </c>
      <c r="I75" s="134"/>
      <c r="J75" s="134"/>
      <c r="K75" s="134"/>
      <c r="L75" s="134"/>
      <c r="M75" s="31">
        <f>$A$40</f>
        <v>20172</v>
      </c>
      <c r="N75" s="21"/>
      <c r="O75" s="21"/>
      <c r="P75" s="21"/>
      <c r="Q75" s="21"/>
      <c r="R75" s="21"/>
      <c r="S75" s="21"/>
      <c r="T75" s="21"/>
      <c r="U75" s="134"/>
      <c r="V75" s="134"/>
      <c r="W75" s="134"/>
      <c r="X75" s="134"/>
      <c r="Y75" s="31">
        <f>$A$40</f>
        <v>20172</v>
      </c>
      <c r="Z75" s="21"/>
      <c r="AA75" s="21"/>
      <c r="AB75" s="21"/>
      <c r="AC75" s="21"/>
      <c r="AD75" s="21"/>
      <c r="AE75" s="21"/>
      <c r="AF75" s="21"/>
      <c r="AG75" s="134"/>
      <c r="AH75" s="134"/>
      <c r="AI75" s="134"/>
      <c r="AJ75" s="134"/>
      <c r="AK75" s="31">
        <f>$A$40</f>
        <v>20172</v>
      </c>
      <c r="AL75" s="21"/>
      <c r="AM75" s="21"/>
      <c r="AN75" s="21"/>
      <c r="AO75" s="21"/>
      <c r="AP75" s="21"/>
      <c r="AQ75" s="21"/>
      <c r="AR75" s="21"/>
      <c r="AS75" s="134"/>
      <c r="AT75" s="134"/>
      <c r="AU75" s="134"/>
      <c r="AV75" s="134"/>
      <c r="AW75" s="31">
        <f>$A$40</f>
        <v>20172</v>
      </c>
      <c r="AX75" s="21"/>
      <c r="AY75" s="21"/>
      <c r="AZ75" s="21"/>
      <c r="BA75" s="21"/>
      <c r="BB75" s="21"/>
      <c r="BC75" s="21"/>
      <c r="BD75" s="21"/>
      <c r="BE75" s="134"/>
      <c r="BF75" s="134"/>
      <c r="BG75" s="134"/>
      <c r="BH75" s="134"/>
      <c r="BI75" s="31">
        <f>$A$40</f>
        <v>20172</v>
      </c>
      <c r="BJ75" s="21"/>
      <c r="BK75" s="21"/>
      <c r="BL75" s="21"/>
      <c r="BM75" s="21"/>
      <c r="BN75" s="21"/>
      <c r="BO75" s="21"/>
      <c r="BP75" s="21"/>
      <c r="BQ75" s="134"/>
      <c r="BR75" s="134"/>
      <c r="BS75" s="134"/>
      <c r="BT75" s="134"/>
      <c r="BU75" s="31">
        <f>$A$40</f>
        <v>20172</v>
      </c>
      <c r="BV75" s="21"/>
      <c r="BW75" s="21"/>
      <c r="BX75" s="21"/>
      <c r="BY75" s="21"/>
      <c r="BZ75" s="21"/>
      <c r="CA75" s="21"/>
      <c r="CB75" s="21"/>
      <c r="CC75" s="134"/>
      <c r="CD75" s="134"/>
      <c r="CE75" s="134"/>
      <c r="CF75" s="134"/>
      <c r="CG75" s="31">
        <f>$A$40</f>
        <v>20172</v>
      </c>
      <c r="CH75" s="21"/>
      <c r="CI75" s="21"/>
      <c r="CJ75" s="21"/>
      <c r="CK75" s="21"/>
      <c r="CL75" s="21"/>
      <c r="CM75" s="21"/>
      <c r="CN75" s="21"/>
      <c r="CO75" s="134"/>
      <c r="CP75" s="134"/>
      <c r="CQ75" s="134"/>
      <c r="CR75" s="134"/>
      <c r="CS75" s="31">
        <f>$A$40</f>
        <v>20172</v>
      </c>
      <c r="CT75" s="21"/>
      <c r="CU75" s="21"/>
      <c r="CV75" s="21"/>
      <c r="CW75" s="21"/>
      <c r="CX75" s="21"/>
      <c r="CY75" s="21"/>
      <c r="CZ75" s="21"/>
      <c r="DA75" s="134"/>
      <c r="DB75" s="134"/>
      <c r="DC75" s="134"/>
      <c r="DD75" s="134"/>
      <c r="DE75" s="31">
        <f>$A$40</f>
        <v>20172</v>
      </c>
      <c r="DF75" s="21"/>
      <c r="DG75" s="21"/>
      <c r="DH75" s="21"/>
      <c r="DI75" s="21"/>
      <c r="DJ75" s="21"/>
      <c r="DK75" s="21"/>
      <c r="DL75" s="21"/>
      <c r="DM75" s="134"/>
      <c r="DN75" s="134"/>
      <c r="DO75" s="134"/>
      <c r="DP75" s="134"/>
    </row>
    <row r="76" spans="1:120" ht="15" customHeight="1" x14ac:dyDescent="0.25">
      <c r="A76" s="31">
        <f>$A$41</f>
        <v>20182</v>
      </c>
      <c r="B76" s="21"/>
      <c r="C76" s="21">
        <v>50990679.460000001</v>
      </c>
      <c r="D76" s="21">
        <v>64218009.159999996</v>
      </c>
      <c r="E76" s="21">
        <v>66318480.270000003</v>
      </c>
      <c r="F76" s="21">
        <v>68633796.140000001</v>
      </c>
      <c r="G76" s="21">
        <v>70739978.390000001</v>
      </c>
      <c r="H76" s="134"/>
      <c r="I76" s="134"/>
      <c r="J76" s="134"/>
      <c r="K76" s="134"/>
      <c r="L76" s="134"/>
      <c r="M76" s="31">
        <f>$A$41</f>
        <v>20182</v>
      </c>
      <c r="N76" s="21"/>
      <c r="O76" s="21"/>
      <c r="P76" s="21"/>
      <c r="Q76" s="21"/>
      <c r="R76" s="21"/>
      <c r="S76" s="21"/>
      <c r="T76" s="134"/>
      <c r="U76" s="134"/>
      <c r="V76" s="134"/>
      <c r="W76" s="134"/>
      <c r="X76" s="134"/>
      <c r="Y76" s="31">
        <f>$A$41</f>
        <v>20182</v>
      </c>
      <c r="Z76" s="21"/>
      <c r="AA76" s="21"/>
      <c r="AB76" s="21"/>
      <c r="AC76" s="21"/>
      <c r="AD76" s="21"/>
      <c r="AE76" s="21"/>
      <c r="AF76" s="134"/>
      <c r="AG76" s="134"/>
      <c r="AH76" s="134"/>
      <c r="AI76" s="134"/>
      <c r="AJ76" s="134"/>
      <c r="AK76" s="31">
        <f>$A$41</f>
        <v>20182</v>
      </c>
      <c r="AL76" s="21"/>
      <c r="AM76" s="21"/>
      <c r="AN76" s="21"/>
      <c r="AO76" s="21"/>
      <c r="AP76" s="21"/>
      <c r="AQ76" s="21"/>
      <c r="AR76" s="134"/>
      <c r="AS76" s="134"/>
      <c r="AT76" s="134"/>
      <c r="AU76" s="134"/>
      <c r="AV76" s="134"/>
      <c r="AW76" s="31">
        <f>$A$41</f>
        <v>20182</v>
      </c>
      <c r="AX76" s="21"/>
      <c r="AY76" s="21"/>
      <c r="AZ76" s="21"/>
      <c r="BA76" s="21"/>
      <c r="BB76" s="21"/>
      <c r="BC76" s="21"/>
      <c r="BD76" s="134"/>
      <c r="BE76" s="134"/>
      <c r="BF76" s="134"/>
      <c r="BG76" s="134"/>
      <c r="BH76" s="134"/>
      <c r="BI76" s="31">
        <f>$A$41</f>
        <v>20182</v>
      </c>
      <c r="BJ76" s="21"/>
      <c r="BK76" s="21"/>
      <c r="BL76" s="21"/>
      <c r="BM76" s="21"/>
      <c r="BN76" s="21"/>
      <c r="BO76" s="21"/>
      <c r="BP76" s="134"/>
      <c r="BQ76" s="134"/>
      <c r="BR76" s="134"/>
      <c r="BS76" s="134"/>
      <c r="BT76" s="134"/>
      <c r="BU76" s="31">
        <f>$A$41</f>
        <v>20182</v>
      </c>
      <c r="BV76" s="21"/>
      <c r="BW76" s="21"/>
      <c r="BX76" s="21"/>
      <c r="BY76" s="21"/>
      <c r="BZ76" s="21"/>
      <c r="CA76" s="21"/>
      <c r="CB76" s="134"/>
      <c r="CC76" s="134"/>
      <c r="CD76" s="134"/>
      <c r="CE76" s="134"/>
      <c r="CF76" s="134"/>
      <c r="CG76" s="31">
        <f>$A$41</f>
        <v>20182</v>
      </c>
      <c r="CH76" s="21"/>
      <c r="CI76" s="21"/>
      <c r="CJ76" s="21"/>
      <c r="CK76" s="21"/>
      <c r="CL76" s="21"/>
      <c r="CM76" s="21"/>
      <c r="CN76" s="134"/>
      <c r="CO76" s="134"/>
      <c r="CP76" s="134"/>
      <c r="CQ76" s="134"/>
      <c r="CR76" s="134"/>
      <c r="CS76" s="31">
        <f>$A$41</f>
        <v>20182</v>
      </c>
      <c r="CT76" s="21"/>
      <c r="CU76" s="21"/>
      <c r="CV76" s="21"/>
      <c r="CW76" s="21"/>
      <c r="CX76" s="21"/>
      <c r="CY76" s="21"/>
      <c r="CZ76" s="134"/>
      <c r="DA76" s="134"/>
      <c r="DB76" s="134"/>
      <c r="DC76" s="134"/>
      <c r="DD76" s="134"/>
      <c r="DE76" s="31">
        <f>$A$41</f>
        <v>20182</v>
      </c>
      <c r="DF76" s="21"/>
      <c r="DG76" s="21"/>
      <c r="DH76" s="21"/>
      <c r="DI76" s="21"/>
      <c r="DJ76" s="21"/>
      <c r="DK76" s="21"/>
      <c r="DL76" s="134"/>
      <c r="DM76" s="134"/>
      <c r="DN76" s="134"/>
      <c r="DO76" s="134"/>
      <c r="DP76" s="134"/>
    </row>
    <row r="77" spans="1:120" ht="15" customHeight="1" x14ac:dyDescent="0.25">
      <c r="A77" s="31">
        <f>$A$42</f>
        <v>20192</v>
      </c>
      <c r="B77" s="21"/>
      <c r="C77" s="21">
        <v>55826933.020000003</v>
      </c>
      <c r="D77" s="21">
        <v>74939951.310000002</v>
      </c>
      <c r="E77" s="21">
        <v>78938725.480000004</v>
      </c>
      <c r="F77" s="21">
        <v>83542676.659999996</v>
      </c>
      <c r="G77" s="134"/>
      <c r="H77" s="134"/>
      <c r="I77" s="134"/>
      <c r="J77" s="134"/>
      <c r="K77" s="134"/>
      <c r="L77" s="134"/>
      <c r="M77" s="31">
        <f>$A$42</f>
        <v>20192</v>
      </c>
      <c r="N77" s="21"/>
      <c r="O77" s="21"/>
      <c r="P77" s="21"/>
      <c r="Q77" s="21"/>
      <c r="R77" s="21"/>
      <c r="S77" s="134"/>
      <c r="T77" s="134"/>
      <c r="U77" s="134"/>
      <c r="V77" s="134"/>
      <c r="W77" s="134"/>
      <c r="X77" s="134"/>
      <c r="Y77" s="31">
        <f>$A$42</f>
        <v>20192</v>
      </c>
      <c r="Z77" s="21"/>
      <c r="AA77" s="21"/>
      <c r="AB77" s="21"/>
      <c r="AC77" s="21"/>
      <c r="AD77" s="21"/>
      <c r="AE77" s="134"/>
      <c r="AF77" s="134"/>
      <c r="AG77" s="134"/>
      <c r="AH77" s="134"/>
      <c r="AI77" s="134"/>
      <c r="AJ77" s="134"/>
      <c r="AK77" s="31">
        <f>$A$42</f>
        <v>20192</v>
      </c>
      <c r="AL77" s="21"/>
      <c r="AM77" s="21"/>
      <c r="AN77" s="21"/>
      <c r="AO77" s="21"/>
      <c r="AP77" s="21"/>
      <c r="AQ77" s="134"/>
      <c r="AR77" s="134"/>
      <c r="AS77" s="134"/>
      <c r="AT77" s="134"/>
      <c r="AU77" s="134"/>
      <c r="AV77" s="134"/>
      <c r="AW77" s="31">
        <f>$A$42</f>
        <v>20192</v>
      </c>
      <c r="AX77" s="21"/>
      <c r="AY77" s="21"/>
      <c r="AZ77" s="21"/>
      <c r="BA77" s="21"/>
      <c r="BB77" s="21"/>
      <c r="BC77" s="134"/>
      <c r="BD77" s="134"/>
      <c r="BE77" s="134"/>
      <c r="BF77" s="134"/>
      <c r="BG77" s="134"/>
      <c r="BH77" s="134"/>
      <c r="BI77" s="31">
        <f>$A$42</f>
        <v>20192</v>
      </c>
      <c r="BJ77" s="21"/>
      <c r="BK77" s="21"/>
      <c r="BL77" s="21"/>
      <c r="BM77" s="21"/>
      <c r="BN77" s="21"/>
      <c r="BO77" s="134"/>
      <c r="BP77" s="134"/>
      <c r="BQ77" s="134"/>
      <c r="BR77" s="134"/>
      <c r="BS77" s="134"/>
      <c r="BT77" s="134"/>
      <c r="BU77" s="31">
        <f>$A$42</f>
        <v>20192</v>
      </c>
      <c r="BV77" s="21"/>
      <c r="BW77" s="21"/>
      <c r="BX77" s="21"/>
      <c r="BY77" s="21"/>
      <c r="BZ77" s="21"/>
      <c r="CA77" s="134"/>
      <c r="CB77" s="134"/>
      <c r="CC77" s="134"/>
      <c r="CD77" s="134"/>
      <c r="CE77" s="134"/>
      <c r="CF77" s="134"/>
      <c r="CG77" s="31">
        <f>$A$42</f>
        <v>20192</v>
      </c>
      <c r="CH77" s="21"/>
      <c r="CI77" s="21"/>
      <c r="CJ77" s="21"/>
      <c r="CK77" s="21"/>
      <c r="CL77" s="21"/>
      <c r="CM77" s="134"/>
      <c r="CN77" s="134"/>
      <c r="CO77" s="134"/>
      <c r="CP77" s="134"/>
      <c r="CQ77" s="134"/>
      <c r="CR77" s="134"/>
      <c r="CS77" s="31">
        <f>$A$42</f>
        <v>20192</v>
      </c>
      <c r="CT77" s="21"/>
      <c r="CU77" s="21"/>
      <c r="CV77" s="21"/>
      <c r="CW77" s="21"/>
      <c r="CX77" s="21"/>
      <c r="CY77" s="134"/>
      <c r="CZ77" s="134"/>
      <c r="DA77" s="134"/>
      <c r="DB77" s="134"/>
      <c r="DC77" s="134"/>
      <c r="DD77" s="134"/>
      <c r="DE77" s="31">
        <f>$A$42</f>
        <v>20192</v>
      </c>
      <c r="DF77" s="21"/>
      <c r="DG77" s="21"/>
      <c r="DH77" s="21"/>
      <c r="DI77" s="21"/>
      <c r="DJ77" s="21"/>
      <c r="DK77" s="134"/>
      <c r="DL77" s="134"/>
      <c r="DM77" s="134"/>
      <c r="DN77" s="134"/>
      <c r="DO77" s="134"/>
      <c r="DP77" s="134"/>
    </row>
    <row r="78" spans="1:120" ht="15" customHeight="1" x14ac:dyDescent="0.25">
      <c r="A78" s="31">
        <f>$A$43</f>
        <v>20202</v>
      </c>
      <c r="B78" s="21"/>
      <c r="C78" s="21">
        <v>51923458.579999998</v>
      </c>
      <c r="D78" s="21">
        <v>70590322.269999996</v>
      </c>
      <c r="E78" s="21">
        <v>76301249.040000007</v>
      </c>
      <c r="F78" s="134"/>
      <c r="G78" s="134"/>
      <c r="H78" s="134"/>
      <c r="I78" s="134"/>
      <c r="J78" s="134"/>
      <c r="K78" s="134"/>
      <c r="L78" s="134"/>
      <c r="M78" s="31">
        <f>$A$43</f>
        <v>20202</v>
      </c>
      <c r="N78" s="21"/>
      <c r="O78" s="21"/>
      <c r="P78" s="21"/>
      <c r="Q78" s="21"/>
      <c r="R78" s="134"/>
      <c r="S78" s="134"/>
      <c r="T78" s="134"/>
      <c r="U78" s="134"/>
      <c r="V78" s="134"/>
      <c r="W78" s="134"/>
      <c r="X78" s="134"/>
      <c r="Y78" s="31">
        <f>$A$43</f>
        <v>20202</v>
      </c>
      <c r="Z78" s="21"/>
      <c r="AA78" s="21"/>
      <c r="AB78" s="21"/>
      <c r="AC78" s="21"/>
      <c r="AD78" s="134"/>
      <c r="AE78" s="134"/>
      <c r="AF78" s="134"/>
      <c r="AG78" s="134"/>
      <c r="AH78" s="134"/>
      <c r="AI78" s="134"/>
      <c r="AJ78" s="134"/>
      <c r="AK78" s="31">
        <f>$A$43</f>
        <v>20202</v>
      </c>
      <c r="AL78" s="21"/>
      <c r="AM78" s="21"/>
      <c r="AN78" s="21"/>
      <c r="AO78" s="21"/>
      <c r="AP78" s="134"/>
      <c r="AQ78" s="134"/>
      <c r="AR78" s="134"/>
      <c r="AS78" s="134"/>
      <c r="AT78" s="134"/>
      <c r="AU78" s="134"/>
      <c r="AV78" s="134"/>
      <c r="AW78" s="31">
        <f>$A$43</f>
        <v>20202</v>
      </c>
      <c r="AX78" s="21"/>
      <c r="AY78" s="21"/>
      <c r="AZ78" s="21"/>
      <c r="BA78" s="21"/>
      <c r="BB78" s="134"/>
      <c r="BC78" s="134"/>
      <c r="BD78" s="134"/>
      <c r="BE78" s="134"/>
      <c r="BF78" s="134"/>
      <c r="BG78" s="134"/>
      <c r="BH78" s="134"/>
      <c r="BI78" s="31">
        <f>$A$43</f>
        <v>20202</v>
      </c>
      <c r="BJ78" s="21"/>
      <c r="BK78" s="21"/>
      <c r="BL78" s="21"/>
      <c r="BM78" s="21"/>
      <c r="BN78" s="134"/>
      <c r="BO78" s="134"/>
      <c r="BP78" s="134"/>
      <c r="BQ78" s="134"/>
      <c r="BR78" s="134"/>
      <c r="BS78" s="134"/>
      <c r="BT78" s="134"/>
      <c r="BU78" s="31">
        <f>$A$43</f>
        <v>20202</v>
      </c>
      <c r="BV78" s="21"/>
      <c r="BW78" s="21"/>
      <c r="BX78" s="21"/>
      <c r="BY78" s="21"/>
      <c r="BZ78" s="134"/>
      <c r="CA78" s="134"/>
      <c r="CB78" s="134"/>
      <c r="CC78" s="134"/>
      <c r="CD78" s="134"/>
      <c r="CE78" s="134"/>
      <c r="CF78" s="134"/>
      <c r="CG78" s="31">
        <f>$A$43</f>
        <v>20202</v>
      </c>
      <c r="CH78" s="21"/>
      <c r="CI78" s="21"/>
      <c r="CJ78" s="21"/>
      <c r="CK78" s="21"/>
      <c r="CL78" s="134"/>
      <c r="CM78" s="134"/>
      <c r="CN78" s="134"/>
      <c r="CO78" s="134"/>
      <c r="CP78" s="134"/>
      <c r="CQ78" s="134"/>
      <c r="CR78" s="134"/>
      <c r="CS78" s="31">
        <f>$A$43</f>
        <v>20202</v>
      </c>
      <c r="CT78" s="21"/>
      <c r="CU78" s="21"/>
      <c r="CV78" s="21"/>
      <c r="CW78" s="21"/>
      <c r="CX78" s="134"/>
      <c r="CY78" s="134"/>
      <c r="CZ78" s="134"/>
      <c r="DA78" s="134"/>
      <c r="DB78" s="134"/>
      <c r="DC78" s="134"/>
      <c r="DD78" s="134"/>
      <c r="DE78" s="31">
        <f>$A$43</f>
        <v>20202</v>
      </c>
      <c r="DF78" s="21"/>
      <c r="DG78" s="21"/>
      <c r="DH78" s="21"/>
      <c r="DI78" s="21"/>
      <c r="DJ78" s="134"/>
      <c r="DK78" s="134"/>
      <c r="DL78" s="134"/>
      <c r="DM78" s="134"/>
      <c r="DN78" s="134"/>
      <c r="DO78" s="134"/>
      <c r="DP78" s="134"/>
    </row>
    <row r="79" spans="1:120" ht="15" customHeight="1" x14ac:dyDescent="0.25">
      <c r="A79" s="31">
        <f>$A$44</f>
        <v>20212</v>
      </c>
      <c r="B79" s="21"/>
      <c r="C79" s="21">
        <v>53624417.060000002</v>
      </c>
      <c r="D79" s="21">
        <v>76277889.909999996</v>
      </c>
      <c r="E79" s="134"/>
      <c r="F79" s="134"/>
      <c r="G79" s="134"/>
      <c r="H79" s="134"/>
      <c r="I79" s="134"/>
      <c r="J79" s="134"/>
      <c r="K79" s="134"/>
      <c r="L79" s="134"/>
      <c r="M79" s="31">
        <f>$A$44</f>
        <v>20212</v>
      </c>
      <c r="N79" s="21"/>
      <c r="O79" s="21"/>
      <c r="P79" s="21"/>
      <c r="Q79" s="134"/>
      <c r="R79" s="134"/>
      <c r="S79" s="134"/>
      <c r="T79" s="134"/>
      <c r="U79" s="134"/>
      <c r="V79" s="134"/>
      <c r="W79" s="134"/>
      <c r="X79" s="134"/>
      <c r="Y79" s="31">
        <f>$A$44</f>
        <v>20212</v>
      </c>
      <c r="Z79" s="21"/>
      <c r="AA79" s="21"/>
      <c r="AB79" s="21"/>
      <c r="AC79" s="134"/>
      <c r="AD79" s="134"/>
      <c r="AE79" s="134"/>
      <c r="AF79" s="134"/>
      <c r="AG79" s="134"/>
      <c r="AH79" s="134"/>
      <c r="AI79" s="134"/>
      <c r="AJ79" s="134"/>
      <c r="AK79" s="31">
        <f>$A$44</f>
        <v>20212</v>
      </c>
      <c r="AL79" s="21"/>
      <c r="AM79" s="21"/>
      <c r="AN79" s="21"/>
      <c r="AO79" s="134"/>
      <c r="AP79" s="134"/>
      <c r="AQ79" s="134"/>
      <c r="AR79" s="134"/>
      <c r="AS79" s="134"/>
      <c r="AT79" s="134"/>
      <c r="AU79" s="134"/>
      <c r="AV79" s="134"/>
      <c r="AW79" s="31">
        <f>$A$44</f>
        <v>20212</v>
      </c>
      <c r="AX79" s="21"/>
      <c r="AY79" s="21"/>
      <c r="AZ79" s="21"/>
      <c r="BA79" s="134"/>
      <c r="BB79" s="134"/>
      <c r="BC79" s="134"/>
      <c r="BD79" s="134"/>
      <c r="BE79" s="134"/>
      <c r="BF79" s="134"/>
      <c r="BG79" s="134"/>
      <c r="BH79" s="134"/>
      <c r="BI79" s="31">
        <f>$A$44</f>
        <v>20212</v>
      </c>
      <c r="BJ79" s="21"/>
      <c r="BK79" s="21"/>
      <c r="BL79" s="21"/>
      <c r="BM79" s="134"/>
      <c r="BN79" s="134"/>
      <c r="BO79" s="134"/>
      <c r="BP79" s="134"/>
      <c r="BQ79" s="134"/>
      <c r="BR79" s="134"/>
      <c r="BS79" s="134"/>
      <c r="BT79" s="134"/>
      <c r="BU79" s="31">
        <f>$A$44</f>
        <v>20212</v>
      </c>
      <c r="BV79" s="21"/>
      <c r="BW79" s="21"/>
      <c r="BX79" s="21"/>
      <c r="BY79" s="134"/>
      <c r="BZ79" s="134"/>
      <c r="CA79" s="134"/>
      <c r="CB79" s="134"/>
      <c r="CC79" s="134"/>
      <c r="CD79" s="134"/>
      <c r="CE79" s="134"/>
      <c r="CF79" s="134"/>
      <c r="CG79" s="31">
        <f>$A$44</f>
        <v>20212</v>
      </c>
      <c r="CH79" s="21"/>
      <c r="CI79" s="21"/>
      <c r="CJ79" s="21"/>
      <c r="CK79" s="134"/>
      <c r="CL79" s="134"/>
      <c r="CM79" s="134"/>
      <c r="CN79" s="134"/>
      <c r="CO79" s="134"/>
      <c r="CP79" s="134"/>
      <c r="CQ79" s="134"/>
      <c r="CR79" s="134"/>
      <c r="CS79" s="31">
        <f>$A$44</f>
        <v>20212</v>
      </c>
      <c r="CT79" s="21"/>
      <c r="CU79" s="21"/>
      <c r="CV79" s="21"/>
      <c r="CW79" s="134"/>
      <c r="CX79" s="134"/>
      <c r="CY79" s="134"/>
      <c r="CZ79" s="134"/>
      <c r="DA79" s="134"/>
      <c r="DB79" s="134"/>
      <c r="DC79" s="134"/>
      <c r="DD79" s="134"/>
      <c r="DE79" s="31">
        <f>$A$44</f>
        <v>20212</v>
      </c>
      <c r="DF79" s="21"/>
      <c r="DG79" s="21"/>
      <c r="DH79" s="21"/>
      <c r="DI79" s="134"/>
      <c r="DJ79" s="134"/>
      <c r="DK79" s="134"/>
      <c r="DL79" s="134"/>
      <c r="DM79" s="134"/>
      <c r="DN79" s="134"/>
      <c r="DO79" s="134"/>
      <c r="DP79" s="134"/>
    </row>
    <row r="80" spans="1:120" ht="15" customHeight="1" x14ac:dyDescent="0.25">
      <c r="A80" s="31">
        <f>$A$45</f>
        <v>20222</v>
      </c>
      <c r="B80" s="21"/>
      <c r="C80" s="21">
        <v>65092392.520000003</v>
      </c>
      <c r="D80" s="134"/>
      <c r="E80" s="134"/>
      <c r="F80" s="134"/>
      <c r="G80" s="134"/>
      <c r="H80" s="134"/>
      <c r="I80" s="134"/>
      <c r="J80" s="134"/>
      <c r="K80" s="134"/>
      <c r="L80" s="134"/>
      <c r="M80" s="31">
        <f>$A$45</f>
        <v>20222</v>
      </c>
      <c r="N80" s="21"/>
      <c r="O80" s="21"/>
      <c r="P80" s="134"/>
      <c r="Q80" s="134"/>
      <c r="R80" s="134"/>
      <c r="S80" s="134"/>
      <c r="T80" s="134"/>
      <c r="U80" s="134"/>
      <c r="V80" s="134"/>
      <c r="W80" s="134"/>
      <c r="X80" s="134"/>
      <c r="Y80" s="31">
        <f>$A$45</f>
        <v>20222</v>
      </c>
      <c r="Z80" s="21"/>
      <c r="AA80" s="21"/>
      <c r="AB80" s="134"/>
      <c r="AC80" s="134"/>
      <c r="AD80" s="134"/>
      <c r="AE80" s="134"/>
      <c r="AF80" s="134"/>
      <c r="AG80" s="134"/>
      <c r="AH80" s="134"/>
      <c r="AI80" s="134"/>
      <c r="AJ80" s="134"/>
      <c r="AK80" s="31">
        <f>$A$45</f>
        <v>20222</v>
      </c>
      <c r="AL80" s="21"/>
      <c r="AM80" s="21"/>
      <c r="AN80" s="134"/>
      <c r="AO80" s="134"/>
      <c r="AP80" s="134"/>
      <c r="AQ80" s="134"/>
      <c r="AR80" s="134"/>
      <c r="AS80" s="134"/>
      <c r="AT80" s="134"/>
      <c r="AU80" s="134"/>
      <c r="AV80" s="134"/>
      <c r="AW80" s="31">
        <f>$A$45</f>
        <v>20222</v>
      </c>
      <c r="AX80" s="21"/>
      <c r="AY80" s="21"/>
      <c r="AZ80" s="134"/>
      <c r="BA80" s="134"/>
      <c r="BB80" s="134"/>
      <c r="BC80" s="134"/>
      <c r="BD80" s="134"/>
      <c r="BE80" s="134"/>
      <c r="BF80" s="134"/>
      <c r="BG80" s="134"/>
      <c r="BH80" s="134"/>
      <c r="BI80" s="31">
        <f>$A$45</f>
        <v>20222</v>
      </c>
      <c r="BJ80" s="21"/>
      <c r="BK80" s="21"/>
      <c r="BL80" s="134"/>
      <c r="BM80" s="134"/>
      <c r="BN80" s="134"/>
      <c r="BO80" s="134"/>
      <c r="BP80" s="134"/>
      <c r="BQ80" s="134"/>
      <c r="BR80" s="134"/>
      <c r="BS80" s="134"/>
      <c r="BT80" s="134"/>
      <c r="BU80" s="31">
        <f>$A$45</f>
        <v>20222</v>
      </c>
      <c r="BV80" s="21"/>
      <c r="BW80" s="21"/>
      <c r="BX80" s="134"/>
      <c r="BY80" s="134"/>
      <c r="BZ80" s="134"/>
      <c r="CA80" s="134"/>
      <c r="CB80" s="134"/>
      <c r="CC80" s="134"/>
      <c r="CD80" s="134"/>
      <c r="CE80" s="134"/>
      <c r="CF80" s="134"/>
      <c r="CG80" s="31">
        <f>$A$45</f>
        <v>20222</v>
      </c>
      <c r="CH80" s="21"/>
      <c r="CI80" s="21"/>
      <c r="CJ80" s="134"/>
      <c r="CK80" s="134"/>
      <c r="CL80" s="134"/>
      <c r="CM80" s="134"/>
      <c r="CN80" s="134"/>
      <c r="CO80" s="134"/>
      <c r="CP80" s="134"/>
      <c r="CQ80" s="134"/>
      <c r="CR80" s="134"/>
      <c r="CS80" s="31">
        <f>$A$45</f>
        <v>20222</v>
      </c>
      <c r="CT80" s="21"/>
      <c r="CU80" s="21"/>
      <c r="CV80" s="134"/>
      <c r="CW80" s="134"/>
      <c r="CX80" s="134"/>
      <c r="CY80" s="134"/>
      <c r="CZ80" s="134"/>
      <c r="DA80" s="134"/>
      <c r="DB80" s="134"/>
      <c r="DC80" s="134"/>
      <c r="DD80" s="134"/>
      <c r="DE80" s="31">
        <f>$A$45</f>
        <v>20222</v>
      </c>
      <c r="DF80" s="21"/>
      <c r="DG80" s="21"/>
      <c r="DH80" s="134"/>
      <c r="DI80" s="134"/>
      <c r="DJ80" s="134"/>
      <c r="DK80" s="134"/>
      <c r="DL80" s="134"/>
      <c r="DM80" s="134"/>
      <c r="DN80" s="134"/>
      <c r="DO80" s="134"/>
      <c r="DP80" s="134"/>
    </row>
    <row r="81" spans="1:120" ht="15" customHeight="1" x14ac:dyDescent="0.25">
      <c r="F81" s="310" t="str">
        <f>IF(AND(ISNUMBER(K84),K84&gt;=1.01),"Reminder: If more than ten years of development is deemed to be required, insurers can provide this data in a supplemental exhibit.","")</f>
        <v/>
      </c>
      <c r="R81" s="310" t="str">
        <f>IF(AND(ISNUMBER(W84),W84&gt;=1.01),"Reminder: If more than ten years of development is deemed to be required, insurers can provide this data in a supplemental exhibit.","")</f>
        <v/>
      </c>
      <c r="AD81" s="310" t="str">
        <f>IF(AND(ISNUMBER(AI84),AI84&gt;=1.01),"Reminder: If more than ten years of development is deemed to be required, insurers can provide this data in a supplemental exhibit.","")</f>
        <v/>
      </c>
      <c r="AP81" s="309" t="str">
        <f>IF(AND(ISNUMBER(AU84),AU84&gt;=1.01),"Reminder: If more than ten years of development is deemed to be required, insurers can provide this data in a supplemental exhibit.","")</f>
        <v/>
      </c>
      <c r="BB81" s="310" t="str">
        <f>IF(AND(ISNUMBER(BG84),BG84&gt;=1.01),"Reminder: If more than ten years of development is deemed to be required, insurers can provide this data in a supplemental exhibit.","")</f>
        <v/>
      </c>
      <c r="BN81" s="310" t="str">
        <f>IF(AND(ISNUMBER(BS84),BS84&gt;=1.01),"Reminder: If more than ten years of development is deemed to be required, insurers can provide this data in a supplemental exhibit.","")</f>
        <v/>
      </c>
      <c r="BZ81" s="310" t="str">
        <f>IF(AND(ISNUMBER(CE84),CE84&gt;=1.01),"Reminder: If more than ten years of development is deemed to be required, insurers can provide this data in a supplemental exhibit.","")</f>
        <v/>
      </c>
      <c r="CL81" s="310" t="str">
        <f>IF(AND(ISNUMBER(CQ84),CQ84&gt;=1.01),"Reminder: If more than ten years of development is deemed to be required, insurers can provide this data in a supplemental exhibit.","")</f>
        <v/>
      </c>
      <c r="CX81" s="310" t="str">
        <f>IF(AND(ISNUMBER(DC84),DC84&gt;=1.01),"Reminder: If more than ten years of development is deemed to be required, insurers can provide this data in a supplemental exhibit.","")</f>
        <v/>
      </c>
      <c r="DJ81" s="310" t="str">
        <f>IF(AND(ISNUMBER(DO84),DO84&gt;=1.01),"Reminder: If more than ten years of development is deemed to be required, insurers can provide this data in a supplemental exhibit.","")</f>
        <v/>
      </c>
    </row>
    <row r="82" spans="1:120" x14ac:dyDescent="0.25">
      <c r="A82" s="130"/>
      <c r="B82" s="131"/>
      <c r="C82" s="131" t="s">
        <v>36</v>
      </c>
      <c r="D82" s="132"/>
      <c r="E82" s="132"/>
      <c r="F82" s="132"/>
      <c r="G82" s="132"/>
      <c r="H82" s="132"/>
      <c r="I82" s="132"/>
      <c r="J82" s="132"/>
      <c r="K82" s="132"/>
      <c r="L82" s="132"/>
      <c r="M82" s="130"/>
      <c r="N82" s="131"/>
      <c r="O82" s="131" t="s">
        <v>36</v>
      </c>
      <c r="P82" s="132"/>
      <c r="Q82" s="132"/>
      <c r="R82" s="132"/>
      <c r="S82" s="132"/>
      <c r="T82" s="132"/>
      <c r="U82" s="132"/>
      <c r="V82" s="132"/>
      <c r="W82" s="132"/>
      <c r="X82" s="132"/>
      <c r="Y82" s="130"/>
      <c r="Z82" s="131"/>
      <c r="AA82" s="131" t="s">
        <v>36</v>
      </c>
      <c r="AB82" s="132"/>
      <c r="AC82" s="132"/>
      <c r="AD82" s="132"/>
      <c r="AE82" s="132"/>
      <c r="AF82" s="132"/>
      <c r="AG82" s="132"/>
      <c r="AH82" s="132"/>
      <c r="AI82" s="132"/>
      <c r="AJ82" s="132"/>
      <c r="AK82" s="130"/>
      <c r="AL82" s="131"/>
      <c r="AM82" s="131" t="s">
        <v>36</v>
      </c>
      <c r="AN82" s="132"/>
      <c r="AO82" s="132"/>
      <c r="AP82" s="132"/>
      <c r="AQ82" s="132"/>
      <c r="AR82" s="132"/>
      <c r="AS82" s="132"/>
      <c r="AT82" s="132"/>
      <c r="AU82" s="132"/>
      <c r="AV82" s="132"/>
      <c r="AW82" s="130"/>
      <c r="AX82" s="131"/>
      <c r="AY82" s="131" t="s">
        <v>36</v>
      </c>
      <c r="AZ82" s="132"/>
      <c r="BA82" s="132"/>
      <c r="BB82" s="132"/>
      <c r="BC82" s="132"/>
      <c r="BD82" s="132"/>
      <c r="BE82" s="132"/>
      <c r="BF82" s="132"/>
      <c r="BG82" s="132"/>
      <c r="BH82" s="132"/>
      <c r="BI82" s="130"/>
      <c r="BJ82" s="131"/>
      <c r="BK82" s="131" t="s">
        <v>36</v>
      </c>
      <c r="BL82" s="132"/>
      <c r="BM82" s="132"/>
      <c r="BN82" s="132"/>
      <c r="BO82" s="132"/>
      <c r="BP82" s="132"/>
      <c r="BQ82" s="132"/>
      <c r="BR82" s="132"/>
      <c r="BS82" s="132"/>
      <c r="BT82" s="132"/>
      <c r="BU82" s="130"/>
      <c r="BV82" s="131"/>
      <c r="BW82" s="131" t="s">
        <v>36</v>
      </c>
      <c r="BX82" s="132"/>
      <c r="BY82" s="132"/>
      <c r="BZ82" s="132"/>
      <c r="CA82" s="132"/>
      <c r="CB82" s="132"/>
      <c r="CC82" s="132"/>
      <c r="CD82" s="132"/>
      <c r="CE82" s="132"/>
      <c r="CF82" s="132"/>
      <c r="CG82" s="130"/>
      <c r="CH82" s="131"/>
      <c r="CI82" s="131" t="s">
        <v>36</v>
      </c>
      <c r="CJ82" s="132"/>
      <c r="CK82" s="132"/>
      <c r="CL82" s="132"/>
      <c r="CM82" s="132"/>
      <c r="CN82" s="132"/>
      <c r="CO82" s="132"/>
      <c r="CP82" s="132"/>
      <c r="CQ82" s="132"/>
      <c r="CR82" s="132"/>
      <c r="CS82" s="130"/>
      <c r="CT82" s="131"/>
      <c r="CU82" s="131" t="s">
        <v>36</v>
      </c>
      <c r="CV82" s="132"/>
      <c r="CW82" s="132"/>
      <c r="CX82" s="132"/>
      <c r="CY82" s="132"/>
      <c r="CZ82" s="132"/>
      <c r="DA82" s="132"/>
      <c r="DB82" s="132"/>
      <c r="DC82" s="132"/>
      <c r="DD82" s="132"/>
      <c r="DE82" s="130"/>
      <c r="DF82" s="131"/>
      <c r="DG82" s="131" t="s">
        <v>36</v>
      </c>
      <c r="DH82" s="132"/>
      <c r="DI82" s="132"/>
      <c r="DJ82" s="132"/>
      <c r="DK82" s="132"/>
      <c r="DL82" s="132"/>
      <c r="DM82" s="132"/>
      <c r="DN82" s="132"/>
      <c r="DO82" s="132"/>
      <c r="DP82" s="132"/>
    </row>
    <row r="83" spans="1:120" ht="30" x14ac:dyDescent="0.25">
      <c r="A83" s="92" t="str">
        <f>$A$35</f>
        <v>Fiscal Accident Year Data Ending</v>
      </c>
      <c r="B83" s="92"/>
      <c r="C83" s="100" t="str">
        <f>$C$35&amp;"-"&amp;$D$35</f>
        <v>12-24</v>
      </c>
      <c r="D83" s="100" t="str">
        <f>$D$35&amp;"-"&amp;$E$35</f>
        <v>24-36</v>
      </c>
      <c r="E83" s="100" t="str">
        <f>$E$35&amp;"-"&amp;$F$35</f>
        <v>36-48</v>
      </c>
      <c r="F83" s="100" t="str">
        <f>$F$35&amp;"-"&amp;$G$35</f>
        <v>48-60</v>
      </c>
      <c r="G83" s="100" t="str">
        <f>$G$35&amp;"-"&amp;$H$35</f>
        <v>60-72</v>
      </c>
      <c r="H83" s="100" t="str">
        <f>$H$35&amp;"-"&amp;$I$35</f>
        <v>72-84</v>
      </c>
      <c r="I83" s="100" t="str">
        <f>$I$35&amp;"-"&amp;$J$35</f>
        <v>84-96</v>
      </c>
      <c r="J83" s="100" t="str">
        <f>$J$35&amp;"-"&amp;$K$35</f>
        <v>96-108</v>
      </c>
      <c r="K83" s="100" t="str">
        <f>$K$35&amp;"-"&amp;$L$35</f>
        <v>108-120</v>
      </c>
      <c r="L83" s="100" t="str">
        <f>$L$35&amp;"-Ult"</f>
        <v>120-Ult</v>
      </c>
      <c r="M83" s="92" t="str">
        <f>$A$35</f>
        <v>Fiscal Accident Year Data Ending</v>
      </c>
      <c r="N83" s="92"/>
      <c r="O83" s="100" t="str">
        <f>$C$35&amp;"-"&amp;$D$35</f>
        <v>12-24</v>
      </c>
      <c r="P83" s="100" t="str">
        <f>$D$35&amp;"-"&amp;$E$35</f>
        <v>24-36</v>
      </c>
      <c r="Q83" s="100" t="str">
        <f>$E$35&amp;"-"&amp;$F$35</f>
        <v>36-48</v>
      </c>
      <c r="R83" s="100" t="str">
        <f>$F$35&amp;"-"&amp;$G$35</f>
        <v>48-60</v>
      </c>
      <c r="S83" s="100" t="str">
        <f>$G$35&amp;"-"&amp;$H$35</f>
        <v>60-72</v>
      </c>
      <c r="T83" s="100" t="str">
        <f>$H$35&amp;"-"&amp;$I$35</f>
        <v>72-84</v>
      </c>
      <c r="U83" s="100" t="str">
        <f>$I$35&amp;"-"&amp;$J$35</f>
        <v>84-96</v>
      </c>
      <c r="V83" s="100" t="str">
        <f>$J$35&amp;"-"&amp;$K$35</f>
        <v>96-108</v>
      </c>
      <c r="W83" s="100" t="str">
        <f>$K$35&amp;"-"&amp;$L$35</f>
        <v>108-120</v>
      </c>
      <c r="X83" s="100" t="str">
        <f>$L$35&amp;"-Ult"</f>
        <v>120-Ult</v>
      </c>
      <c r="Y83" s="92" t="str">
        <f>$A$35</f>
        <v>Fiscal Accident Year Data Ending</v>
      </c>
      <c r="Z83" s="92"/>
      <c r="AA83" s="100" t="str">
        <f>$C$35&amp;"-"&amp;$D$35</f>
        <v>12-24</v>
      </c>
      <c r="AB83" s="100" t="str">
        <f>$D$35&amp;"-"&amp;$E$35</f>
        <v>24-36</v>
      </c>
      <c r="AC83" s="100" t="str">
        <f>$E$35&amp;"-"&amp;$F$35</f>
        <v>36-48</v>
      </c>
      <c r="AD83" s="100" t="str">
        <f>$F$35&amp;"-"&amp;$G$35</f>
        <v>48-60</v>
      </c>
      <c r="AE83" s="100" t="str">
        <f>$G$35&amp;"-"&amp;$H$35</f>
        <v>60-72</v>
      </c>
      <c r="AF83" s="100" t="str">
        <f>$H$35&amp;"-"&amp;$I$35</f>
        <v>72-84</v>
      </c>
      <c r="AG83" s="100" t="str">
        <f>$I$35&amp;"-"&amp;$J$35</f>
        <v>84-96</v>
      </c>
      <c r="AH83" s="100" t="str">
        <f>$J$35&amp;"-"&amp;$K$35</f>
        <v>96-108</v>
      </c>
      <c r="AI83" s="100" t="str">
        <f>$K$35&amp;"-"&amp;$L$35</f>
        <v>108-120</v>
      </c>
      <c r="AJ83" s="100" t="str">
        <f>$L$35&amp;"-Ult"</f>
        <v>120-Ult</v>
      </c>
      <c r="AK83" s="92" t="str">
        <f>$A$35</f>
        <v>Fiscal Accident Year Data Ending</v>
      </c>
      <c r="AL83" s="92"/>
      <c r="AM83" s="100" t="str">
        <f>$C$35&amp;"-"&amp;$D$35</f>
        <v>12-24</v>
      </c>
      <c r="AN83" s="100" t="str">
        <f>$D$35&amp;"-"&amp;$E$35</f>
        <v>24-36</v>
      </c>
      <c r="AO83" s="100" t="str">
        <f>$E$35&amp;"-"&amp;$F$35</f>
        <v>36-48</v>
      </c>
      <c r="AP83" s="100" t="str">
        <f>$F$35&amp;"-"&amp;$G$35</f>
        <v>48-60</v>
      </c>
      <c r="AQ83" s="100" t="str">
        <f>$G$35&amp;"-"&amp;$H$35</f>
        <v>60-72</v>
      </c>
      <c r="AR83" s="100" t="str">
        <f>$H$35&amp;"-"&amp;$I$35</f>
        <v>72-84</v>
      </c>
      <c r="AS83" s="100" t="str">
        <f>$I$35&amp;"-"&amp;$J$35</f>
        <v>84-96</v>
      </c>
      <c r="AT83" s="100" t="str">
        <f>$J$35&amp;"-"&amp;$K$35</f>
        <v>96-108</v>
      </c>
      <c r="AU83" s="100" t="str">
        <f>$K$35&amp;"-"&amp;$L$35</f>
        <v>108-120</v>
      </c>
      <c r="AV83" s="100" t="str">
        <f>$L$35&amp;"-Ult"</f>
        <v>120-Ult</v>
      </c>
      <c r="AW83" s="92" t="str">
        <f>$A$35</f>
        <v>Fiscal Accident Year Data Ending</v>
      </c>
      <c r="AX83" s="92"/>
      <c r="AY83" s="100" t="str">
        <f>$C$35&amp;"-"&amp;$D$35</f>
        <v>12-24</v>
      </c>
      <c r="AZ83" s="100" t="str">
        <f>$D$35&amp;"-"&amp;$E$35</f>
        <v>24-36</v>
      </c>
      <c r="BA83" s="100" t="str">
        <f>$E$35&amp;"-"&amp;$F$35</f>
        <v>36-48</v>
      </c>
      <c r="BB83" s="100" t="str">
        <f>$F$35&amp;"-"&amp;$G$35</f>
        <v>48-60</v>
      </c>
      <c r="BC83" s="100" t="str">
        <f>$G$35&amp;"-"&amp;$H$35</f>
        <v>60-72</v>
      </c>
      <c r="BD83" s="100" t="str">
        <f>$H$35&amp;"-"&amp;$I$35</f>
        <v>72-84</v>
      </c>
      <c r="BE83" s="100" t="str">
        <f>$I$35&amp;"-"&amp;$J$35</f>
        <v>84-96</v>
      </c>
      <c r="BF83" s="100" t="str">
        <f>$J$35&amp;"-"&amp;$K$35</f>
        <v>96-108</v>
      </c>
      <c r="BG83" s="100" t="str">
        <f>$K$35&amp;"-"&amp;$L$35</f>
        <v>108-120</v>
      </c>
      <c r="BH83" s="100" t="str">
        <f>$L$35&amp;"-Ult"</f>
        <v>120-Ult</v>
      </c>
      <c r="BI83" s="92" t="str">
        <f>$A$35</f>
        <v>Fiscal Accident Year Data Ending</v>
      </c>
      <c r="BJ83" s="92"/>
      <c r="BK83" s="100" t="str">
        <f>$C$35&amp;"-"&amp;$D$35</f>
        <v>12-24</v>
      </c>
      <c r="BL83" s="100" t="str">
        <f>$D$35&amp;"-"&amp;$E$35</f>
        <v>24-36</v>
      </c>
      <c r="BM83" s="100" t="str">
        <f>$E$35&amp;"-"&amp;$F$35</f>
        <v>36-48</v>
      </c>
      <c r="BN83" s="100" t="str">
        <f>$F$35&amp;"-"&amp;$G$35</f>
        <v>48-60</v>
      </c>
      <c r="BO83" s="100" t="str">
        <f>$G$35&amp;"-"&amp;$H$35</f>
        <v>60-72</v>
      </c>
      <c r="BP83" s="100" t="str">
        <f>$H$35&amp;"-"&amp;$I$35</f>
        <v>72-84</v>
      </c>
      <c r="BQ83" s="100" t="str">
        <f>$I$35&amp;"-"&amp;$J$35</f>
        <v>84-96</v>
      </c>
      <c r="BR83" s="100" t="str">
        <f>$J$35&amp;"-"&amp;$K$35</f>
        <v>96-108</v>
      </c>
      <c r="BS83" s="100" t="str">
        <f>$K$35&amp;"-"&amp;$L$35</f>
        <v>108-120</v>
      </c>
      <c r="BT83" s="100" t="str">
        <f>$L$35&amp;"-Ult"</f>
        <v>120-Ult</v>
      </c>
      <c r="BU83" s="92" t="str">
        <f>$A$35</f>
        <v>Fiscal Accident Year Data Ending</v>
      </c>
      <c r="BV83" s="92"/>
      <c r="BW83" s="100" t="str">
        <f>$C$35&amp;"-"&amp;$D$35</f>
        <v>12-24</v>
      </c>
      <c r="BX83" s="100" t="str">
        <f>$D$35&amp;"-"&amp;$E$35</f>
        <v>24-36</v>
      </c>
      <c r="BY83" s="100" t="str">
        <f>$E$35&amp;"-"&amp;$F$35</f>
        <v>36-48</v>
      </c>
      <c r="BZ83" s="100" t="str">
        <f>$F$35&amp;"-"&amp;$G$35</f>
        <v>48-60</v>
      </c>
      <c r="CA83" s="100" t="str">
        <f>$G$35&amp;"-"&amp;$H$35</f>
        <v>60-72</v>
      </c>
      <c r="CB83" s="100" t="str">
        <f>$H$35&amp;"-"&amp;$I$35</f>
        <v>72-84</v>
      </c>
      <c r="CC83" s="100" t="str">
        <f>$I$35&amp;"-"&amp;$J$35</f>
        <v>84-96</v>
      </c>
      <c r="CD83" s="100" t="str">
        <f>$J$35&amp;"-"&amp;$K$35</f>
        <v>96-108</v>
      </c>
      <c r="CE83" s="100" t="str">
        <f>$K$35&amp;"-"&amp;$L$35</f>
        <v>108-120</v>
      </c>
      <c r="CF83" s="100" t="str">
        <f>$L$35&amp;"-Ult"</f>
        <v>120-Ult</v>
      </c>
      <c r="CG83" s="92" t="str">
        <f>$A$35</f>
        <v>Fiscal Accident Year Data Ending</v>
      </c>
      <c r="CH83" s="92"/>
      <c r="CI83" s="100" t="str">
        <f>$C$35&amp;"-"&amp;$D$35</f>
        <v>12-24</v>
      </c>
      <c r="CJ83" s="100" t="str">
        <f>$D$35&amp;"-"&amp;$E$35</f>
        <v>24-36</v>
      </c>
      <c r="CK83" s="100" t="str">
        <f>$E$35&amp;"-"&amp;$F$35</f>
        <v>36-48</v>
      </c>
      <c r="CL83" s="100" t="str">
        <f>$F$35&amp;"-"&amp;$G$35</f>
        <v>48-60</v>
      </c>
      <c r="CM83" s="100" t="str">
        <f>$G$35&amp;"-"&amp;$H$35</f>
        <v>60-72</v>
      </c>
      <c r="CN83" s="100" t="str">
        <f>$H$35&amp;"-"&amp;$I$35</f>
        <v>72-84</v>
      </c>
      <c r="CO83" s="100" t="str">
        <f>$I$35&amp;"-"&amp;$J$35</f>
        <v>84-96</v>
      </c>
      <c r="CP83" s="100" t="str">
        <f>$J$35&amp;"-"&amp;$K$35</f>
        <v>96-108</v>
      </c>
      <c r="CQ83" s="100" t="str">
        <f>$K$35&amp;"-"&amp;$L$35</f>
        <v>108-120</v>
      </c>
      <c r="CR83" s="100" t="str">
        <f>$L$35&amp;"-Ult"</f>
        <v>120-Ult</v>
      </c>
      <c r="CS83" s="92" t="str">
        <f>$A$35</f>
        <v>Fiscal Accident Year Data Ending</v>
      </c>
      <c r="CT83" s="92"/>
      <c r="CU83" s="100" t="str">
        <f>$C$35&amp;"-"&amp;$D$35</f>
        <v>12-24</v>
      </c>
      <c r="CV83" s="100" t="str">
        <f>$D$35&amp;"-"&amp;$E$35</f>
        <v>24-36</v>
      </c>
      <c r="CW83" s="100" t="str">
        <f>$E$35&amp;"-"&amp;$F$35</f>
        <v>36-48</v>
      </c>
      <c r="CX83" s="100" t="str">
        <f>$F$35&amp;"-"&amp;$G$35</f>
        <v>48-60</v>
      </c>
      <c r="CY83" s="100" t="str">
        <f>$G$35&amp;"-"&amp;$H$35</f>
        <v>60-72</v>
      </c>
      <c r="CZ83" s="100" t="str">
        <f>$H$35&amp;"-"&amp;$I$35</f>
        <v>72-84</v>
      </c>
      <c r="DA83" s="100" t="str">
        <f>$I$35&amp;"-"&amp;$J$35</f>
        <v>84-96</v>
      </c>
      <c r="DB83" s="100" t="str">
        <f>$J$35&amp;"-"&amp;$K$35</f>
        <v>96-108</v>
      </c>
      <c r="DC83" s="100" t="str">
        <f>$K$35&amp;"-"&amp;$L$35</f>
        <v>108-120</v>
      </c>
      <c r="DD83" s="100" t="str">
        <f>$L$35&amp;"-Ult"</f>
        <v>120-Ult</v>
      </c>
      <c r="DE83" s="92" t="str">
        <f>$A$35</f>
        <v>Fiscal Accident Year Data Ending</v>
      </c>
      <c r="DF83" s="92"/>
      <c r="DG83" s="100" t="str">
        <f>$C$35&amp;"-"&amp;$D$35</f>
        <v>12-24</v>
      </c>
      <c r="DH83" s="100" t="str">
        <f>$D$35&amp;"-"&amp;$E$35</f>
        <v>24-36</v>
      </c>
      <c r="DI83" s="100" t="str">
        <f>$E$35&amp;"-"&amp;$F$35</f>
        <v>36-48</v>
      </c>
      <c r="DJ83" s="100" t="str">
        <f>$F$35&amp;"-"&amp;$G$35</f>
        <v>48-60</v>
      </c>
      <c r="DK83" s="100" t="str">
        <f>$G$35&amp;"-"&amp;$H$35</f>
        <v>60-72</v>
      </c>
      <c r="DL83" s="100" t="str">
        <f>$H$35&amp;"-"&amp;$I$35</f>
        <v>72-84</v>
      </c>
      <c r="DM83" s="100" t="str">
        <f>$I$35&amp;"-"&amp;$J$35</f>
        <v>84-96</v>
      </c>
      <c r="DN83" s="100" t="str">
        <f>$J$35&amp;"-"&amp;$K$35</f>
        <v>96-108</v>
      </c>
      <c r="DO83" s="100" t="str">
        <f>$K$35&amp;"-"&amp;$L$35</f>
        <v>108-120</v>
      </c>
      <c r="DP83" s="100" t="str">
        <f>$L$35&amp;"-Ult"</f>
        <v>120-Ult</v>
      </c>
    </row>
    <row r="84" spans="1:120" x14ac:dyDescent="0.25">
      <c r="A84" s="91">
        <f>$A$36</f>
        <v>20132</v>
      </c>
      <c r="B84" s="105"/>
      <c r="C84" s="90">
        <f>IFERROR(D71/C71,"")</f>
        <v>1.3738971055409297</v>
      </c>
      <c r="D84" s="90">
        <f t="shared" ref="D84:K84" si="194">IFERROR(E71/D71,"")</f>
        <v>1.0590894254804555</v>
      </c>
      <c r="E84" s="90">
        <f t="shared" si="194"/>
        <v>1.0152197875269502</v>
      </c>
      <c r="F84" s="90">
        <f t="shared" si="194"/>
        <v>1.0029784455392983</v>
      </c>
      <c r="G84" s="90">
        <f t="shared" si="194"/>
        <v>1.0056070340474477</v>
      </c>
      <c r="H84" s="90">
        <f t="shared" si="194"/>
        <v>1.0035311757346701</v>
      </c>
      <c r="I84" s="90">
        <f t="shared" si="194"/>
        <v>1.0026350761851386</v>
      </c>
      <c r="J84" s="90">
        <f t="shared" si="194"/>
        <v>1.0021640329661989</v>
      </c>
      <c r="K84" s="90">
        <f t="shared" si="194"/>
        <v>1.0040295791240408</v>
      </c>
      <c r="L84" s="22"/>
      <c r="M84" s="91">
        <f>$A$36</f>
        <v>20132</v>
      </c>
      <c r="N84" s="105"/>
      <c r="O84" s="90" t="str">
        <f>IFERROR(P71/O71,"")</f>
        <v/>
      </c>
      <c r="P84" s="90" t="str">
        <f t="shared" ref="P84:W84" si="195">IFERROR(Q71/P71,"")</f>
        <v/>
      </c>
      <c r="Q84" s="90" t="str">
        <f t="shared" si="195"/>
        <v/>
      </c>
      <c r="R84" s="90" t="str">
        <f t="shared" si="195"/>
        <v/>
      </c>
      <c r="S84" s="90" t="str">
        <f t="shared" si="195"/>
        <v/>
      </c>
      <c r="T84" s="90" t="str">
        <f t="shared" si="195"/>
        <v/>
      </c>
      <c r="U84" s="90" t="str">
        <f t="shared" si="195"/>
        <v/>
      </c>
      <c r="V84" s="90" t="str">
        <f t="shared" si="195"/>
        <v/>
      </c>
      <c r="W84" s="90" t="str">
        <f t="shared" si="195"/>
        <v/>
      </c>
      <c r="X84" s="22"/>
      <c r="Y84" s="91">
        <f>$A$36</f>
        <v>20132</v>
      </c>
      <c r="Z84" s="105"/>
      <c r="AA84" s="90" t="str">
        <f>IFERROR(AB71/AA71,"")</f>
        <v/>
      </c>
      <c r="AB84" s="90" t="str">
        <f t="shared" ref="AB84:AI84" si="196">IFERROR(AC71/AB71,"")</f>
        <v/>
      </c>
      <c r="AC84" s="90" t="str">
        <f t="shared" si="196"/>
        <v/>
      </c>
      <c r="AD84" s="90" t="str">
        <f t="shared" si="196"/>
        <v/>
      </c>
      <c r="AE84" s="90" t="str">
        <f t="shared" si="196"/>
        <v/>
      </c>
      <c r="AF84" s="90" t="str">
        <f t="shared" si="196"/>
        <v/>
      </c>
      <c r="AG84" s="90" t="str">
        <f t="shared" si="196"/>
        <v/>
      </c>
      <c r="AH84" s="90" t="str">
        <f t="shared" si="196"/>
        <v/>
      </c>
      <c r="AI84" s="90" t="str">
        <f t="shared" si="196"/>
        <v/>
      </c>
      <c r="AJ84" s="22"/>
      <c r="AK84" s="91">
        <f>$A$36</f>
        <v>20132</v>
      </c>
      <c r="AL84" s="105"/>
      <c r="AM84" s="90" t="str">
        <f>IFERROR(AN71/AM71,"")</f>
        <v/>
      </c>
      <c r="AN84" s="90" t="str">
        <f t="shared" ref="AN84:AU84" si="197">IFERROR(AO71/AN71,"")</f>
        <v/>
      </c>
      <c r="AO84" s="90" t="str">
        <f t="shared" si="197"/>
        <v/>
      </c>
      <c r="AP84" s="90" t="str">
        <f t="shared" si="197"/>
        <v/>
      </c>
      <c r="AQ84" s="90" t="str">
        <f t="shared" si="197"/>
        <v/>
      </c>
      <c r="AR84" s="90" t="str">
        <f t="shared" si="197"/>
        <v/>
      </c>
      <c r="AS84" s="90" t="str">
        <f t="shared" si="197"/>
        <v/>
      </c>
      <c r="AT84" s="90" t="str">
        <f t="shared" si="197"/>
        <v/>
      </c>
      <c r="AU84" s="90" t="str">
        <f t="shared" si="197"/>
        <v/>
      </c>
      <c r="AV84" s="22"/>
      <c r="AW84" s="91">
        <f>$A$36</f>
        <v>20132</v>
      </c>
      <c r="AX84" s="105"/>
      <c r="AY84" s="90" t="str">
        <f>IFERROR(AZ71/AY71,"")</f>
        <v/>
      </c>
      <c r="AZ84" s="90" t="str">
        <f t="shared" ref="AZ84:BG84" si="198">IFERROR(BA71/AZ71,"")</f>
        <v/>
      </c>
      <c r="BA84" s="90" t="str">
        <f t="shared" si="198"/>
        <v/>
      </c>
      <c r="BB84" s="90" t="str">
        <f t="shared" si="198"/>
        <v/>
      </c>
      <c r="BC84" s="90" t="str">
        <f t="shared" si="198"/>
        <v/>
      </c>
      <c r="BD84" s="90" t="str">
        <f t="shared" si="198"/>
        <v/>
      </c>
      <c r="BE84" s="90" t="str">
        <f t="shared" si="198"/>
        <v/>
      </c>
      <c r="BF84" s="90" t="str">
        <f t="shared" si="198"/>
        <v/>
      </c>
      <c r="BG84" s="90" t="str">
        <f t="shared" si="198"/>
        <v/>
      </c>
      <c r="BH84" s="22"/>
      <c r="BI84" s="91">
        <f>$A$36</f>
        <v>20132</v>
      </c>
      <c r="BJ84" s="105"/>
      <c r="BK84" s="90" t="str">
        <f>IFERROR(BL71/BK71,"")</f>
        <v/>
      </c>
      <c r="BL84" s="90" t="str">
        <f t="shared" ref="BL84:BS84" si="199">IFERROR(BM71/BL71,"")</f>
        <v/>
      </c>
      <c r="BM84" s="90" t="str">
        <f t="shared" si="199"/>
        <v/>
      </c>
      <c r="BN84" s="90" t="str">
        <f t="shared" si="199"/>
        <v/>
      </c>
      <c r="BO84" s="90" t="str">
        <f t="shared" si="199"/>
        <v/>
      </c>
      <c r="BP84" s="90" t="str">
        <f t="shared" si="199"/>
        <v/>
      </c>
      <c r="BQ84" s="90" t="str">
        <f t="shared" si="199"/>
        <v/>
      </c>
      <c r="BR84" s="90" t="str">
        <f t="shared" si="199"/>
        <v/>
      </c>
      <c r="BS84" s="90" t="str">
        <f t="shared" si="199"/>
        <v/>
      </c>
      <c r="BT84" s="22"/>
      <c r="BU84" s="91">
        <f>$A$36</f>
        <v>20132</v>
      </c>
      <c r="BV84" s="105"/>
      <c r="BW84" s="90" t="str">
        <f>IFERROR(BX71/BW71,"")</f>
        <v/>
      </c>
      <c r="BX84" s="90" t="str">
        <f t="shared" ref="BX84:CE84" si="200">IFERROR(BY71/BX71,"")</f>
        <v/>
      </c>
      <c r="BY84" s="90" t="str">
        <f t="shared" si="200"/>
        <v/>
      </c>
      <c r="BZ84" s="90" t="str">
        <f t="shared" si="200"/>
        <v/>
      </c>
      <c r="CA84" s="90" t="str">
        <f t="shared" si="200"/>
        <v/>
      </c>
      <c r="CB84" s="90" t="str">
        <f t="shared" si="200"/>
        <v/>
      </c>
      <c r="CC84" s="90" t="str">
        <f t="shared" si="200"/>
        <v/>
      </c>
      <c r="CD84" s="90" t="str">
        <f t="shared" si="200"/>
        <v/>
      </c>
      <c r="CE84" s="90" t="str">
        <f t="shared" si="200"/>
        <v/>
      </c>
      <c r="CF84" s="22"/>
      <c r="CG84" s="91">
        <f>$A$36</f>
        <v>20132</v>
      </c>
      <c r="CH84" s="105"/>
      <c r="CI84" s="90" t="str">
        <f>IFERROR(CJ71/CI71,"")</f>
        <v/>
      </c>
      <c r="CJ84" s="90" t="str">
        <f t="shared" ref="CJ84:CQ84" si="201">IFERROR(CK71/CJ71,"")</f>
        <v/>
      </c>
      <c r="CK84" s="90" t="str">
        <f t="shared" si="201"/>
        <v/>
      </c>
      <c r="CL84" s="90" t="str">
        <f t="shared" si="201"/>
        <v/>
      </c>
      <c r="CM84" s="90" t="str">
        <f t="shared" si="201"/>
        <v/>
      </c>
      <c r="CN84" s="90" t="str">
        <f t="shared" si="201"/>
        <v/>
      </c>
      <c r="CO84" s="90" t="str">
        <f t="shared" si="201"/>
        <v/>
      </c>
      <c r="CP84" s="90" t="str">
        <f t="shared" si="201"/>
        <v/>
      </c>
      <c r="CQ84" s="90" t="str">
        <f t="shared" si="201"/>
        <v/>
      </c>
      <c r="CR84" s="22"/>
      <c r="CS84" s="91">
        <f>$A$36</f>
        <v>20132</v>
      </c>
      <c r="CT84" s="105"/>
      <c r="CU84" s="90" t="str">
        <f>IFERROR(CV71/CU71,"")</f>
        <v/>
      </c>
      <c r="CV84" s="90" t="str">
        <f t="shared" ref="CV84:DC84" si="202">IFERROR(CW71/CV71,"")</f>
        <v/>
      </c>
      <c r="CW84" s="90" t="str">
        <f t="shared" si="202"/>
        <v/>
      </c>
      <c r="CX84" s="90" t="str">
        <f t="shared" si="202"/>
        <v/>
      </c>
      <c r="CY84" s="90" t="str">
        <f t="shared" si="202"/>
        <v/>
      </c>
      <c r="CZ84" s="90" t="str">
        <f t="shared" si="202"/>
        <v/>
      </c>
      <c r="DA84" s="90" t="str">
        <f t="shared" si="202"/>
        <v/>
      </c>
      <c r="DB84" s="90" t="str">
        <f t="shared" si="202"/>
        <v/>
      </c>
      <c r="DC84" s="90" t="str">
        <f t="shared" si="202"/>
        <v/>
      </c>
      <c r="DD84" s="22"/>
      <c r="DE84" s="91">
        <f>$A$36</f>
        <v>20132</v>
      </c>
      <c r="DF84" s="105"/>
      <c r="DG84" s="90" t="str">
        <f>IFERROR(DH71/DG71,"")</f>
        <v/>
      </c>
      <c r="DH84" s="90" t="str">
        <f t="shared" ref="DH84:DO84" si="203">IFERROR(DI71/DH71,"")</f>
        <v/>
      </c>
      <c r="DI84" s="90" t="str">
        <f t="shared" si="203"/>
        <v/>
      </c>
      <c r="DJ84" s="90" t="str">
        <f t="shared" si="203"/>
        <v/>
      </c>
      <c r="DK84" s="90" t="str">
        <f t="shared" si="203"/>
        <v/>
      </c>
      <c r="DL84" s="90" t="str">
        <f t="shared" si="203"/>
        <v/>
      </c>
      <c r="DM84" s="90" t="str">
        <f t="shared" si="203"/>
        <v/>
      </c>
      <c r="DN84" s="90" t="str">
        <f t="shared" si="203"/>
        <v/>
      </c>
      <c r="DO84" s="90" t="str">
        <f t="shared" si="203"/>
        <v/>
      </c>
      <c r="DP84" s="22"/>
    </row>
    <row r="85" spans="1:120" x14ac:dyDescent="0.25">
      <c r="A85" s="91">
        <f>$A$37</f>
        <v>20142</v>
      </c>
      <c r="B85" s="105"/>
      <c r="C85" s="90">
        <f t="shared" ref="C85:J92" si="204">IFERROR(D72/C72,"")</f>
        <v>1.2629877305683701</v>
      </c>
      <c r="D85" s="90">
        <f t="shared" si="204"/>
        <v>1.0400363214160415</v>
      </c>
      <c r="E85" s="90">
        <f t="shared" si="204"/>
        <v>1.0152634717164071</v>
      </c>
      <c r="F85" s="90">
        <f t="shared" si="204"/>
        <v>1.0096564838606652</v>
      </c>
      <c r="G85" s="90">
        <f t="shared" si="204"/>
        <v>1.0055614084918163</v>
      </c>
      <c r="H85" s="90">
        <f t="shared" si="204"/>
        <v>1.0048097394046505</v>
      </c>
      <c r="I85" s="90">
        <f t="shared" si="204"/>
        <v>1.0162417117132194</v>
      </c>
      <c r="J85" s="90">
        <f t="shared" si="204"/>
        <v>1.0028557534052687</v>
      </c>
      <c r="K85" s="22"/>
      <c r="L85" s="22"/>
      <c r="M85" s="91">
        <f>$A$37</f>
        <v>20142</v>
      </c>
      <c r="N85" s="105"/>
      <c r="O85" s="90" t="str">
        <f t="shared" ref="O85:V92" si="205">IFERROR(P72/O72,"")</f>
        <v/>
      </c>
      <c r="P85" s="90" t="str">
        <f t="shared" si="205"/>
        <v/>
      </c>
      <c r="Q85" s="90" t="str">
        <f t="shared" si="205"/>
        <v/>
      </c>
      <c r="R85" s="90" t="str">
        <f t="shared" si="205"/>
        <v/>
      </c>
      <c r="S85" s="90" t="str">
        <f t="shared" si="205"/>
        <v/>
      </c>
      <c r="T85" s="90" t="str">
        <f t="shared" si="205"/>
        <v/>
      </c>
      <c r="U85" s="90" t="str">
        <f t="shared" si="205"/>
        <v/>
      </c>
      <c r="V85" s="90" t="str">
        <f t="shared" si="205"/>
        <v/>
      </c>
      <c r="W85" s="22"/>
      <c r="X85" s="22"/>
      <c r="Y85" s="91">
        <f>$A$37</f>
        <v>20142</v>
      </c>
      <c r="Z85" s="105"/>
      <c r="AA85" s="90" t="str">
        <f t="shared" ref="AA85:AH92" si="206">IFERROR(AB72/AA72,"")</f>
        <v/>
      </c>
      <c r="AB85" s="90" t="str">
        <f t="shared" si="206"/>
        <v/>
      </c>
      <c r="AC85" s="90" t="str">
        <f t="shared" si="206"/>
        <v/>
      </c>
      <c r="AD85" s="90" t="str">
        <f t="shared" si="206"/>
        <v/>
      </c>
      <c r="AE85" s="90" t="str">
        <f t="shared" si="206"/>
        <v/>
      </c>
      <c r="AF85" s="90" t="str">
        <f t="shared" si="206"/>
        <v/>
      </c>
      <c r="AG85" s="90" t="str">
        <f t="shared" si="206"/>
        <v/>
      </c>
      <c r="AH85" s="90" t="str">
        <f t="shared" si="206"/>
        <v/>
      </c>
      <c r="AI85" s="22"/>
      <c r="AJ85" s="22"/>
      <c r="AK85" s="91">
        <f>$A$37</f>
        <v>20142</v>
      </c>
      <c r="AL85" s="105"/>
      <c r="AM85" s="90" t="str">
        <f t="shared" ref="AM85:AT92" si="207">IFERROR(AN72/AM72,"")</f>
        <v/>
      </c>
      <c r="AN85" s="90" t="str">
        <f t="shared" si="207"/>
        <v/>
      </c>
      <c r="AO85" s="90" t="str">
        <f t="shared" si="207"/>
        <v/>
      </c>
      <c r="AP85" s="90" t="str">
        <f t="shared" si="207"/>
        <v/>
      </c>
      <c r="AQ85" s="90" t="str">
        <f t="shared" si="207"/>
        <v/>
      </c>
      <c r="AR85" s="90" t="str">
        <f t="shared" si="207"/>
        <v/>
      </c>
      <c r="AS85" s="90" t="str">
        <f t="shared" si="207"/>
        <v/>
      </c>
      <c r="AT85" s="90" t="str">
        <f t="shared" si="207"/>
        <v/>
      </c>
      <c r="AU85" s="22"/>
      <c r="AV85" s="22"/>
      <c r="AW85" s="91">
        <f>$A$37</f>
        <v>20142</v>
      </c>
      <c r="AX85" s="105"/>
      <c r="AY85" s="90" t="str">
        <f t="shared" ref="AY85:BF92" si="208">IFERROR(AZ72/AY72,"")</f>
        <v/>
      </c>
      <c r="AZ85" s="90" t="str">
        <f t="shared" si="208"/>
        <v/>
      </c>
      <c r="BA85" s="90" t="str">
        <f t="shared" si="208"/>
        <v/>
      </c>
      <c r="BB85" s="90" t="str">
        <f t="shared" si="208"/>
        <v/>
      </c>
      <c r="BC85" s="90" t="str">
        <f t="shared" si="208"/>
        <v/>
      </c>
      <c r="BD85" s="90" t="str">
        <f t="shared" si="208"/>
        <v/>
      </c>
      <c r="BE85" s="90" t="str">
        <f t="shared" si="208"/>
        <v/>
      </c>
      <c r="BF85" s="90" t="str">
        <f t="shared" si="208"/>
        <v/>
      </c>
      <c r="BG85" s="22"/>
      <c r="BH85" s="22"/>
      <c r="BI85" s="91">
        <f>$A$37</f>
        <v>20142</v>
      </c>
      <c r="BJ85" s="105"/>
      <c r="BK85" s="90" t="str">
        <f t="shared" ref="BK85:BR92" si="209">IFERROR(BL72/BK72,"")</f>
        <v/>
      </c>
      <c r="BL85" s="90" t="str">
        <f t="shared" si="209"/>
        <v/>
      </c>
      <c r="BM85" s="90" t="str">
        <f t="shared" si="209"/>
        <v/>
      </c>
      <c r="BN85" s="90" t="str">
        <f t="shared" si="209"/>
        <v/>
      </c>
      <c r="BO85" s="90" t="str">
        <f t="shared" si="209"/>
        <v/>
      </c>
      <c r="BP85" s="90" t="str">
        <f t="shared" si="209"/>
        <v/>
      </c>
      <c r="BQ85" s="90" t="str">
        <f t="shared" si="209"/>
        <v/>
      </c>
      <c r="BR85" s="90" t="str">
        <f t="shared" si="209"/>
        <v/>
      </c>
      <c r="BS85" s="22"/>
      <c r="BT85" s="22"/>
      <c r="BU85" s="91">
        <f>$A$37</f>
        <v>20142</v>
      </c>
      <c r="BV85" s="105"/>
      <c r="BW85" s="90" t="str">
        <f t="shared" ref="BW85:CD92" si="210">IFERROR(BX72/BW72,"")</f>
        <v/>
      </c>
      <c r="BX85" s="90" t="str">
        <f t="shared" si="210"/>
        <v/>
      </c>
      <c r="BY85" s="90" t="str">
        <f t="shared" si="210"/>
        <v/>
      </c>
      <c r="BZ85" s="90" t="str">
        <f t="shared" si="210"/>
        <v/>
      </c>
      <c r="CA85" s="90" t="str">
        <f t="shared" si="210"/>
        <v/>
      </c>
      <c r="CB85" s="90" t="str">
        <f t="shared" si="210"/>
        <v/>
      </c>
      <c r="CC85" s="90" t="str">
        <f t="shared" si="210"/>
        <v/>
      </c>
      <c r="CD85" s="90" t="str">
        <f t="shared" si="210"/>
        <v/>
      </c>
      <c r="CE85" s="22"/>
      <c r="CF85" s="22"/>
      <c r="CG85" s="91">
        <f>$A$37</f>
        <v>20142</v>
      </c>
      <c r="CH85" s="105"/>
      <c r="CI85" s="90" t="str">
        <f t="shared" ref="CI85:CP87" si="211">IFERROR(CJ72/CI72,"")</f>
        <v/>
      </c>
      <c r="CJ85" s="90" t="str">
        <f t="shared" si="211"/>
        <v/>
      </c>
      <c r="CK85" s="90" t="str">
        <f t="shared" si="211"/>
        <v/>
      </c>
      <c r="CL85" s="90" t="str">
        <f t="shared" si="211"/>
        <v/>
      </c>
      <c r="CM85" s="90" t="str">
        <f t="shared" si="211"/>
        <v/>
      </c>
      <c r="CN85" s="90" t="str">
        <f t="shared" si="211"/>
        <v/>
      </c>
      <c r="CO85" s="90" t="str">
        <f t="shared" si="211"/>
        <v/>
      </c>
      <c r="CP85" s="90" t="str">
        <f t="shared" si="211"/>
        <v/>
      </c>
      <c r="CQ85" s="22"/>
      <c r="CR85" s="22"/>
      <c r="CS85" s="91">
        <f>$A$37</f>
        <v>20142</v>
      </c>
      <c r="CT85" s="105"/>
      <c r="CU85" s="90" t="str">
        <f t="shared" ref="CU85:DB92" si="212">IFERROR(CV72/CU72,"")</f>
        <v/>
      </c>
      <c r="CV85" s="90" t="str">
        <f t="shared" si="212"/>
        <v/>
      </c>
      <c r="CW85" s="90" t="str">
        <f t="shared" si="212"/>
        <v/>
      </c>
      <c r="CX85" s="90" t="str">
        <f t="shared" si="212"/>
        <v/>
      </c>
      <c r="CY85" s="90" t="str">
        <f t="shared" si="212"/>
        <v/>
      </c>
      <c r="CZ85" s="90" t="str">
        <f t="shared" si="212"/>
        <v/>
      </c>
      <c r="DA85" s="90" t="str">
        <f t="shared" si="212"/>
        <v/>
      </c>
      <c r="DB85" s="90" t="str">
        <f t="shared" si="212"/>
        <v/>
      </c>
      <c r="DC85" s="22"/>
      <c r="DD85" s="22"/>
      <c r="DE85" s="91">
        <f>$A$37</f>
        <v>20142</v>
      </c>
      <c r="DF85" s="105"/>
      <c r="DG85" s="90" t="str">
        <f t="shared" ref="DG85:DN92" si="213">IFERROR(DH72/DG72,"")</f>
        <v/>
      </c>
      <c r="DH85" s="90" t="str">
        <f t="shared" si="213"/>
        <v/>
      </c>
      <c r="DI85" s="90" t="str">
        <f t="shared" si="213"/>
        <v/>
      </c>
      <c r="DJ85" s="90" t="str">
        <f t="shared" si="213"/>
        <v/>
      </c>
      <c r="DK85" s="90" t="str">
        <f t="shared" si="213"/>
        <v/>
      </c>
      <c r="DL85" s="90" t="str">
        <f t="shared" si="213"/>
        <v/>
      </c>
      <c r="DM85" s="90" t="str">
        <f t="shared" si="213"/>
        <v/>
      </c>
      <c r="DN85" s="90" t="str">
        <f t="shared" si="213"/>
        <v/>
      </c>
      <c r="DO85" s="22"/>
      <c r="DP85" s="22"/>
    </row>
    <row r="86" spans="1:120" x14ac:dyDescent="0.25">
      <c r="A86" s="91">
        <f>$A$38</f>
        <v>20152</v>
      </c>
      <c r="B86" s="105"/>
      <c r="C86" s="90">
        <f t="shared" si="204"/>
        <v>1.288691958399764</v>
      </c>
      <c r="D86" s="90">
        <f t="shared" si="204"/>
        <v>1.0417954969718508</v>
      </c>
      <c r="E86" s="90">
        <f t="shared" si="204"/>
        <v>1.0365512224429259</v>
      </c>
      <c r="F86" s="90">
        <f t="shared" si="204"/>
        <v>1.0316622116062861</v>
      </c>
      <c r="G86" s="90">
        <f t="shared" si="204"/>
        <v>1.0105766113080663</v>
      </c>
      <c r="H86" s="90">
        <f t="shared" si="204"/>
        <v>1.0059972905496832</v>
      </c>
      <c r="I86" s="90">
        <f t="shared" si="204"/>
        <v>1.0304657899796161</v>
      </c>
      <c r="J86" s="22"/>
      <c r="K86" s="22"/>
      <c r="L86" s="22"/>
      <c r="M86" s="91">
        <f>$A$38</f>
        <v>20152</v>
      </c>
      <c r="N86" s="105"/>
      <c r="O86" s="90" t="str">
        <f t="shared" si="205"/>
        <v/>
      </c>
      <c r="P86" s="90" t="str">
        <f t="shared" si="205"/>
        <v/>
      </c>
      <c r="Q86" s="90" t="str">
        <f t="shared" si="205"/>
        <v/>
      </c>
      <c r="R86" s="90" t="str">
        <f t="shared" si="205"/>
        <v/>
      </c>
      <c r="S86" s="90" t="str">
        <f t="shared" si="205"/>
        <v/>
      </c>
      <c r="T86" s="90" t="str">
        <f t="shared" si="205"/>
        <v/>
      </c>
      <c r="U86" s="90" t="str">
        <f t="shared" si="205"/>
        <v/>
      </c>
      <c r="V86" s="22"/>
      <c r="W86" s="22"/>
      <c r="X86" s="22"/>
      <c r="Y86" s="91">
        <f>$A$38</f>
        <v>20152</v>
      </c>
      <c r="Z86" s="105"/>
      <c r="AA86" s="90" t="str">
        <f t="shared" si="206"/>
        <v/>
      </c>
      <c r="AB86" s="90" t="str">
        <f t="shared" si="206"/>
        <v/>
      </c>
      <c r="AC86" s="90" t="str">
        <f t="shared" si="206"/>
        <v/>
      </c>
      <c r="AD86" s="90" t="str">
        <f t="shared" si="206"/>
        <v/>
      </c>
      <c r="AE86" s="90" t="str">
        <f t="shared" si="206"/>
        <v/>
      </c>
      <c r="AF86" s="90" t="str">
        <f t="shared" si="206"/>
        <v/>
      </c>
      <c r="AG86" s="90" t="str">
        <f t="shared" si="206"/>
        <v/>
      </c>
      <c r="AH86" s="22"/>
      <c r="AI86" s="22"/>
      <c r="AJ86" s="22"/>
      <c r="AK86" s="91">
        <f>$A$38</f>
        <v>20152</v>
      </c>
      <c r="AL86" s="105"/>
      <c r="AM86" s="90" t="str">
        <f t="shared" si="207"/>
        <v/>
      </c>
      <c r="AN86" s="90" t="str">
        <f t="shared" si="207"/>
        <v/>
      </c>
      <c r="AO86" s="90" t="str">
        <f t="shared" si="207"/>
        <v/>
      </c>
      <c r="AP86" s="90" t="str">
        <f t="shared" si="207"/>
        <v/>
      </c>
      <c r="AQ86" s="90" t="str">
        <f t="shared" si="207"/>
        <v/>
      </c>
      <c r="AR86" s="90" t="str">
        <f t="shared" si="207"/>
        <v/>
      </c>
      <c r="AS86" s="90" t="str">
        <f t="shared" si="207"/>
        <v/>
      </c>
      <c r="AT86" s="22"/>
      <c r="AU86" s="22"/>
      <c r="AV86" s="22"/>
      <c r="AW86" s="91">
        <f>$A$38</f>
        <v>20152</v>
      </c>
      <c r="AX86" s="105"/>
      <c r="AY86" s="90" t="str">
        <f t="shared" si="208"/>
        <v/>
      </c>
      <c r="AZ86" s="90" t="str">
        <f t="shared" si="208"/>
        <v/>
      </c>
      <c r="BA86" s="90" t="str">
        <f t="shared" si="208"/>
        <v/>
      </c>
      <c r="BB86" s="90" t="str">
        <f t="shared" si="208"/>
        <v/>
      </c>
      <c r="BC86" s="90" t="str">
        <f t="shared" si="208"/>
        <v/>
      </c>
      <c r="BD86" s="90" t="str">
        <f t="shared" si="208"/>
        <v/>
      </c>
      <c r="BE86" s="90" t="str">
        <f t="shared" si="208"/>
        <v/>
      </c>
      <c r="BF86" s="22"/>
      <c r="BG86" s="22"/>
      <c r="BH86" s="22"/>
      <c r="BI86" s="91">
        <f>$A$38</f>
        <v>20152</v>
      </c>
      <c r="BJ86" s="105"/>
      <c r="BK86" s="90" t="str">
        <f t="shared" si="209"/>
        <v/>
      </c>
      <c r="BL86" s="90" t="str">
        <f t="shared" si="209"/>
        <v/>
      </c>
      <c r="BM86" s="90" t="str">
        <f t="shared" si="209"/>
        <v/>
      </c>
      <c r="BN86" s="90" t="str">
        <f t="shared" si="209"/>
        <v/>
      </c>
      <c r="BO86" s="90" t="str">
        <f t="shared" si="209"/>
        <v/>
      </c>
      <c r="BP86" s="90" t="str">
        <f t="shared" si="209"/>
        <v/>
      </c>
      <c r="BQ86" s="90" t="str">
        <f t="shared" si="209"/>
        <v/>
      </c>
      <c r="BR86" s="22"/>
      <c r="BS86" s="22"/>
      <c r="BT86" s="22"/>
      <c r="BU86" s="91">
        <f>$A$38</f>
        <v>20152</v>
      </c>
      <c r="BV86" s="105"/>
      <c r="BW86" s="90" t="str">
        <f t="shared" si="210"/>
        <v/>
      </c>
      <c r="BX86" s="90" t="str">
        <f t="shared" si="210"/>
        <v/>
      </c>
      <c r="BY86" s="90" t="str">
        <f t="shared" si="210"/>
        <v/>
      </c>
      <c r="BZ86" s="90" t="str">
        <f t="shared" si="210"/>
        <v/>
      </c>
      <c r="CA86" s="90" t="str">
        <f t="shared" si="210"/>
        <v/>
      </c>
      <c r="CB86" s="90" t="str">
        <f t="shared" si="210"/>
        <v/>
      </c>
      <c r="CC86" s="90" t="str">
        <f t="shared" si="210"/>
        <v/>
      </c>
      <c r="CD86" s="22"/>
      <c r="CE86" s="22"/>
      <c r="CF86" s="22"/>
      <c r="CG86" s="91">
        <f>$A$38</f>
        <v>20152</v>
      </c>
      <c r="CH86" s="105"/>
      <c r="CI86" s="90" t="str">
        <f t="shared" si="211"/>
        <v/>
      </c>
      <c r="CJ86" s="90" t="str">
        <f t="shared" si="211"/>
        <v/>
      </c>
      <c r="CK86" s="90" t="str">
        <f t="shared" si="211"/>
        <v/>
      </c>
      <c r="CL86" s="90" t="str">
        <f t="shared" si="211"/>
        <v/>
      </c>
      <c r="CM86" s="90" t="str">
        <f t="shared" si="211"/>
        <v/>
      </c>
      <c r="CN86" s="90" t="str">
        <f t="shared" si="211"/>
        <v/>
      </c>
      <c r="CO86" s="90" t="str">
        <f t="shared" si="211"/>
        <v/>
      </c>
      <c r="CP86" s="22"/>
      <c r="CQ86" s="22"/>
      <c r="CR86" s="22"/>
      <c r="CS86" s="91">
        <f>$A$38</f>
        <v>20152</v>
      </c>
      <c r="CT86" s="105"/>
      <c r="CU86" s="90" t="str">
        <f t="shared" si="212"/>
        <v/>
      </c>
      <c r="CV86" s="90" t="str">
        <f t="shared" si="212"/>
        <v/>
      </c>
      <c r="CW86" s="90" t="str">
        <f t="shared" si="212"/>
        <v/>
      </c>
      <c r="CX86" s="90" t="str">
        <f t="shared" si="212"/>
        <v/>
      </c>
      <c r="CY86" s="90" t="str">
        <f t="shared" si="212"/>
        <v/>
      </c>
      <c r="CZ86" s="90" t="str">
        <f t="shared" si="212"/>
        <v/>
      </c>
      <c r="DA86" s="90" t="str">
        <f t="shared" si="212"/>
        <v/>
      </c>
      <c r="DB86" s="22"/>
      <c r="DC86" s="22"/>
      <c r="DD86" s="22"/>
      <c r="DE86" s="91">
        <f>$A$38</f>
        <v>20152</v>
      </c>
      <c r="DF86" s="105"/>
      <c r="DG86" s="90" t="str">
        <f t="shared" si="213"/>
        <v/>
      </c>
      <c r="DH86" s="90" t="str">
        <f t="shared" si="213"/>
        <v/>
      </c>
      <c r="DI86" s="90" t="str">
        <f t="shared" si="213"/>
        <v/>
      </c>
      <c r="DJ86" s="90" t="str">
        <f t="shared" si="213"/>
        <v/>
      </c>
      <c r="DK86" s="90" t="str">
        <f t="shared" si="213"/>
        <v/>
      </c>
      <c r="DL86" s="90" t="str">
        <f t="shared" si="213"/>
        <v/>
      </c>
      <c r="DM86" s="90" t="str">
        <f t="shared" si="213"/>
        <v/>
      </c>
      <c r="DN86" s="22"/>
      <c r="DO86" s="22"/>
      <c r="DP86" s="22"/>
    </row>
    <row r="87" spans="1:120" x14ac:dyDescent="0.25">
      <c r="A87" s="91">
        <f>$A$39</f>
        <v>20162</v>
      </c>
      <c r="B87" s="105"/>
      <c r="C87" s="90">
        <f t="shared" si="204"/>
        <v>1.2403637304789499</v>
      </c>
      <c r="D87" s="90">
        <f t="shared" si="204"/>
        <v>1.0398876983133885</v>
      </c>
      <c r="E87" s="90">
        <f t="shared" si="204"/>
        <v>1.0407796009127983</v>
      </c>
      <c r="F87" s="90">
        <f t="shared" si="204"/>
        <v>1.0108622711563378</v>
      </c>
      <c r="G87" s="90">
        <f t="shared" si="204"/>
        <v>1.0096665645127951</v>
      </c>
      <c r="H87" s="90">
        <f t="shared" si="204"/>
        <v>1.015313275761099</v>
      </c>
      <c r="I87" s="22"/>
      <c r="J87" s="22"/>
      <c r="K87" s="22"/>
      <c r="L87" s="22"/>
      <c r="M87" s="91">
        <f>$A$39</f>
        <v>20162</v>
      </c>
      <c r="N87" s="105"/>
      <c r="O87" s="90" t="str">
        <f t="shared" si="205"/>
        <v/>
      </c>
      <c r="P87" s="90" t="str">
        <f t="shared" si="205"/>
        <v/>
      </c>
      <c r="Q87" s="90" t="str">
        <f t="shared" si="205"/>
        <v/>
      </c>
      <c r="R87" s="90" t="str">
        <f t="shared" si="205"/>
        <v/>
      </c>
      <c r="S87" s="90" t="str">
        <f t="shared" si="205"/>
        <v/>
      </c>
      <c r="T87" s="90" t="str">
        <f t="shared" si="205"/>
        <v/>
      </c>
      <c r="U87" s="22"/>
      <c r="V87" s="22"/>
      <c r="W87" s="22"/>
      <c r="X87" s="22"/>
      <c r="Y87" s="91">
        <f>$A$39</f>
        <v>20162</v>
      </c>
      <c r="Z87" s="105"/>
      <c r="AA87" s="90" t="str">
        <f t="shared" si="206"/>
        <v/>
      </c>
      <c r="AB87" s="90" t="str">
        <f t="shared" si="206"/>
        <v/>
      </c>
      <c r="AC87" s="90" t="str">
        <f t="shared" si="206"/>
        <v/>
      </c>
      <c r="AD87" s="90" t="str">
        <f t="shared" si="206"/>
        <v/>
      </c>
      <c r="AE87" s="90" t="str">
        <f t="shared" si="206"/>
        <v/>
      </c>
      <c r="AF87" s="90" t="str">
        <f t="shared" si="206"/>
        <v/>
      </c>
      <c r="AG87" s="22"/>
      <c r="AH87" s="22"/>
      <c r="AI87" s="22"/>
      <c r="AJ87" s="22"/>
      <c r="AK87" s="91">
        <f>$A$39</f>
        <v>20162</v>
      </c>
      <c r="AL87" s="105"/>
      <c r="AM87" s="90" t="str">
        <f t="shared" si="207"/>
        <v/>
      </c>
      <c r="AN87" s="90" t="str">
        <f t="shared" si="207"/>
        <v/>
      </c>
      <c r="AO87" s="90" t="str">
        <f t="shared" si="207"/>
        <v/>
      </c>
      <c r="AP87" s="90" t="str">
        <f t="shared" si="207"/>
        <v/>
      </c>
      <c r="AQ87" s="90" t="str">
        <f t="shared" si="207"/>
        <v/>
      </c>
      <c r="AR87" s="90" t="str">
        <f t="shared" si="207"/>
        <v/>
      </c>
      <c r="AS87" s="22"/>
      <c r="AT87" s="22"/>
      <c r="AU87" s="22"/>
      <c r="AV87" s="22"/>
      <c r="AW87" s="91">
        <f>$A$39</f>
        <v>20162</v>
      </c>
      <c r="AX87" s="105"/>
      <c r="AY87" s="90" t="str">
        <f t="shared" si="208"/>
        <v/>
      </c>
      <c r="AZ87" s="90" t="str">
        <f t="shared" si="208"/>
        <v/>
      </c>
      <c r="BA87" s="90" t="str">
        <f t="shared" si="208"/>
        <v/>
      </c>
      <c r="BB87" s="90" t="str">
        <f t="shared" si="208"/>
        <v/>
      </c>
      <c r="BC87" s="90" t="str">
        <f t="shared" si="208"/>
        <v/>
      </c>
      <c r="BD87" s="90" t="str">
        <f t="shared" si="208"/>
        <v/>
      </c>
      <c r="BE87" s="22"/>
      <c r="BF87" s="22"/>
      <c r="BG87" s="22"/>
      <c r="BH87" s="22"/>
      <c r="BI87" s="91">
        <f>$A$39</f>
        <v>20162</v>
      </c>
      <c r="BJ87" s="105"/>
      <c r="BK87" s="90" t="str">
        <f t="shared" si="209"/>
        <v/>
      </c>
      <c r="BL87" s="90" t="str">
        <f t="shared" si="209"/>
        <v/>
      </c>
      <c r="BM87" s="90" t="str">
        <f t="shared" si="209"/>
        <v/>
      </c>
      <c r="BN87" s="90" t="str">
        <f t="shared" si="209"/>
        <v/>
      </c>
      <c r="BO87" s="90" t="str">
        <f t="shared" si="209"/>
        <v/>
      </c>
      <c r="BP87" s="90" t="str">
        <f t="shared" si="209"/>
        <v/>
      </c>
      <c r="BQ87" s="22"/>
      <c r="BR87" s="22"/>
      <c r="BS87" s="22"/>
      <c r="BT87" s="22"/>
      <c r="BU87" s="91">
        <f>$A$39</f>
        <v>20162</v>
      </c>
      <c r="BV87" s="105"/>
      <c r="BW87" s="90" t="str">
        <f t="shared" si="210"/>
        <v/>
      </c>
      <c r="BX87" s="90" t="str">
        <f t="shared" si="210"/>
        <v/>
      </c>
      <c r="BY87" s="90" t="str">
        <f t="shared" si="210"/>
        <v/>
      </c>
      <c r="BZ87" s="90" t="str">
        <f t="shared" si="210"/>
        <v/>
      </c>
      <c r="CA87" s="90" t="str">
        <f t="shared" si="210"/>
        <v/>
      </c>
      <c r="CB87" s="90" t="str">
        <f t="shared" si="210"/>
        <v/>
      </c>
      <c r="CC87" s="22"/>
      <c r="CD87" s="22"/>
      <c r="CE87" s="22"/>
      <c r="CF87" s="22"/>
      <c r="CG87" s="91">
        <f>$A$39</f>
        <v>20162</v>
      </c>
      <c r="CH87" s="105"/>
      <c r="CI87" s="90" t="str">
        <f t="shared" si="211"/>
        <v/>
      </c>
      <c r="CJ87" s="90" t="str">
        <f t="shared" si="211"/>
        <v/>
      </c>
      <c r="CK87" s="90" t="str">
        <f t="shared" si="211"/>
        <v/>
      </c>
      <c r="CL87" s="90" t="str">
        <f t="shared" si="211"/>
        <v/>
      </c>
      <c r="CM87" s="90" t="str">
        <f t="shared" si="211"/>
        <v/>
      </c>
      <c r="CN87" s="90" t="str">
        <f t="shared" si="211"/>
        <v/>
      </c>
      <c r="CO87" s="22"/>
      <c r="CP87" s="22"/>
      <c r="CQ87" s="22"/>
      <c r="CR87" s="22"/>
      <c r="CS87" s="91">
        <f>$A$39</f>
        <v>20162</v>
      </c>
      <c r="CT87" s="105"/>
      <c r="CU87" s="90" t="str">
        <f t="shared" si="212"/>
        <v/>
      </c>
      <c r="CV87" s="90" t="str">
        <f t="shared" si="212"/>
        <v/>
      </c>
      <c r="CW87" s="90" t="str">
        <f t="shared" si="212"/>
        <v/>
      </c>
      <c r="CX87" s="90" t="str">
        <f t="shared" si="212"/>
        <v/>
      </c>
      <c r="CY87" s="90" t="str">
        <f t="shared" si="212"/>
        <v/>
      </c>
      <c r="CZ87" s="90" t="str">
        <f t="shared" si="212"/>
        <v/>
      </c>
      <c r="DA87" s="22"/>
      <c r="DB87" s="22"/>
      <c r="DC87" s="22"/>
      <c r="DD87" s="22"/>
      <c r="DE87" s="91">
        <f>$A$39</f>
        <v>20162</v>
      </c>
      <c r="DF87" s="105"/>
      <c r="DG87" s="90" t="str">
        <f t="shared" si="213"/>
        <v/>
      </c>
      <c r="DH87" s="90" t="str">
        <f t="shared" si="213"/>
        <v/>
      </c>
      <c r="DI87" s="90" t="str">
        <f t="shared" si="213"/>
        <v/>
      </c>
      <c r="DJ87" s="90" t="str">
        <f t="shared" si="213"/>
        <v/>
      </c>
      <c r="DK87" s="90" t="str">
        <f t="shared" si="213"/>
        <v/>
      </c>
      <c r="DL87" s="90" t="str">
        <f t="shared" si="213"/>
        <v/>
      </c>
      <c r="DM87" s="22"/>
      <c r="DN87" s="22"/>
      <c r="DO87" s="22"/>
      <c r="DP87" s="22"/>
    </row>
    <row r="88" spans="1:120" x14ac:dyDescent="0.25">
      <c r="A88" s="91">
        <f>$A$40</f>
        <v>20172</v>
      </c>
      <c r="B88" s="105"/>
      <c r="C88" s="90">
        <f t="shared" si="204"/>
        <v>1.2167040956776676</v>
      </c>
      <c r="D88" s="90">
        <f t="shared" si="204"/>
        <v>1.0525768267246969</v>
      </c>
      <c r="E88" s="90">
        <f t="shared" si="204"/>
        <v>1.0214000111536758</v>
      </c>
      <c r="F88" s="90">
        <f t="shared" si="204"/>
        <v>1.0240476681660691</v>
      </c>
      <c r="G88" s="90">
        <f t="shared" si="204"/>
        <v>1.0261321045431822</v>
      </c>
      <c r="H88" s="22"/>
      <c r="I88" s="22"/>
      <c r="J88" s="22"/>
      <c r="K88" s="22"/>
      <c r="L88" s="22"/>
      <c r="M88" s="91">
        <f>$A$40</f>
        <v>20172</v>
      </c>
      <c r="N88" s="105"/>
      <c r="O88" s="90" t="str">
        <f t="shared" si="205"/>
        <v/>
      </c>
      <c r="P88" s="90" t="str">
        <f t="shared" si="205"/>
        <v/>
      </c>
      <c r="Q88" s="90" t="str">
        <f t="shared" si="205"/>
        <v/>
      </c>
      <c r="R88" s="90" t="str">
        <f t="shared" si="205"/>
        <v/>
      </c>
      <c r="S88" s="90" t="str">
        <f t="shared" si="205"/>
        <v/>
      </c>
      <c r="T88" s="22"/>
      <c r="U88" s="22"/>
      <c r="V88" s="22"/>
      <c r="W88" s="22"/>
      <c r="X88" s="22"/>
      <c r="Y88" s="91">
        <f>$A$40</f>
        <v>20172</v>
      </c>
      <c r="Z88" s="105"/>
      <c r="AA88" s="90" t="str">
        <f t="shared" si="206"/>
        <v/>
      </c>
      <c r="AB88" s="90" t="str">
        <f t="shared" si="206"/>
        <v/>
      </c>
      <c r="AC88" s="90" t="str">
        <f t="shared" si="206"/>
        <v/>
      </c>
      <c r="AD88" s="90" t="str">
        <f t="shared" si="206"/>
        <v/>
      </c>
      <c r="AE88" s="90" t="str">
        <f t="shared" si="206"/>
        <v/>
      </c>
      <c r="AF88" s="22"/>
      <c r="AG88" s="22"/>
      <c r="AH88" s="22"/>
      <c r="AI88" s="22"/>
      <c r="AJ88" s="22"/>
      <c r="AK88" s="91">
        <f>$A$40</f>
        <v>20172</v>
      </c>
      <c r="AL88" s="105"/>
      <c r="AM88" s="90" t="str">
        <f t="shared" si="207"/>
        <v/>
      </c>
      <c r="AN88" s="90" t="str">
        <f t="shared" si="207"/>
        <v/>
      </c>
      <c r="AO88" s="90" t="str">
        <f t="shared" si="207"/>
        <v/>
      </c>
      <c r="AP88" s="90" t="str">
        <f t="shared" si="207"/>
        <v/>
      </c>
      <c r="AQ88" s="90" t="str">
        <f t="shared" si="207"/>
        <v/>
      </c>
      <c r="AR88" s="22"/>
      <c r="AS88" s="22"/>
      <c r="AT88" s="22"/>
      <c r="AU88" s="22"/>
      <c r="AV88" s="22"/>
      <c r="AW88" s="91">
        <f>$A$40</f>
        <v>20172</v>
      </c>
      <c r="AX88" s="105"/>
      <c r="AY88" s="90" t="str">
        <f t="shared" si="208"/>
        <v/>
      </c>
      <c r="AZ88" s="90" t="str">
        <f t="shared" si="208"/>
        <v/>
      </c>
      <c r="BA88" s="90" t="str">
        <f t="shared" si="208"/>
        <v/>
      </c>
      <c r="BB88" s="90" t="str">
        <f t="shared" si="208"/>
        <v/>
      </c>
      <c r="BC88" s="90" t="str">
        <f t="shared" si="208"/>
        <v/>
      </c>
      <c r="BD88" s="22"/>
      <c r="BE88" s="22"/>
      <c r="BF88" s="22"/>
      <c r="BG88" s="22"/>
      <c r="BH88" s="22"/>
      <c r="BI88" s="91">
        <f>$A$40</f>
        <v>20172</v>
      </c>
      <c r="BJ88" s="105"/>
      <c r="BK88" s="90" t="str">
        <f t="shared" si="209"/>
        <v/>
      </c>
      <c r="BL88" s="90" t="str">
        <f t="shared" si="209"/>
        <v/>
      </c>
      <c r="BM88" s="90" t="str">
        <f t="shared" si="209"/>
        <v/>
      </c>
      <c r="BN88" s="90" t="str">
        <f t="shared" si="209"/>
        <v/>
      </c>
      <c r="BO88" s="90" t="str">
        <f t="shared" si="209"/>
        <v/>
      </c>
      <c r="BP88" s="22"/>
      <c r="BQ88" s="22"/>
      <c r="BR88" s="22"/>
      <c r="BS88" s="22"/>
      <c r="BT88" s="22"/>
      <c r="BU88" s="91">
        <f>$A$40</f>
        <v>20172</v>
      </c>
      <c r="BV88" s="105"/>
      <c r="BW88" s="90" t="str">
        <f t="shared" si="210"/>
        <v/>
      </c>
      <c r="BX88" s="90" t="str">
        <f t="shared" si="210"/>
        <v/>
      </c>
      <c r="BY88" s="90" t="str">
        <f t="shared" si="210"/>
        <v/>
      </c>
      <c r="BZ88" s="90" t="str">
        <f t="shared" si="210"/>
        <v/>
      </c>
      <c r="CA88" s="90" t="str">
        <f t="shared" si="210"/>
        <v/>
      </c>
      <c r="CB88" s="22"/>
      <c r="CC88" s="22"/>
      <c r="CD88" s="22"/>
      <c r="CE88" s="22"/>
      <c r="CF88" s="22"/>
      <c r="CG88" s="91">
        <f>$A$40</f>
        <v>20172</v>
      </c>
      <c r="CH88" s="105"/>
      <c r="CI88" s="90" t="str">
        <f t="shared" ref="CI88:CM88" si="214">IFERROR(CJ75/CI75,"")</f>
        <v/>
      </c>
      <c r="CJ88" s="90" t="str">
        <f t="shared" si="214"/>
        <v/>
      </c>
      <c r="CK88" s="90" t="str">
        <f t="shared" si="214"/>
        <v/>
      </c>
      <c r="CL88" s="90" t="str">
        <f t="shared" si="214"/>
        <v/>
      </c>
      <c r="CM88" s="90" t="str">
        <f t="shared" si="214"/>
        <v/>
      </c>
      <c r="CN88" s="22"/>
      <c r="CO88" s="22"/>
      <c r="CP88" s="22"/>
      <c r="CQ88" s="22"/>
      <c r="CR88" s="22"/>
      <c r="CS88" s="91">
        <f>$A$40</f>
        <v>20172</v>
      </c>
      <c r="CT88" s="105"/>
      <c r="CU88" s="90" t="str">
        <f t="shared" si="212"/>
        <v/>
      </c>
      <c r="CV88" s="90" t="str">
        <f t="shared" si="212"/>
        <v/>
      </c>
      <c r="CW88" s="90" t="str">
        <f t="shared" si="212"/>
        <v/>
      </c>
      <c r="CX88" s="90" t="str">
        <f t="shared" si="212"/>
        <v/>
      </c>
      <c r="CY88" s="90" t="str">
        <f t="shared" si="212"/>
        <v/>
      </c>
      <c r="CZ88" s="22"/>
      <c r="DA88" s="22"/>
      <c r="DB88" s="22"/>
      <c r="DC88" s="22"/>
      <c r="DD88" s="22"/>
      <c r="DE88" s="91">
        <f>$A$40</f>
        <v>20172</v>
      </c>
      <c r="DF88" s="105"/>
      <c r="DG88" s="90" t="str">
        <f t="shared" si="213"/>
        <v/>
      </c>
      <c r="DH88" s="90" t="str">
        <f t="shared" si="213"/>
        <v/>
      </c>
      <c r="DI88" s="90" t="str">
        <f t="shared" si="213"/>
        <v/>
      </c>
      <c r="DJ88" s="90" t="str">
        <f t="shared" si="213"/>
        <v/>
      </c>
      <c r="DK88" s="90" t="str">
        <f t="shared" si="213"/>
        <v/>
      </c>
      <c r="DL88" s="22"/>
      <c r="DM88" s="22"/>
      <c r="DN88" s="22"/>
      <c r="DO88" s="22"/>
      <c r="DP88" s="22"/>
    </row>
    <row r="89" spans="1:120" x14ac:dyDescent="0.25">
      <c r="A89" s="91">
        <f>$A$41</f>
        <v>20182</v>
      </c>
      <c r="B89" s="105"/>
      <c r="C89" s="90">
        <f t="shared" si="204"/>
        <v>1.2594068139526611</v>
      </c>
      <c r="D89" s="90">
        <f t="shared" si="204"/>
        <v>1.0327084432774405</v>
      </c>
      <c r="E89" s="90">
        <f t="shared" si="204"/>
        <v>1.0349120767028095</v>
      </c>
      <c r="F89" s="90">
        <f t="shared" si="204"/>
        <v>1.0306872469315813</v>
      </c>
      <c r="G89" s="22"/>
      <c r="H89" s="22"/>
      <c r="I89" s="22"/>
      <c r="J89" s="22"/>
      <c r="K89" s="22"/>
      <c r="L89" s="22"/>
      <c r="M89" s="91">
        <f>$A$41</f>
        <v>20182</v>
      </c>
      <c r="N89" s="105"/>
      <c r="O89" s="90" t="str">
        <f t="shared" si="205"/>
        <v/>
      </c>
      <c r="P89" s="90" t="str">
        <f t="shared" si="205"/>
        <v/>
      </c>
      <c r="Q89" s="90" t="str">
        <f t="shared" si="205"/>
        <v/>
      </c>
      <c r="R89" s="90" t="str">
        <f t="shared" si="205"/>
        <v/>
      </c>
      <c r="S89" s="22"/>
      <c r="T89" s="22"/>
      <c r="U89" s="22"/>
      <c r="V89" s="22"/>
      <c r="W89" s="22"/>
      <c r="X89" s="22"/>
      <c r="Y89" s="91">
        <f>$A$41</f>
        <v>20182</v>
      </c>
      <c r="Z89" s="105"/>
      <c r="AA89" s="90" t="str">
        <f t="shared" si="206"/>
        <v/>
      </c>
      <c r="AB89" s="90" t="str">
        <f t="shared" si="206"/>
        <v/>
      </c>
      <c r="AC89" s="90" t="str">
        <f t="shared" si="206"/>
        <v/>
      </c>
      <c r="AD89" s="90" t="str">
        <f t="shared" si="206"/>
        <v/>
      </c>
      <c r="AE89" s="22"/>
      <c r="AF89" s="22"/>
      <c r="AG89" s="22"/>
      <c r="AH89" s="22"/>
      <c r="AI89" s="22"/>
      <c r="AJ89" s="22"/>
      <c r="AK89" s="91">
        <f>$A$41</f>
        <v>20182</v>
      </c>
      <c r="AL89" s="105"/>
      <c r="AM89" s="90" t="str">
        <f t="shared" si="207"/>
        <v/>
      </c>
      <c r="AN89" s="90" t="str">
        <f t="shared" si="207"/>
        <v/>
      </c>
      <c r="AO89" s="90" t="str">
        <f t="shared" si="207"/>
        <v/>
      </c>
      <c r="AP89" s="90" t="str">
        <f t="shared" si="207"/>
        <v/>
      </c>
      <c r="AQ89" s="22"/>
      <c r="AR89" s="22"/>
      <c r="AS89" s="22"/>
      <c r="AT89" s="22"/>
      <c r="AU89" s="22"/>
      <c r="AV89" s="22"/>
      <c r="AW89" s="91">
        <f>$A$41</f>
        <v>20182</v>
      </c>
      <c r="AX89" s="105"/>
      <c r="AY89" s="90" t="str">
        <f t="shared" si="208"/>
        <v/>
      </c>
      <c r="AZ89" s="90" t="str">
        <f t="shared" si="208"/>
        <v/>
      </c>
      <c r="BA89" s="90" t="str">
        <f t="shared" si="208"/>
        <v/>
      </c>
      <c r="BB89" s="90" t="str">
        <f t="shared" si="208"/>
        <v/>
      </c>
      <c r="BC89" s="22"/>
      <c r="BD89" s="22"/>
      <c r="BE89" s="22"/>
      <c r="BF89" s="22"/>
      <c r="BG89" s="22"/>
      <c r="BH89" s="22"/>
      <c r="BI89" s="91">
        <f>$A$41</f>
        <v>20182</v>
      </c>
      <c r="BJ89" s="105"/>
      <c r="BK89" s="90" t="str">
        <f t="shared" si="209"/>
        <v/>
      </c>
      <c r="BL89" s="90" t="str">
        <f t="shared" si="209"/>
        <v/>
      </c>
      <c r="BM89" s="90" t="str">
        <f t="shared" si="209"/>
        <v/>
      </c>
      <c r="BN89" s="90" t="str">
        <f t="shared" si="209"/>
        <v/>
      </c>
      <c r="BO89" s="22"/>
      <c r="BP89" s="22"/>
      <c r="BQ89" s="22"/>
      <c r="BR89" s="22"/>
      <c r="BS89" s="22"/>
      <c r="BT89" s="22"/>
      <c r="BU89" s="91">
        <f>$A$41</f>
        <v>20182</v>
      </c>
      <c r="BV89" s="105"/>
      <c r="BW89" s="90" t="str">
        <f t="shared" si="210"/>
        <v/>
      </c>
      <c r="BX89" s="90" t="str">
        <f t="shared" si="210"/>
        <v/>
      </c>
      <c r="BY89" s="90" t="str">
        <f t="shared" si="210"/>
        <v/>
      </c>
      <c r="BZ89" s="90" t="str">
        <f t="shared" si="210"/>
        <v/>
      </c>
      <c r="CA89" s="22"/>
      <c r="CB89" s="22"/>
      <c r="CC89" s="22"/>
      <c r="CD89" s="22"/>
      <c r="CE89" s="22"/>
      <c r="CF89" s="22"/>
      <c r="CG89" s="91">
        <f>$A$41</f>
        <v>20182</v>
      </c>
      <c r="CH89" s="105"/>
      <c r="CI89" s="90" t="str">
        <f t="shared" ref="CI89:CL89" si="215">IFERROR(CJ76/CI76,"")</f>
        <v/>
      </c>
      <c r="CJ89" s="90" t="str">
        <f t="shared" si="215"/>
        <v/>
      </c>
      <c r="CK89" s="90" t="str">
        <f t="shared" si="215"/>
        <v/>
      </c>
      <c r="CL89" s="90" t="str">
        <f t="shared" si="215"/>
        <v/>
      </c>
      <c r="CM89" s="22"/>
      <c r="CN89" s="22"/>
      <c r="CO89" s="22"/>
      <c r="CP89" s="22"/>
      <c r="CQ89" s="22"/>
      <c r="CR89" s="22"/>
      <c r="CS89" s="91">
        <f>$A$41</f>
        <v>20182</v>
      </c>
      <c r="CT89" s="105"/>
      <c r="CU89" s="90" t="str">
        <f t="shared" si="212"/>
        <v/>
      </c>
      <c r="CV89" s="90" t="str">
        <f t="shared" si="212"/>
        <v/>
      </c>
      <c r="CW89" s="90" t="str">
        <f t="shared" si="212"/>
        <v/>
      </c>
      <c r="CX89" s="90" t="str">
        <f t="shared" si="212"/>
        <v/>
      </c>
      <c r="CY89" s="22"/>
      <c r="CZ89" s="22"/>
      <c r="DA89" s="22"/>
      <c r="DB89" s="22"/>
      <c r="DC89" s="22"/>
      <c r="DD89" s="22"/>
      <c r="DE89" s="91">
        <f>$A$41</f>
        <v>20182</v>
      </c>
      <c r="DF89" s="105"/>
      <c r="DG89" s="90" t="str">
        <f t="shared" si="213"/>
        <v/>
      </c>
      <c r="DH89" s="90" t="str">
        <f t="shared" si="213"/>
        <v/>
      </c>
      <c r="DI89" s="90" t="str">
        <f t="shared" si="213"/>
        <v/>
      </c>
      <c r="DJ89" s="90" t="str">
        <f t="shared" si="213"/>
        <v/>
      </c>
      <c r="DK89" s="22"/>
      <c r="DL89" s="22"/>
      <c r="DM89" s="22"/>
      <c r="DN89" s="22"/>
      <c r="DO89" s="22"/>
      <c r="DP89" s="22"/>
    </row>
    <row r="90" spans="1:120" x14ac:dyDescent="0.25">
      <c r="A90" s="91">
        <f>$A$42</f>
        <v>20192</v>
      </c>
      <c r="B90" s="105"/>
      <c r="C90" s="90">
        <f t="shared" si="204"/>
        <v>1.3423619614416711</v>
      </c>
      <c r="D90" s="90">
        <f t="shared" si="204"/>
        <v>1.0533597113435327</v>
      </c>
      <c r="E90" s="90">
        <f t="shared" si="204"/>
        <v>1.0583230999994604</v>
      </c>
      <c r="F90" s="22"/>
      <c r="G90" s="22"/>
      <c r="H90" s="22"/>
      <c r="I90" s="22"/>
      <c r="J90" s="22"/>
      <c r="K90" s="22"/>
      <c r="L90" s="22"/>
      <c r="M90" s="91">
        <f>$A$42</f>
        <v>20192</v>
      </c>
      <c r="N90" s="105"/>
      <c r="O90" s="90" t="str">
        <f t="shared" si="205"/>
        <v/>
      </c>
      <c r="P90" s="90" t="str">
        <f t="shared" si="205"/>
        <v/>
      </c>
      <c r="Q90" s="90" t="str">
        <f t="shared" si="205"/>
        <v/>
      </c>
      <c r="R90" s="22"/>
      <c r="S90" s="22"/>
      <c r="T90" s="22"/>
      <c r="U90" s="22"/>
      <c r="V90" s="22"/>
      <c r="W90" s="22"/>
      <c r="X90" s="22"/>
      <c r="Y90" s="91">
        <f>$A$42</f>
        <v>20192</v>
      </c>
      <c r="Z90" s="105"/>
      <c r="AA90" s="90" t="str">
        <f t="shared" si="206"/>
        <v/>
      </c>
      <c r="AB90" s="90" t="str">
        <f t="shared" si="206"/>
        <v/>
      </c>
      <c r="AC90" s="90" t="str">
        <f t="shared" si="206"/>
        <v/>
      </c>
      <c r="AD90" s="22"/>
      <c r="AE90" s="22"/>
      <c r="AF90" s="22"/>
      <c r="AG90" s="22"/>
      <c r="AH90" s="22"/>
      <c r="AI90" s="22"/>
      <c r="AJ90" s="22"/>
      <c r="AK90" s="91">
        <f>$A$42</f>
        <v>20192</v>
      </c>
      <c r="AL90" s="105"/>
      <c r="AM90" s="90" t="str">
        <f t="shared" si="207"/>
        <v/>
      </c>
      <c r="AN90" s="90" t="str">
        <f t="shared" si="207"/>
        <v/>
      </c>
      <c r="AO90" s="90" t="str">
        <f t="shared" si="207"/>
        <v/>
      </c>
      <c r="AP90" s="22"/>
      <c r="AQ90" s="22"/>
      <c r="AR90" s="22"/>
      <c r="AS90" s="22"/>
      <c r="AT90" s="22"/>
      <c r="AU90" s="22"/>
      <c r="AV90" s="22"/>
      <c r="AW90" s="91">
        <f>$A$42</f>
        <v>20192</v>
      </c>
      <c r="AX90" s="105"/>
      <c r="AY90" s="90" t="str">
        <f t="shared" si="208"/>
        <v/>
      </c>
      <c r="AZ90" s="90" t="str">
        <f t="shared" si="208"/>
        <v/>
      </c>
      <c r="BA90" s="90" t="str">
        <f t="shared" si="208"/>
        <v/>
      </c>
      <c r="BB90" s="22"/>
      <c r="BC90" s="22"/>
      <c r="BD90" s="22"/>
      <c r="BE90" s="22"/>
      <c r="BF90" s="22"/>
      <c r="BG90" s="22"/>
      <c r="BH90" s="22"/>
      <c r="BI90" s="91">
        <f>$A$42</f>
        <v>20192</v>
      </c>
      <c r="BJ90" s="105"/>
      <c r="BK90" s="90" t="str">
        <f t="shared" si="209"/>
        <v/>
      </c>
      <c r="BL90" s="90" t="str">
        <f t="shared" si="209"/>
        <v/>
      </c>
      <c r="BM90" s="90" t="str">
        <f t="shared" si="209"/>
        <v/>
      </c>
      <c r="BN90" s="22"/>
      <c r="BO90" s="22"/>
      <c r="BP90" s="22"/>
      <c r="BQ90" s="22"/>
      <c r="BR90" s="22"/>
      <c r="BS90" s="22"/>
      <c r="BT90" s="22"/>
      <c r="BU90" s="91">
        <f>$A$42</f>
        <v>20192</v>
      </c>
      <c r="BV90" s="105"/>
      <c r="BW90" s="90" t="str">
        <f t="shared" si="210"/>
        <v/>
      </c>
      <c r="BX90" s="90" t="str">
        <f t="shared" si="210"/>
        <v/>
      </c>
      <c r="BY90" s="90" t="str">
        <f t="shared" si="210"/>
        <v/>
      </c>
      <c r="BZ90" s="22"/>
      <c r="CA90" s="22"/>
      <c r="CB90" s="22"/>
      <c r="CC90" s="22"/>
      <c r="CD90" s="22"/>
      <c r="CE90" s="22"/>
      <c r="CF90" s="22"/>
      <c r="CG90" s="91">
        <f>$A$42</f>
        <v>20192</v>
      </c>
      <c r="CH90" s="105"/>
      <c r="CI90" s="90" t="str">
        <f t="shared" ref="CI90:CK90" si="216">IFERROR(CJ77/CI77,"")</f>
        <v/>
      </c>
      <c r="CJ90" s="90" t="str">
        <f t="shared" si="216"/>
        <v/>
      </c>
      <c r="CK90" s="90" t="str">
        <f t="shared" si="216"/>
        <v/>
      </c>
      <c r="CL90" s="22"/>
      <c r="CM90" s="22"/>
      <c r="CN90" s="22"/>
      <c r="CO90" s="22"/>
      <c r="CP90" s="22"/>
      <c r="CQ90" s="22"/>
      <c r="CR90" s="22"/>
      <c r="CS90" s="91">
        <f>$A$42</f>
        <v>20192</v>
      </c>
      <c r="CT90" s="105"/>
      <c r="CU90" s="90" t="str">
        <f t="shared" si="212"/>
        <v/>
      </c>
      <c r="CV90" s="90" t="str">
        <f t="shared" si="212"/>
        <v/>
      </c>
      <c r="CW90" s="90" t="str">
        <f t="shared" si="212"/>
        <v/>
      </c>
      <c r="CX90" s="22"/>
      <c r="CY90" s="22"/>
      <c r="CZ90" s="22"/>
      <c r="DA90" s="22"/>
      <c r="DB90" s="22"/>
      <c r="DC90" s="22"/>
      <c r="DD90" s="22"/>
      <c r="DE90" s="91">
        <f>$A$42</f>
        <v>20192</v>
      </c>
      <c r="DF90" s="105"/>
      <c r="DG90" s="90" t="str">
        <f t="shared" si="213"/>
        <v/>
      </c>
      <c r="DH90" s="90" t="str">
        <f t="shared" si="213"/>
        <v/>
      </c>
      <c r="DI90" s="90" t="str">
        <f t="shared" si="213"/>
        <v/>
      </c>
      <c r="DJ90" s="22"/>
      <c r="DK90" s="22"/>
      <c r="DL90" s="22"/>
      <c r="DM90" s="22"/>
      <c r="DN90" s="22"/>
      <c r="DO90" s="22"/>
      <c r="DP90" s="22"/>
    </row>
    <row r="91" spans="1:120" x14ac:dyDescent="0.25">
      <c r="A91" s="91">
        <f>$A$43</f>
        <v>20202</v>
      </c>
      <c r="B91" s="105"/>
      <c r="C91" s="90">
        <f>IFERROR(D78/C78,"")</f>
        <v>1.3595073248296705</v>
      </c>
      <c r="D91" s="90">
        <f>IFERROR(E78/D78,"")</f>
        <v>1.0809024039889825</v>
      </c>
      <c r="E91" s="22"/>
      <c r="F91" s="22"/>
      <c r="G91" s="22"/>
      <c r="H91" s="22"/>
      <c r="I91" s="22"/>
      <c r="J91" s="22"/>
      <c r="K91" s="22"/>
      <c r="L91" s="22"/>
      <c r="M91" s="91">
        <f>$A$43</f>
        <v>20202</v>
      </c>
      <c r="N91" s="105"/>
      <c r="O91" s="90" t="str">
        <f t="shared" si="205"/>
        <v/>
      </c>
      <c r="P91" s="90" t="str">
        <f t="shared" si="205"/>
        <v/>
      </c>
      <c r="Q91" s="22"/>
      <c r="R91" s="22"/>
      <c r="S91" s="22"/>
      <c r="T91" s="22"/>
      <c r="U91" s="22"/>
      <c r="V91" s="22"/>
      <c r="W91" s="22"/>
      <c r="X91" s="22"/>
      <c r="Y91" s="91">
        <f>$A$43</f>
        <v>20202</v>
      </c>
      <c r="Z91" s="105"/>
      <c r="AA91" s="90" t="str">
        <f t="shared" si="206"/>
        <v/>
      </c>
      <c r="AB91" s="90" t="str">
        <f t="shared" si="206"/>
        <v/>
      </c>
      <c r="AC91" s="22"/>
      <c r="AD91" s="22"/>
      <c r="AE91" s="22"/>
      <c r="AF91" s="22"/>
      <c r="AG91" s="22"/>
      <c r="AH91" s="22"/>
      <c r="AI91" s="22"/>
      <c r="AJ91" s="22"/>
      <c r="AK91" s="91">
        <f>$A$43</f>
        <v>20202</v>
      </c>
      <c r="AL91" s="105"/>
      <c r="AM91" s="90" t="str">
        <f t="shared" si="207"/>
        <v/>
      </c>
      <c r="AN91" s="90" t="str">
        <f t="shared" si="207"/>
        <v/>
      </c>
      <c r="AO91" s="22"/>
      <c r="AP91" s="22"/>
      <c r="AQ91" s="22"/>
      <c r="AR91" s="22"/>
      <c r="AS91" s="22"/>
      <c r="AT91" s="22"/>
      <c r="AU91" s="22"/>
      <c r="AV91" s="22"/>
      <c r="AW91" s="91">
        <f>$A$43</f>
        <v>20202</v>
      </c>
      <c r="AX91" s="105"/>
      <c r="AY91" s="90" t="str">
        <f t="shared" si="208"/>
        <v/>
      </c>
      <c r="AZ91" s="90" t="str">
        <f t="shared" si="208"/>
        <v/>
      </c>
      <c r="BA91" s="22"/>
      <c r="BB91" s="22"/>
      <c r="BC91" s="22"/>
      <c r="BD91" s="22"/>
      <c r="BE91" s="22"/>
      <c r="BF91" s="22"/>
      <c r="BG91" s="22"/>
      <c r="BH91" s="22"/>
      <c r="BI91" s="91">
        <f>$A$43</f>
        <v>20202</v>
      </c>
      <c r="BJ91" s="105"/>
      <c r="BK91" s="90" t="str">
        <f t="shared" si="209"/>
        <v/>
      </c>
      <c r="BL91" s="90" t="str">
        <f t="shared" si="209"/>
        <v/>
      </c>
      <c r="BM91" s="22"/>
      <c r="BN91" s="22"/>
      <c r="BO91" s="22"/>
      <c r="BP91" s="22"/>
      <c r="BQ91" s="22"/>
      <c r="BR91" s="22"/>
      <c r="BS91" s="22"/>
      <c r="BT91" s="22"/>
      <c r="BU91" s="91">
        <f>$A$43</f>
        <v>20202</v>
      </c>
      <c r="BV91" s="105"/>
      <c r="BW91" s="90" t="str">
        <f t="shared" si="210"/>
        <v/>
      </c>
      <c r="BX91" s="90" t="str">
        <f t="shared" si="210"/>
        <v/>
      </c>
      <c r="BY91" s="22"/>
      <c r="BZ91" s="22"/>
      <c r="CA91" s="22"/>
      <c r="CB91" s="22"/>
      <c r="CC91" s="22"/>
      <c r="CD91" s="22"/>
      <c r="CE91" s="22"/>
      <c r="CF91" s="22"/>
      <c r="CG91" s="91">
        <f>$A$43</f>
        <v>20202</v>
      </c>
      <c r="CH91" s="105"/>
      <c r="CI91" s="90" t="str">
        <f t="shared" ref="CI91:CJ91" si="217">IFERROR(CJ78/CI78,"")</f>
        <v/>
      </c>
      <c r="CJ91" s="90" t="str">
        <f t="shared" si="217"/>
        <v/>
      </c>
      <c r="CK91" s="22"/>
      <c r="CL91" s="22"/>
      <c r="CM91" s="22"/>
      <c r="CN91" s="22"/>
      <c r="CO91" s="22"/>
      <c r="CP91" s="22"/>
      <c r="CQ91" s="22"/>
      <c r="CR91" s="22"/>
      <c r="CS91" s="91">
        <f>$A$43</f>
        <v>20202</v>
      </c>
      <c r="CT91" s="105"/>
      <c r="CU91" s="90" t="str">
        <f t="shared" si="212"/>
        <v/>
      </c>
      <c r="CV91" s="90" t="str">
        <f t="shared" si="212"/>
        <v/>
      </c>
      <c r="CW91" s="22"/>
      <c r="CX91" s="22"/>
      <c r="CY91" s="22"/>
      <c r="CZ91" s="22"/>
      <c r="DA91" s="22"/>
      <c r="DB91" s="22"/>
      <c r="DC91" s="22"/>
      <c r="DD91" s="22"/>
      <c r="DE91" s="91">
        <f>$A$43</f>
        <v>20202</v>
      </c>
      <c r="DF91" s="105"/>
      <c r="DG91" s="90" t="str">
        <f t="shared" si="213"/>
        <v/>
      </c>
      <c r="DH91" s="90" t="str">
        <f t="shared" si="213"/>
        <v/>
      </c>
      <c r="DI91" s="22"/>
      <c r="DJ91" s="22"/>
      <c r="DK91" s="22"/>
      <c r="DL91" s="22"/>
      <c r="DM91" s="22"/>
      <c r="DN91" s="22"/>
      <c r="DO91" s="22"/>
      <c r="DP91" s="22"/>
    </row>
    <row r="92" spans="1:120" x14ac:dyDescent="0.25">
      <c r="A92" s="91">
        <f>$A$44</f>
        <v>20212</v>
      </c>
      <c r="B92" s="105"/>
      <c r="C92" s="90">
        <f t="shared" si="204"/>
        <v>1.422446976433388</v>
      </c>
      <c r="D92" s="22"/>
      <c r="E92" s="22"/>
      <c r="F92" s="22"/>
      <c r="G92" s="22"/>
      <c r="H92" s="22"/>
      <c r="I92" s="22"/>
      <c r="J92" s="22"/>
      <c r="K92" s="22"/>
      <c r="L92" s="22"/>
      <c r="M92" s="91">
        <f>$A$44</f>
        <v>20212</v>
      </c>
      <c r="N92" s="105"/>
      <c r="O92" s="90" t="str">
        <f t="shared" si="205"/>
        <v/>
      </c>
      <c r="P92" s="22"/>
      <c r="Q92" s="22"/>
      <c r="R92" s="22"/>
      <c r="S92" s="22"/>
      <c r="T92" s="22"/>
      <c r="U92" s="22"/>
      <c r="V92" s="22"/>
      <c r="W92" s="22"/>
      <c r="X92" s="22"/>
      <c r="Y92" s="91">
        <f>$A$44</f>
        <v>20212</v>
      </c>
      <c r="Z92" s="105"/>
      <c r="AA92" s="90" t="str">
        <f t="shared" si="206"/>
        <v/>
      </c>
      <c r="AB92" s="22"/>
      <c r="AC92" s="22"/>
      <c r="AD92" s="22"/>
      <c r="AE92" s="22"/>
      <c r="AF92" s="22"/>
      <c r="AG92" s="22"/>
      <c r="AH92" s="22"/>
      <c r="AI92" s="22"/>
      <c r="AJ92" s="22"/>
      <c r="AK92" s="91">
        <f>$A$44</f>
        <v>20212</v>
      </c>
      <c r="AL92" s="105"/>
      <c r="AM92" s="90" t="str">
        <f t="shared" si="207"/>
        <v/>
      </c>
      <c r="AN92" s="22"/>
      <c r="AO92" s="22"/>
      <c r="AP92" s="22"/>
      <c r="AQ92" s="22"/>
      <c r="AR92" s="22"/>
      <c r="AS92" s="22"/>
      <c r="AT92" s="22"/>
      <c r="AU92" s="22"/>
      <c r="AV92" s="22"/>
      <c r="AW92" s="91">
        <f>$A$44</f>
        <v>20212</v>
      </c>
      <c r="AX92" s="105"/>
      <c r="AY92" s="90" t="str">
        <f t="shared" si="208"/>
        <v/>
      </c>
      <c r="AZ92" s="22"/>
      <c r="BA92" s="22"/>
      <c r="BB92" s="22"/>
      <c r="BC92" s="22"/>
      <c r="BD92" s="22"/>
      <c r="BE92" s="22"/>
      <c r="BF92" s="22"/>
      <c r="BG92" s="22"/>
      <c r="BH92" s="22"/>
      <c r="BI92" s="91">
        <f>$A$44</f>
        <v>20212</v>
      </c>
      <c r="BJ92" s="105"/>
      <c r="BK92" s="90" t="str">
        <f t="shared" si="209"/>
        <v/>
      </c>
      <c r="BL92" s="22"/>
      <c r="BM92" s="22"/>
      <c r="BN92" s="22"/>
      <c r="BO92" s="22"/>
      <c r="BP92" s="22"/>
      <c r="BQ92" s="22"/>
      <c r="BR92" s="22"/>
      <c r="BS92" s="22"/>
      <c r="BT92" s="22"/>
      <c r="BU92" s="91">
        <f>$A$44</f>
        <v>20212</v>
      </c>
      <c r="BV92" s="105"/>
      <c r="BW92" s="90" t="str">
        <f t="shared" si="210"/>
        <v/>
      </c>
      <c r="BX92" s="22"/>
      <c r="BY92" s="22"/>
      <c r="BZ92" s="22"/>
      <c r="CA92" s="22"/>
      <c r="CB92" s="22"/>
      <c r="CC92" s="22"/>
      <c r="CD92" s="22"/>
      <c r="CE92" s="22"/>
      <c r="CF92" s="22"/>
      <c r="CG92" s="91">
        <f>$A$44</f>
        <v>20212</v>
      </c>
      <c r="CH92" s="105"/>
      <c r="CI92" s="90" t="str">
        <f t="shared" ref="CI92" si="218">IFERROR(CJ79/CI79,"")</f>
        <v/>
      </c>
      <c r="CJ92" s="22"/>
      <c r="CK92" s="22"/>
      <c r="CL92" s="22"/>
      <c r="CM92" s="22"/>
      <c r="CN92" s="22"/>
      <c r="CO92" s="22"/>
      <c r="CP92" s="22"/>
      <c r="CQ92" s="22"/>
      <c r="CR92" s="22"/>
      <c r="CS92" s="91">
        <f>$A$44</f>
        <v>20212</v>
      </c>
      <c r="CT92" s="105"/>
      <c r="CU92" s="90" t="str">
        <f t="shared" si="212"/>
        <v/>
      </c>
      <c r="CV92" s="22"/>
      <c r="CW92" s="22"/>
      <c r="CX92" s="22"/>
      <c r="CY92" s="22"/>
      <c r="CZ92" s="22"/>
      <c r="DA92" s="22"/>
      <c r="DB92" s="22"/>
      <c r="DC92" s="22"/>
      <c r="DD92" s="22"/>
      <c r="DE92" s="91">
        <f>$A$44</f>
        <v>20212</v>
      </c>
      <c r="DF92" s="105"/>
      <c r="DG92" s="90" t="str">
        <f t="shared" si="213"/>
        <v/>
      </c>
      <c r="DH92" s="22"/>
      <c r="DI92" s="22"/>
      <c r="DJ92" s="22"/>
      <c r="DK92" s="22"/>
      <c r="DL92" s="22"/>
      <c r="DM92" s="22"/>
      <c r="DN92" s="22"/>
      <c r="DO92" s="22"/>
      <c r="DP92" s="22"/>
    </row>
    <row r="93" spans="1:120" x14ac:dyDescent="0.25">
      <c r="A93" s="108"/>
      <c r="B93" s="108"/>
      <c r="C93" s="108"/>
      <c r="D93" s="108"/>
      <c r="E93" s="108"/>
      <c r="F93" s="108"/>
      <c r="G93" s="108"/>
      <c r="H93" s="108"/>
      <c r="I93" s="108"/>
      <c r="J93" s="108"/>
      <c r="K93" s="108"/>
      <c r="L93" s="109" t="s">
        <v>38</v>
      </c>
      <c r="M93" s="108"/>
      <c r="N93" s="108"/>
      <c r="O93" s="108"/>
      <c r="P93" s="108"/>
      <c r="Q93" s="108"/>
      <c r="R93" s="108"/>
      <c r="S93" s="108"/>
      <c r="T93" s="108"/>
      <c r="U93" s="108"/>
      <c r="V93" s="108"/>
      <c r="W93" s="108"/>
      <c r="X93" s="109" t="s">
        <v>38</v>
      </c>
      <c r="Y93" s="108"/>
      <c r="Z93" s="108"/>
      <c r="AA93" s="108"/>
      <c r="AB93" s="108"/>
      <c r="AC93" s="108"/>
      <c r="AD93" s="108"/>
      <c r="AE93" s="108"/>
      <c r="AF93" s="108"/>
      <c r="AG93" s="108"/>
      <c r="AH93" s="108"/>
      <c r="AI93" s="108"/>
      <c r="AJ93" s="109" t="s">
        <v>38</v>
      </c>
      <c r="AK93" s="108"/>
      <c r="AL93" s="108"/>
      <c r="AM93" s="108"/>
      <c r="AN93" s="108"/>
      <c r="AO93" s="108"/>
      <c r="AP93" s="108"/>
      <c r="AQ93" s="108"/>
      <c r="AR93" s="108"/>
      <c r="AS93" s="108"/>
      <c r="AT93" s="108"/>
      <c r="AU93" s="108"/>
      <c r="AV93" s="109" t="s">
        <v>38</v>
      </c>
      <c r="AW93" s="108"/>
      <c r="AX93" s="108"/>
      <c r="AY93" s="108"/>
      <c r="AZ93" s="108"/>
      <c r="BA93" s="108"/>
      <c r="BB93" s="108"/>
      <c r="BC93" s="108"/>
      <c r="BD93" s="108"/>
      <c r="BE93" s="108"/>
      <c r="BF93" s="108"/>
      <c r="BG93" s="108"/>
      <c r="BH93" s="109" t="s">
        <v>38</v>
      </c>
      <c r="BI93" s="108"/>
      <c r="BJ93" s="108"/>
      <c r="BK93" s="108"/>
      <c r="BL93" s="108"/>
      <c r="BM93" s="108"/>
      <c r="BN93" s="108"/>
      <c r="BO93" s="108"/>
      <c r="BP93" s="108"/>
      <c r="BQ93" s="108"/>
      <c r="BR93" s="108"/>
      <c r="BS93" s="108"/>
      <c r="BT93" s="109" t="s">
        <v>38</v>
      </c>
      <c r="BU93" s="108"/>
      <c r="BV93" s="108"/>
      <c r="BW93" s="108"/>
      <c r="BX93" s="108"/>
      <c r="BY93" s="108"/>
      <c r="BZ93" s="108"/>
      <c r="CA93" s="108"/>
      <c r="CB93" s="108"/>
      <c r="CC93" s="108"/>
      <c r="CD93" s="108"/>
      <c r="CE93" s="108"/>
      <c r="CF93" s="109" t="s">
        <v>38</v>
      </c>
      <c r="CG93" s="108"/>
      <c r="CH93" s="108"/>
      <c r="CI93" s="108"/>
      <c r="CJ93" s="108"/>
      <c r="CK93" s="108"/>
      <c r="CL93" s="108"/>
      <c r="CM93" s="108"/>
      <c r="CN93" s="108"/>
      <c r="CO93" s="108"/>
      <c r="CP93" s="108"/>
      <c r="CQ93" s="108"/>
      <c r="CR93" s="109" t="s">
        <v>38</v>
      </c>
      <c r="CS93" s="108"/>
      <c r="CT93" s="108"/>
      <c r="CU93" s="108"/>
      <c r="CV93" s="108"/>
      <c r="CW93" s="108"/>
      <c r="CX93" s="108"/>
      <c r="CY93" s="108"/>
      <c r="CZ93" s="108"/>
      <c r="DA93" s="108"/>
      <c r="DB93" s="108"/>
      <c r="DC93" s="108"/>
      <c r="DD93" s="109" t="s">
        <v>38</v>
      </c>
      <c r="DE93" s="108"/>
      <c r="DF93" s="108"/>
      <c r="DG93" s="108"/>
      <c r="DH93" s="108"/>
      <c r="DI93" s="108"/>
      <c r="DJ93" s="108"/>
      <c r="DK93" s="108"/>
      <c r="DL93" s="108"/>
      <c r="DM93" s="108"/>
      <c r="DN93" s="108"/>
      <c r="DO93" s="108"/>
      <c r="DP93" s="109" t="s">
        <v>38</v>
      </c>
    </row>
    <row r="94" spans="1:120" x14ac:dyDescent="0.25">
      <c r="A94" s="11" t="s">
        <v>37</v>
      </c>
      <c r="B94" s="107"/>
      <c r="C94" s="93">
        <f>IFERROR(SUM(D77:D79)/SUM(C77:C79),1)</f>
        <v>1.374490636623011</v>
      </c>
      <c r="D94" s="93">
        <f>IFERROR(SUM(E76:E78)/SUM(D76:D78),1)</f>
        <v>1.0563064064016185</v>
      </c>
      <c r="E94" s="93">
        <f>IFERROR(SUM(F75:F77)/SUM(E75:E77),1)</f>
        <v>1.0377630592481308</v>
      </c>
      <c r="F94" s="93">
        <f>IFERROR(SUM(G74:G76)/SUM(F74:F76),1)</f>
        <v>1.0215622010727805</v>
      </c>
      <c r="G94" s="93">
        <f>IFERROR(SUM(H73:H75)/SUM(G73:G75),1)</f>
        <v>1.0160395668087991</v>
      </c>
      <c r="H94" s="93">
        <f>IFERROR(SUM(I72:I74)/SUM(H72:H74),1)</f>
        <v>1.0089458338056752</v>
      </c>
      <c r="I94" s="93">
        <f>IFERROR(SUM(J71:J73)/SUM(I71:I73),1)</f>
        <v>1.0168455323411008</v>
      </c>
      <c r="J94" s="93">
        <f>IFERROR(SUM(K71:K72)/SUM(J71:J72),1)</f>
        <v>1.002511017314635</v>
      </c>
      <c r="K94" s="93">
        <f>IFERROR(SUM(L71:L71)/SUM(K71:K71),1)</f>
        <v>1.0040295791240408</v>
      </c>
      <c r="L94" s="93">
        <v>1</v>
      </c>
      <c r="M94" s="285" t="s">
        <v>37</v>
      </c>
      <c r="N94" s="107"/>
      <c r="O94" s="93">
        <f>IFERROR(SUM(P77:P79)/SUM(O77:O79),1)</f>
        <v>1</v>
      </c>
      <c r="P94" s="93">
        <f>IFERROR(SUM(Q76:Q78)/SUM(P76:P78),1)</f>
        <v>1</v>
      </c>
      <c r="Q94" s="93">
        <f>IFERROR(SUM(R75:R77)/SUM(Q75:Q77),1)</f>
        <v>1</v>
      </c>
      <c r="R94" s="93">
        <f>IFERROR(SUM(S74:S76)/SUM(R74:R76),1)</f>
        <v>1</v>
      </c>
      <c r="S94" s="93">
        <f>IFERROR(SUM(T73:T75)/SUM(S73:S75),1)</f>
        <v>1</v>
      </c>
      <c r="T94" s="93">
        <f>IFERROR(SUM(U72:U74)/SUM(T72:T74),1)</f>
        <v>1</v>
      </c>
      <c r="U94" s="93">
        <f>IFERROR(SUM(V71:V73)/SUM(U71:U73),1)</f>
        <v>1</v>
      </c>
      <c r="V94" s="93">
        <f>IFERROR(SUM(W71:W72)/SUM(V71:V72),1)</f>
        <v>1</v>
      </c>
      <c r="W94" s="93">
        <f>IFERROR(SUM(X71:X71)/SUM(W71:W71),1)</f>
        <v>1</v>
      </c>
      <c r="X94" s="93">
        <v>1</v>
      </c>
      <c r="Y94" s="285" t="s">
        <v>37</v>
      </c>
      <c r="Z94" s="107"/>
      <c r="AA94" s="93">
        <f>IFERROR(SUM(AB77:AB79)/SUM(AA77:AA79),1)</f>
        <v>1</v>
      </c>
      <c r="AB94" s="93">
        <f>IFERROR(SUM(AC76:AC78)/SUM(AB76:AB78),1)</f>
        <v>1</v>
      </c>
      <c r="AC94" s="93">
        <f>IFERROR(SUM(AD75:AD77)/SUM(AC75:AC77),1)</f>
        <v>1</v>
      </c>
      <c r="AD94" s="93">
        <f>IFERROR(SUM(AE74:AE76)/SUM(AD74:AD76),1)</f>
        <v>1</v>
      </c>
      <c r="AE94" s="93">
        <f>IFERROR(SUM(AF73:AF75)/SUM(AE73:AE75),1)</f>
        <v>1</v>
      </c>
      <c r="AF94" s="93">
        <f>IFERROR(SUM(AG72:AG74)/SUM(AF72:AF74),1)</f>
        <v>1</v>
      </c>
      <c r="AG94" s="93">
        <f>IFERROR(SUM(AH71:AH73)/SUM(AG71:AG73),1)</f>
        <v>1</v>
      </c>
      <c r="AH94" s="93">
        <f>IFERROR(SUM(AI71:AI72)/SUM(AH71:AH72),1)</f>
        <v>1</v>
      </c>
      <c r="AI94" s="93">
        <f>IFERROR(SUM(AJ71:AJ71)/SUM(AI71:AI71),1)</f>
        <v>1</v>
      </c>
      <c r="AJ94" s="93">
        <v>1</v>
      </c>
      <c r="AK94" s="285" t="s">
        <v>37</v>
      </c>
      <c r="AL94" s="107"/>
      <c r="AM94" s="93">
        <f>IFERROR(SUM(AN77:AN79)/SUM(AM77:AM79),1)</f>
        <v>1</v>
      </c>
      <c r="AN94" s="93">
        <f>IFERROR(SUM(AO76:AO78)/SUM(AN76:AN78),1)</f>
        <v>1</v>
      </c>
      <c r="AO94" s="93">
        <f>IFERROR(SUM(AP75:AP77)/SUM(AO75:AO77),1)</f>
        <v>1</v>
      </c>
      <c r="AP94" s="93">
        <f>IFERROR(SUM(AQ74:AQ76)/SUM(AP74:AP76),1)</f>
        <v>1</v>
      </c>
      <c r="AQ94" s="93">
        <f>IFERROR(SUM(AR73:AR75)/SUM(AQ73:AQ75),1)</f>
        <v>1</v>
      </c>
      <c r="AR94" s="93">
        <f>IFERROR(SUM(AS72:AS74)/SUM(AR72:AR74),1)</f>
        <v>1</v>
      </c>
      <c r="AS94" s="93">
        <f>IFERROR(SUM(AT71:AT73)/SUM(AS71:AS73),1)</f>
        <v>1</v>
      </c>
      <c r="AT94" s="93">
        <f>IFERROR(SUM(AU71:AU72)/SUM(AT71:AT72),1)</f>
        <v>1</v>
      </c>
      <c r="AU94" s="93">
        <f>IFERROR(SUM(AV71:AV71)/SUM(AU71:AU71),1)</f>
        <v>1</v>
      </c>
      <c r="AV94" s="93">
        <v>1</v>
      </c>
      <c r="AW94" s="285" t="s">
        <v>37</v>
      </c>
      <c r="AX94" s="107"/>
      <c r="AY94" s="93">
        <f>IFERROR(SUM(AZ77:AZ79)/SUM(AY77:AY79),1)</f>
        <v>1</v>
      </c>
      <c r="AZ94" s="93">
        <f>IFERROR(SUM(BA76:BA78)/SUM(AZ76:AZ78),1)</f>
        <v>1</v>
      </c>
      <c r="BA94" s="93">
        <f>IFERROR(SUM(BB75:BB77)/SUM(BA75:BA77),1)</f>
        <v>1</v>
      </c>
      <c r="BB94" s="93">
        <f>IFERROR(SUM(BC74:BC76)/SUM(BB74:BB76),1)</f>
        <v>1</v>
      </c>
      <c r="BC94" s="93">
        <f>IFERROR(SUM(BD73:BD75)/SUM(BC73:BC75),1)</f>
        <v>1</v>
      </c>
      <c r="BD94" s="93">
        <f>IFERROR(SUM(BE72:BE74)/SUM(BD72:BD74),1)</f>
        <v>1</v>
      </c>
      <c r="BE94" s="93">
        <f>IFERROR(SUM(BF71:BF73)/SUM(BE71:BE73),1)</f>
        <v>1</v>
      </c>
      <c r="BF94" s="93">
        <f>IFERROR(SUM(BG71:BG72)/SUM(BF71:BF72),1)</f>
        <v>1</v>
      </c>
      <c r="BG94" s="93">
        <f>IFERROR(SUM(BH71:BH71)/SUM(BG71:BG71),1)</f>
        <v>1</v>
      </c>
      <c r="BH94" s="93">
        <v>1</v>
      </c>
      <c r="BI94" s="285" t="s">
        <v>37</v>
      </c>
      <c r="BJ94" s="107"/>
      <c r="BK94" s="93">
        <f>IFERROR(SUM(BL77:BL79)/SUM(BK77:BK79),1)</f>
        <v>1</v>
      </c>
      <c r="BL94" s="93">
        <f>IFERROR(SUM(BM76:BM78)/SUM(BL76:BL78),1)</f>
        <v>1</v>
      </c>
      <c r="BM94" s="93">
        <f>IFERROR(SUM(BN75:BN77)/SUM(BM75:BM77),1)</f>
        <v>1</v>
      </c>
      <c r="BN94" s="93">
        <f>IFERROR(SUM(BO74:BO76)/SUM(BN74:BN76),1)</f>
        <v>1</v>
      </c>
      <c r="BO94" s="93">
        <f>IFERROR(SUM(BP73:BP75)/SUM(BO73:BO75),1)</f>
        <v>1</v>
      </c>
      <c r="BP94" s="93">
        <f>IFERROR(SUM(BQ72:BQ74)/SUM(BP72:BP74),1)</f>
        <v>1</v>
      </c>
      <c r="BQ94" s="93">
        <f>IFERROR(SUM(BR71:BR73)/SUM(BQ71:BQ73),1)</f>
        <v>1</v>
      </c>
      <c r="BR94" s="93">
        <f>IFERROR(SUM(BS71:BS72)/SUM(BR71:BR72),1)</f>
        <v>1</v>
      </c>
      <c r="BS94" s="93">
        <f>IFERROR(SUM(BT71:BT71)/SUM(BS71:BS71),1)</f>
        <v>1</v>
      </c>
      <c r="BT94" s="93">
        <v>1</v>
      </c>
      <c r="BU94" s="285" t="s">
        <v>37</v>
      </c>
      <c r="BV94" s="107"/>
      <c r="BW94" s="93">
        <f>IFERROR(SUM(BX77:BX79)/SUM(BW77:BW79),1)</f>
        <v>1</v>
      </c>
      <c r="BX94" s="93">
        <f>IFERROR(SUM(BY76:BY78)/SUM(BX76:BX78),1)</f>
        <v>1</v>
      </c>
      <c r="BY94" s="93">
        <f>IFERROR(SUM(BZ75:BZ77)/SUM(BY75:BY77),1)</f>
        <v>1</v>
      </c>
      <c r="BZ94" s="93">
        <f>IFERROR(SUM(CA74:CA76)/SUM(BZ74:BZ76),1)</f>
        <v>1</v>
      </c>
      <c r="CA94" s="93">
        <f>IFERROR(SUM(CB73:CB75)/SUM(CA73:CA75),1)</f>
        <v>1</v>
      </c>
      <c r="CB94" s="93">
        <f>IFERROR(SUM(CC72:CC74)/SUM(CB72:CB74),1)</f>
        <v>1</v>
      </c>
      <c r="CC94" s="93">
        <f>IFERROR(SUM(CD71:CD73)/SUM(CC71:CC73),1)</f>
        <v>1</v>
      </c>
      <c r="CD94" s="93">
        <f>IFERROR(SUM(CE71:CE72)/SUM(CD71:CD72),1)</f>
        <v>1</v>
      </c>
      <c r="CE94" s="93">
        <f>IFERROR(SUM(CF71:CF71)/SUM(CE71:CE71),1)</f>
        <v>1</v>
      </c>
      <c r="CF94" s="93">
        <v>1</v>
      </c>
      <c r="CG94" s="285" t="s">
        <v>37</v>
      </c>
      <c r="CH94" s="107"/>
      <c r="CI94" s="93">
        <f>IFERROR(SUM(CJ77:CJ79)/SUM(CI77:CI79),1)</f>
        <v>1</v>
      </c>
      <c r="CJ94" s="93">
        <f>IFERROR(SUM(CK76:CK78)/SUM(CJ76:CJ78),1)</f>
        <v>1</v>
      </c>
      <c r="CK94" s="93">
        <f>IFERROR(SUM(CL75:CL77)/SUM(CK75:CK77),1)</f>
        <v>1</v>
      </c>
      <c r="CL94" s="93">
        <f>IFERROR(SUM(CM74:CM76)/SUM(CL74:CL76),1)</f>
        <v>1</v>
      </c>
      <c r="CM94" s="93">
        <f>IFERROR(SUM(CN73:CN75)/SUM(CM73:CM75),1)</f>
        <v>1</v>
      </c>
      <c r="CN94" s="93">
        <f>IFERROR(SUM(CO72:CO74)/SUM(CN72:CN74),1)</f>
        <v>1</v>
      </c>
      <c r="CO94" s="93">
        <f>IFERROR(SUM(CP71:CP73)/SUM(CO71:CO73),1)</f>
        <v>1</v>
      </c>
      <c r="CP94" s="93">
        <f>IFERROR(SUM(CQ71:CQ72)/SUM(CP71:CP72),1)</f>
        <v>1</v>
      </c>
      <c r="CQ94" s="93">
        <f>IFERROR(SUM(CR71:CR71)/SUM(CQ71:CQ71),1)</f>
        <v>1</v>
      </c>
      <c r="CR94" s="93">
        <v>1</v>
      </c>
      <c r="CS94" s="285" t="s">
        <v>37</v>
      </c>
      <c r="CT94" s="107"/>
      <c r="CU94" s="93">
        <f>IFERROR(SUM(CV77:CV79)/SUM(CU77:CU79),1)</f>
        <v>1</v>
      </c>
      <c r="CV94" s="93">
        <f>IFERROR(SUM(CW76:CW78)/SUM(CV76:CV78),1)</f>
        <v>1</v>
      </c>
      <c r="CW94" s="93">
        <f>IFERROR(SUM(CX75:CX77)/SUM(CW75:CW77),1)</f>
        <v>1</v>
      </c>
      <c r="CX94" s="93">
        <f>IFERROR(SUM(CY74:CY76)/SUM(CX74:CX76),1)</f>
        <v>1</v>
      </c>
      <c r="CY94" s="93">
        <f>IFERROR(SUM(CZ73:CZ75)/SUM(CY73:CY75),1)</f>
        <v>1</v>
      </c>
      <c r="CZ94" s="93">
        <f>IFERROR(SUM(DA72:DA74)/SUM(CZ72:CZ74),1)</f>
        <v>1</v>
      </c>
      <c r="DA94" s="93">
        <f>IFERROR(SUM(DB71:DB73)/SUM(DA71:DA73),1)</f>
        <v>1</v>
      </c>
      <c r="DB94" s="93">
        <f>IFERROR(SUM(DC71:DC72)/SUM(DB71:DB72),1)</f>
        <v>1</v>
      </c>
      <c r="DC94" s="93">
        <f>IFERROR(SUM(DD71:DD71)/SUM(DC71:DC71),1)</f>
        <v>1</v>
      </c>
      <c r="DD94" s="93">
        <v>1</v>
      </c>
      <c r="DE94" s="285" t="s">
        <v>37</v>
      </c>
      <c r="DF94" s="107"/>
      <c r="DG94" s="93">
        <f>IFERROR(SUM(DH77:DH79)/SUM(DG77:DG79),1)</f>
        <v>1</v>
      </c>
      <c r="DH94" s="93">
        <f>IFERROR(SUM(DI76:DI78)/SUM(DH76:DH78),1)</f>
        <v>1</v>
      </c>
      <c r="DI94" s="93">
        <f>IFERROR(SUM(DJ75:DJ77)/SUM(DI75:DI77),1)</f>
        <v>1</v>
      </c>
      <c r="DJ94" s="93">
        <f>IFERROR(SUM(DK74:DK76)/SUM(DJ74:DJ76),1)</f>
        <v>1</v>
      </c>
      <c r="DK94" s="93">
        <f>IFERROR(SUM(DL73:DL75)/SUM(DK73:DK75),1)</f>
        <v>1</v>
      </c>
      <c r="DL94" s="93">
        <f>IFERROR(SUM(DM72:DM74)/SUM(DL72:DL74),1)</f>
        <v>1</v>
      </c>
      <c r="DM94" s="93">
        <f>IFERROR(SUM(DN71:DN73)/SUM(DM71:DM73),1)</f>
        <v>1</v>
      </c>
      <c r="DN94" s="93">
        <f>IFERROR(SUM(DO71:DO72)/SUM(DN71:DN72),1)</f>
        <v>1</v>
      </c>
      <c r="DO94" s="93">
        <f>IFERROR(SUM(DP71:DP71)/SUM(DO71:DO71),1)</f>
        <v>1</v>
      </c>
      <c r="DP94" s="93">
        <v>1</v>
      </c>
    </row>
    <row r="95" spans="1:120" ht="15.75" thickBot="1" x14ac:dyDescent="0.3">
      <c r="A95" s="11" t="s">
        <v>40</v>
      </c>
      <c r="B95" s="107"/>
      <c r="C95" s="93">
        <f>IF(C94=0,1,C94)</f>
        <v>1.374490636623011</v>
      </c>
      <c r="D95" s="93">
        <f t="shared" ref="D95:K95" si="219">IF(D94=0,1,D94)</f>
        <v>1.0563064064016185</v>
      </c>
      <c r="E95" s="93">
        <f t="shared" si="219"/>
        <v>1.0377630592481308</v>
      </c>
      <c r="F95" s="93">
        <f t="shared" si="219"/>
        <v>1.0215622010727805</v>
      </c>
      <c r="G95" s="93">
        <f t="shared" si="219"/>
        <v>1.0160395668087991</v>
      </c>
      <c r="H95" s="93">
        <f t="shared" si="219"/>
        <v>1.0089458338056752</v>
      </c>
      <c r="I95" s="93">
        <f t="shared" si="219"/>
        <v>1.0168455323411008</v>
      </c>
      <c r="J95" s="93">
        <f t="shared" si="219"/>
        <v>1.002511017314635</v>
      </c>
      <c r="K95" s="93">
        <f t="shared" si="219"/>
        <v>1.0040295791240408</v>
      </c>
      <c r="L95" s="93">
        <f>IF(L94=0,1,L94)</f>
        <v>1</v>
      </c>
      <c r="M95" s="285" t="s">
        <v>40</v>
      </c>
      <c r="N95" s="107"/>
      <c r="O95" s="93">
        <f>IF(O94=0,1,O94)</f>
        <v>1</v>
      </c>
      <c r="P95" s="93">
        <f t="shared" ref="P95:W95" si="220">IF(P94=0,1,P94)</f>
        <v>1</v>
      </c>
      <c r="Q95" s="93">
        <f t="shared" si="220"/>
        <v>1</v>
      </c>
      <c r="R95" s="93">
        <f t="shared" si="220"/>
        <v>1</v>
      </c>
      <c r="S95" s="93">
        <f t="shared" si="220"/>
        <v>1</v>
      </c>
      <c r="T95" s="93">
        <f t="shared" si="220"/>
        <v>1</v>
      </c>
      <c r="U95" s="93">
        <f t="shared" si="220"/>
        <v>1</v>
      </c>
      <c r="V95" s="93">
        <f t="shared" si="220"/>
        <v>1</v>
      </c>
      <c r="W95" s="93">
        <f t="shared" si="220"/>
        <v>1</v>
      </c>
      <c r="X95" s="93">
        <f>IF(X94=0,1,X94)</f>
        <v>1</v>
      </c>
      <c r="Y95" s="285" t="s">
        <v>40</v>
      </c>
      <c r="Z95" s="107"/>
      <c r="AA95" s="93">
        <f>IF(AA94=0,1,AA94)</f>
        <v>1</v>
      </c>
      <c r="AB95" s="93">
        <f t="shared" ref="AB95:AI95" si="221">IF(AB94=0,1,AB94)</f>
        <v>1</v>
      </c>
      <c r="AC95" s="93">
        <f t="shared" si="221"/>
        <v>1</v>
      </c>
      <c r="AD95" s="93">
        <f t="shared" si="221"/>
        <v>1</v>
      </c>
      <c r="AE95" s="93">
        <f t="shared" si="221"/>
        <v>1</v>
      </c>
      <c r="AF95" s="93">
        <f t="shared" si="221"/>
        <v>1</v>
      </c>
      <c r="AG95" s="93">
        <f t="shared" si="221"/>
        <v>1</v>
      </c>
      <c r="AH95" s="93">
        <f t="shared" si="221"/>
        <v>1</v>
      </c>
      <c r="AI95" s="93">
        <f t="shared" si="221"/>
        <v>1</v>
      </c>
      <c r="AJ95" s="93">
        <f>IF(AJ94=0,1,AJ94)</f>
        <v>1</v>
      </c>
      <c r="AK95" s="285" t="s">
        <v>40</v>
      </c>
      <c r="AL95" s="107"/>
      <c r="AM95" s="93">
        <f>IF(AM94=0,1,AM94)</f>
        <v>1</v>
      </c>
      <c r="AN95" s="93">
        <f t="shared" ref="AN95:AU95" si="222">IF(AN94=0,1,AN94)</f>
        <v>1</v>
      </c>
      <c r="AO95" s="93">
        <f t="shared" si="222"/>
        <v>1</v>
      </c>
      <c r="AP95" s="93">
        <f t="shared" si="222"/>
        <v>1</v>
      </c>
      <c r="AQ95" s="93">
        <f t="shared" si="222"/>
        <v>1</v>
      </c>
      <c r="AR95" s="93">
        <f t="shared" si="222"/>
        <v>1</v>
      </c>
      <c r="AS95" s="93">
        <f t="shared" si="222"/>
        <v>1</v>
      </c>
      <c r="AT95" s="93">
        <f t="shared" si="222"/>
        <v>1</v>
      </c>
      <c r="AU95" s="93">
        <f t="shared" si="222"/>
        <v>1</v>
      </c>
      <c r="AV95" s="93">
        <f>IF(AV94=0,1,AV94)</f>
        <v>1</v>
      </c>
      <c r="AW95" s="285" t="s">
        <v>40</v>
      </c>
      <c r="AX95" s="107"/>
      <c r="AY95" s="93">
        <f>IF(AY94=0,1,AY94)</f>
        <v>1</v>
      </c>
      <c r="AZ95" s="93">
        <f t="shared" ref="AZ95:BG95" si="223">IF(AZ94=0,1,AZ94)</f>
        <v>1</v>
      </c>
      <c r="BA95" s="93">
        <f t="shared" si="223"/>
        <v>1</v>
      </c>
      <c r="BB95" s="93">
        <f t="shared" si="223"/>
        <v>1</v>
      </c>
      <c r="BC95" s="93">
        <f t="shared" si="223"/>
        <v>1</v>
      </c>
      <c r="BD95" s="93">
        <f t="shared" si="223"/>
        <v>1</v>
      </c>
      <c r="BE95" s="93">
        <f t="shared" si="223"/>
        <v>1</v>
      </c>
      <c r="BF95" s="93">
        <f t="shared" si="223"/>
        <v>1</v>
      </c>
      <c r="BG95" s="93">
        <f t="shared" si="223"/>
        <v>1</v>
      </c>
      <c r="BH95" s="93">
        <f>IF(BH94=0,1,BH94)</f>
        <v>1</v>
      </c>
      <c r="BI95" s="285" t="s">
        <v>40</v>
      </c>
      <c r="BJ95" s="107"/>
      <c r="BK95" s="93">
        <f>IF(BK94=0,1,BK94)</f>
        <v>1</v>
      </c>
      <c r="BL95" s="93">
        <f t="shared" ref="BL95:BS95" si="224">IF(BL94=0,1,BL94)</f>
        <v>1</v>
      </c>
      <c r="BM95" s="93">
        <f t="shared" si="224"/>
        <v>1</v>
      </c>
      <c r="BN95" s="93">
        <f t="shared" si="224"/>
        <v>1</v>
      </c>
      <c r="BO95" s="93">
        <f t="shared" si="224"/>
        <v>1</v>
      </c>
      <c r="BP95" s="93">
        <f t="shared" si="224"/>
        <v>1</v>
      </c>
      <c r="BQ95" s="93">
        <f t="shared" si="224"/>
        <v>1</v>
      </c>
      <c r="BR95" s="93">
        <f t="shared" si="224"/>
        <v>1</v>
      </c>
      <c r="BS95" s="93">
        <f t="shared" si="224"/>
        <v>1</v>
      </c>
      <c r="BT95" s="93">
        <f>IF(BT94=0,1,BT94)</f>
        <v>1</v>
      </c>
      <c r="BU95" s="285" t="s">
        <v>40</v>
      </c>
      <c r="BV95" s="107"/>
      <c r="BW95" s="93">
        <f>IF(BW94=0,1,BW94)</f>
        <v>1</v>
      </c>
      <c r="BX95" s="93">
        <f t="shared" ref="BX95:CE95" si="225">IF(BX94=0,1,BX94)</f>
        <v>1</v>
      </c>
      <c r="BY95" s="93">
        <f t="shared" si="225"/>
        <v>1</v>
      </c>
      <c r="BZ95" s="93">
        <f t="shared" si="225"/>
        <v>1</v>
      </c>
      <c r="CA95" s="93">
        <f t="shared" si="225"/>
        <v>1</v>
      </c>
      <c r="CB95" s="93">
        <f t="shared" si="225"/>
        <v>1</v>
      </c>
      <c r="CC95" s="93">
        <f t="shared" si="225"/>
        <v>1</v>
      </c>
      <c r="CD95" s="93">
        <f t="shared" si="225"/>
        <v>1</v>
      </c>
      <c r="CE95" s="93">
        <f t="shared" si="225"/>
        <v>1</v>
      </c>
      <c r="CF95" s="93">
        <f>IF(CF94=0,1,CF94)</f>
        <v>1</v>
      </c>
      <c r="CG95" s="285" t="s">
        <v>40</v>
      </c>
      <c r="CH95" s="107"/>
      <c r="CI95" s="93">
        <f>IF(CI94=0,1,CI94)</f>
        <v>1</v>
      </c>
      <c r="CJ95" s="93">
        <f t="shared" ref="CJ95:CQ95" si="226">IF(CJ94=0,1,CJ94)</f>
        <v>1</v>
      </c>
      <c r="CK95" s="93">
        <f t="shared" si="226"/>
        <v>1</v>
      </c>
      <c r="CL95" s="93">
        <f t="shared" si="226"/>
        <v>1</v>
      </c>
      <c r="CM95" s="93">
        <f t="shared" si="226"/>
        <v>1</v>
      </c>
      <c r="CN95" s="93">
        <f t="shared" si="226"/>
        <v>1</v>
      </c>
      <c r="CO95" s="93">
        <f t="shared" si="226"/>
        <v>1</v>
      </c>
      <c r="CP95" s="93">
        <f t="shared" si="226"/>
        <v>1</v>
      </c>
      <c r="CQ95" s="93">
        <f t="shared" si="226"/>
        <v>1</v>
      </c>
      <c r="CR95" s="93">
        <f>IF(CR94=0,1,CR94)</f>
        <v>1</v>
      </c>
      <c r="CS95" s="285" t="s">
        <v>40</v>
      </c>
      <c r="CT95" s="107"/>
      <c r="CU95" s="93">
        <f>IF(CU94=0,1,CU94)</f>
        <v>1</v>
      </c>
      <c r="CV95" s="93">
        <f t="shared" ref="CV95:DC95" si="227">IF(CV94=0,1,CV94)</f>
        <v>1</v>
      </c>
      <c r="CW95" s="93">
        <f t="shared" si="227"/>
        <v>1</v>
      </c>
      <c r="CX95" s="93">
        <f t="shared" si="227"/>
        <v>1</v>
      </c>
      <c r="CY95" s="93">
        <f t="shared" si="227"/>
        <v>1</v>
      </c>
      <c r="CZ95" s="93">
        <f t="shared" si="227"/>
        <v>1</v>
      </c>
      <c r="DA95" s="93">
        <f t="shared" si="227"/>
        <v>1</v>
      </c>
      <c r="DB95" s="93">
        <f t="shared" si="227"/>
        <v>1</v>
      </c>
      <c r="DC95" s="93">
        <f t="shared" si="227"/>
        <v>1</v>
      </c>
      <c r="DD95" s="93">
        <f>IF(DD94=0,1,DD94)</f>
        <v>1</v>
      </c>
      <c r="DE95" s="285" t="s">
        <v>40</v>
      </c>
      <c r="DF95" s="107"/>
      <c r="DG95" s="93">
        <f>IF(DG94=0,1,DG94)</f>
        <v>1</v>
      </c>
      <c r="DH95" s="93">
        <f t="shared" ref="DH95:DO95" si="228">IF(DH94=0,1,DH94)</f>
        <v>1</v>
      </c>
      <c r="DI95" s="93">
        <f t="shared" si="228"/>
        <v>1</v>
      </c>
      <c r="DJ95" s="93">
        <f t="shared" si="228"/>
        <v>1</v>
      </c>
      <c r="DK95" s="93">
        <f t="shared" si="228"/>
        <v>1</v>
      </c>
      <c r="DL95" s="93">
        <f t="shared" si="228"/>
        <v>1</v>
      </c>
      <c r="DM95" s="93">
        <f t="shared" si="228"/>
        <v>1</v>
      </c>
      <c r="DN95" s="93">
        <f t="shared" si="228"/>
        <v>1</v>
      </c>
      <c r="DO95" s="93">
        <f t="shared" si="228"/>
        <v>1</v>
      </c>
      <c r="DP95" s="93">
        <f>IF(DP94=0,1,DP94)</f>
        <v>1</v>
      </c>
    </row>
    <row r="96" spans="1:120" ht="15.75" thickBot="1" x14ac:dyDescent="0.3">
      <c r="A96" s="111" t="s">
        <v>39</v>
      </c>
      <c r="B96" s="115"/>
      <c r="C96" s="113">
        <f>PRODUCT(C95:L95)</f>
        <v>1.6149676985292682</v>
      </c>
      <c r="D96" s="113">
        <f>PRODUCT(D95:L95)</f>
        <v>1.1749572208778996</v>
      </c>
      <c r="E96" s="113">
        <f>PRODUCT(E95:L95)</f>
        <v>1.1123261335510339</v>
      </c>
      <c r="F96" s="113">
        <f>PRODUCT(F95:L95)</f>
        <v>1.0718498058284374</v>
      </c>
      <c r="G96" s="113">
        <f>PRODUCT(G95:L95)</f>
        <v>1.0492261799652021</v>
      </c>
      <c r="H96" s="113">
        <f>PRODUCT(H95:L95)</f>
        <v>1.0326627173197953</v>
      </c>
      <c r="I96" s="113">
        <f>PRODUCT(I95:L95)</f>
        <v>1.0235065974004389</v>
      </c>
      <c r="J96" s="113">
        <f>PRODUCT(J95:L95)</f>
        <v>1.0065507147816268</v>
      </c>
      <c r="K96" s="113">
        <f>PRODUCT(K95:L95)</f>
        <v>1.0040295791240408</v>
      </c>
      <c r="L96" s="114">
        <f>PRODUCT(L95:L95)</f>
        <v>1</v>
      </c>
      <c r="M96" s="111" t="s">
        <v>39</v>
      </c>
      <c r="N96" s="115"/>
      <c r="O96" s="113">
        <f>PRODUCT(O95:X95)</f>
        <v>1</v>
      </c>
      <c r="P96" s="113">
        <f>PRODUCT(P95:X95)</f>
        <v>1</v>
      </c>
      <c r="Q96" s="113">
        <f>PRODUCT(Q95:X95)</f>
        <v>1</v>
      </c>
      <c r="R96" s="113">
        <f>PRODUCT(R95:X95)</f>
        <v>1</v>
      </c>
      <c r="S96" s="113">
        <f>PRODUCT(S95:X95)</f>
        <v>1</v>
      </c>
      <c r="T96" s="113">
        <f>PRODUCT(T95:X95)</f>
        <v>1</v>
      </c>
      <c r="U96" s="113">
        <f>PRODUCT(U95:X95)</f>
        <v>1</v>
      </c>
      <c r="V96" s="113">
        <f>PRODUCT(V95:X95)</f>
        <v>1</v>
      </c>
      <c r="W96" s="113">
        <f>PRODUCT(W95:X95)</f>
        <v>1</v>
      </c>
      <c r="X96" s="114">
        <f>PRODUCT(X95:X95)</f>
        <v>1</v>
      </c>
      <c r="Y96" s="111" t="s">
        <v>39</v>
      </c>
      <c r="Z96" s="115"/>
      <c r="AA96" s="113">
        <f>PRODUCT(AA95:AJ95)</f>
        <v>1</v>
      </c>
      <c r="AB96" s="113">
        <f>PRODUCT(AB95:AJ95)</f>
        <v>1</v>
      </c>
      <c r="AC96" s="113">
        <f>PRODUCT(AC95:AJ95)</f>
        <v>1</v>
      </c>
      <c r="AD96" s="113">
        <f>PRODUCT(AD95:AJ95)</f>
        <v>1</v>
      </c>
      <c r="AE96" s="113">
        <f>PRODUCT(AE95:AJ95)</f>
        <v>1</v>
      </c>
      <c r="AF96" s="113">
        <f>PRODUCT(AF95:AJ95)</f>
        <v>1</v>
      </c>
      <c r="AG96" s="113">
        <f>PRODUCT(AG95:AJ95)</f>
        <v>1</v>
      </c>
      <c r="AH96" s="113">
        <f>PRODUCT(AH95:AJ95)</f>
        <v>1</v>
      </c>
      <c r="AI96" s="113">
        <f>PRODUCT(AI95:AJ95)</f>
        <v>1</v>
      </c>
      <c r="AJ96" s="114">
        <f>PRODUCT(AJ95:AJ95)</f>
        <v>1</v>
      </c>
      <c r="AK96" s="111" t="s">
        <v>39</v>
      </c>
      <c r="AL96" s="115"/>
      <c r="AM96" s="113">
        <f>PRODUCT(AM95:AV95)</f>
        <v>1</v>
      </c>
      <c r="AN96" s="113">
        <f>PRODUCT(AN95:AV95)</f>
        <v>1</v>
      </c>
      <c r="AO96" s="113">
        <f>PRODUCT(AO95:AV95)</f>
        <v>1</v>
      </c>
      <c r="AP96" s="113">
        <f>PRODUCT(AP95:AV95)</f>
        <v>1</v>
      </c>
      <c r="AQ96" s="113">
        <f>PRODUCT(AQ95:AV95)</f>
        <v>1</v>
      </c>
      <c r="AR96" s="113">
        <f>PRODUCT(AR95:AV95)</f>
        <v>1</v>
      </c>
      <c r="AS96" s="113">
        <f>PRODUCT(AS95:AV95)</f>
        <v>1</v>
      </c>
      <c r="AT96" s="113">
        <f>PRODUCT(AT95:AV95)</f>
        <v>1</v>
      </c>
      <c r="AU96" s="113">
        <f>PRODUCT(AU95:AV95)</f>
        <v>1</v>
      </c>
      <c r="AV96" s="114">
        <f>PRODUCT(AV95:AV95)</f>
        <v>1</v>
      </c>
      <c r="AW96" s="111" t="s">
        <v>39</v>
      </c>
      <c r="AX96" s="115"/>
      <c r="AY96" s="113">
        <f>PRODUCT(AY95:BH95)</f>
        <v>1</v>
      </c>
      <c r="AZ96" s="113">
        <f>PRODUCT(AZ95:BH95)</f>
        <v>1</v>
      </c>
      <c r="BA96" s="113">
        <f>PRODUCT(BA95:BH95)</f>
        <v>1</v>
      </c>
      <c r="BB96" s="113">
        <f>PRODUCT(BB95:BH95)</f>
        <v>1</v>
      </c>
      <c r="BC96" s="113">
        <f>PRODUCT(BC95:BH95)</f>
        <v>1</v>
      </c>
      <c r="BD96" s="113">
        <f>PRODUCT(BD95:BH95)</f>
        <v>1</v>
      </c>
      <c r="BE96" s="113">
        <f>PRODUCT(BE95:BH95)</f>
        <v>1</v>
      </c>
      <c r="BF96" s="113">
        <f>PRODUCT(BF95:BH95)</f>
        <v>1</v>
      </c>
      <c r="BG96" s="113">
        <f>PRODUCT(BG95:BH95)</f>
        <v>1</v>
      </c>
      <c r="BH96" s="114">
        <f>PRODUCT(BH95:BH95)</f>
        <v>1</v>
      </c>
      <c r="BI96" s="111" t="s">
        <v>39</v>
      </c>
      <c r="BJ96" s="115"/>
      <c r="BK96" s="113">
        <f>PRODUCT(BK95:BT95)</f>
        <v>1</v>
      </c>
      <c r="BL96" s="113">
        <f>PRODUCT(BL95:BT95)</f>
        <v>1</v>
      </c>
      <c r="BM96" s="113">
        <f>PRODUCT(BM95:BT95)</f>
        <v>1</v>
      </c>
      <c r="BN96" s="113">
        <f>PRODUCT(BN95:BT95)</f>
        <v>1</v>
      </c>
      <c r="BO96" s="113">
        <f>PRODUCT(BO95:BT95)</f>
        <v>1</v>
      </c>
      <c r="BP96" s="113">
        <f>PRODUCT(BP95:BT95)</f>
        <v>1</v>
      </c>
      <c r="BQ96" s="113">
        <f>PRODUCT(BQ95:BT95)</f>
        <v>1</v>
      </c>
      <c r="BR96" s="113">
        <f>PRODUCT(BR95:BT95)</f>
        <v>1</v>
      </c>
      <c r="BS96" s="113">
        <f>PRODUCT(BS95:BT95)</f>
        <v>1</v>
      </c>
      <c r="BT96" s="114">
        <f>PRODUCT(BT95:BT95)</f>
        <v>1</v>
      </c>
      <c r="BU96" s="111" t="s">
        <v>39</v>
      </c>
      <c r="BV96" s="115"/>
      <c r="BW96" s="113">
        <f>PRODUCT(BW95:CF95)</f>
        <v>1</v>
      </c>
      <c r="BX96" s="113">
        <f>PRODUCT(BX95:CF95)</f>
        <v>1</v>
      </c>
      <c r="BY96" s="113">
        <f>PRODUCT(BY95:CF95)</f>
        <v>1</v>
      </c>
      <c r="BZ96" s="113">
        <f>PRODUCT(BZ95:CF95)</f>
        <v>1</v>
      </c>
      <c r="CA96" s="113">
        <f>PRODUCT(CA95:CF95)</f>
        <v>1</v>
      </c>
      <c r="CB96" s="113">
        <f>PRODUCT(CB95:CF95)</f>
        <v>1</v>
      </c>
      <c r="CC96" s="113">
        <f>PRODUCT(CC95:CF95)</f>
        <v>1</v>
      </c>
      <c r="CD96" s="113">
        <f>PRODUCT(CD95:CF95)</f>
        <v>1</v>
      </c>
      <c r="CE96" s="113">
        <f>PRODUCT(CE95:CF95)</f>
        <v>1</v>
      </c>
      <c r="CF96" s="114">
        <f>PRODUCT(CF95:CF95)</f>
        <v>1</v>
      </c>
      <c r="CG96" s="111" t="s">
        <v>39</v>
      </c>
      <c r="CH96" s="115"/>
      <c r="CI96" s="113">
        <f>PRODUCT(CI95:CR95)</f>
        <v>1</v>
      </c>
      <c r="CJ96" s="113">
        <f>PRODUCT(CJ95:CR95)</f>
        <v>1</v>
      </c>
      <c r="CK96" s="113">
        <f>PRODUCT(CK95:CR95)</f>
        <v>1</v>
      </c>
      <c r="CL96" s="113">
        <f>PRODUCT(CL95:CR95)</f>
        <v>1</v>
      </c>
      <c r="CM96" s="113">
        <f>PRODUCT(CM95:CR95)</f>
        <v>1</v>
      </c>
      <c r="CN96" s="113">
        <f>PRODUCT(CN95:CR95)</f>
        <v>1</v>
      </c>
      <c r="CO96" s="113">
        <f>PRODUCT(CO95:CR95)</f>
        <v>1</v>
      </c>
      <c r="CP96" s="113">
        <f>PRODUCT(CP95:CR95)</f>
        <v>1</v>
      </c>
      <c r="CQ96" s="113">
        <f>PRODUCT(CQ95:CR95)</f>
        <v>1</v>
      </c>
      <c r="CR96" s="114">
        <f>PRODUCT(CR95:CR95)</f>
        <v>1</v>
      </c>
      <c r="CS96" s="111" t="s">
        <v>39</v>
      </c>
      <c r="CT96" s="115"/>
      <c r="CU96" s="113">
        <f>PRODUCT(CU95:DD95)</f>
        <v>1</v>
      </c>
      <c r="CV96" s="113">
        <f>PRODUCT(CV95:DD95)</f>
        <v>1</v>
      </c>
      <c r="CW96" s="113">
        <f>PRODUCT(CW95:DD95)</f>
        <v>1</v>
      </c>
      <c r="CX96" s="113">
        <f>PRODUCT(CX95:DD95)</f>
        <v>1</v>
      </c>
      <c r="CY96" s="113">
        <f>PRODUCT(CY95:DD95)</f>
        <v>1</v>
      </c>
      <c r="CZ96" s="113">
        <f>PRODUCT(CZ95:DD95)</f>
        <v>1</v>
      </c>
      <c r="DA96" s="113">
        <f>PRODUCT(DA95:DD95)</f>
        <v>1</v>
      </c>
      <c r="DB96" s="113">
        <f>PRODUCT(DB95:DD95)</f>
        <v>1</v>
      </c>
      <c r="DC96" s="113">
        <f>PRODUCT(DC95:DD95)</f>
        <v>1</v>
      </c>
      <c r="DD96" s="114">
        <f>PRODUCT(DD95:DD95)</f>
        <v>1</v>
      </c>
      <c r="DE96" s="111" t="s">
        <v>39</v>
      </c>
      <c r="DF96" s="115"/>
      <c r="DG96" s="113">
        <f>PRODUCT(DG95:DP95)</f>
        <v>1</v>
      </c>
      <c r="DH96" s="113">
        <f>PRODUCT(DH95:DP95)</f>
        <v>1</v>
      </c>
      <c r="DI96" s="113">
        <f>PRODUCT(DI95:DP95)</f>
        <v>1</v>
      </c>
      <c r="DJ96" s="113">
        <f>PRODUCT(DJ95:DP95)</f>
        <v>1</v>
      </c>
      <c r="DK96" s="113">
        <f>PRODUCT(DK95:DP95)</f>
        <v>1</v>
      </c>
      <c r="DL96" s="113">
        <f>PRODUCT(DL95:DP95)</f>
        <v>1</v>
      </c>
      <c r="DM96" s="113">
        <f>PRODUCT(DM95:DP95)</f>
        <v>1</v>
      </c>
      <c r="DN96" s="113">
        <f>PRODUCT(DN95:DP95)</f>
        <v>1</v>
      </c>
      <c r="DO96" s="113">
        <f>PRODUCT(DO95:DP95)</f>
        <v>1</v>
      </c>
      <c r="DP96" s="114">
        <f>PRODUCT(DP95:DP95)</f>
        <v>1</v>
      </c>
    </row>
    <row r="97" spans="1:120" x14ac:dyDescent="0.25">
      <c r="A97" s="95" t="s">
        <v>41</v>
      </c>
      <c r="B97" s="106"/>
      <c r="C97" s="99">
        <f>C96*C80</f>
        <v>105122111.33978815</v>
      </c>
      <c r="D97" s="99">
        <f>D96*D79</f>
        <v>89623257.543083966</v>
      </c>
      <c r="E97" s="99">
        <f>E96*E78</f>
        <v>84871873.329777747</v>
      </c>
      <c r="F97" s="99">
        <f>F96*F77</f>
        <v>89545201.756408915</v>
      </c>
      <c r="G97" s="99">
        <f>G96*G76</f>
        <v>74222237.296960652</v>
      </c>
      <c r="H97" s="99">
        <f>H96*H75</f>
        <v>97126036.795688435</v>
      </c>
      <c r="I97" s="99">
        <f>I96*I74</f>
        <v>84131828.144371435</v>
      </c>
      <c r="J97" s="99">
        <f>J96*J73</f>
        <v>79921273.778593704</v>
      </c>
      <c r="K97" s="99">
        <f>K96*K72</f>
        <v>72006575.729514524</v>
      </c>
      <c r="L97" s="99">
        <f>L96*L71</f>
        <v>71490670.010000005</v>
      </c>
      <c r="M97" s="95" t="s">
        <v>41</v>
      </c>
      <c r="N97" s="106"/>
      <c r="O97" s="99">
        <f>O96*O80</f>
        <v>0</v>
      </c>
      <c r="P97" s="99">
        <f>P96*P79</f>
        <v>0</v>
      </c>
      <c r="Q97" s="99">
        <f>Q96*Q78</f>
        <v>0</v>
      </c>
      <c r="R97" s="99">
        <f>R96*R77</f>
        <v>0</v>
      </c>
      <c r="S97" s="99">
        <f>S96*S76</f>
        <v>0</v>
      </c>
      <c r="T97" s="99">
        <f>T96*T75</f>
        <v>0</v>
      </c>
      <c r="U97" s="99">
        <f>U96*U74</f>
        <v>0</v>
      </c>
      <c r="V97" s="99">
        <f>V96*V73</f>
        <v>0</v>
      </c>
      <c r="W97" s="99">
        <f>W96*W72</f>
        <v>0</v>
      </c>
      <c r="X97" s="99">
        <f>X96*X71</f>
        <v>0</v>
      </c>
      <c r="Y97" s="95" t="s">
        <v>41</v>
      </c>
      <c r="Z97" s="106"/>
      <c r="AA97" s="99">
        <f>AA96*AA80</f>
        <v>0</v>
      </c>
      <c r="AB97" s="99">
        <f>AB96*AB79</f>
        <v>0</v>
      </c>
      <c r="AC97" s="99">
        <f>AC96*AC78</f>
        <v>0</v>
      </c>
      <c r="AD97" s="99">
        <f>AD96*AD77</f>
        <v>0</v>
      </c>
      <c r="AE97" s="99">
        <f>AE96*AE76</f>
        <v>0</v>
      </c>
      <c r="AF97" s="99">
        <f>AF96*AF75</f>
        <v>0</v>
      </c>
      <c r="AG97" s="99">
        <f>AG96*AG74</f>
        <v>0</v>
      </c>
      <c r="AH97" s="99">
        <f>AH96*AH73</f>
        <v>0</v>
      </c>
      <c r="AI97" s="99">
        <f>AI96*AI72</f>
        <v>0</v>
      </c>
      <c r="AJ97" s="99">
        <f>AJ96*AJ71</f>
        <v>0</v>
      </c>
      <c r="AK97" s="95" t="s">
        <v>41</v>
      </c>
      <c r="AL97" s="106"/>
      <c r="AM97" s="99">
        <f>AM96*AM80</f>
        <v>0</v>
      </c>
      <c r="AN97" s="99">
        <f>AN96*AN79</f>
        <v>0</v>
      </c>
      <c r="AO97" s="99">
        <f>AO96*AO78</f>
        <v>0</v>
      </c>
      <c r="AP97" s="99">
        <f>AP96*AP77</f>
        <v>0</v>
      </c>
      <c r="AQ97" s="99">
        <f>AQ96*AQ76</f>
        <v>0</v>
      </c>
      <c r="AR97" s="99">
        <f>AR96*AR75</f>
        <v>0</v>
      </c>
      <c r="AS97" s="99">
        <f>AS96*AS74</f>
        <v>0</v>
      </c>
      <c r="AT97" s="99">
        <f>AT96*AT73</f>
        <v>0</v>
      </c>
      <c r="AU97" s="99">
        <f>AU96*AU72</f>
        <v>0</v>
      </c>
      <c r="AV97" s="99">
        <f>AV96*AV71</f>
        <v>0</v>
      </c>
      <c r="AW97" s="95" t="s">
        <v>41</v>
      </c>
      <c r="AX97" s="106"/>
      <c r="AY97" s="99">
        <f>AY96*AY80</f>
        <v>0</v>
      </c>
      <c r="AZ97" s="99">
        <f>AZ96*AZ79</f>
        <v>0</v>
      </c>
      <c r="BA97" s="99">
        <f>BA96*BA78</f>
        <v>0</v>
      </c>
      <c r="BB97" s="99">
        <f>BB96*BB77</f>
        <v>0</v>
      </c>
      <c r="BC97" s="99">
        <f>BC96*BC76</f>
        <v>0</v>
      </c>
      <c r="BD97" s="99">
        <f>BD96*BD75</f>
        <v>0</v>
      </c>
      <c r="BE97" s="99">
        <f>BE96*BE74</f>
        <v>0</v>
      </c>
      <c r="BF97" s="99">
        <f>BF96*BF73</f>
        <v>0</v>
      </c>
      <c r="BG97" s="99">
        <f>BG96*BG72</f>
        <v>0</v>
      </c>
      <c r="BH97" s="99">
        <f>BH96*BH71</f>
        <v>0</v>
      </c>
      <c r="BI97" s="95" t="s">
        <v>41</v>
      </c>
      <c r="BJ97" s="106"/>
      <c r="BK97" s="99">
        <f>BK96*BK80</f>
        <v>0</v>
      </c>
      <c r="BL97" s="99">
        <f>BL96*BL79</f>
        <v>0</v>
      </c>
      <c r="BM97" s="99">
        <f>BM96*BM78</f>
        <v>0</v>
      </c>
      <c r="BN97" s="99">
        <f>BN96*BN77</f>
        <v>0</v>
      </c>
      <c r="BO97" s="99">
        <f>BO96*BO76</f>
        <v>0</v>
      </c>
      <c r="BP97" s="99">
        <f>BP96*BP75</f>
        <v>0</v>
      </c>
      <c r="BQ97" s="99">
        <f>BQ96*BQ74</f>
        <v>0</v>
      </c>
      <c r="BR97" s="99">
        <f>BR96*BR73</f>
        <v>0</v>
      </c>
      <c r="BS97" s="99">
        <f>BS96*BS72</f>
        <v>0</v>
      </c>
      <c r="BT97" s="99">
        <f>BT96*BT71</f>
        <v>0</v>
      </c>
      <c r="BU97" s="95" t="s">
        <v>41</v>
      </c>
      <c r="BV97" s="106"/>
      <c r="BW97" s="99">
        <f>BW96*BW80</f>
        <v>0</v>
      </c>
      <c r="BX97" s="99">
        <f>BX96*BX79</f>
        <v>0</v>
      </c>
      <c r="BY97" s="99">
        <f>BY96*BY78</f>
        <v>0</v>
      </c>
      <c r="BZ97" s="99">
        <f>BZ96*BZ77</f>
        <v>0</v>
      </c>
      <c r="CA97" s="99">
        <f>CA96*CA76</f>
        <v>0</v>
      </c>
      <c r="CB97" s="99">
        <f>CB96*CB75</f>
        <v>0</v>
      </c>
      <c r="CC97" s="99">
        <f>CC96*CC74</f>
        <v>0</v>
      </c>
      <c r="CD97" s="99">
        <f>CD96*CD73</f>
        <v>0</v>
      </c>
      <c r="CE97" s="99">
        <f>CE96*CE72</f>
        <v>0</v>
      </c>
      <c r="CF97" s="99">
        <f>CF96*CF71</f>
        <v>0</v>
      </c>
      <c r="CG97" s="95" t="s">
        <v>41</v>
      </c>
      <c r="CH97" s="106"/>
      <c r="CI97" s="99">
        <f>CI96*CI80</f>
        <v>0</v>
      </c>
      <c r="CJ97" s="99">
        <f>CJ96*CJ79</f>
        <v>0</v>
      </c>
      <c r="CK97" s="99">
        <f>CK96*CK78</f>
        <v>0</v>
      </c>
      <c r="CL97" s="99">
        <f>CL96*CL77</f>
        <v>0</v>
      </c>
      <c r="CM97" s="99">
        <f>CM96*CM76</f>
        <v>0</v>
      </c>
      <c r="CN97" s="99">
        <f>CN96*CN75</f>
        <v>0</v>
      </c>
      <c r="CO97" s="99">
        <f>CO96*CO74</f>
        <v>0</v>
      </c>
      <c r="CP97" s="99">
        <f>CP96*CP73</f>
        <v>0</v>
      </c>
      <c r="CQ97" s="99">
        <f>CQ96*CQ72</f>
        <v>0</v>
      </c>
      <c r="CR97" s="99">
        <f>CR96*CR71</f>
        <v>0</v>
      </c>
      <c r="CS97" s="95" t="s">
        <v>41</v>
      </c>
      <c r="CT97" s="106"/>
      <c r="CU97" s="99">
        <f>CU96*CU80</f>
        <v>0</v>
      </c>
      <c r="CV97" s="99">
        <f>CV96*CV79</f>
        <v>0</v>
      </c>
      <c r="CW97" s="99">
        <f>CW96*CW78</f>
        <v>0</v>
      </c>
      <c r="CX97" s="99">
        <f>CX96*CX77</f>
        <v>0</v>
      </c>
      <c r="CY97" s="99">
        <f>CY96*CY76</f>
        <v>0</v>
      </c>
      <c r="CZ97" s="99">
        <f>CZ96*CZ75</f>
        <v>0</v>
      </c>
      <c r="DA97" s="99">
        <f>DA96*DA74</f>
        <v>0</v>
      </c>
      <c r="DB97" s="99">
        <f>DB96*DB73</f>
        <v>0</v>
      </c>
      <c r="DC97" s="99">
        <f>DC96*DC72</f>
        <v>0</v>
      </c>
      <c r="DD97" s="99">
        <f>DD96*DD71</f>
        <v>0</v>
      </c>
      <c r="DE97" s="95" t="s">
        <v>41</v>
      </c>
      <c r="DF97" s="106"/>
      <c r="DG97" s="99">
        <f>DG96*DG80</f>
        <v>0</v>
      </c>
      <c r="DH97" s="99">
        <f>DH96*DH79</f>
        <v>0</v>
      </c>
      <c r="DI97" s="99">
        <f>DI96*DI78</f>
        <v>0</v>
      </c>
      <c r="DJ97" s="99">
        <f>DJ96*DJ77</f>
        <v>0</v>
      </c>
      <c r="DK97" s="99">
        <f>DK96*DK76</f>
        <v>0</v>
      </c>
      <c r="DL97" s="99">
        <f>DL96*DL75</f>
        <v>0</v>
      </c>
      <c r="DM97" s="99">
        <f>DM96*DM74</f>
        <v>0</v>
      </c>
      <c r="DN97" s="99">
        <f>DN96*DN73</f>
        <v>0</v>
      </c>
      <c r="DO97" s="99">
        <f>DO96*DO72</f>
        <v>0</v>
      </c>
      <c r="DP97" s="99">
        <f>DP96*DP71</f>
        <v>0</v>
      </c>
    </row>
    <row r="98" spans="1:120" ht="21" x14ac:dyDescent="0.35">
      <c r="A98" s="137" t="str">
        <f>Co_Name</f>
        <v>State Farm General Insurance Company</v>
      </c>
      <c r="B98" s="68"/>
      <c r="C98" s="40"/>
      <c r="D98" s="18"/>
      <c r="E98" s="18"/>
      <c r="F98" s="18"/>
      <c r="G98" s="18"/>
      <c r="H98" s="18"/>
      <c r="I98" s="18"/>
      <c r="J98" s="18"/>
      <c r="K98" s="18"/>
      <c r="L98" s="18"/>
      <c r="M98" s="137" t="str">
        <f>Co_Name</f>
        <v>State Farm General Insurance Company</v>
      </c>
      <c r="N98" s="68"/>
      <c r="O98" s="40"/>
      <c r="P98" s="18"/>
      <c r="Q98" s="18"/>
      <c r="R98" s="18"/>
      <c r="S98" s="18"/>
      <c r="T98" s="18"/>
      <c r="U98" s="18"/>
      <c r="V98" s="18"/>
      <c r="W98" s="18"/>
      <c r="X98" s="18"/>
      <c r="Y98" s="137" t="str">
        <f>Co_Name</f>
        <v>State Farm General Insurance Company</v>
      </c>
      <c r="Z98" s="68"/>
      <c r="AA98" s="40"/>
      <c r="AB98" s="18"/>
      <c r="AC98" s="18"/>
      <c r="AD98" s="18"/>
      <c r="AE98" s="18"/>
      <c r="AF98" s="18"/>
      <c r="AG98" s="18"/>
      <c r="AH98" s="18"/>
      <c r="AI98" s="18"/>
      <c r="AJ98" s="18"/>
      <c r="AK98" s="137" t="str">
        <f>Co_Name</f>
        <v>State Farm General Insurance Company</v>
      </c>
      <c r="AL98" s="68"/>
      <c r="AM98" s="40"/>
      <c r="AN98" s="18"/>
      <c r="AO98" s="18"/>
      <c r="AP98" s="18"/>
      <c r="AQ98" s="18"/>
      <c r="AR98" s="18"/>
      <c r="AS98" s="18"/>
      <c r="AT98" s="18"/>
      <c r="AU98" s="18"/>
      <c r="AV98" s="18"/>
      <c r="AW98" s="137" t="str">
        <f>Co_Name</f>
        <v>State Farm General Insurance Company</v>
      </c>
      <c r="AX98" s="68"/>
      <c r="AY98" s="40"/>
      <c r="AZ98" s="18"/>
      <c r="BA98" s="18"/>
      <c r="BB98" s="18"/>
      <c r="BC98" s="18"/>
      <c r="BD98" s="18"/>
      <c r="BE98" s="18"/>
      <c r="BF98" s="18"/>
      <c r="BG98" s="18"/>
      <c r="BH98" s="18"/>
      <c r="BI98" s="137" t="str">
        <f>Co_Name</f>
        <v>State Farm General Insurance Company</v>
      </c>
      <c r="BJ98" s="68"/>
      <c r="BK98" s="40"/>
      <c r="BL98" s="18"/>
      <c r="BM98" s="18"/>
      <c r="BN98" s="18"/>
      <c r="BO98" s="18"/>
      <c r="BP98" s="18"/>
      <c r="BQ98" s="18"/>
      <c r="BR98" s="18"/>
      <c r="BS98" s="18"/>
      <c r="BT98" s="18"/>
      <c r="BU98" s="137" t="str">
        <f>Co_Name</f>
        <v>State Farm General Insurance Company</v>
      </c>
      <c r="BV98" s="68"/>
      <c r="BW98" s="40"/>
      <c r="BX98" s="18"/>
      <c r="BY98" s="18"/>
      <c r="BZ98" s="18"/>
      <c r="CA98" s="18"/>
      <c r="CB98" s="18"/>
      <c r="CC98" s="18"/>
      <c r="CD98" s="18"/>
      <c r="CE98" s="18"/>
      <c r="CF98" s="18"/>
      <c r="CG98" s="137" t="str">
        <f>Co_Name</f>
        <v>State Farm General Insurance Company</v>
      </c>
      <c r="CH98" s="68"/>
      <c r="CI98" s="40"/>
      <c r="CJ98" s="18"/>
      <c r="CK98" s="18"/>
      <c r="CL98" s="18"/>
      <c r="CM98" s="18"/>
      <c r="CN98" s="18"/>
      <c r="CO98" s="18"/>
      <c r="CP98" s="18"/>
      <c r="CQ98" s="18"/>
      <c r="CR98" s="18"/>
      <c r="CS98" s="137" t="str">
        <f>Co_Name</f>
        <v>State Farm General Insurance Company</v>
      </c>
      <c r="CT98" s="68"/>
      <c r="CU98" s="40"/>
      <c r="CV98" s="18"/>
      <c r="CW98" s="18"/>
      <c r="CX98" s="18"/>
      <c r="CY98" s="18"/>
      <c r="CZ98" s="18"/>
      <c r="DA98" s="18"/>
      <c r="DB98" s="18"/>
      <c r="DC98" s="18"/>
      <c r="DD98" s="18"/>
      <c r="DE98" s="137" t="str">
        <f>Co_Name</f>
        <v>State Farm General Insurance Company</v>
      </c>
      <c r="DF98" s="68"/>
      <c r="DG98" s="40"/>
      <c r="DH98" s="18"/>
      <c r="DI98" s="18"/>
      <c r="DJ98" s="18"/>
      <c r="DK98" s="18"/>
      <c r="DL98" s="18"/>
      <c r="DM98" s="18"/>
      <c r="DN98" s="18"/>
      <c r="DO98" s="18"/>
      <c r="DP98" s="18"/>
    </row>
    <row r="99" spans="1:120" ht="21" x14ac:dyDescent="0.35">
      <c r="A99" s="137" t="str">
        <f>A$2</f>
        <v>Homeowners Multiple Peril</v>
      </c>
      <c r="B99" s="68"/>
      <c r="C99" s="40"/>
      <c r="D99" s="18"/>
      <c r="E99" s="18"/>
      <c r="F99" s="18"/>
      <c r="G99" s="18"/>
      <c r="H99" s="18"/>
      <c r="I99" s="18"/>
      <c r="J99" s="18"/>
      <c r="K99" s="18"/>
      <c r="L99" s="18"/>
      <c r="M99" s="137" t="str">
        <f>M$2</f>
        <v/>
      </c>
      <c r="N99" s="68"/>
      <c r="O99" s="40"/>
      <c r="P99" s="18"/>
      <c r="Q99" s="18"/>
      <c r="R99" s="18"/>
      <c r="S99" s="18"/>
      <c r="T99" s="18"/>
      <c r="U99" s="18"/>
      <c r="V99" s="18"/>
      <c r="W99" s="18"/>
      <c r="X99" s="18"/>
      <c r="Y99" s="137" t="str">
        <f>Y$2</f>
        <v/>
      </c>
      <c r="Z99" s="68"/>
      <c r="AA99" s="40"/>
      <c r="AB99" s="18"/>
      <c r="AC99" s="18"/>
      <c r="AD99" s="18"/>
      <c r="AE99" s="18"/>
      <c r="AF99" s="18"/>
      <c r="AG99" s="18"/>
      <c r="AH99" s="18"/>
      <c r="AI99" s="18"/>
      <c r="AJ99" s="18"/>
      <c r="AK99" s="137" t="str">
        <f>AK$2</f>
        <v/>
      </c>
      <c r="AL99" s="68"/>
      <c r="AM99" s="40"/>
      <c r="AN99" s="18"/>
      <c r="AO99" s="18"/>
      <c r="AP99" s="18"/>
      <c r="AQ99" s="18"/>
      <c r="AR99" s="18"/>
      <c r="AS99" s="18"/>
      <c r="AT99" s="18"/>
      <c r="AU99" s="18"/>
      <c r="AV99" s="18"/>
      <c r="AW99" s="137" t="str">
        <f>AW$2</f>
        <v/>
      </c>
      <c r="AX99" s="68"/>
      <c r="AY99" s="40"/>
      <c r="AZ99" s="18"/>
      <c r="BA99" s="18"/>
      <c r="BB99" s="18"/>
      <c r="BC99" s="18"/>
      <c r="BD99" s="18"/>
      <c r="BE99" s="18"/>
      <c r="BF99" s="18"/>
      <c r="BG99" s="18"/>
      <c r="BH99" s="18"/>
      <c r="BI99" s="137" t="str">
        <f>BI$2</f>
        <v/>
      </c>
      <c r="BJ99" s="68"/>
      <c r="BK99" s="40"/>
      <c r="BL99" s="18"/>
      <c r="BM99" s="18"/>
      <c r="BN99" s="18"/>
      <c r="BO99" s="18"/>
      <c r="BP99" s="18"/>
      <c r="BQ99" s="18"/>
      <c r="BR99" s="18"/>
      <c r="BS99" s="18"/>
      <c r="BT99" s="18"/>
      <c r="BU99" s="137" t="str">
        <f>BU$2</f>
        <v/>
      </c>
      <c r="BV99" s="68"/>
      <c r="BW99" s="40"/>
      <c r="BX99" s="18"/>
      <c r="BY99" s="18"/>
      <c r="BZ99" s="18"/>
      <c r="CA99" s="18"/>
      <c r="CB99" s="18"/>
      <c r="CC99" s="18"/>
      <c r="CD99" s="18"/>
      <c r="CE99" s="18"/>
      <c r="CF99" s="18"/>
      <c r="CG99" s="137" t="str">
        <f>CG$2</f>
        <v/>
      </c>
      <c r="CH99" s="68"/>
      <c r="CI99" s="40"/>
      <c r="CJ99" s="18"/>
      <c r="CK99" s="18"/>
      <c r="CL99" s="18"/>
      <c r="CM99" s="18"/>
      <c r="CN99" s="18"/>
      <c r="CO99" s="18"/>
      <c r="CP99" s="18"/>
      <c r="CQ99" s="18"/>
      <c r="CR99" s="18"/>
      <c r="CS99" s="137" t="str">
        <f>CS$2</f>
        <v/>
      </c>
      <c r="CT99" s="68"/>
      <c r="CU99" s="40"/>
      <c r="CV99" s="18"/>
      <c r="CW99" s="18"/>
      <c r="CX99" s="18"/>
      <c r="CY99" s="18"/>
      <c r="CZ99" s="18"/>
      <c r="DA99" s="18"/>
      <c r="DB99" s="18"/>
      <c r="DC99" s="18"/>
      <c r="DD99" s="18"/>
      <c r="DE99" s="137" t="str">
        <f>DE$2</f>
        <v/>
      </c>
      <c r="DF99" s="68"/>
      <c r="DG99" s="40"/>
      <c r="DH99" s="18"/>
      <c r="DI99" s="18"/>
      <c r="DJ99" s="18"/>
      <c r="DK99" s="18"/>
      <c r="DL99" s="18"/>
      <c r="DM99" s="18"/>
      <c r="DN99" s="18"/>
      <c r="DO99" s="18"/>
      <c r="DP99" s="18"/>
    </row>
    <row r="100" spans="1:120" ht="21" customHeight="1" x14ac:dyDescent="0.25"/>
    <row r="101" spans="1:120" ht="21" x14ac:dyDescent="0.25">
      <c r="A101" s="48" t="s">
        <v>197</v>
      </c>
      <c r="B101" s="48"/>
      <c r="C101" s="18"/>
      <c r="D101" s="18"/>
      <c r="E101" s="18"/>
      <c r="F101" s="18"/>
      <c r="G101" s="18"/>
      <c r="H101" s="18"/>
      <c r="I101" s="18"/>
      <c r="J101" s="18"/>
      <c r="K101" s="18"/>
      <c r="L101" s="18"/>
      <c r="M101" s="48" t="s">
        <v>197</v>
      </c>
      <c r="N101" s="48"/>
      <c r="O101" s="18"/>
      <c r="P101" s="18"/>
      <c r="Q101" s="18"/>
      <c r="R101" s="18"/>
      <c r="S101" s="18"/>
      <c r="T101" s="18"/>
      <c r="U101" s="18"/>
      <c r="V101" s="18"/>
      <c r="W101" s="18"/>
      <c r="X101" s="18"/>
      <c r="Y101" s="48" t="s">
        <v>197</v>
      </c>
      <c r="Z101" s="48"/>
      <c r="AA101" s="18"/>
      <c r="AB101" s="18"/>
      <c r="AC101" s="18"/>
      <c r="AD101" s="18"/>
      <c r="AE101" s="18"/>
      <c r="AF101" s="18"/>
      <c r="AG101" s="18"/>
      <c r="AH101" s="18"/>
      <c r="AI101" s="18"/>
      <c r="AJ101" s="18"/>
      <c r="AK101" s="48" t="s">
        <v>197</v>
      </c>
      <c r="AL101" s="48"/>
      <c r="AM101" s="18"/>
      <c r="AN101" s="18"/>
      <c r="AO101" s="18"/>
      <c r="AP101" s="18"/>
      <c r="AQ101" s="18"/>
      <c r="AR101" s="18"/>
      <c r="AS101" s="18"/>
      <c r="AT101" s="18"/>
      <c r="AU101" s="18"/>
      <c r="AV101" s="18"/>
      <c r="AW101" s="48" t="s">
        <v>197</v>
      </c>
      <c r="AX101" s="48"/>
      <c r="AY101" s="18"/>
      <c r="AZ101" s="18"/>
      <c r="BA101" s="18"/>
      <c r="BB101" s="18"/>
      <c r="BC101" s="18"/>
      <c r="BD101" s="18"/>
      <c r="BE101" s="18"/>
      <c r="BF101" s="18"/>
      <c r="BG101" s="18"/>
      <c r="BH101" s="18"/>
      <c r="BI101" s="48" t="s">
        <v>197</v>
      </c>
      <c r="BJ101" s="48"/>
      <c r="BK101" s="18"/>
      <c r="BL101" s="18"/>
      <c r="BM101" s="18"/>
      <c r="BN101" s="18"/>
      <c r="BO101" s="18"/>
      <c r="BP101" s="18"/>
      <c r="BQ101" s="18"/>
      <c r="BR101" s="18"/>
      <c r="BS101" s="18"/>
      <c r="BT101" s="18"/>
      <c r="BU101" s="48" t="s">
        <v>197</v>
      </c>
      <c r="BV101" s="48"/>
      <c r="BW101" s="18"/>
      <c r="BX101" s="18"/>
      <c r="BY101" s="18"/>
      <c r="BZ101" s="18"/>
      <c r="CA101" s="18"/>
      <c r="CB101" s="18"/>
      <c r="CC101" s="18"/>
      <c r="CD101" s="18"/>
      <c r="CE101" s="18"/>
      <c r="CF101" s="18"/>
      <c r="CG101" s="48" t="s">
        <v>197</v>
      </c>
      <c r="CH101" s="48"/>
      <c r="CI101" s="18"/>
      <c r="CJ101" s="18"/>
      <c r="CK101" s="18"/>
      <c r="CL101" s="18"/>
      <c r="CM101" s="18"/>
      <c r="CN101" s="18"/>
      <c r="CO101" s="18"/>
      <c r="CP101" s="18"/>
      <c r="CQ101" s="18"/>
      <c r="CR101" s="18"/>
      <c r="CS101" s="48" t="s">
        <v>197</v>
      </c>
      <c r="CT101" s="48"/>
      <c r="CU101" s="18"/>
      <c r="CV101" s="18"/>
      <c r="CW101" s="18"/>
      <c r="CX101" s="18"/>
      <c r="CY101" s="18"/>
      <c r="CZ101" s="18"/>
      <c r="DA101" s="18"/>
      <c r="DB101" s="18"/>
      <c r="DC101" s="18"/>
      <c r="DD101" s="18"/>
      <c r="DE101" s="48" t="s">
        <v>197</v>
      </c>
      <c r="DF101" s="48"/>
      <c r="DG101" s="18"/>
      <c r="DH101" s="18"/>
      <c r="DI101" s="18"/>
      <c r="DJ101" s="18"/>
      <c r="DK101" s="18"/>
      <c r="DL101" s="18"/>
      <c r="DM101" s="18"/>
      <c r="DN101" s="18"/>
      <c r="DO101" s="18"/>
      <c r="DP101" s="18"/>
    </row>
    <row r="102" spans="1:120" x14ac:dyDescent="0.25">
      <c r="A102" s="138" t="str">
        <f>A$5</f>
        <v>Rental Dwelling</v>
      </c>
      <c r="B102" s="69"/>
      <c r="C102" s="18"/>
      <c r="D102" s="18"/>
      <c r="E102" s="18"/>
      <c r="F102" s="18"/>
      <c r="G102" s="18"/>
      <c r="H102" s="18"/>
      <c r="I102" s="18"/>
      <c r="J102" s="18"/>
      <c r="K102" s="18"/>
      <c r="L102" s="18"/>
      <c r="M102" s="138">
        <f>M$5</f>
        <v>0</v>
      </c>
      <c r="N102" s="69"/>
      <c r="O102" s="18"/>
      <c r="P102" s="18"/>
      <c r="Q102" s="18"/>
      <c r="R102" s="18"/>
      <c r="S102" s="18"/>
      <c r="T102" s="18"/>
      <c r="U102" s="18"/>
      <c r="V102" s="18"/>
      <c r="W102" s="18"/>
      <c r="X102" s="18"/>
      <c r="Y102" s="138">
        <f>Y$5</f>
        <v>0</v>
      </c>
      <c r="Z102" s="69"/>
      <c r="AA102" s="18"/>
      <c r="AB102" s="18"/>
      <c r="AC102" s="18"/>
      <c r="AD102" s="18"/>
      <c r="AE102" s="18"/>
      <c r="AF102" s="18"/>
      <c r="AG102" s="18"/>
      <c r="AH102" s="18"/>
      <c r="AI102" s="18"/>
      <c r="AJ102" s="18"/>
      <c r="AK102" s="138">
        <f>AK$5</f>
        <v>0</v>
      </c>
      <c r="AL102" s="69"/>
      <c r="AM102" s="18"/>
      <c r="AN102" s="18"/>
      <c r="AO102" s="18"/>
      <c r="AP102" s="18"/>
      <c r="AQ102" s="18"/>
      <c r="AR102" s="18"/>
      <c r="AS102" s="18"/>
      <c r="AT102" s="18"/>
      <c r="AU102" s="18"/>
      <c r="AV102" s="18"/>
      <c r="AW102" s="138">
        <f>AW$5</f>
        <v>0</v>
      </c>
      <c r="AX102" s="69"/>
      <c r="AY102" s="18"/>
      <c r="AZ102" s="18"/>
      <c r="BA102" s="18"/>
      <c r="BB102" s="18"/>
      <c r="BC102" s="18"/>
      <c r="BD102" s="18"/>
      <c r="BE102" s="18"/>
      <c r="BF102" s="18"/>
      <c r="BG102" s="18"/>
      <c r="BH102" s="18"/>
      <c r="BI102" s="138">
        <f>BI$5</f>
        <v>0</v>
      </c>
      <c r="BJ102" s="69"/>
      <c r="BK102" s="18"/>
      <c r="BL102" s="18"/>
      <c r="BM102" s="18"/>
      <c r="BN102" s="18"/>
      <c r="BO102" s="18"/>
      <c r="BP102" s="18"/>
      <c r="BQ102" s="18"/>
      <c r="BR102" s="18"/>
      <c r="BS102" s="18"/>
      <c r="BT102" s="18"/>
      <c r="BU102" s="138">
        <f>BU$5</f>
        <v>0</v>
      </c>
      <c r="BV102" s="69"/>
      <c r="BW102" s="18"/>
      <c r="BX102" s="18"/>
      <c r="BY102" s="18"/>
      <c r="BZ102" s="18"/>
      <c r="CA102" s="18"/>
      <c r="CB102" s="18"/>
      <c r="CC102" s="18"/>
      <c r="CD102" s="18"/>
      <c r="CE102" s="18"/>
      <c r="CF102" s="18"/>
      <c r="CG102" s="138">
        <f>CG$5</f>
        <v>0</v>
      </c>
      <c r="CH102" s="69"/>
      <c r="CI102" s="18"/>
      <c r="CJ102" s="18"/>
      <c r="CK102" s="18"/>
      <c r="CL102" s="18"/>
      <c r="CM102" s="18"/>
      <c r="CN102" s="18"/>
      <c r="CO102" s="18"/>
      <c r="CP102" s="18"/>
      <c r="CQ102" s="18"/>
      <c r="CR102" s="18"/>
      <c r="CS102" s="138">
        <f>CS$5</f>
        <v>0</v>
      </c>
      <c r="CT102" s="69"/>
      <c r="CU102" s="18"/>
      <c r="CV102" s="18"/>
      <c r="CW102" s="18"/>
      <c r="CX102" s="18"/>
      <c r="CY102" s="18"/>
      <c r="CZ102" s="18"/>
      <c r="DA102" s="18"/>
      <c r="DB102" s="18"/>
      <c r="DC102" s="18"/>
      <c r="DD102" s="18"/>
      <c r="DE102" s="138">
        <f>DE$5</f>
        <v>0</v>
      </c>
      <c r="DF102" s="69"/>
      <c r="DG102" s="18"/>
      <c r="DH102" s="18"/>
      <c r="DI102" s="18"/>
      <c r="DJ102" s="18"/>
      <c r="DK102" s="18"/>
      <c r="DL102" s="18"/>
      <c r="DM102" s="18"/>
      <c r="DN102" s="18"/>
      <c r="DO102" s="18"/>
      <c r="DP102" s="18"/>
    </row>
    <row r="103" spans="1:120" ht="15" customHeight="1" x14ac:dyDescent="0.25">
      <c r="A103" s="3"/>
      <c r="B103" s="3"/>
      <c r="C103" s="3"/>
      <c r="D103" s="3"/>
      <c r="E103" s="3"/>
      <c r="F103" s="3"/>
      <c r="G103" s="3"/>
      <c r="H103" s="18"/>
      <c r="I103" s="18"/>
      <c r="J103" s="18"/>
      <c r="K103" s="18"/>
      <c r="L103" s="18"/>
      <c r="M103" s="3"/>
      <c r="N103" s="3"/>
      <c r="O103" s="3"/>
      <c r="P103" s="3"/>
      <c r="Q103" s="3"/>
      <c r="R103" s="3"/>
      <c r="S103" s="3"/>
      <c r="T103" s="18"/>
      <c r="U103" s="18"/>
      <c r="V103" s="18"/>
      <c r="W103" s="18"/>
      <c r="X103" s="18"/>
      <c r="Y103" s="3"/>
      <c r="Z103" s="3"/>
      <c r="AA103" s="3"/>
      <c r="AB103" s="3"/>
      <c r="AC103" s="3"/>
      <c r="AD103" s="3"/>
      <c r="AE103" s="3"/>
      <c r="AF103" s="18"/>
      <c r="AG103" s="18"/>
      <c r="AH103" s="18"/>
      <c r="AI103" s="18"/>
      <c r="AJ103" s="18"/>
      <c r="AK103" s="3"/>
      <c r="AL103" s="3"/>
      <c r="AM103" s="3"/>
      <c r="AN103" s="3"/>
      <c r="AO103" s="3"/>
      <c r="AP103" s="3"/>
      <c r="AQ103" s="3"/>
      <c r="AR103" s="18"/>
      <c r="AS103" s="18"/>
      <c r="AT103" s="18"/>
      <c r="AU103" s="18"/>
      <c r="AV103" s="18"/>
      <c r="AW103" s="3"/>
      <c r="AX103" s="3"/>
      <c r="AY103" s="3"/>
      <c r="AZ103" s="3"/>
      <c r="BA103" s="3"/>
      <c r="BB103" s="3"/>
      <c r="BC103" s="3"/>
      <c r="BD103" s="18"/>
      <c r="BE103" s="18"/>
      <c r="BF103" s="18"/>
      <c r="BG103" s="18"/>
      <c r="BH103" s="18"/>
      <c r="BI103" s="3"/>
      <c r="BJ103" s="3"/>
      <c r="BK103" s="3"/>
      <c r="BL103" s="3"/>
      <c r="BM103" s="3"/>
      <c r="BN103" s="3"/>
      <c r="BO103" s="3"/>
      <c r="BP103" s="18"/>
      <c r="BQ103" s="18"/>
      <c r="BR103" s="18"/>
      <c r="BS103" s="18"/>
      <c r="BT103" s="18"/>
      <c r="BU103" s="3"/>
      <c r="BV103" s="3"/>
      <c r="BW103" s="3"/>
      <c r="BX103" s="3"/>
      <c r="BY103" s="3"/>
      <c r="BZ103" s="3"/>
      <c r="CA103" s="3"/>
      <c r="CB103" s="18"/>
      <c r="CC103" s="18"/>
      <c r="CD103" s="18"/>
      <c r="CE103" s="18"/>
      <c r="CF103" s="18"/>
      <c r="CG103" s="3"/>
      <c r="CH103" s="3"/>
      <c r="CI103" s="3"/>
      <c r="CJ103" s="3"/>
      <c r="CK103" s="3"/>
      <c r="CL103" s="3"/>
      <c r="CM103" s="3"/>
      <c r="CN103" s="18"/>
      <c r="CO103" s="18"/>
      <c r="CP103" s="18"/>
      <c r="CQ103" s="18"/>
      <c r="CR103" s="18"/>
      <c r="CS103" s="3"/>
      <c r="CT103" s="3"/>
      <c r="CU103" s="3"/>
      <c r="CV103" s="3"/>
      <c r="CW103" s="3"/>
      <c r="CX103" s="3"/>
      <c r="CY103" s="3"/>
      <c r="CZ103" s="18"/>
      <c r="DA103" s="18"/>
      <c r="DB103" s="18"/>
      <c r="DC103" s="18"/>
      <c r="DD103" s="18"/>
      <c r="DE103" s="3"/>
      <c r="DF103" s="3"/>
      <c r="DG103" s="3"/>
      <c r="DH103" s="3"/>
      <c r="DI103" s="3"/>
      <c r="DJ103" s="3"/>
      <c r="DK103" s="3"/>
      <c r="DL103" s="18"/>
      <c r="DM103" s="18"/>
      <c r="DN103" s="18"/>
      <c r="DO103" s="18"/>
      <c r="DP103" s="18"/>
    </row>
    <row r="104" spans="1:120" x14ac:dyDescent="0.25">
      <c r="A104" s="102"/>
      <c r="B104" s="129"/>
      <c r="C104" s="129" t="s">
        <v>4</v>
      </c>
      <c r="D104" s="103"/>
      <c r="E104" s="103"/>
      <c r="F104" s="103"/>
      <c r="G104" s="103"/>
      <c r="H104" s="103"/>
      <c r="I104" s="103"/>
      <c r="J104" s="103"/>
      <c r="K104" s="103"/>
      <c r="L104" s="103"/>
      <c r="M104" s="102"/>
      <c r="N104" s="129"/>
      <c r="O104" s="129" t="s">
        <v>4</v>
      </c>
      <c r="P104" s="103"/>
      <c r="Q104" s="103"/>
      <c r="R104" s="103"/>
      <c r="S104" s="103"/>
      <c r="T104" s="103"/>
      <c r="U104" s="103"/>
      <c r="V104" s="103"/>
      <c r="W104" s="103"/>
      <c r="X104" s="103"/>
      <c r="Y104" s="102"/>
      <c r="Z104" s="129"/>
      <c r="AA104" s="129" t="s">
        <v>4</v>
      </c>
      <c r="AB104" s="103"/>
      <c r="AC104" s="103"/>
      <c r="AD104" s="103"/>
      <c r="AE104" s="103"/>
      <c r="AF104" s="103"/>
      <c r="AG104" s="103"/>
      <c r="AH104" s="103"/>
      <c r="AI104" s="103"/>
      <c r="AJ104" s="103"/>
      <c r="AK104" s="102"/>
      <c r="AL104" s="129"/>
      <c r="AM104" s="129" t="s">
        <v>4</v>
      </c>
      <c r="AN104" s="103"/>
      <c r="AO104" s="103"/>
      <c r="AP104" s="103"/>
      <c r="AQ104" s="103"/>
      <c r="AR104" s="103"/>
      <c r="AS104" s="103"/>
      <c r="AT104" s="103"/>
      <c r="AU104" s="103"/>
      <c r="AV104" s="103"/>
      <c r="AW104" s="102"/>
      <c r="AX104" s="129"/>
      <c r="AY104" s="129" t="s">
        <v>4</v>
      </c>
      <c r="AZ104" s="103"/>
      <c r="BA104" s="103"/>
      <c r="BB104" s="103"/>
      <c r="BC104" s="103"/>
      <c r="BD104" s="103"/>
      <c r="BE104" s="103"/>
      <c r="BF104" s="103"/>
      <c r="BG104" s="103"/>
      <c r="BH104" s="103"/>
      <c r="BI104" s="102"/>
      <c r="BJ104" s="129"/>
      <c r="BK104" s="129" t="s">
        <v>4</v>
      </c>
      <c r="BL104" s="103"/>
      <c r="BM104" s="103"/>
      <c r="BN104" s="103"/>
      <c r="BO104" s="103"/>
      <c r="BP104" s="103"/>
      <c r="BQ104" s="103"/>
      <c r="BR104" s="103"/>
      <c r="BS104" s="103"/>
      <c r="BT104" s="103"/>
      <c r="BU104" s="102"/>
      <c r="BV104" s="129"/>
      <c r="BW104" s="129" t="s">
        <v>4</v>
      </c>
      <c r="BX104" s="103"/>
      <c r="BY104" s="103"/>
      <c r="BZ104" s="103"/>
      <c r="CA104" s="103"/>
      <c r="CB104" s="103"/>
      <c r="CC104" s="103"/>
      <c r="CD104" s="103"/>
      <c r="CE104" s="103"/>
      <c r="CF104" s="103"/>
      <c r="CG104" s="102"/>
      <c r="CH104" s="129"/>
      <c r="CI104" s="129" t="s">
        <v>4</v>
      </c>
      <c r="CJ104" s="103"/>
      <c r="CK104" s="103"/>
      <c r="CL104" s="103"/>
      <c r="CM104" s="103"/>
      <c r="CN104" s="103"/>
      <c r="CO104" s="103"/>
      <c r="CP104" s="103"/>
      <c r="CQ104" s="103"/>
      <c r="CR104" s="103"/>
      <c r="CS104" s="102"/>
      <c r="CT104" s="129"/>
      <c r="CU104" s="129" t="s">
        <v>4</v>
      </c>
      <c r="CV104" s="103"/>
      <c r="CW104" s="103"/>
      <c r="CX104" s="103"/>
      <c r="CY104" s="103"/>
      <c r="CZ104" s="103"/>
      <c r="DA104" s="103"/>
      <c r="DB104" s="103"/>
      <c r="DC104" s="103"/>
      <c r="DD104" s="103"/>
      <c r="DE104" s="102"/>
      <c r="DF104" s="129"/>
      <c r="DG104" s="129" t="s">
        <v>4</v>
      </c>
      <c r="DH104" s="103"/>
      <c r="DI104" s="103"/>
      <c r="DJ104" s="103"/>
      <c r="DK104" s="103"/>
      <c r="DL104" s="103"/>
      <c r="DM104" s="103"/>
      <c r="DN104" s="103"/>
      <c r="DO104" s="103"/>
      <c r="DP104" s="103"/>
    </row>
    <row r="105" spans="1:120" ht="30" x14ac:dyDescent="0.25">
      <c r="A105" s="92" t="str">
        <f>$A$35</f>
        <v>Fiscal Accident Year Data Ending</v>
      </c>
      <c r="B105" s="98">
        <f>$B$35</f>
        <v>0</v>
      </c>
      <c r="C105" s="98" t="str">
        <f>$C$35</f>
        <v>12</v>
      </c>
      <c r="D105" s="98">
        <f>$D$35</f>
        <v>24</v>
      </c>
      <c r="E105" s="98">
        <f>$E$35</f>
        <v>36</v>
      </c>
      <c r="F105" s="98">
        <f>$F$35</f>
        <v>48</v>
      </c>
      <c r="G105" s="98">
        <f>$G$35</f>
        <v>60</v>
      </c>
      <c r="H105" s="98">
        <f>$H$35</f>
        <v>72</v>
      </c>
      <c r="I105" s="98">
        <f>$I$35</f>
        <v>84</v>
      </c>
      <c r="J105" s="98">
        <f>$J$35</f>
        <v>96</v>
      </c>
      <c r="K105" s="98">
        <f>$K$35</f>
        <v>108</v>
      </c>
      <c r="L105" s="98">
        <f>$L$35</f>
        <v>120</v>
      </c>
      <c r="M105" s="92" t="str">
        <f>$A$35</f>
        <v>Fiscal Accident Year Data Ending</v>
      </c>
      <c r="N105" s="98">
        <f>$B$35</f>
        <v>0</v>
      </c>
      <c r="O105" s="98" t="str">
        <f>$C$35</f>
        <v>12</v>
      </c>
      <c r="P105" s="98">
        <f>$D$35</f>
        <v>24</v>
      </c>
      <c r="Q105" s="98">
        <f>$E$35</f>
        <v>36</v>
      </c>
      <c r="R105" s="98">
        <f>$F$35</f>
        <v>48</v>
      </c>
      <c r="S105" s="98">
        <f>$G$35</f>
        <v>60</v>
      </c>
      <c r="T105" s="98">
        <f>$H$35</f>
        <v>72</v>
      </c>
      <c r="U105" s="98">
        <f>$I$35</f>
        <v>84</v>
      </c>
      <c r="V105" s="98">
        <f>$J$35</f>
        <v>96</v>
      </c>
      <c r="W105" s="98">
        <f>$K$35</f>
        <v>108</v>
      </c>
      <c r="X105" s="98">
        <f>$L$35</f>
        <v>120</v>
      </c>
      <c r="Y105" s="92" t="str">
        <f>$A$35</f>
        <v>Fiscal Accident Year Data Ending</v>
      </c>
      <c r="Z105" s="98">
        <f>$B$35</f>
        <v>0</v>
      </c>
      <c r="AA105" s="98" t="str">
        <f>$C$35</f>
        <v>12</v>
      </c>
      <c r="AB105" s="98">
        <f>$D$35</f>
        <v>24</v>
      </c>
      <c r="AC105" s="98">
        <f>$E$35</f>
        <v>36</v>
      </c>
      <c r="AD105" s="98">
        <f>$F$35</f>
        <v>48</v>
      </c>
      <c r="AE105" s="98">
        <f>$G$35</f>
        <v>60</v>
      </c>
      <c r="AF105" s="98">
        <f>$H$35</f>
        <v>72</v>
      </c>
      <c r="AG105" s="98">
        <f>$I$35</f>
        <v>84</v>
      </c>
      <c r="AH105" s="98">
        <f>$J$35</f>
        <v>96</v>
      </c>
      <c r="AI105" s="98">
        <f>$K$35</f>
        <v>108</v>
      </c>
      <c r="AJ105" s="98">
        <f>$L$35</f>
        <v>120</v>
      </c>
      <c r="AK105" s="92" t="str">
        <f>$A$35</f>
        <v>Fiscal Accident Year Data Ending</v>
      </c>
      <c r="AL105" s="98">
        <f>$B$35</f>
        <v>0</v>
      </c>
      <c r="AM105" s="98" t="str">
        <f>$C$35</f>
        <v>12</v>
      </c>
      <c r="AN105" s="98">
        <f>$D$35</f>
        <v>24</v>
      </c>
      <c r="AO105" s="98">
        <f>$E$35</f>
        <v>36</v>
      </c>
      <c r="AP105" s="98">
        <f>$F$35</f>
        <v>48</v>
      </c>
      <c r="AQ105" s="98">
        <f>$G$35</f>
        <v>60</v>
      </c>
      <c r="AR105" s="98">
        <f>$H$35</f>
        <v>72</v>
      </c>
      <c r="AS105" s="98">
        <f>$I$35</f>
        <v>84</v>
      </c>
      <c r="AT105" s="98">
        <f>$J$35</f>
        <v>96</v>
      </c>
      <c r="AU105" s="98">
        <f>$K$35</f>
        <v>108</v>
      </c>
      <c r="AV105" s="98">
        <f>$L$35</f>
        <v>120</v>
      </c>
      <c r="AW105" s="92" t="str">
        <f>$A$35</f>
        <v>Fiscal Accident Year Data Ending</v>
      </c>
      <c r="AX105" s="98">
        <f>$B$35</f>
        <v>0</v>
      </c>
      <c r="AY105" s="98" t="str">
        <f>$C$35</f>
        <v>12</v>
      </c>
      <c r="AZ105" s="98">
        <f>$D$35</f>
        <v>24</v>
      </c>
      <c r="BA105" s="98">
        <f>$E$35</f>
        <v>36</v>
      </c>
      <c r="BB105" s="98">
        <f>$F$35</f>
        <v>48</v>
      </c>
      <c r="BC105" s="98">
        <f>$G$35</f>
        <v>60</v>
      </c>
      <c r="BD105" s="98">
        <f>$H$35</f>
        <v>72</v>
      </c>
      <c r="BE105" s="98">
        <f>$I$35</f>
        <v>84</v>
      </c>
      <c r="BF105" s="98">
        <f>$J$35</f>
        <v>96</v>
      </c>
      <c r="BG105" s="98">
        <f>$K$35</f>
        <v>108</v>
      </c>
      <c r="BH105" s="98">
        <f>$L$35</f>
        <v>120</v>
      </c>
      <c r="BI105" s="92" t="str">
        <f>$A$35</f>
        <v>Fiscal Accident Year Data Ending</v>
      </c>
      <c r="BJ105" s="98">
        <f>$B$35</f>
        <v>0</v>
      </c>
      <c r="BK105" s="98" t="str">
        <f>$C$35</f>
        <v>12</v>
      </c>
      <c r="BL105" s="98">
        <f>$D$35</f>
        <v>24</v>
      </c>
      <c r="BM105" s="98">
        <f>$E$35</f>
        <v>36</v>
      </c>
      <c r="BN105" s="98">
        <f>$F$35</f>
        <v>48</v>
      </c>
      <c r="BO105" s="98">
        <f>$G$35</f>
        <v>60</v>
      </c>
      <c r="BP105" s="98">
        <f>$H$35</f>
        <v>72</v>
      </c>
      <c r="BQ105" s="98">
        <f>$I$35</f>
        <v>84</v>
      </c>
      <c r="BR105" s="98">
        <f>$J$35</f>
        <v>96</v>
      </c>
      <c r="BS105" s="98">
        <f>$K$35</f>
        <v>108</v>
      </c>
      <c r="BT105" s="98">
        <f>$L$35</f>
        <v>120</v>
      </c>
      <c r="BU105" s="92" t="str">
        <f>$A$35</f>
        <v>Fiscal Accident Year Data Ending</v>
      </c>
      <c r="BV105" s="98">
        <f>$B$35</f>
        <v>0</v>
      </c>
      <c r="BW105" s="98" t="str">
        <f>$C$35</f>
        <v>12</v>
      </c>
      <c r="BX105" s="98">
        <f>$D$35</f>
        <v>24</v>
      </c>
      <c r="BY105" s="98">
        <f>$E$35</f>
        <v>36</v>
      </c>
      <c r="BZ105" s="98">
        <f>$F$35</f>
        <v>48</v>
      </c>
      <c r="CA105" s="98">
        <f>$G$35</f>
        <v>60</v>
      </c>
      <c r="CB105" s="98">
        <f>$H$35</f>
        <v>72</v>
      </c>
      <c r="CC105" s="98">
        <f>$I$35</f>
        <v>84</v>
      </c>
      <c r="CD105" s="98">
        <f>$J$35</f>
        <v>96</v>
      </c>
      <c r="CE105" s="98">
        <f>$K$35</f>
        <v>108</v>
      </c>
      <c r="CF105" s="98">
        <f>$L$35</f>
        <v>120</v>
      </c>
      <c r="CG105" s="92" t="str">
        <f>$A$35</f>
        <v>Fiscal Accident Year Data Ending</v>
      </c>
      <c r="CH105" s="98">
        <f>$B$35</f>
        <v>0</v>
      </c>
      <c r="CI105" s="98" t="str">
        <f>$C$35</f>
        <v>12</v>
      </c>
      <c r="CJ105" s="98">
        <f>$D$35</f>
        <v>24</v>
      </c>
      <c r="CK105" s="98">
        <f>$E$35</f>
        <v>36</v>
      </c>
      <c r="CL105" s="98">
        <f>$F$35</f>
        <v>48</v>
      </c>
      <c r="CM105" s="98">
        <f>$G$35</f>
        <v>60</v>
      </c>
      <c r="CN105" s="98">
        <f>$H$35</f>
        <v>72</v>
      </c>
      <c r="CO105" s="98">
        <f>$I$35</f>
        <v>84</v>
      </c>
      <c r="CP105" s="98">
        <f>$J$35</f>
        <v>96</v>
      </c>
      <c r="CQ105" s="98">
        <f>$K$35</f>
        <v>108</v>
      </c>
      <c r="CR105" s="98">
        <f>$L$35</f>
        <v>120</v>
      </c>
      <c r="CS105" s="92" t="str">
        <f>$A$35</f>
        <v>Fiscal Accident Year Data Ending</v>
      </c>
      <c r="CT105" s="98">
        <f>$B$35</f>
        <v>0</v>
      </c>
      <c r="CU105" s="98" t="str">
        <f>$C$35</f>
        <v>12</v>
      </c>
      <c r="CV105" s="98">
        <f>$D$35</f>
        <v>24</v>
      </c>
      <c r="CW105" s="98">
        <f>$E$35</f>
        <v>36</v>
      </c>
      <c r="CX105" s="98">
        <f>$F$35</f>
        <v>48</v>
      </c>
      <c r="CY105" s="98">
        <f>$G$35</f>
        <v>60</v>
      </c>
      <c r="CZ105" s="98">
        <f>$H$35</f>
        <v>72</v>
      </c>
      <c r="DA105" s="98">
        <f>$I$35</f>
        <v>84</v>
      </c>
      <c r="DB105" s="98">
        <f>$J$35</f>
        <v>96</v>
      </c>
      <c r="DC105" s="98">
        <f>$K$35</f>
        <v>108</v>
      </c>
      <c r="DD105" s="98">
        <f>$L$35</f>
        <v>120</v>
      </c>
      <c r="DE105" s="92" t="str">
        <f>$A$35</f>
        <v>Fiscal Accident Year Data Ending</v>
      </c>
      <c r="DF105" s="98">
        <f>$B$35</f>
        <v>0</v>
      </c>
      <c r="DG105" s="98" t="str">
        <f>$C$35</f>
        <v>12</v>
      </c>
      <c r="DH105" s="98">
        <f>$D$35</f>
        <v>24</v>
      </c>
      <c r="DI105" s="98">
        <f>$E$35</f>
        <v>36</v>
      </c>
      <c r="DJ105" s="98">
        <f>$F$35</f>
        <v>48</v>
      </c>
      <c r="DK105" s="98">
        <f>$G$35</f>
        <v>60</v>
      </c>
      <c r="DL105" s="98">
        <f>$H$35</f>
        <v>72</v>
      </c>
      <c r="DM105" s="98">
        <f>$I$35</f>
        <v>84</v>
      </c>
      <c r="DN105" s="98">
        <f>$J$35</f>
        <v>96</v>
      </c>
      <c r="DO105" s="98">
        <f>$K$35</f>
        <v>108</v>
      </c>
      <c r="DP105" s="98">
        <f>$L$35</f>
        <v>120</v>
      </c>
    </row>
    <row r="106" spans="1:120" ht="15" customHeight="1" x14ac:dyDescent="0.25">
      <c r="A106" s="31">
        <f>$A$36</f>
        <v>20132</v>
      </c>
      <c r="B106" s="21"/>
      <c r="C106" s="21">
        <v>870683.08</v>
      </c>
      <c r="D106" s="21">
        <v>2866879.29</v>
      </c>
      <c r="E106" s="21">
        <v>4859181.25</v>
      </c>
      <c r="F106" s="21">
        <v>6236156.9199999999</v>
      </c>
      <c r="G106" s="21">
        <v>7156362.04</v>
      </c>
      <c r="H106" s="21">
        <v>7663875.1200000001</v>
      </c>
      <c r="I106" s="21">
        <v>7863402.21</v>
      </c>
      <c r="J106" s="21">
        <v>7943332.6500000004</v>
      </c>
      <c r="K106" s="21">
        <v>8045006.5499999998</v>
      </c>
      <c r="L106" s="21">
        <v>8186100.2000000002</v>
      </c>
      <c r="M106" s="31">
        <f>$A$36</f>
        <v>20132</v>
      </c>
      <c r="N106" s="21"/>
      <c r="O106" s="21"/>
      <c r="P106" s="21"/>
      <c r="Q106" s="21"/>
      <c r="R106" s="21"/>
      <c r="S106" s="21"/>
      <c r="T106" s="21"/>
      <c r="U106" s="21"/>
      <c r="V106" s="21"/>
      <c r="W106" s="21"/>
      <c r="X106" s="21"/>
      <c r="Y106" s="31">
        <f>$A$36</f>
        <v>20132</v>
      </c>
      <c r="Z106" s="21"/>
      <c r="AA106" s="21"/>
      <c r="AB106" s="21"/>
      <c r="AC106" s="21"/>
      <c r="AD106" s="21"/>
      <c r="AE106" s="21"/>
      <c r="AF106" s="21"/>
      <c r="AG106" s="21"/>
      <c r="AH106" s="21"/>
      <c r="AI106" s="21"/>
      <c r="AJ106" s="21"/>
      <c r="AK106" s="31">
        <f>$A$36</f>
        <v>20132</v>
      </c>
      <c r="AL106" s="21"/>
      <c r="AM106" s="21"/>
      <c r="AN106" s="21"/>
      <c r="AO106" s="21"/>
      <c r="AP106" s="21"/>
      <c r="AQ106" s="21"/>
      <c r="AR106" s="21"/>
      <c r="AS106" s="21"/>
      <c r="AT106" s="21"/>
      <c r="AU106" s="21"/>
      <c r="AV106" s="21"/>
      <c r="AW106" s="31">
        <f>$A$36</f>
        <v>20132</v>
      </c>
      <c r="AX106" s="21"/>
      <c r="AY106" s="21"/>
      <c r="AZ106" s="21"/>
      <c r="BA106" s="21"/>
      <c r="BB106" s="21"/>
      <c r="BC106" s="21"/>
      <c r="BD106" s="21"/>
      <c r="BE106" s="21"/>
      <c r="BF106" s="21"/>
      <c r="BG106" s="21"/>
      <c r="BH106" s="21"/>
      <c r="BI106" s="31">
        <f>$A$36</f>
        <v>20132</v>
      </c>
      <c r="BJ106" s="21"/>
      <c r="BK106" s="21"/>
      <c r="BL106" s="21"/>
      <c r="BM106" s="21"/>
      <c r="BN106" s="21"/>
      <c r="BO106" s="21"/>
      <c r="BP106" s="21"/>
      <c r="BQ106" s="21"/>
      <c r="BR106" s="21"/>
      <c r="BS106" s="21"/>
      <c r="BT106" s="21"/>
      <c r="BU106" s="31">
        <f>$A$36</f>
        <v>20132</v>
      </c>
      <c r="BV106" s="21"/>
      <c r="BW106" s="21"/>
      <c r="BX106" s="21"/>
      <c r="BY106" s="21"/>
      <c r="BZ106" s="21"/>
      <c r="CA106" s="21"/>
      <c r="CB106" s="21"/>
      <c r="CC106" s="21"/>
      <c r="CD106" s="21"/>
      <c r="CE106" s="21"/>
      <c r="CF106" s="21"/>
      <c r="CG106" s="31">
        <f>$A$36</f>
        <v>20132</v>
      </c>
      <c r="CH106" s="21"/>
      <c r="CI106" s="21"/>
      <c r="CJ106" s="21"/>
      <c r="CK106" s="21"/>
      <c r="CL106" s="21"/>
      <c r="CM106" s="21"/>
      <c r="CN106" s="21"/>
      <c r="CO106" s="21"/>
      <c r="CP106" s="21"/>
      <c r="CQ106" s="21"/>
      <c r="CR106" s="21"/>
      <c r="CS106" s="31">
        <f>$A$36</f>
        <v>20132</v>
      </c>
      <c r="CT106" s="21"/>
      <c r="CU106" s="21"/>
      <c r="CV106" s="21"/>
      <c r="CW106" s="21"/>
      <c r="CX106" s="21"/>
      <c r="CY106" s="21"/>
      <c r="CZ106" s="21"/>
      <c r="DA106" s="21"/>
      <c r="DB106" s="21"/>
      <c r="DC106" s="21"/>
      <c r="DD106" s="21"/>
      <c r="DE106" s="31">
        <f>$A$36</f>
        <v>20132</v>
      </c>
      <c r="DF106" s="21"/>
      <c r="DG106" s="21"/>
      <c r="DH106" s="21"/>
      <c r="DI106" s="21"/>
      <c r="DJ106" s="21"/>
      <c r="DK106" s="21"/>
      <c r="DL106" s="21"/>
      <c r="DM106" s="21"/>
      <c r="DN106" s="21"/>
      <c r="DO106" s="21"/>
      <c r="DP106" s="21"/>
    </row>
    <row r="107" spans="1:120" ht="15" customHeight="1" x14ac:dyDescent="0.25">
      <c r="A107" s="31">
        <f>$A$37</f>
        <v>20142</v>
      </c>
      <c r="B107" s="21"/>
      <c r="C107" s="21">
        <v>762434.54</v>
      </c>
      <c r="D107" s="21">
        <v>2425469.7799999998</v>
      </c>
      <c r="E107" s="21">
        <v>4322841.7300000004</v>
      </c>
      <c r="F107" s="21">
        <v>5619527.6200000001</v>
      </c>
      <c r="G107" s="21">
        <v>6445584.5599999996</v>
      </c>
      <c r="H107" s="21">
        <v>6921763.9000000004</v>
      </c>
      <c r="I107" s="21">
        <v>7241811.5099999998</v>
      </c>
      <c r="J107" s="21">
        <v>7907585.2800000003</v>
      </c>
      <c r="K107" s="21">
        <v>8352596.6299999999</v>
      </c>
      <c r="L107" s="134"/>
      <c r="M107" s="31">
        <f>$A$37</f>
        <v>20142</v>
      </c>
      <c r="N107" s="21"/>
      <c r="O107" s="21"/>
      <c r="P107" s="21"/>
      <c r="Q107" s="21"/>
      <c r="R107" s="21"/>
      <c r="S107" s="21"/>
      <c r="T107" s="21"/>
      <c r="U107" s="21"/>
      <c r="V107" s="21"/>
      <c r="W107" s="21"/>
      <c r="X107" s="134"/>
      <c r="Y107" s="31">
        <f>$A$37</f>
        <v>20142</v>
      </c>
      <c r="Z107" s="21"/>
      <c r="AA107" s="21"/>
      <c r="AB107" s="21"/>
      <c r="AC107" s="21"/>
      <c r="AD107" s="21"/>
      <c r="AE107" s="21"/>
      <c r="AF107" s="21"/>
      <c r="AG107" s="21"/>
      <c r="AH107" s="21"/>
      <c r="AI107" s="21"/>
      <c r="AJ107" s="134"/>
      <c r="AK107" s="31">
        <f>$A$37</f>
        <v>20142</v>
      </c>
      <c r="AL107" s="21"/>
      <c r="AM107" s="21"/>
      <c r="AN107" s="21"/>
      <c r="AO107" s="21"/>
      <c r="AP107" s="21"/>
      <c r="AQ107" s="21"/>
      <c r="AR107" s="21"/>
      <c r="AS107" s="21"/>
      <c r="AT107" s="21"/>
      <c r="AU107" s="21"/>
      <c r="AV107" s="134"/>
      <c r="AW107" s="31">
        <f>$A$37</f>
        <v>20142</v>
      </c>
      <c r="AX107" s="21"/>
      <c r="AY107" s="21"/>
      <c r="AZ107" s="21"/>
      <c r="BA107" s="21"/>
      <c r="BB107" s="21"/>
      <c r="BC107" s="21"/>
      <c r="BD107" s="21"/>
      <c r="BE107" s="21"/>
      <c r="BF107" s="21"/>
      <c r="BG107" s="21"/>
      <c r="BH107" s="134"/>
      <c r="BI107" s="31">
        <f>$A$37</f>
        <v>20142</v>
      </c>
      <c r="BJ107" s="21"/>
      <c r="BK107" s="21"/>
      <c r="BL107" s="21"/>
      <c r="BM107" s="21"/>
      <c r="BN107" s="21"/>
      <c r="BO107" s="21"/>
      <c r="BP107" s="21"/>
      <c r="BQ107" s="21"/>
      <c r="BR107" s="21"/>
      <c r="BS107" s="21"/>
      <c r="BT107" s="134"/>
      <c r="BU107" s="31">
        <f>$A$37</f>
        <v>20142</v>
      </c>
      <c r="BV107" s="21"/>
      <c r="BW107" s="21"/>
      <c r="BX107" s="21"/>
      <c r="BY107" s="21"/>
      <c r="BZ107" s="21"/>
      <c r="CA107" s="21"/>
      <c r="CB107" s="21"/>
      <c r="CC107" s="21"/>
      <c r="CD107" s="21"/>
      <c r="CE107" s="21"/>
      <c r="CF107" s="134"/>
      <c r="CG107" s="31">
        <f>$A$37</f>
        <v>20142</v>
      </c>
      <c r="CH107" s="21"/>
      <c r="CI107" s="21"/>
      <c r="CJ107" s="21"/>
      <c r="CK107" s="21"/>
      <c r="CL107" s="21"/>
      <c r="CM107" s="21"/>
      <c r="CN107" s="21"/>
      <c r="CO107" s="21"/>
      <c r="CP107" s="21"/>
      <c r="CQ107" s="21"/>
      <c r="CR107" s="134"/>
      <c r="CS107" s="31">
        <f>$A$37</f>
        <v>20142</v>
      </c>
      <c r="CT107" s="21"/>
      <c r="CU107" s="21"/>
      <c r="CV107" s="21"/>
      <c r="CW107" s="21"/>
      <c r="CX107" s="21"/>
      <c r="CY107" s="21"/>
      <c r="CZ107" s="21"/>
      <c r="DA107" s="21"/>
      <c r="DB107" s="21"/>
      <c r="DC107" s="21"/>
      <c r="DD107" s="134"/>
      <c r="DE107" s="31">
        <f>$A$37</f>
        <v>20142</v>
      </c>
      <c r="DF107" s="21"/>
      <c r="DG107" s="21"/>
      <c r="DH107" s="21"/>
      <c r="DI107" s="21"/>
      <c r="DJ107" s="21"/>
      <c r="DK107" s="21"/>
      <c r="DL107" s="21"/>
      <c r="DM107" s="21"/>
      <c r="DN107" s="21"/>
      <c r="DO107" s="21"/>
      <c r="DP107" s="134"/>
    </row>
    <row r="108" spans="1:120" ht="15" customHeight="1" x14ac:dyDescent="0.25">
      <c r="A108" s="31">
        <f>$A$38</f>
        <v>20152</v>
      </c>
      <c r="B108" s="21"/>
      <c r="C108" s="21">
        <v>683942.33</v>
      </c>
      <c r="D108" s="21">
        <v>3054688.84</v>
      </c>
      <c r="E108" s="21">
        <v>5068573.87</v>
      </c>
      <c r="F108" s="21">
        <v>6732944.4000000004</v>
      </c>
      <c r="G108" s="21">
        <v>8105365.7800000003</v>
      </c>
      <c r="H108" s="21">
        <v>8977155.1400000006</v>
      </c>
      <c r="I108" s="21">
        <v>9619262.3800000008</v>
      </c>
      <c r="J108" s="21">
        <v>10204888.24</v>
      </c>
      <c r="K108" s="134"/>
      <c r="L108" s="134"/>
      <c r="M108" s="31">
        <f>$A$38</f>
        <v>20152</v>
      </c>
      <c r="N108" s="21"/>
      <c r="O108" s="21"/>
      <c r="P108" s="21"/>
      <c r="Q108" s="21"/>
      <c r="R108" s="21"/>
      <c r="S108" s="21"/>
      <c r="T108" s="21"/>
      <c r="U108" s="21"/>
      <c r="V108" s="21"/>
      <c r="W108" s="134"/>
      <c r="X108" s="134"/>
      <c r="Y108" s="31">
        <f>$A$38</f>
        <v>20152</v>
      </c>
      <c r="Z108" s="21"/>
      <c r="AA108" s="21"/>
      <c r="AB108" s="21"/>
      <c r="AC108" s="21"/>
      <c r="AD108" s="21"/>
      <c r="AE108" s="21"/>
      <c r="AF108" s="21"/>
      <c r="AG108" s="21"/>
      <c r="AH108" s="21"/>
      <c r="AI108" s="134"/>
      <c r="AJ108" s="134"/>
      <c r="AK108" s="31">
        <f>$A$38</f>
        <v>20152</v>
      </c>
      <c r="AL108" s="21"/>
      <c r="AM108" s="21"/>
      <c r="AN108" s="21"/>
      <c r="AO108" s="21"/>
      <c r="AP108" s="21"/>
      <c r="AQ108" s="21"/>
      <c r="AR108" s="21"/>
      <c r="AS108" s="21"/>
      <c r="AT108" s="21"/>
      <c r="AU108" s="134"/>
      <c r="AV108" s="134"/>
      <c r="AW108" s="31">
        <f>$A$38</f>
        <v>20152</v>
      </c>
      <c r="AX108" s="21"/>
      <c r="AY108" s="21"/>
      <c r="AZ108" s="21"/>
      <c r="BA108" s="21"/>
      <c r="BB108" s="21"/>
      <c r="BC108" s="21"/>
      <c r="BD108" s="21"/>
      <c r="BE108" s="21"/>
      <c r="BF108" s="21"/>
      <c r="BG108" s="134"/>
      <c r="BH108" s="134"/>
      <c r="BI108" s="31">
        <f>$A$38</f>
        <v>20152</v>
      </c>
      <c r="BJ108" s="21"/>
      <c r="BK108" s="21"/>
      <c r="BL108" s="21"/>
      <c r="BM108" s="21"/>
      <c r="BN108" s="21"/>
      <c r="BO108" s="21"/>
      <c r="BP108" s="21"/>
      <c r="BQ108" s="21"/>
      <c r="BR108" s="21"/>
      <c r="BS108" s="134"/>
      <c r="BT108" s="134"/>
      <c r="BU108" s="31">
        <f>$A$38</f>
        <v>20152</v>
      </c>
      <c r="BV108" s="21"/>
      <c r="BW108" s="21"/>
      <c r="BX108" s="21"/>
      <c r="BY108" s="21"/>
      <c r="BZ108" s="21"/>
      <c r="CA108" s="21"/>
      <c r="CB108" s="21"/>
      <c r="CC108" s="21"/>
      <c r="CD108" s="21"/>
      <c r="CE108" s="134"/>
      <c r="CF108" s="134"/>
      <c r="CG108" s="31">
        <f>$A$38</f>
        <v>20152</v>
      </c>
      <c r="CH108" s="21"/>
      <c r="CI108" s="21"/>
      <c r="CJ108" s="21"/>
      <c r="CK108" s="21"/>
      <c r="CL108" s="21"/>
      <c r="CM108" s="21"/>
      <c r="CN108" s="21"/>
      <c r="CO108" s="21"/>
      <c r="CP108" s="21"/>
      <c r="CQ108" s="134"/>
      <c r="CR108" s="134"/>
      <c r="CS108" s="31">
        <f>$A$38</f>
        <v>20152</v>
      </c>
      <c r="CT108" s="21"/>
      <c r="CU108" s="21"/>
      <c r="CV108" s="21"/>
      <c r="CW108" s="21"/>
      <c r="CX108" s="21"/>
      <c r="CY108" s="21"/>
      <c r="CZ108" s="21"/>
      <c r="DA108" s="21"/>
      <c r="DB108" s="21"/>
      <c r="DC108" s="134"/>
      <c r="DD108" s="134"/>
      <c r="DE108" s="31">
        <f>$A$38</f>
        <v>20152</v>
      </c>
      <c r="DF108" s="21"/>
      <c r="DG108" s="21"/>
      <c r="DH108" s="21"/>
      <c r="DI108" s="21"/>
      <c r="DJ108" s="21"/>
      <c r="DK108" s="21"/>
      <c r="DL108" s="21"/>
      <c r="DM108" s="21"/>
      <c r="DN108" s="21"/>
      <c r="DO108" s="134"/>
      <c r="DP108" s="134"/>
    </row>
    <row r="109" spans="1:120" ht="15" customHeight="1" x14ac:dyDescent="0.25">
      <c r="A109" s="31">
        <f>$A$39</f>
        <v>20162</v>
      </c>
      <c r="B109" s="21"/>
      <c r="C109" s="21">
        <v>736464.99</v>
      </c>
      <c r="D109" s="21">
        <v>2412385.31</v>
      </c>
      <c r="E109" s="21">
        <v>4406559.79</v>
      </c>
      <c r="F109" s="21">
        <v>6459132.7800000003</v>
      </c>
      <c r="G109" s="21">
        <v>7283729.7000000002</v>
      </c>
      <c r="H109" s="21">
        <v>7718521.9199999999</v>
      </c>
      <c r="I109" s="21">
        <v>8017117.5199999996</v>
      </c>
      <c r="J109" s="134"/>
      <c r="K109" s="134"/>
      <c r="L109" s="134"/>
      <c r="M109" s="31">
        <f>$A$39</f>
        <v>20162</v>
      </c>
      <c r="N109" s="21"/>
      <c r="O109" s="21"/>
      <c r="P109" s="21"/>
      <c r="Q109" s="21"/>
      <c r="R109" s="21"/>
      <c r="S109" s="21"/>
      <c r="T109" s="21"/>
      <c r="U109" s="21"/>
      <c r="V109" s="134"/>
      <c r="W109" s="134"/>
      <c r="X109" s="134"/>
      <c r="Y109" s="31">
        <f>$A$39</f>
        <v>20162</v>
      </c>
      <c r="Z109" s="21"/>
      <c r="AA109" s="21"/>
      <c r="AB109" s="21"/>
      <c r="AC109" s="21"/>
      <c r="AD109" s="21"/>
      <c r="AE109" s="21"/>
      <c r="AF109" s="21"/>
      <c r="AG109" s="21"/>
      <c r="AH109" s="134"/>
      <c r="AI109" s="134"/>
      <c r="AJ109" s="134"/>
      <c r="AK109" s="31">
        <f>$A$39</f>
        <v>20162</v>
      </c>
      <c r="AL109" s="21"/>
      <c r="AM109" s="21"/>
      <c r="AN109" s="21"/>
      <c r="AO109" s="21"/>
      <c r="AP109" s="21"/>
      <c r="AQ109" s="21"/>
      <c r="AR109" s="21"/>
      <c r="AS109" s="21"/>
      <c r="AT109" s="134"/>
      <c r="AU109" s="134"/>
      <c r="AV109" s="134"/>
      <c r="AW109" s="31">
        <f>$A$39</f>
        <v>20162</v>
      </c>
      <c r="AX109" s="21"/>
      <c r="AY109" s="21"/>
      <c r="AZ109" s="21"/>
      <c r="BA109" s="21"/>
      <c r="BB109" s="21"/>
      <c r="BC109" s="21"/>
      <c r="BD109" s="21"/>
      <c r="BE109" s="21"/>
      <c r="BF109" s="134"/>
      <c r="BG109" s="134"/>
      <c r="BH109" s="134"/>
      <c r="BI109" s="31">
        <f>$A$39</f>
        <v>20162</v>
      </c>
      <c r="BJ109" s="21"/>
      <c r="BK109" s="21"/>
      <c r="BL109" s="21"/>
      <c r="BM109" s="21"/>
      <c r="BN109" s="21"/>
      <c r="BO109" s="21"/>
      <c r="BP109" s="21"/>
      <c r="BQ109" s="21"/>
      <c r="BR109" s="134"/>
      <c r="BS109" s="134"/>
      <c r="BT109" s="134"/>
      <c r="BU109" s="31">
        <f>$A$39</f>
        <v>20162</v>
      </c>
      <c r="BV109" s="21"/>
      <c r="BW109" s="21"/>
      <c r="BX109" s="21"/>
      <c r="BY109" s="21"/>
      <c r="BZ109" s="21"/>
      <c r="CA109" s="21"/>
      <c r="CB109" s="21"/>
      <c r="CC109" s="21"/>
      <c r="CD109" s="134"/>
      <c r="CE109" s="134"/>
      <c r="CF109" s="134"/>
      <c r="CG109" s="31">
        <f>$A$39</f>
        <v>20162</v>
      </c>
      <c r="CH109" s="21"/>
      <c r="CI109" s="21"/>
      <c r="CJ109" s="21"/>
      <c r="CK109" s="21"/>
      <c r="CL109" s="21"/>
      <c r="CM109" s="21"/>
      <c r="CN109" s="21"/>
      <c r="CO109" s="21"/>
      <c r="CP109" s="134"/>
      <c r="CQ109" s="134"/>
      <c r="CR109" s="134"/>
      <c r="CS109" s="31">
        <f>$A$39</f>
        <v>20162</v>
      </c>
      <c r="CT109" s="21"/>
      <c r="CU109" s="21"/>
      <c r="CV109" s="21"/>
      <c r="CW109" s="21"/>
      <c r="CX109" s="21"/>
      <c r="CY109" s="21"/>
      <c r="CZ109" s="21"/>
      <c r="DA109" s="21"/>
      <c r="DB109" s="134"/>
      <c r="DC109" s="134"/>
      <c r="DD109" s="134"/>
      <c r="DE109" s="31">
        <f>$A$39</f>
        <v>20162</v>
      </c>
      <c r="DF109" s="21"/>
      <c r="DG109" s="21"/>
      <c r="DH109" s="21"/>
      <c r="DI109" s="21"/>
      <c r="DJ109" s="21"/>
      <c r="DK109" s="21"/>
      <c r="DL109" s="21"/>
      <c r="DM109" s="21"/>
      <c r="DN109" s="134"/>
      <c r="DO109" s="134"/>
      <c r="DP109" s="134"/>
    </row>
    <row r="110" spans="1:120" ht="15" customHeight="1" x14ac:dyDescent="0.25">
      <c r="A110" s="31">
        <f>$A$40</f>
        <v>20172</v>
      </c>
      <c r="B110" s="21"/>
      <c r="C110" s="21">
        <v>794672.42</v>
      </c>
      <c r="D110" s="21">
        <v>3181021.84</v>
      </c>
      <c r="E110" s="21">
        <v>5435383.7699999996</v>
      </c>
      <c r="F110" s="21">
        <v>7346932.5300000003</v>
      </c>
      <c r="G110" s="21">
        <v>8407092.5600000005</v>
      </c>
      <c r="H110" s="21">
        <v>9212202.8800000008</v>
      </c>
      <c r="I110" s="134"/>
      <c r="J110" s="134"/>
      <c r="K110" s="134"/>
      <c r="L110" s="134"/>
      <c r="M110" s="31">
        <f>$A$40</f>
        <v>20172</v>
      </c>
      <c r="N110" s="21"/>
      <c r="O110" s="21"/>
      <c r="P110" s="21"/>
      <c r="Q110" s="21"/>
      <c r="R110" s="21"/>
      <c r="S110" s="21"/>
      <c r="T110" s="21"/>
      <c r="U110" s="134"/>
      <c r="V110" s="134"/>
      <c r="W110" s="134"/>
      <c r="X110" s="134"/>
      <c r="Y110" s="31">
        <f>$A$40</f>
        <v>20172</v>
      </c>
      <c r="Z110" s="21"/>
      <c r="AA110" s="21"/>
      <c r="AB110" s="21"/>
      <c r="AC110" s="21"/>
      <c r="AD110" s="21"/>
      <c r="AE110" s="21"/>
      <c r="AF110" s="21"/>
      <c r="AG110" s="134"/>
      <c r="AH110" s="134"/>
      <c r="AI110" s="134"/>
      <c r="AJ110" s="134"/>
      <c r="AK110" s="31">
        <f>$A$40</f>
        <v>20172</v>
      </c>
      <c r="AL110" s="21"/>
      <c r="AM110" s="21"/>
      <c r="AN110" s="21"/>
      <c r="AO110" s="21"/>
      <c r="AP110" s="21"/>
      <c r="AQ110" s="21"/>
      <c r="AR110" s="21"/>
      <c r="AS110" s="134"/>
      <c r="AT110" s="134"/>
      <c r="AU110" s="134"/>
      <c r="AV110" s="134"/>
      <c r="AW110" s="31">
        <f>$A$40</f>
        <v>20172</v>
      </c>
      <c r="AX110" s="21"/>
      <c r="AY110" s="21"/>
      <c r="AZ110" s="21"/>
      <c r="BA110" s="21"/>
      <c r="BB110" s="21"/>
      <c r="BC110" s="21"/>
      <c r="BD110" s="21"/>
      <c r="BE110" s="134"/>
      <c r="BF110" s="134"/>
      <c r="BG110" s="134"/>
      <c r="BH110" s="134"/>
      <c r="BI110" s="31">
        <f>$A$40</f>
        <v>20172</v>
      </c>
      <c r="BJ110" s="21"/>
      <c r="BK110" s="21"/>
      <c r="BL110" s="21"/>
      <c r="BM110" s="21"/>
      <c r="BN110" s="21"/>
      <c r="BO110" s="21"/>
      <c r="BP110" s="21"/>
      <c r="BQ110" s="134"/>
      <c r="BR110" s="134"/>
      <c r="BS110" s="134"/>
      <c r="BT110" s="134"/>
      <c r="BU110" s="31">
        <f>$A$40</f>
        <v>20172</v>
      </c>
      <c r="BV110" s="21"/>
      <c r="BW110" s="21"/>
      <c r="BX110" s="21"/>
      <c r="BY110" s="21"/>
      <c r="BZ110" s="21"/>
      <c r="CA110" s="21"/>
      <c r="CB110" s="21"/>
      <c r="CC110" s="134"/>
      <c r="CD110" s="134"/>
      <c r="CE110" s="134"/>
      <c r="CF110" s="134"/>
      <c r="CG110" s="31">
        <f>$A$40</f>
        <v>20172</v>
      </c>
      <c r="CH110" s="21"/>
      <c r="CI110" s="21"/>
      <c r="CJ110" s="21"/>
      <c r="CK110" s="21"/>
      <c r="CL110" s="21"/>
      <c r="CM110" s="21"/>
      <c r="CN110" s="21"/>
      <c r="CO110" s="134"/>
      <c r="CP110" s="134"/>
      <c r="CQ110" s="134"/>
      <c r="CR110" s="134"/>
      <c r="CS110" s="31">
        <f>$A$40</f>
        <v>20172</v>
      </c>
      <c r="CT110" s="21"/>
      <c r="CU110" s="21"/>
      <c r="CV110" s="21"/>
      <c r="CW110" s="21"/>
      <c r="CX110" s="21"/>
      <c r="CY110" s="21"/>
      <c r="CZ110" s="21"/>
      <c r="DA110" s="134"/>
      <c r="DB110" s="134"/>
      <c r="DC110" s="134"/>
      <c r="DD110" s="134"/>
      <c r="DE110" s="31">
        <f>$A$40</f>
        <v>20172</v>
      </c>
      <c r="DF110" s="21"/>
      <c r="DG110" s="21"/>
      <c r="DH110" s="21"/>
      <c r="DI110" s="21"/>
      <c r="DJ110" s="21"/>
      <c r="DK110" s="21"/>
      <c r="DL110" s="21"/>
      <c r="DM110" s="134"/>
      <c r="DN110" s="134"/>
      <c r="DO110" s="134"/>
      <c r="DP110" s="134"/>
    </row>
    <row r="111" spans="1:120" ht="15" customHeight="1" x14ac:dyDescent="0.25">
      <c r="A111" s="31">
        <f>$A$41</f>
        <v>20182</v>
      </c>
      <c r="B111" s="21"/>
      <c r="C111" s="21">
        <v>635429.1</v>
      </c>
      <c r="D111" s="21">
        <v>2218968.2799999998</v>
      </c>
      <c r="E111" s="21">
        <v>4182701.65</v>
      </c>
      <c r="F111" s="21">
        <v>5660457.0099999998</v>
      </c>
      <c r="G111" s="21">
        <v>6856632.7599999998</v>
      </c>
      <c r="H111" s="134"/>
      <c r="I111" s="134"/>
      <c r="J111" s="134"/>
      <c r="K111" s="134"/>
      <c r="L111" s="134"/>
      <c r="M111" s="31">
        <f>$A$41</f>
        <v>20182</v>
      </c>
      <c r="N111" s="21"/>
      <c r="O111" s="21"/>
      <c r="P111" s="21"/>
      <c r="Q111" s="21"/>
      <c r="R111" s="21"/>
      <c r="S111" s="21"/>
      <c r="T111" s="134"/>
      <c r="U111" s="134"/>
      <c r="V111" s="134"/>
      <c r="W111" s="134"/>
      <c r="X111" s="134"/>
      <c r="Y111" s="31">
        <f>$A$41</f>
        <v>20182</v>
      </c>
      <c r="Z111" s="21"/>
      <c r="AA111" s="21"/>
      <c r="AB111" s="21"/>
      <c r="AC111" s="21"/>
      <c r="AD111" s="21"/>
      <c r="AE111" s="21"/>
      <c r="AF111" s="134"/>
      <c r="AG111" s="134"/>
      <c r="AH111" s="134"/>
      <c r="AI111" s="134"/>
      <c r="AJ111" s="134"/>
      <c r="AK111" s="31">
        <f>$A$41</f>
        <v>20182</v>
      </c>
      <c r="AL111" s="21"/>
      <c r="AM111" s="21"/>
      <c r="AN111" s="21"/>
      <c r="AO111" s="21"/>
      <c r="AP111" s="21"/>
      <c r="AQ111" s="21"/>
      <c r="AR111" s="134"/>
      <c r="AS111" s="134"/>
      <c r="AT111" s="134"/>
      <c r="AU111" s="134"/>
      <c r="AV111" s="134"/>
      <c r="AW111" s="31">
        <f>$A$41</f>
        <v>20182</v>
      </c>
      <c r="AX111" s="21"/>
      <c r="AY111" s="21"/>
      <c r="AZ111" s="21"/>
      <c r="BA111" s="21"/>
      <c r="BB111" s="21"/>
      <c r="BC111" s="21"/>
      <c r="BD111" s="134"/>
      <c r="BE111" s="134"/>
      <c r="BF111" s="134"/>
      <c r="BG111" s="134"/>
      <c r="BH111" s="134"/>
      <c r="BI111" s="31">
        <f>$A$41</f>
        <v>20182</v>
      </c>
      <c r="BJ111" s="21"/>
      <c r="BK111" s="21"/>
      <c r="BL111" s="21"/>
      <c r="BM111" s="21"/>
      <c r="BN111" s="21"/>
      <c r="BO111" s="21"/>
      <c r="BP111" s="134"/>
      <c r="BQ111" s="134"/>
      <c r="BR111" s="134"/>
      <c r="BS111" s="134"/>
      <c r="BT111" s="134"/>
      <c r="BU111" s="31">
        <f>$A$41</f>
        <v>20182</v>
      </c>
      <c r="BV111" s="21"/>
      <c r="BW111" s="21"/>
      <c r="BX111" s="21"/>
      <c r="BY111" s="21"/>
      <c r="BZ111" s="21"/>
      <c r="CA111" s="21"/>
      <c r="CB111" s="134"/>
      <c r="CC111" s="134"/>
      <c r="CD111" s="134"/>
      <c r="CE111" s="134"/>
      <c r="CF111" s="134"/>
      <c r="CG111" s="31">
        <f>$A$41</f>
        <v>20182</v>
      </c>
      <c r="CH111" s="21"/>
      <c r="CI111" s="21"/>
      <c r="CJ111" s="21"/>
      <c r="CK111" s="21"/>
      <c r="CL111" s="21"/>
      <c r="CM111" s="21"/>
      <c r="CN111" s="134"/>
      <c r="CO111" s="134"/>
      <c r="CP111" s="134"/>
      <c r="CQ111" s="134"/>
      <c r="CR111" s="134"/>
      <c r="CS111" s="31">
        <f>$A$41</f>
        <v>20182</v>
      </c>
      <c r="CT111" s="21"/>
      <c r="CU111" s="21"/>
      <c r="CV111" s="21"/>
      <c r="CW111" s="21"/>
      <c r="CX111" s="21"/>
      <c r="CY111" s="21"/>
      <c r="CZ111" s="134"/>
      <c r="DA111" s="134"/>
      <c r="DB111" s="134"/>
      <c r="DC111" s="134"/>
      <c r="DD111" s="134"/>
      <c r="DE111" s="31">
        <f>$A$41</f>
        <v>20182</v>
      </c>
      <c r="DF111" s="21"/>
      <c r="DG111" s="21"/>
      <c r="DH111" s="21"/>
      <c r="DI111" s="21"/>
      <c r="DJ111" s="21"/>
      <c r="DK111" s="21"/>
      <c r="DL111" s="134"/>
      <c r="DM111" s="134"/>
      <c r="DN111" s="134"/>
      <c r="DO111" s="134"/>
      <c r="DP111" s="134"/>
    </row>
    <row r="112" spans="1:120" ht="15" customHeight="1" x14ac:dyDescent="0.25">
      <c r="A112" s="31">
        <f>$A$42</f>
        <v>20192</v>
      </c>
      <c r="B112" s="21"/>
      <c r="C112" s="21">
        <v>533484.89</v>
      </c>
      <c r="D112" s="21">
        <v>1997476.04</v>
      </c>
      <c r="E112" s="21">
        <v>4132410.43</v>
      </c>
      <c r="F112" s="21">
        <v>6254607.8099999996</v>
      </c>
      <c r="G112" s="134"/>
      <c r="H112" s="134"/>
      <c r="I112" s="134"/>
      <c r="J112" s="134"/>
      <c r="K112" s="134"/>
      <c r="L112" s="134"/>
      <c r="M112" s="31">
        <f>$A$42</f>
        <v>20192</v>
      </c>
      <c r="N112" s="21"/>
      <c r="O112" s="21"/>
      <c r="P112" s="21"/>
      <c r="Q112" s="21"/>
      <c r="R112" s="21"/>
      <c r="S112" s="134"/>
      <c r="T112" s="134"/>
      <c r="U112" s="134"/>
      <c r="V112" s="134"/>
      <c r="W112" s="134"/>
      <c r="X112" s="134"/>
      <c r="Y112" s="31">
        <f>$A$42</f>
        <v>20192</v>
      </c>
      <c r="Z112" s="21"/>
      <c r="AA112" s="21"/>
      <c r="AB112" s="21"/>
      <c r="AC112" s="21"/>
      <c r="AD112" s="21"/>
      <c r="AE112" s="134"/>
      <c r="AF112" s="134"/>
      <c r="AG112" s="134"/>
      <c r="AH112" s="134"/>
      <c r="AI112" s="134"/>
      <c r="AJ112" s="134"/>
      <c r="AK112" s="31">
        <f>$A$42</f>
        <v>20192</v>
      </c>
      <c r="AL112" s="21"/>
      <c r="AM112" s="21"/>
      <c r="AN112" s="21"/>
      <c r="AO112" s="21"/>
      <c r="AP112" s="21"/>
      <c r="AQ112" s="134"/>
      <c r="AR112" s="134"/>
      <c r="AS112" s="134"/>
      <c r="AT112" s="134"/>
      <c r="AU112" s="134"/>
      <c r="AV112" s="134"/>
      <c r="AW112" s="31">
        <f>$A$42</f>
        <v>20192</v>
      </c>
      <c r="AX112" s="21"/>
      <c r="AY112" s="21"/>
      <c r="AZ112" s="21"/>
      <c r="BA112" s="21"/>
      <c r="BB112" s="21"/>
      <c r="BC112" s="134"/>
      <c r="BD112" s="134"/>
      <c r="BE112" s="134"/>
      <c r="BF112" s="134"/>
      <c r="BG112" s="134"/>
      <c r="BH112" s="134"/>
      <c r="BI112" s="31">
        <f>$A$42</f>
        <v>20192</v>
      </c>
      <c r="BJ112" s="21"/>
      <c r="BK112" s="21"/>
      <c r="BL112" s="21"/>
      <c r="BM112" s="21"/>
      <c r="BN112" s="21"/>
      <c r="BO112" s="134"/>
      <c r="BP112" s="134"/>
      <c r="BQ112" s="134"/>
      <c r="BR112" s="134"/>
      <c r="BS112" s="134"/>
      <c r="BT112" s="134"/>
      <c r="BU112" s="31">
        <f>$A$42</f>
        <v>20192</v>
      </c>
      <c r="BV112" s="21"/>
      <c r="BW112" s="21"/>
      <c r="BX112" s="21"/>
      <c r="BY112" s="21"/>
      <c r="BZ112" s="21"/>
      <c r="CA112" s="134"/>
      <c r="CB112" s="134"/>
      <c r="CC112" s="134"/>
      <c r="CD112" s="134"/>
      <c r="CE112" s="134"/>
      <c r="CF112" s="134"/>
      <c r="CG112" s="31">
        <f>$A$42</f>
        <v>20192</v>
      </c>
      <c r="CH112" s="21"/>
      <c r="CI112" s="21"/>
      <c r="CJ112" s="21"/>
      <c r="CK112" s="21"/>
      <c r="CL112" s="21"/>
      <c r="CM112" s="134"/>
      <c r="CN112" s="134"/>
      <c r="CO112" s="134"/>
      <c r="CP112" s="134"/>
      <c r="CQ112" s="134"/>
      <c r="CR112" s="134"/>
      <c r="CS112" s="31">
        <f>$A$42</f>
        <v>20192</v>
      </c>
      <c r="CT112" s="21"/>
      <c r="CU112" s="21"/>
      <c r="CV112" s="21"/>
      <c r="CW112" s="21"/>
      <c r="CX112" s="21"/>
      <c r="CY112" s="134"/>
      <c r="CZ112" s="134"/>
      <c r="DA112" s="134"/>
      <c r="DB112" s="134"/>
      <c r="DC112" s="134"/>
      <c r="DD112" s="134"/>
      <c r="DE112" s="31">
        <f>$A$42</f>
        <v>20192</v>
      </c>
      <c r="DF112" s="21"/>
      <c r="DG112" s="21"/>
      <c r="DH112" s="21"/>
      <c r="DI112" s="21"/>
      <c r="DJ112" s="21"/>
      <c r="DK112" s="134"/>
      <c r="DL112" s="134"/>
      <c r="DM112" s="134"/>
      <c r="DN112" s="134"/>
      <c r="DO112" s="134"/>
      <c r="DP112" s="134"/>
    </row>
    <row r="113" spans="1:120" ht="15" customHeight="1" x14ac:dyDescent="0.25">
      <c r="A113" s="31">
        <f>$A$43</f>
        <v>20202</v>
      </c>
      <c r="B113" s="21"/>
      <c r="C113" s="21">
        <v>1013167.69</v>
      </c>
      <c r="D113" s="21">
        <v>2466370.5299999998</v>
      </c>
      <c r="E113" s="21">
        <v>4340530.99</v>
      </c>
      <c r="F113" s="134"/>
      <c r="G113" s="134"/>
      <c r="H113" s="134"/>
      <c r="I113" s="134"/>
      <c r="J113" s="134"/>
      <c r="K113" s="134"/>
      <c r="L113" s="134"/>
      <c r="M113" s="31">
        <f>$A$43</f>
        <v>20202</v>
      </c>
      <c r="N113" s="21"/>
      <c r="O113" s="21"/>
      <c r="P113" s="21"/>
      <c r="Q113" s="21"/>
      <c r="R113" s="134"/>
      <c r="S113" s="134"/>
      <c r="T113" s="134"/>
      <c r="U113" s="134"/>
      <c r="V113" s="134"/>
      <c r="W113" s="134"/>
      <c r="X113" s="134"/>
      <c r="Y113" s="31">
        <f>$A$43</f>
        <v>20202</v>
      </c>
      <c r="Z113" s="21"/>
      <c r="AA113" s="21"/>
      <c r="AB113" s="21"/>
      <c r="AC113" s="21"/>
      <c r="AD113" s="134"/>
      <c r="AE113" s="134"/>
      <c r="AF113" s="134"/>
      <c r="AG113" s="134"/>
      <c r="AH113" s="134"/>
      <c r="AI113" s="134"/>
      <c r="AJ113" s="134"/>
      <c r="AK113" s="31">
        <f>$A$43</f>
        <v>20202</v>
      </c>
      <c r="AL113" s="21"/>
      <c r="AM113" s="21"/>
      <c r="AN113" s="21"/>
      <c r="AO113" s="21"/>
      <c r="AP113" s="134"/>
      <c r="AQ113" s="134"/>
      <c r="AR113" s="134"/>
      <c r="AS113" s="134"/>
      <c r="AT113" s="134"/>
      <c r="AU113" s="134"/>
      <c r="AV113" s="134"/>
      <c r="AW113" s="31">
        <f>$A$43</f>
        <v>20202</v>
      </c>
      <c r="AX113" s="21"/>
      <c r="AY113" s="21"/>
      <c r="AZ113" s="21"/>
      <c r="BA113" s="21"/>
      <c r="BB113" s="134"/>
      <c r="BC113" s="134"/>
      <c r="BD113" s="134"/>
      <c r="BE113" s="134"/>
      <c r="BF113" s="134"/>
      <c r="BG113" s="134"/>
      <c r="BH113" s="134"/>
      <c r="BI113" s="31">
        <f>$A$43</f>
        <v>20202</v>
      </c>
      <c r="BJ113" s="21"/>
      <c r="BK113" s="21"/>
      <c r="BL113" s="21"/>
      <c r="BM113" s="21"/>
      <c r="BN113" s="134"/>
      <c r="BO113" s="134"/>
      <c r="BP113" s="134"/>
      <c r="BQ113" s="134"/>
      <c r="BR113" s="134"/>
      <c r="BS113" s="134"/>
      <c r="BT113" s="134"/>
      <c r="BU113" s="31">
        <f>$A$43</f>
        <v>20202</v>
      </c>
      <c r="BV113" s="21"/>
      <c r="BW113" s="21"/>
      <c r="BX113" s="21"/>
      <c r="BY113" s="21"/>
      <c r="BZ113" s="134"/>
      <c r="CA113" s="134"/>
      <c r="CB113" s="134"/>
      <c r="CC113" s="134"/>
      <c r="CD113" s="134"/>
      <c r="CE113" s="134"/>
      <c r="CF113" s="134"/>
      <c r="CG113" s="31">
        <f>$A$43</f>
        <v>20202</v>
      </c>
      <c r="CH113" s="21"/>
      <c r="CI113" s="21"/>
      <c r="CJ113" s="21"/>
      <c r="CK113" s="21"/>
      <c r="CL113" s="134"/>
      <c r="CM113" s="134"/>
      <c r="CN113" s="134"/>
      <c r="CO113" s="134"/>
      <c r="CP113" s="134"/>
      <c r="CQ113" s="134"/>
      <c r="CR113" s="134"/>
      <c r="CS113" s="31">
        <f>$A$43</f>
        <v>20202</v>
      </c>
      <c r="CT113" s="21"/>
      <c r="CU113" s="21"/>
      <c r="CV113" s="21"/>
      <c r="CW113" s="21"/>
      <c r="CX113" s="134"/>
      <c r="CY113" s="134"/>
      <c r="CZ113" s="134"/>
      <c r="DA113" s="134"/>
      <c r="DB113" s="134"/>
      <c r="DC113" s="134"/>
      <c r="DD113" s="134"/>
      <c r="DE113" s="31">
        <f>$A$43</f>
        <v>20202</v>
      </c>
      <c r="DF113" s="21"/>
      <c r="DG113" s="21"/>
      <c r="DH113" s="21"/>
      <c r="DI113" s="21"/>
      <c r="DJ113" s="134"/>
      <c r="DK113" s="134"/>
      <c r="DL113" s="134"/>
      <c r="DM113" s="134"/>
      <c r="DN113" s="134"/>
      <c r="DO113" s="134"/>
      <c r="DP113" s="134"/>
    </row>
    <row r="114" spans="1:120" ht="15" customHeight="1" x14ac:dyDescent="0.25">
      <c r="A114" s="31">
        <f>$A$44</f>
        <v>20212</v>
      </c>
      <c r="B114" s="21"/>
      <c r="C114" s="21">
        <v>1116422.6200000001</v>
      </c>
      <c r="D114" s="21">
        <v>2772350.88</v>
      </c>
      <c r="E114" s="134"/>
      <c r="F114" s="134"/>
      <c r="G114" s="134"/>
      <c r="H114" s="134"/>
      <c r="I114" s="134"/>
      <c r="J114" s="134"/>
      <c r="K114" s="134"/>
      <c r="L114" s="134"/>
      <c r="M114" s="31">
        <f>$A$44</f>
        <v>20212</v>
      </c>
      <c r="N114" s="21"/>
      <c r="O114" s="21"/>
      <c r="P114" s="21"/>
      <c r="Q114" s="134"/>
      <c r="R114" s="134"/>
      <c r="S114" s="134"/>
      <c r="T114" s="134"/>
      <c r="U114" s="134"/>
      <c r="V114" s="134"/>
      <c r="W114" s="134"/>
      <c r="X114" s="134"/>
      <c r="Y114" s="31">
        <f>$A$44</f>
        <v>20212</v>
      </c>
      <c r="Z114" s="21"/>
      <c r="AA114" s="21"/>
      <c r="AB114" s="21"/>
      <c r="AC114" s="134"/>
      <c r="AD114" s="134"/>
      <c r="AE114" s="134"/>
      <c r="AF114" s="134"/>
      <c r="AG114" s="134"/>
      <c r="AH114" s="134"/>
      <c r="AI114" s="134"/>
      <c r="AJ114" s="134"/>
      <c r="AK114" s="31">
        <f>$A$44</f>
        <v>20212</v>
      </c>
      <c r="AL114" s="21"/>
      <c r="AM114" s="21"/>
      <c r="AN114" s="21"/>
      <c r="AO114" s="134"/>
      <c r="AP114" s="134"/>
      <c r="AQ114" s="134"/>
      <c r="AR114" s="134"/>
      <c r="AS114" s="134"/>
      <c r="AT114" s="134"/>
      <c r="AU114" s="134"/>
      <c r="AV114" s="134"/>
      <c r="AW114" s="31">
        <f>$A$44</f>
        <v>20212</v>
      </c>
      <c r="AX114" s="21"/>
      <c r="AY114" s="21"/>
      <c r="AZ114" s="21"/>
      <c r="BA114" s="134"/>
      <c r="BB114" s="134"/>
      <c r="BC114" s="134"/>
      <c r="BD114" s="134"/>
      <c r="BE114" s="134"/>
      <c r="BF114" s="134"/>
      <c r="BG114" s="134"/>
      <c r="BH114" s="134"/>
      <c r="BI114" s="31">
        <f>$A$44</f>
        <v>20212</v>
      </c>
      <c r="BJ114" s="21"/>
      <c r="BK114" s="21"/>
      <c r="BL114" s="21"/>
      <c r="BM114" s="134"/>
      <c r="BN114" s="134"/>
      <c r="BO114" s="134"/>
      <c r="BP114" s="134"/>
      <c r="BQ114" s="134"/>
      <c r="BR114" s="134"/>
      <c r="BS114" s="134"/>
      <c r="BT114" s="134"/>
      <c r="BU114" s="31">
        <f>$A$44</f>
        <v>20212</v>
      </c>
      <c r="BV114" s="21"/>
      <c r="BW114" s="21"/>
      <c r="BX114" s="21"/>
      <c r="BY114" s="134"/>
      <c r="BZ114" s="134"/>
      <c r="CA114" s="134"/>
      <c r="CB114" s="134"/>
      <c r="CC114" s="134"/>
      <c r="CD114" s="134"/>
      <c r="CE114" s="134"/>
      <c r="CF114" s="134"/>
      <c r="CG114" s="31">
        <f>$A$44</f>
        <v>20212</v>
      </c>
      <c r="CH114" s="21"/>
      <c r="CI114" s="21"/>
      <c r="CJ114" s="21"/>
      <c r="CK114" s="134"/>
      <c r="CL114" s="134"/>
      <c r="CM114" s="134"/>
      <c r="CN114" s="134"/>
      <c r="CO114" s="134"/>
      <c r="CP114" s="134"/>
      <c r="CQ114" s="134"/>
      <c r="CR114" s="134"/>
      <c r="CS114" s="31">
        <f>$A$44</f>
        <v>20212</v>
      </c>
      <c r="CT114" s="21"/>
      <c r="CU114" s="21"/>
      <c r="CV114" s="21"/>
      <c r="CW114" s="134"/>
      <c r="CX114" s="134"/>
      <c r="CY114" s="134"/>
      <c r="CZ114" s="134"/>
      <c r="DA114" s="134"/>
      <c r="DB114" s="134"/>
      <c r="DC114" s="134"/>
      <c r="DD114" s="134"/>
      <c r="DE114" s="31">
        <f>$A$44</f>
        <v>20212</v>
      </c>
      <c r="DF114" s="21"/>
      <c r="DG114" s="21"/>
      <c r="DH114" s="21"/>
      <c r="DI114" s="134"/>
      <c r="DJ114" s="134"/>
      <c r="DK114" s="134"/>
      <c r="DL114" s="134"/>
      <c r="DM114" s="134"/>
      <c r="DN114" s="134"/>
      <c r="DO114" s="134"/>
      <c r="DP114" s="134"/>
    </row>
    <row r="115" spans="1:120" ht="15" customHeight="1" x14ac:dyDescent="0.25">
      <c r="A115" s="31">
        <f>$A$45</f>
        <v>20222</v>
      </c>
      <c r="B115" s="21"/>
      <c r="C115" s="21">
        <v>993869.5</v>
      </c>
      <c r="D115" s="134"/>
      <c r="E115" s="134"/>
      <c r="F115" s="134"/>
      <c r="G115" s="134"/>
      <c r="H115" s="134"/>
      <c r="I115" s="134"/>
      <c r="J115" s="134"/>
      <c r="K115" s="134"/>
      <c r="L115" s="134"/>
      <c r="M115" s="31">
        <f>$A$45</f>
        <v>20222</v>
      </c>
      <c r="N115" s="21"/>
      <c r="O115" s="21"/>
      <c r="P115" s="134"/>
      <c r="Q115" s="134"/>
      <c r="R115" s="134"/>
      <c r="S115" s="134"/>
      <c r="T115" s="134"/>
      <c r="U115" s="134"/>
      <c r="V115" s="134"/>
      <c r="W115" s="134"/>
      <c r="X115" s="134"/>
      <c r="Y115" s="31">
        <f>$A$45</f>
        <v>20222</v>
      </c>
      <c r="Z115" s="21"/>
      <c r="AA115" s="21"/>
      <c r="AB115" s="134"/>
      <c r="AC115" s="134"/>
      <c r="AD115" s="134"/>
      <c r="AE115" s="134"/>
      <c r="AF115" s="134"/>
      <c r="AG115" s="134"/>
      <c r="AH115" s="134"/>
      <c r="AI115" s="134"/>
      <c r="AJ115" s="134"/>
      <c r="AK115" s="31">
        <f>$A$45</f>
        <v>20222</v>
      </c>
      <c r="AL115" s="21"/>
      <c r="AM115" s="21"/>
      <c r="AN115" s="134"/>
      <c r="AO115" s="134"/>
      <c r="AP115" s="134"/>
      <c r="AQ115" s="134"/>
      <c r="AR115" s="134"/>
      <c r="AS115" s="134"/>
      <c r="AT115" s="134"/>
      <c r="AU115" s="134"/>
      <c r="AV115" s="134"/>
      <c r="AW115" s="31">
        <f>$A$45</f>
        <v>20222</v>
      </c>
      <c r="AX115" s="21"/>
      <c r="AY115" s="21"/>
      <c r="AZ115" s="134"/>
      <c r="BA115" s="134"/>
      <c r="BB115" s="134"/>
      <c r="BC115" s="134"/>
      <c r="BD115" s="134"/>
      <c r="BE115" s="134"/>
      <c r="BF115" s="134"/>
      <c r="BG115" s="134"/>
      <c r="BH115" s="134"/>
      <c r="BI115" s="31">
        <f>$A$45</f>
        <v>20222</v>
      </c>
      <c r="BJ115" s="21"/>
      <c r="BK115" s="21"/>
      <c r="BL115" s="134"/>
      <c r="BM115" s="134"/>
      <c r="BN115" s="134"/>
      <c r="BO115" s="134"/>
      <c r="BP115" s="134"/>
      <c r="BQ115" s="134"/>
      <c r="BR115" s="134"/>
      <c r="BS115" s="134"/>
      <c r="BT115" s="134"/>
      <c r="BU115" s="31">
        <f>$A$45</f>
        <v>20222</v>
      </c>
      <c r="BV115" s="21"/>
      <c r="BW115" s="21"/>
      <c r="BX115" s="134"/>
      <c r="BY115" s="134"/>
      <c r="BZ115" s="134"/>
      <c r="CA115" s="134"/>
      <c r="CB115" s="134"/>
      <c r="CC115" s="134"/>
      <c r="CD115" s="134"/>
      <c r="CE115" s="134"/>
      <c r="CF115" s="134"/>
      <c r="CG115" s="31">
        <f>$A$45</f>
        <v>20222</v>
      </c>
      <c r="CH115" s="21"/>
      <c r="CI115" s="21"/>
      <c r="CJ115" s="134"/>
      <c r="CK115" s="134"/>
      <c r="CL115" s="134"/>
      <c r="CM115" s="134"/>
      <c r="CN115" s="134"/>
      <c r="CO115" s="134"/>
      <c r="CP115" s="134"/>
      <c r="CQ115" s="134"/>
      <c r="CR115" s="134"/>
      <c r="CS115" s="31">
        <f>$A$45</f>
        <v>20222</v>
      </c>
      <c r="CT115" s="21"/>
      <c r="CU115" s="21"/>
      <c r="CV115" s="134"/>
      <c r="CW115" s="134"/>
      <c r="CX115" s="134"/>
      <c r="CY115" s="134"/>
      <c r="CZ115" s="134"/>
      <c r="DA115" s="134"/>
      <c r="DB115" s="134"/>
      <c r="DC115" s="134"/>
      <c r="DD115" s="134"/>
      <c r="DE115" s="31">
        <f>$A$45</f>
        <v>20222</v>
      </c>
      <c r="DF115" s="21"/>
      <c r="DG115" s="21"/>
      <c r="DH115" s="134"/>
      <c r="DI115" s="134"/>
      <c r="DJ115" s="134"/>
      <c r="DK115" s="134"/>
      <c r="DL115" s="134"/>
      <c r="DM115" s="134"/>
      <c r="DN115" s="134"/>
      <c r="DO115" s="134"/>
      <c r="DP115" s="134"/>
    </row>
    <row r="116" spans="1:120" ht="15" customHeight="1" x14ac:dyDescent="0.25">
      <c r="F116" s="310" t="str">
        <f>IF(AND(ISNUMBER(K119),K119&gt;=1.01),"Reminder: If more than ten years of development is deemed to be required, insurers can provide this data in a supplemental exhibit.","")</f>
        <v>Reminder: If more than ten years of development is deemed to be required, insurers can provide this data in a supplemental exhibit.</v>
      </c>
      <c r="R116" s="310" t="str">
        <f>IF(AND(ISNUMBER(W119),W119&gt;=1.01),"Reminder: If more than ten years of development is deemed to be required, insurers can provide this data in a supplemental exhibit.","")</f>
        <v/>
      </c>
      <c r="AD116" s="310" t="str">
        <f>IF(AND(ISNUMBER(AI119),AI119&gt;=1.01),"Reminder: If more than ten years of development is deemed to be required, insurers can provide this data in a supplemental exhibit.","")</f>
        <v/>
      </c>
      <c r="AP116" s="309" t="str">
        <f>IF(AND(ISNUMBER(AU119),AU119&gt;=1.01),"Reminder: If more than ten years of development is deemed to be required, insurers can provide this data in a supplemental exhibit.","")</f>
        <v/>
      </c>
      <c r="BB116" s="310" t="str">
        <f>IF(AND(ISNUMBER(BG119),BG119&gt;=1.01),"Reminder: If more than ten years of development is deemed to be required, insurers can provide this data in a supplemental exhibit.","")</f>
        <v/>
      </c>
      <c r="BN116" s="310" t="str">
        <f>IF(AND(ISNUMBER(BS119),BS119&gt;=1.01),"Reminder: If more than ten years of development is deemed to be required, insurers can provide this data in a supplemental exhibit.","")</f>
        <v/>
      </c>
      <c r="BZ116" s="310" t="str">
        <f>IF(AND(ISNUMBER(CE119),CE119&gt;=1.01),"Reminder: If more than ten years of development is deemed to be required, insurers can provide this data in a supplemental exhibit.","")</f>
        <v/>
      </c>
      <c r="CL116" s="310" t="str">
        <f>IF(AND(ISNUMBER(CQ119),CQ119&gt;=1.01),"Reminder: If more than ten years of development is deemed to be required, insurers can provide this data in a supplemental exhibit.","")</f>
        <v/>
      </c>
      <c r="CX116" s="310" t="str">
        <f>IF(AND(ISNUMBER(DC119),DC119&gt;=1.01),"Reminder: If more than ten years of development is deemed to be required, insurers can provide this data in a supplemental exhibit.","")</f>
        <v/>
      </c>
      <c r="DJ116" s="310" t="str">
        <f>IF(AND(ISNUMBER(DO119),DO119&gt;=1.01),"Reminder: If more than ten years of development is deemed to be required, insurers can provide this data in a supplemental exhibit.","")</f>
        <v/>
      </c>
    </row>
    <row r="117" spans="1:120" x14ac:dyDescent="0.25">
      <c r="A117" s="130"/>
      <c r="B117" s="131"/>
      <c r="C117" s="131" t="s">
        <v>36</v>
      </c>
      <c r="D117" s="132"/>
      <c r="E117" s="132"/>
      <c r="F117" s="132"/>
      <c r="G117" s="132"/>
      <c r="H117" s="132"/>
      <c r="I117" s="132"/>
      <c r="J117" s="132"/>
      <c r="K117" s="132"/>
      <c r="L117" s="132"/>
      <c r="M117" s="130"/>
      <c r="N117" s="131"/>
      <c r="O117" s="131" t="s">
        <v>36</v>
      </c>
      <c r="P117" s="132"/>
      <c r="Q117" s="132"/>
      <c r="R117" s="132"/>
      <c r="S117" s="132"/>
      <c r="T117" s="132"/>
      <c r="U117" s="132"/>
      <c r="V117" s="132"/>
      <c r="W117" s="132"/>
      <c r="X117" s="132"/>
      <c r="Y117" s="130"/>
      <c r="Z117" s="131"/>
      <c r="AA117" s="131" t="s">
        <v>36</v>
      </c>
      <c r="AB117" s="132"/>
      <c r="AC117" s="132"/>
      <c r="AD117" s="132"/>
      <c r="AE117" s="132"/>
      <c r="AF117" s="132"/>
      <c r="AG117" s="132"/>
      <c r="AH117" s="132"/>
      <c r="AI117" s="132"/>
      <c r="AJ117" s="132"/>
      <c r="AK117" s="130"/>
      <c r="AL117" s="131"/>
      <c r="AM117" s="131" t="s">
        <v>36</v>
      </c>
      <c r="AN117" s="132"/>
      <c r="AO117" s="132"/>
      <c r="AP117" s="132"/>
      <c r="AQ117" s="132"/>
      <c r="AR117" s="132"/>
      <c r="AS117" s="132"/>
      <c r="AT117" s="132"/>
      <c r="AU117" s="132"/>
      <c r="AV117" s="132"/>
      <c r="AW117" s="130"/>
      <c r="AX117" s="131"/>
      <c r="AY117" s="131" t="s">
        <v>36</v>
      </c>
      <c r="AZ117" s="132"/>
      <c r="BA117" s="132"/>
      <c r="BB117" s="132"/>
      <c r="BC117" s="132"/>
      <c r="BD117" s="132"/>
      <c r="BE117" s="132"/>
      <c r="BF117" s="132"/>
      <c r="BG117" s="132"/>
      <c r="BH117" s="132"/>
      <c r="BI117" s="130"/>
      <c r="BJ117" s="131"/>
      <c r="BK117" s="131" t="s">
        <v>36</v>
      </c>
      <c r="BL117" s="132"/>
      <c r="BM117" s="132"/>
      <c r="BN117" s="132"/>
      <c r="BO117" s="132"/>
      <c r="BP117" s="132"/>
      <c r="BQ117" s="132"/>
      <c r="BR117" s="132"/>
      <c r="BS117" s="132"/>
      <c r="BT117" s="132"/>
      <c r="BU117" s="130"/>
      <c r="BV117" s="131"/>
      <c r="BW117" s="131" t="s">
        <v>36</v>
      </c>
      <c r="BX117" s="132"/>
      <c r="BY117" s="132"/>
      <c r="BZ117" s="132"/>
      <c r="CA117" s="132"/>
      <c r="CB117" s="132"/>
      <c r="CC117" s="132"/>
      <c r="CD117" s="132"/>
      <c r="CE117" s="132"/>
      <c r="CF117" s="132"/>
      <c r="CG117" s="130"/>
      <c r="CH117" s="131"/>
      <c r="CI117" s="131" t="s">
        <v>36</v>
      </c>
      <c r="CJ117" s="132"/>
      <c r="CK117" s="132"/>
      <c r="CL117" s="132"/>
      <c r="CM117" s="132"/>
      <c r="CN117" s="132"/>
      <c r="CO117" s="132"/>
      <c r="CP117" s="132"/>
      <c r="CQ117" s="132"/>
      <c r="CR117" s="132"/>
      <c r="CS117" s="130"/>
      <c r="CT117" s="131"/>
      <c r="CU117" s="131" t="s">
        <v>36</v>
      </c>
      <c r="CV117" s="132"/>
      <c r="CW117" s="132"/>
      <c r="CX117" s="132"/>
      <c r="CY117" s="132"/>
      <c r="CZ117" s="132"/>
      <c r="DA117" s="132"/>
      <c r="DB117" s="132"/>
      <c r="DC117" s="132"/>
      <c r="DD117" s="132"/>
      <c r="DE117" s="130"/>
      <c r="DF117" s="131"/>
      <c r="DG117" s="131" t="s">
        <v>36</v>
      </c>
      <c r="DH117" s="132"/>
      <c r="DI117" s="132"/>
      <c r="DJ117" s="132"/>
      <c r="DK117" s="132"/>
      <c r="DL117" s="132"/>
      <c r="DM117" s="132"/>
      <c r="DN117" s="132"/>
      <c r="DO117" s="132"/>
      <c r="DP117" s="132"/>
    </row>
    <row r="118" spans="1:120" ht="30" x14ac:dyDescent="0.25">
      <c r="A118" s="92" t="str">
        <f>$A$35</f>
        <v>Fiscal Accident Year Data Ending</v>
      </c>
      <c r="B118" s="92"/>
      <c r="C118" s="100" t="str">
        <f>$C$35&amp;"-"&amp;$D$35</f>
        <v>12-24</v>
      </c>
      <c r="D118" s="100" t="str">
        <f>$D$35&amp;"-"&amp;$E$35</f>
        <v>24-36</v>
      </c>
      <c r="E118" s="100" t="str">
        <f>$E$35&amp;"-"&amp;$F$35</f>
        <v>36-48</v>
      </c>
      <c r="F118" s="100" t="str">
        <f>$F$35&amp;"-"&amp;$G$35</f>
        <v>48-60</v>
      </c>
      <c r="G118" s="100" t="str">
        <f>$G$35&amp;"-"&amp;$H$35</f>
        <v>60-72</v>
      </c>
      <c r="H118" s="100" t="str">
        <f>$H$35&amp;"-"&amp;$I$35</f>
        <v>72-84</v>
      </c>
      <c r="I118" s="100" t="str">
        <f>$I$35&amp;"-"&amp;$J$35</f>
        <v>84-96</v>
      </c>
      <c r="J118" s="100" t="str">
        <f>$J$35&amp;"-"&amp;$K$35</f>
        <v>96-108</v>
      </c>
      <c r="K118" s="100" t="str">
        <f>$K$35&amp;"-"&amp;$L$35</f>
        <v>108-120</v>
      </c>
      <c r="L118" s="100" t="str">
        <f>$L$35&amp;"-Ult"</f>
        <v>120-Ult</v>
      </c>
      <c r="M118" s="92" t="str">
        <f>$A$35</f>
        <v>Fiscal Accident Year Data Ending</v>
      </c>
      <c r="N118" s="92"/>
      <c r="O118" s="100" t="str">
        <f>$C$35&amp;"-"&amp;$D$35</f>
        <v>12-24</v>
      </c>
      <c r="P118" s="100" t="str">
        <f>$D$35&amp;"-"&amp;$E$35</f>
        <v>24-36</v>
      </c>
      <c r="Q118" s="100" t="str">
        <f>$E$35&amp;"-"&amp;$F$35</f>
        <v>36-48</v>
      </c>
      <c r="R118" s="100" t="str">
        <f>$F$35&amp;"-"&amp;$G$35</f>
        <v>48-60</v>
      </c>
      <c r="S118" s="100" t="str">
        <f>$G$35&amp;"-"&amp;$H$35</f>
        <v>60-72</v>
      </c>
      <c r="T118" s="100" t="str">
        <f>$H$35&amp;"-"&amp;$I$35</f>
        <v>72-84</v>
      </c>
      <c r="U118" s="100" t="str">
        <f>$I$35&amp;"-"&amp;$J$35</f>
        <v>84-96</v>
      </c>
      <c r="V118" s="100" t="str">
        <f>$J$35&amp;"-"&amp;$K$35</f>
        <v>96-108</v>
      </c>
      <c r="W118" s="100" t="str">
        <f>$K$35&amp;"-"&amp;$L$35</f>
        <v>108-120</v>
      </c>
      <c r="X118" s="100" t="str">
        <f>$L$35&amp;"-Ult"</f>
        <v>120-Ult</v>
      </c>
      <c r="Y118" s="92" t="str">
        <f>$A$35</f>
        <v>Fiscal Accident Year Data Ending</v>
      </c>
      <c r="Z118" s="92"/>
      <c r="AA118" s="100" t="str">
        <f>$C$35&amp;"-"&amp;$D$35</f>
        <v>12-24</v>
      </c>
      <c r="AB118" s="100" t="str">
        <f>$D$35&amp;"-"&amp;$E$35</f>
        <v>24-36</v>
      </c>
      <c r="AC118" s="100" t="str">
        <f>$E$35&amp;"-"&amp;$F$35</f>
        <v>36-48</v>
      </c>
      <c r="AD118" s="100" t="str">
        <f>$F$35&amp;"-"&amp;$G$35</f>
        <v>48-60</v>
      </c>
      <c r="AE118" s="100" t="str">
        <f>$G$35&amp;"-"&amp;$H$35</f>
        <v>60-72</v>
      </c>
      <c r="AF118" s="100" t="str">
        <f>$H$35&amp;"-"&amp;$I$35</f>
        <v>72-84</v>
      </c>
      <c r="AG118" s="100" t="str">
        <f>$I$35&amp;"-"&amp;$J$35</f>
        <v>84-96</v>
      </c>
      <c r="AH118" s="100" t="str">
        <f>$J$35&amp;"-"&amp;$K$35</f>
        <v>96-108</v>
      </c>
      <c r="AI118" s="100" t="str">
        <f>$K$35&amp;"-"&amp;$L$35</f>
        <v>108-120</v>
      </c>
      <c r="AJ118" s="100" t="str">
        <f>$L$35&amp;"-Ult"</f>
        <v>120-Ult</v>
      </c>
      <c r="AK118" s="92" t="str">
        <f>$A$35</f>
        <v>Fiscal Accident Year Data Ending</v>
      </c>
      <c r="AL118" s="92"/>
      <c r="AM118" s="100" t="str">
        <f>$C$35&amp;"-"&amp;$D$35</f>
        <v>12-24</v>
      </c>
      <c r="AN118" s="100" t="str">
        <f>$D$35&amp;"-"&amp;$E$35</f>
        <v>24-36</v>
      </c>
      <c r="AO118" s="100" t="str">
        <f>$E$35&amp;"-"&amp;$F$35</f>
        <v>36-48</v>
      </c>
      <c r="AP118" s="100" t="str">
        <f>$F$35&amp;"-"&amp;$G$35</f>
        <v>48-60</v>
      </c>
      <c r="AQ118" s="100" t="str">
        <f>$G$35&amp;"-"&amp;$H$35</f>
        <v>60-72</v>
      </c>
      <c r="AR118" s="100" t="str">
        <f>$H$35&amp;"-"&amp;$I$35</f>
        <v>72-84</v>
      </c>
      <c r="AS118" s="100" t="str">
        <f>$I$35&amp;"-"&amp;$J$35</f>
        <v>84-96</v>
      </c>
      <c r="AT118" s="100" t="str">
        <f>$J$35&amp;"-"&amp;$K$35</f>
        <v>96-108</v>
      </c>
      <c r="AU118" s="100" t="str">
        <f>$K$35&amp;"-"&amp;$L$35</f>
        <v>108-120</v>
      </c>
      <c r="AV118" s="100" t="str">
        <f>$L$35&amp;"-Ult"</f>
        <v>120-Ult</v>
      </c>
      <c r="AW118" s="92" t="str">
        <f>$A$35</f>
        <v>Fiscal Accident Year Data Ending</v>
      </c>
      <c r="AX118" s="92"/>
      <c r="AY118" s="100" t="str">
        <f>$C$35&amp;"-"&amp;$D$35</f>
        <v>12-24</v>
      </c>
      <c r="AZ118" s="100" t="str">
        <f>$D$35&amp;"-"&amp;$E$35</f>
        <v>24-36</v>
      </c>
      <c r="BA118" s="100" t="str">
        <f>$E$35&amp;"-"&amp;$F$35</f>
        <v>36-48</v>
      </c>
      <c r="BB118" s="100" t="str">
        <f>$F$35&amp;"-"&amp;$G$35</f>
        <v>48-60</v>
      </c>
      <c r="BC118" s="100" t="str">
        <f>$G$35&amp;"-"&amp;$H$35</f>
        <v>60-72</v>
      </c>
      <c r="BD118" s="100" t="str">
        <f>$H$35&amp;"-"&amp;$I$35</f>
        <v>72-84</v>
      </c>
      <c r="BE118" s="100" t="str">
        <f>$I$35&amp;"-"&amp;$J$35</f>
        <v>84-96</v>
      </c>
      <c r="BF118" s="100" t="str">
        <f>$J$35&amp;"-"&amp;$K$35</f>
        <v>96-108</v>
      </c>
      <c r="BG118" s="100" t="str">
        <f>$K$35&amp;"-"&amp;$L$35</f>
        <v>108-120</v>
      </c>
      <c r="BH118" s="100" t="str">
        <f>$L$35&amp;"-Ult"</f>
        <v>120-Ult</v>
      </c>
      <c r="BI118" s="92" t="str">
        <f>$A$35</f>
        <v>Fiscal Accident Year Data Ending</v>
      </c>
      <c r="BJ118" s="92"/>
      <c r="BK118" s="100" t="str">
        <f>$C$35&amp;"-"&amp;$D$35</f>
        <v>12-24</v>
      </c>
      <c r="BL118" s="100" t="str">
        <f>$D$35&amp;"-"&amp;$E$35</f>
        <v>24-36</v>
      </c>
      <c r="BM118" s="100" t="str">
        <f>$E$35&amp;"-"&amp;$F$35</f>
        <v>36-48</v>
      </c>
      <c r="BN118" s="100" t="str">
        <f>$F$35&amp;"-"&amp;$G$35</f>
        <v>48-60</v>
      </c>
      <c r="BO118" s="100" t="str">
        <f>$G$35&amp;"-"&amp;$H$35</f>
        <v>60-72</v>
      </c>
      <c r="BP118" s="100" t="str">
        <f>$H$35&amp;"-"&amp;$I$35</f>
        <v>72-84</v>
      </c>
      <c r="BQ118" s="100" t="str">
        <f>$I$35&amp;"-"&amp;$J$35</f>
        <v>84-96</v>
      </c>
      <c r="BR118" s="100" t="str">
        <f>$J$35&amp;"-"&amp;$K$35</f>
        <v>96-108</v>
      </c>
      <c r="BS118" s="100" t="str">
        <f>$K$35&amp;"-"&amp;$L$35</f>
        <v>108-120</v>
      </c>
      <c r="BT118" s="100" t="str">
        <f>$L$35&amp;"-Ult"</f>
        <v>120-Ult</v>
      </c>
      <c r="BU118" s="92" t="str">
        <f>$A$35</f>
        <v>Fiscal Accident Year Data Ending</v>
      </c>
      <c r="BV118" s="92"/>
      <c r="BW118" s="100" t="str">
        <f>$C$35&amp;"-"&amp;$D$35</f>
        <v>12-24</v>
      </c>
      <c r="BX118" s="100" t="str">
        <f>$D$35&amp;"-"&amp;$E$35</f>
        <v>24-36</v>
      </c>
      <c r="BY118" s="100" t="str">
        <f>$E$35&amp;"-"&amp;$F$35</f>
        <v>36-48</v>
      </c>
      <c r="BZ118" s="100" t="str">
        <f>$F$35&amp;"-"&amp;$G$35</f>
        <v>48-60</v>
      </c>
      <c r="CA118" s="100" t="str">
        <f>$G$35&amp;"-"&amp;$H$35</f>
        <v>60-72</v>
      </c>
      <c r="CB118" s="100" t="str">
        <f>$H$35&amp;"-"&amp;$I$35</f>
        <v>72-84</v>
      </c>
      <c r="CC118" s="100" t="str">
        <f>$I$35&amp;"-"&amp;$J$35</f>
        <v>84-96</v>
      </c>
      <c r="CD118" s="100" t="str">
        <f>$J$35&amp;"-"&amp;$K$35</f>
        <v>96-108</v>
      </c>
      <c r="CE118" s="100" t="str">
        <f>$K$35&amp;"-"&amp;$L$35</f>
        <v>108-120</v>
      </c>
      <c r="CF118" s="100" t="str">
        <f>$L$35&amp;"-Ult"</f>
        <v>120-Ult</v>
      </c>
      <c r="CG118" s="92" t="str">
        <f>$A$35</f>
        <v>Fiscal Accident Year Data Ending</v>
      </c>
      <c r="CH118" s="92"/>
      <c r="CI118" s="100" t="str">
        <f>$C$35&amp;"-"&amp;$D$35</f>
        <v>12-24</v>
      </c>
      <c r="CJ118" s="100" t="str">
        <f>$D$35&amp;"-"&amp;$E$35</f>
        <v>24-36</v>
      </c>
      <c r="CK118" s="100" t="str">
        <f>$E$35&amp;"-"&amp;$F$35</f>
        <v>36-48</v>
      </c>
      <c r="CL118" s="100" t="str">
        <f>$F$35&amp;"-"&amp;$G$35</f>
        <v>48-60</v>
      </c>
      <c r="CM118" s="100" t="str">
        <f>$G$35&amp;"-"&amp;$H$35</f>
        <v>60-72</v>
      </c>
      <c r="CN118" s="100" t="str">
        <f>$H$35&amp;"-"&amp;$I$35</f>
        <v>72-84</v>
      </c>
      <c r="CO118" s="100" t="str">
        <f>$I$35&amp;"-"&amp;$J$35</f>
        <v>84-96</v>
      </c>
      <c r="CP118" s="100" t="str">
        <f>$J$35&amp;"-"&amp;$K$35</f>
        <v>96-108</v>
      </c>
      <c r="CQ118" s="100" t="str">
        <f>$K$35&amp;"-"&amp;$L$35</f>
        <v>108-120</v>
      </c>
      <c r="CR118" s="100" t="str">
        <f>$L$35&amp;"-Ult"</f>
        <v>120-Ult</v>
      </c>
      <c r="CS118" s="92" t="str">
        <f>$A$35</f>
        <v>Fiscal Accident Year Data Ending</v>
      </c>
      <c r="CT118" s="92"/>
      <c r="CU118" s="100" t="str">
        <f>$C$35&amp;"-"&amp;$D$35</f>
        <v>12-24</v>
      </c>
      <c r="CV118" s="100" t="str">
        <f>$D$35&amp;"-"&amp;$E$35</f>
        <v>24-36</v>
      </c>
      <c r="CW118" s="100" t="str">
        <f>$E$35&amp;"-"&amp;$F$35</f>
        <v>36-48</v>
      </c>
      <c r="CX118" s="100" t="str">
        <f>$F$35&amp;"-"&amp;$G$35</f>
        <v>48-60</v>
      </c>
      <c r="CY118" s="100" t="str">
        <f>$G$35&amp;"-"&amp;$H$35</f>
        <v>60-72</v>
      </c>
      <c r="CZ118" s="100" t="str">
        <f>$H$35&amp;"-"&amp;$I$35</f>
        <v>72-84</v>
      </c>
      <c r="DA118" s="100" t="str">
        <f>$I$35&amp;"-"&amp;$J$35</f>
        <v>84-96</v>
      </c>
      <c r="DB118" s="100" t="str">
        <f>$J$35&amp;"-"&amp;$K$35</f>
        <v>96-108</v>
      </c>
      <c r="DC118" s="100" t="str">
        <f>$K$35&amp;"-"&amp;$L$35</f>
        <v>108-120</v>
      </c>
      <c r="DD118" s="100" t="str">
        <f>$L$35&amp;"-Ult"</f>
        <v>120-Ult</v>
      </c>
      <c r="DE118" s="92" t="str">
        <f>$A$35</f>
        <v>Fiscal Accident Year Data Ending</v>
      </c>
      <c r="DF118" s="92"/>
      <c r="DG118" s="100" t="str">
        <f>$C$35&amp;"-"&amp;$D$35</f>
        <v>12-24</v>
      </c>
      <c r="DH118" s="100" t="str">
        <f>$D$35&amp;"-"&amp;$E$35</f>
        <v>24-36</v>
      </c>
      <c r="DI118" s="100" t="str">
        <f>$E$35&amp;"-"&amp;$F$35</f>
        <v>36-48</v>
      </c>
      <c r="DJ118" s="100" t="str">
        <f>$F$35&amp;"-"&amp;$G$35</f>
        <v>48-60</v>
      </c>
      <c r="DK118" s="100" t="str">
        <f>$G$35&amp;"-"&amp;$H$35</f>
        <v>60-72</v>
      </c>
      <c r="DL118" s="100" t="str">
        <f>$H$35&amp;"-"&amp;$I$35</f>
        <v>72-84</v>
      </c>
      <c r="DM118" s="100" t="str">
        <f>$I$35&amp;"-"&amp;$J$35</f>
        <v>84-96</v>
      </c>
      <c r="DN118" s="100" t="str">
        <f>$J$35&amp;"-"&amp;$K$35</f>
        <v>96-108</v>
      </c>
      <c r="DO118" s="100" t="str">
        <f>$K$35&amp;"-"&amp;$L$35</f>
        <v>108-120</v>
      </c>
      <c r="DP118" s="100" t="str">
        <f>$L$35&amp;"-Ult"</f>
        <v>120-Ult</v>
      </c>
    </row>
    <row r="119" spans="1:120" x14ac:dyDescent="0.25">
      <c r="A119" s="91">
        <f>$A$36</f>
        <v>20132</v>
      </c>
      <c r="B119" s="105"/>
      <c r="C119" s="90">
        <f>IFERROR(D106/C106,"")</f>
        <v>3.2926783072435497</v>
      </c>
      <c r="D119" s="90">
        <f t="shared" ref="D119:K119" si="229">IFERROR(E106/D106,"")</f>
        <v>1.6949375116522607</v>
      </c>
      <c r="E119" s="90">
        <f t="shared" si="229"/>
        <v>1.2833760666984793</v>
      </c>
      <c r="F119" s="90">
        <f t="shared" si="229"/>
        <v>1.1475596480019301</v>
      </c>
      <c r="G119" s="90">
        <f t="shared" si="229"/>
        <v>1.0709177480350058</v>
      </c>
      <c r="H119" s="90">
        <f t="shared" si="229"/>
        <v>1.0260347522468503</v>
      </c>
      <c r="I119" s="90">
        <f t="shared" si="229"/>
        <v>1.0101648673011221</v>
      </c>
      <c r="J119" s="90">
        <f t="shared" si="229"/>
        <v>1.0127999045841294</v>
      </c>
      <c r="K119" s="90">
        <f t="shared" si="229"/>
        <v>1.017538040413404</v>
      </c>
      <c r="L119" s="22"/>
      <c r="M119" s="91">
        <f>$A$36</f>
        <v>20132</v>
      </c>
      <c r="N119" s="105"/>
      <c r="O119" s="90" t="str">
        <f>IFERROR(P106/O106,"")</f>
        <v/>
      </c>
      <c r="P119" s="90" t="str">
        <f t="shared" ref="P119:W119" si="230">IFERROR(Q106/P106,"")</f>
        <v/>
      </c>
      <c r="Q119" s="90" t="str">
        <f t="shared" si="230"/>
        <v/>
      </c>
      <c r="R119" s="90" t="str">
        <f t="shared" si="230"/>
        <v/>
      </c>
      <c r="S119" s="90" t="str">
        <f t="shared" si="230"/>
        <v/>
      </c>
      <c r="T119" s="90" t="str">
        <f t="shared" si="230"/>
        <v/>
      </c>
      <c r="U119" s="90" t="str">
        <f t="shared" si="230"/>
        <v/>
      </c>
      <c r="V119" s="90" t="str">
        <f t="shared" si="230"/>
        <v/>
      </c>
      <c r="W119" s="90" t="str">
        <f t="shared" si="230"/>
        <v/>
      </c>
      <c r="X119" s="22"/>
      <c r="Y119" s="91">
        <f>$A$36</f>
        <v>20132</v>
      </c>
      <c r="Z119" s="105"/>
      <c r="AA119" s="90" t="str">
        <f>IFERROR(AB106/AA106,"")</f>
        <v/>
      </c>
      <c r="AB119" s="90" t="str">
        <f t="shared" ref="AB119:AI119" si="231">IFERROR(AC106/AB106,"")</f>
        <v/>
      </c>
      <c r="AC119" s="90" t="str">
        <f t="shared" si="231"/>
        <v/>
      </c>
      <c r="AD119" s="90" t="str">
        <f t="shared" si="231"/>
        <v/>
      </c>
      <c r="AE119" s="90" t="str">
        <f t="shared" si="231"/>
        <v/>
      </c>
      <c r="AF119" s="90" t="str">
        <f t="shared" si="231"/>
        <v/>
      </c>
      <c r="AG119" s="90" t="str">
        <f t="shared" si="231"/>
        <v/>
      </c>
      <c r="AH119" s="90" t="str">
        <f t="shared" si="231"/>
        <v/>
      </c>
      <c r="AI119" s="90" t="str">
        <f t="shared" si="231"/>
        <v/>
      </c>
      <c r="AJ119" s="22"/>
      <c r="AK119" s="91">
        <f>$A$36</f>
        <v>20132</v>
      </c>
      <c r="AL119" s="105"/>
      <c r="AM119" s="90" t="str">
        <f>IFERROR(AN106/AM106,"")</f>
        <v/>
      </c>
      <c r="AN119" s="90" t="str">
        <f t="shared" ref="AN119:AU119" si="232">IFERROR(AO106/AN106,"")</f>
        <v/>
      </c>
      <c r="AO119" s="90" t="str">
        <f t="shared" si="232"/>
        <v/>
      </c>
      <c r="AP119" s="90" t="str">
        <f t="shared" si="232"/>
        <v/>
      </c>
      <c r="AQ119" s="90" t="str">
        <f t="shared" si="232"/>
        <v/>
      </c>
      <c r="AR119" s="90" t="str">
        <f t="shared" si="232"/>
        <v/>
      </c>
      <c r="AS119" s="90" t="str">
        <f t="shared" si="232"/>
        <v/>
      </c>
      <c r="AT119" s="90" t="str">
        <f t="shared" si="232"/>
        <v/>
      </c>
      <c r="AU119" s="90" t="str">
        <f t="shared" si="232"/>
        <v/>
      </c>
      <c r="AV119" s="22"/>
      <c r="AW119" s="91">
        <f>$A$36</f>
        <v>20132</v>
      </c>
      <c r="AX119" s="105"/>
      <c r="AY119" s="90" t="str">
        <f>IFERROR(AZ106/AY106,"")</f>
        <v/>
      </c>
      <c r="AZ119" s="90" t="str">
        <f t="shared" ref="AZ119:BG119" si="233">IFERROR(BA106/AZ106,"")</f>
        <v/>
      </c>
      <c r="BA119" s="90" t="str">
        <f t="shared" si="233"/>
        <v/>
      </c>
      <c r="BB119" s="90" t="str">
        <f t="shared" si="233"/>
        <v/>
      </c>
      <c r="BC119" s="90" t="str">
        <f t="shared" si="233"/>
        <v/>
      </c>
      <c r="BD119" s="90" t="str">
        <f t="shared" si="233"/>
        <v/>
      </c>
      <c r="BE119" s="90" t="str">
        <f t="shared" si="233"/>
        <v/>
      </c>
      <c r="BF119" s="90" t="str">
        <f t="shared" si="233"/>
        <v/>
      </c>
      <c r="BG119" s="90" t="str">
        <f t="shared" si="233"/>
        <v/>
      </c>
      <c r="BH119" s="22"/>
      <c r="BI119" s="91">
        <f>$A$36</f>
        <v>20132</v>
      </c>
      <c r="BJ119" s="105"/>
      <c r="BK119" s="90" t="str">
        <f>IFERROR(BL106/BK106,"")</f>
        <v/>
      </c>
      <c r="BL119" s="90" t="str">
        <f t="shared" ref="BL119:BS119" si="234">IFERROR(BM106/BL106,"")</f>
        <v/>
      </c>
      <c r="BM119" s="90" t="str">
        <f t="shared" si="234"/>
        <v/>
      </c>
      <c r="BN119" s="90" t="str">
        <f t="shared" si="234"/>
        <v/>
      </c>
      <c r="BO119" s="90" t="str">
        <f t="shared" si="234"/>
        <v/>
      </c>
      <c r="BP119" s="90" t="str">
        <f t="shared" si="234"/>
        <v/>
      </c>
      <c r="BQ119" s="90" t="str">
        <f t="shared" si="234"/>
        <v/>
      </c>
      <c r="BR119" s="90" t="str">
        <f t="shared" si="234"/>
        <v/>
      </c>
      <c r="BS119" s="90" t="str">
        <f t="shared" si="234"/>
        <v/>
      </c>
      <c r="BT119" s="22"/>
      <c r="BU119" s="91">
        <f>$A$36</f>
        <v>20132</v>
      </c>
      <c r="BV119" s="105"/>
      <c r="BW119" s="90" t="str">
        <f>IFERROR(BX106/BW106,"")</f>
        <v/>
      </c>
      <c r="BX119" s="90" t="str">
        <f t="shared" ref="BX119:CE119" si="235">IFERROR(BY106/BX106,"")</f>
        <v/>
      </c>
      <c r="BY119" s="90" t="str">
        <f t="shared" si="235"/>
        <v/>
      </c>
      <c r="BZ119" s="90" t="str">
        <f t="shared" si="235"/>
        <v/>
      </c>
      <c r="CA119" s="90" t="str">
        <f t="shared" si="235"/>
        <v/>
      </c>
      <c r="CB119" s="90" t="str">
        <f t="shared" si="235"/>
        <v/>
      </c>
      <c r="CC119" s="90" t="str">
        <f t="shared" si="235"/>
        <v/>
      </c>
      <c r="CD119" s="90" t="str">
        <f t="shared" si="235"/>
        <v/>
      </c>
      <c r="CE119" s="90" t="str">
        <f t="shared" si="235"/>
        <v/>
      </c>
      <c r="CF119" s="22"/>
      <c r="CG119" s="91">
        <f>$A$36</f>
        <v>20132</v>
      </c>
      <c r="CH119" s="105"/>
      <c r="CI119" s="90" t="str">
        <f>IFERROR(CJ106/CI106,"")</f>
        <v/>
      </c>
      <c r="CJ119" s="90" t="str">
        <f t="shared" ref="CJ119:CQ119" si="236">IFERROR(CK106/CJ106,"")</f>
        <v/>
      </c>
      <c r="CK119" s="90" t="str">
        <f t="shared" si="236"/>
        <v/>
      </c>
      <c r="CL119" s="90" t="str">
        <f t="shared" si="236"/>
        <v/>
      </c>
      <c r="CM119" s="90" t="str">
        <f t="shared" si="236"/>
        <v/>
      </c>
      <c r="CN119" s="90" t="str">
        <f t="shared" si="236"/>
        <v/>
      </c>
      <c r="CO119" s="90" t="str">
        <f t="shared" si="236"/>
        <v/>
      </c>
      <c r="CP119" s="90" t="str">
        <f t="shared" si="236"/>
        <v/>
      </c>
      <c r="CQ119" s="90" t="str">
        <f t="shared" si="236"/>
        <v/>
      </c>
      <c r="CR119" s="22"/>
      <c r="CS119" s="91">
        <f>$A$36</f>
        <v>20132</v>
      </c>
      <c r="CT119" s="105"/>
      <c r="CU119" s="90" t="str">
        <f>IFERROR(CV106/CU106,"")</f>
        <v/>
      </c>
      <c r="CV119" s="90" t="str">
        <f t="shared" ref="CV119:DC119" si="237">IFERROR(CW106/CV106,"")</f>
        <v/>
      </c>
      <c r="CW119" s="90" t="str">
        <f t="shared" si="237"/>
        <v/>
      </c>
      <c r="CX119" s="90" t="str">
        <f t="shared" si="237"/>
        <v/>
      </c>
      <c r="CY119" s="90" t="str">
        <f t="shared" si="237"/>
        <v/>
      </c>
      <c r="CZ119" s="90" t="str">
        <f t="shared" si="237"/>
        <v/>
      </c>
      <c r="DA119" s="90" t="str">
        <f t="shared" si="237"/>
        <v/>
      </c>
      <c r="DB119" s="90" t="str">
        <f t="shared" si="237"/>
        <v/>
      </c>
      <c r="DC119" s="90" t="str">
        <f t="shared" si="237"/>
        <v/>
      </c>
      <c r="DD119" s="22"/>
      <c r="DE119" s="91">
        <f>$A$36</f>
        <v>20132</v>
      </c>
      <c r="DF119" s="105"/>
      <c r="DG119" s="90" t="str">
        <f>IFERROR(DH106/DG106,"")</f>
        <v/>
      </c>
      <c r="DH119" s="90" t="str">
        <f t="shared" ref="DH119:DO119" si="238">IFERROR(DI106/DH106,"")</f>
        <v/>
      </c>
      <c r="DI119" s="90" t="str">
        <f t="shared" si="238"/>
        <v/>
      </c>
      <c r="DJ119" s="90" t="str">
        <f t="shared" si="238"/>
        <v/>
      </c>
      <c r="DK119" s="90" t="str">
        <f t="shared" si="238"/>
        <v/>
      </c>
      <c r="DL119" s="90" t="str">
        <f t="shared" si="238"/>
        <v/>
      </c>
      <c r="DM119" s="90" t="str">
        <f t="shared" si="238"/>
        <v/>
      </c>
      <c r="DN119" s="90" t="str">
        <f t="shared" si="238"/>
        <v/>
      </c>
      <c r="DO119" s="90" t="str">
        <f t="shared" si="238"/>
        <v/>
      </c>
      <c r="DP119" s="22"/>
    </row>
    <row r="120" spans="1:120" x14ac:dyDescent="0.25">
      <c r="A120" s="91">
        <f>$A$37</f>
        <v>20142</v>
      </c>
      <c r="B120" s="105"/>
      <c r="C120" s="90">
        <f t="shared" ref="C120:J127" si="239">IFERROR(D107/C107,"")</f>
        <v>3.1812170786491385</v>
      </c>
      <c r="D120" s="90">
        <f t="shared" si="239"/>
        <v>1.7822698784562885</v>
      </c>
      <c r="E120" s="90">
        <f t="shared" si="239"/>
        <v>1.2999614538281974</v>
      </c>
      <c r="F120" s="90">
        <f t="shared" si="239"/>
        <v>1.1469975762838229</v>
      </c>
      <c r="G120" s="90">
        <f t="shared" si="239"/>
        <v>1.0738768277054456</v>
      </c>
      <c r="H120" s="90">
        <f t="shared" si="239"/>
        <v>1.046237868645014</v>
      </c>
      <c r="I120" s="90">
        <f t="shared" si="239"/>
        <v>1.0919347001894006</v>
      </c>
      <c r="J120" s="90">
        <f t="shared" si="239"/>
        <v>1.0562765160592742</v>
      </c>
      <c r="K120" s="22"/>
      <c r="L120" s="22"/>
      <c r="M120" s="91">
        <f>$A$37</f>
        <v>20142</v>
      </c>
      <c r="N120" s="105"/>
      <c r="O120" s="90" t="str">
        <f t="shared" ref="O120:V127" si="240">IFERROR(P107/O107,"")</f>
        <v/>
      </c>
      <c r="P120" s="90" t="str">
        <f t="shared" si="240"/>
        <v/>
      </c>
      <c r="Q120" s="90" t="str">
        <f t="shared" si="240"/>
        <v/>
      </c>
      <c r="R120" s="90" t="str">
        <f t="shared" si="240"/>
        <v/>
      </c>
      <c r="S120" s="90" t="str">
        <f t="shared" si="240"/>
        <v/>
      </c>
      <c r="T120" s="90" t="str">
        <f t="shared" si="240"/>
        <v/>
      </c>
      <c r="U120" s="90" t="str">
        <f t="shared" si="240"/>
        <v/>
      </c>
      <c r="V120" s="90" t="str">
        <f t="shared" si="240"/>
        <v/>
      </c>
      <c r="W120" s="22"/>
      <c r="X120" s="22"/>
      <c r="Y120" s="91">
        <f>$A$37</f>
        <v>20142</v>
      </c>
      <c r="Z120" s="105"/>
      <c r="AA120" s="90" t="str">
        <f t="shared" ref="AA120:AH127" si="241">IFERROR(AB107/AA107,"")</f>
        <v/>
      </c>
      <c r="AB120" s="90" t="str">
        <f t="shared" si="241"/>
        <v/>
      </c>
      <c r="AC120" s="90" t="str">
        <f t="shared" si="241"/>
        <v/>
      </c>
      <c r="AD120" s="90" t="str">
        <f t="shared" si="241"/>
        <v/>
      </c>
      <c r="AE120" s="90" t="str">
        <f t="shared" si="241"/>
        <v/>
      </c>
      <c r="AF120" s="90" t="str">
        <f t="shared" si="241"/>
        <v/>
      </c>
      <c r="AG120" s="90" t="str">
        <f t="shared" si="241"/>
        <v/>
      </c>
      <c r="AH120" s="90" t="str">
        <f t="shared" si="241"/>
        <v/>
      </c>
      <c r="AI120" s="22"/>
      <c r="AJ120" s="22"/>
      <c r="AK120" s="91">
        <f>$A$37</f>
        <v>20142</v>
      </c>
      <c r="AL120" s="105"/>
      <c r="AM120" s="90" t="str">
        <f t="shared" ref="AM120:AT127" si="242">IFERROR(AN107/AM107,"")</f>
        <v/>
      </c>
      <c r="AN120" s="90" t="str">
        <f t="shared" si="242"/>
        <v/>
      </c>
      <c r="AO120" s="90" t="str">
        <f t="shared" si="242"/>
        <v/>
      </c>
      <c r="AP120" s="90" t="str">
        <f t="shared" si="242"/>
        <v/>
      </c>
      <c r="AQ120" s="90" t="str">
        <f t="shared" si="242"/>
        <v/>
      </c>
      <c r="AR120" s="90" t="str">
        <f t="shared" si="242"/>
        <v/>
      </c>
      <c r="AS120" s="90" t="str">
        <f t="shared" si="242"/>
        <v/>
      </c>
      <c r="AT120" s="90" t="str">
        <f t="shared" si="242"/>
        <v/>
      </c>
      <c r="AU120" s="22"/>
      <c r="AV120" s="22"/>
      <c r="AW120" s="91">
        <f>$A$37</f>
        <v>20142</v>
      </c>
      <c r="AX120" s="105"/>
      <c r="AY120" s="90" t="str">
        <f t="shared" ref="AY120:BF127" si="243">IFERROR(AZ107/AY107,"")</f>
        <v/>
      </c>
      <c r="AZ120" s="90" t="str">
        <f t="shared" si="243"/>
        <v/>
      </c>
      <c r="BA120" s="90" t="str">
        <f t="shared" si="243"/>
        <v/>
      </c>
      <c r="BB120" s="90" t="str">
        <f t="shared" si="243"/>
        <v/>
      </c>
      <c r="BC120" s="90" t="str">
        <f t="shared" si="243"/>
        <v/>
      </c>
      <c r="BD120" s="90" t="str">
        <f t="shared" si="243"/>
        <v/>
      </c>
      <c r="BE120" s="90" t="str">
        <f t="shared" si="243"/>
        <v/>
      </c>
      <c r="BF120" s="90" t="str">
        <f t="shared" si="243"/>
        <v/>
      </c>
      <c r="BG120" s="22"/>
      <c r="BH120" s="22"/>
      <c r="BI120" s="91">
        <f>$A$37</f>
        <v>20142</v>
      </c>
      <c r="BJ120" s="105"/>
      <c r="BK120" s="90" t="str">
        <f t="shared" ref="BK120:BR127" si="244">IFERROR(BL107/BK107,"")</f>
        <v/>
      </c>
      <c r="BL120" s="90" t="str">
        <f t="shared" si="244"/>
        <v/>
      </c>
      <c r="BM120" s="90" t="str">
        <f t="shared" si="244"/>
        <v/>
      </c>
      <c r="BN120" s="90" t="str">
        <f t="shared" si="244"/>
        <v/>
      </c>
      <c r="BO120" s="90" t="str">
        <f t="shared" si="244"/>
        <v/>
      </c>
      <c r="BP120" s="90" t="str">
        <f t="shared" si="244"/>
        <v/>
      </c>
      <c r="BQ120" s="90" t="str">
        <f t="shared" si="244"/>
        <v/>
      </c>
      <c r="BR120" s="90" t="str">
        <f t="shared" si="244"/>
        <v/>
      </c>
      <c r="BS120" s="22"/>
      <c r="BT120" s="22"/>
      <c r="BU120" s="91">
        <f>$A$37</f>
        <v>20142</v>
      </c>
      <c r="BV120" s="105"/>
      <c r="BW120" s="90" t="str">
        <f t="shared" ref="BW120:CD127" si="245">IFERROR(BX107/BW107,"")</f>
        <v/>
      </c>
      <c r="BX120" s="90" t="str">
        <f t="shared" si="245"/>
        <v/>
      </c>
      <c r="BY120" s="90" t="str">
        <f t="shared" si="245"/>
        <v/>
      </c>
      <c r="BZ120" s="90" t="str">
        <f t="shared" si="245"/>
        <v/>
      </c>
      <c r="CA120" s="90" t="str">
        <f t="shared" si="245"/>
        <v/>
      </c>
      <c r="CB120" s="90" t="str">
        <f t="shared" si="245"/>
        <v/>
      </c>
      <c r="CC120" s="90" t="str">
        <f t="shared" si="245"/>
        <v/>
      </c>
      <c r="CD120" s="90" t="str">
        <f t="shared" si="245"/>
        <v/>
      </c>
      <c r="CE120" s="22"/>
      <c r="CF120" s="22"/>
      <c r="CG120" s="91">
        <f>$A$37</f>
        <v>20142</v>
      </c>
      <c r="CH120" s="105"/>
      <c r="CI120" s="90" t="str">
        <f t="shared" ref="CI120:CP127" si="246">IFERROR(CJ107/CI107,"")</f>
        <v/>
      </c>
      <c r="CJ120" s="90" t="str">
        <f t="shared" si="246"/>
        <v/>
      </c>
      <c r="CK120" s="90" t="str">
        <f t="shared" si="246"/>
        <v/>
      </c>
      <c r="CL120" s="90" t="str">
        <f t="shared" si="246"/>
        <v/>
      </c>
      <c r="CM120" s="90" t="str">
        <f t="shared" si="246"/>
        <v/>
      </c>
      <c r="CN120" s="90" t="str">
        <f t="shared" si="246"/>
        <v/>
      </c>
      <c r="CO120" s="90" t="str">
        <f t="shared" si="246"/>
        <v/>
      </c>
      <c r="CP120" s="90" t="str">
        <f t="shared" si="246"/>
        <v/>
      </c>
      <c r="CQ120" s="22"/>
      <c r="CR120" s="22"/>
      <c r="CS120" s="91">
        <f>$A$37</f>
        <v>20142</v>
      </c>
      <c r="CT120" s="105"/>
      <c r="CU120" s="90" t="str">
        <f t="shared" ref="CU120:DB127" si="247">IFERROR(CV107/CU107,"")</f>
        <v/>
      </c>
      <c r="CV120" s="90" t="str">
        <f t="shared" si="247"/>
        <v/>
      </c>
      <c r="CW120" s="90" t="str">
        <f t="shared" si="247"/>
        <v/>
      </c>
      <c r="CX120" s="90" t="str">
        <f t="shared" si="247"/>
        <v/>
      </c>
      <c r="CY120" s="90" t="str">
        <f t="shared" si="247"/>
        <v/>
      </c>
      <c r="CZ120" s="90" t="str">
        <f t="shared" si="247"/>
        <v/>
      </c>
      <c r="DA120" s="90" t="str">
        <f t="shared" si="247"/>
        <v/>
      </c>
      <c r="DB120" s="90" t="str">
        <f t="shared" si="247"/>
        <v/>
      </c>
      <c r="DC120" s="22"/>
      <c r="DD120" s="22"/>
      <c r="DE120" s="91">
        <f>$A$37</f>
        <v>20142</v>
      </c>
      <c r="DF120" s="105"/>
      <c r="DG120" s="90" t="str">
        <f t="shared" ref="DG120:DN127" si="248">IFERROR(DH107/DG107,"")</f>
        <v/>
      </c>
      <c r="DH120" s="90" t="str">
        <f t="shared" si="248"/>
        <v/>
      </c>
      <c r="DI120" s="90" t="str">
        <f t="shared" si="248"/>
        <v/>
      </c>
      <c r="DJ120" s="90" t="str">
        <f t="shared" si="248"/>
        <v/>
      </c>
      <c r="DK120" s="90" t="str">
        <f t="shared" si="248"/>
        <v/>
      </c>
      <c r="DL120" s="90" t="str">
        <f t="shared" si="248"/>
        <v/>
      </c>
      <c r="DM120" s="90" t="str">
        <f t="shared" si="248"/>
        <v/>
      </c>
      <c r="DN120" s="90" t="str">
        <f t="shared" si="248"/>
        <v/>
      </c>
      <c r="DO120" s="22"/>
      <c r="DP120" s="22"/>
    </row>
    <row r="121" spans="1:120" x14ac:dyDescent="0.25">
      <c r="A121" s="91">
        <f>$A$38</f>
        <v>20152</v>
      </c>
      <c r="B121" s="105"/>
      <c r="C121" s="90">
        <f t="shared" si="239"/>
        <v>4.4662959229325665</v>
      </c>
      <c r="D121" s="90">
        <f t="shared" si="239"/>
        <v>1.6592766515623243</v>
      </c>
      <c r="E121" s="90">
        <f t="shared" si="239"/>
        <v>1.328370577738073</v>
      </c>
      <c r="F121" s="90">
        <f t="shared" si="239"/>
        <v>1.2038367315197196</v>
      </c>
      <c r="G121" s="90">
        <f t="shared" si="239"/>
        <v>1.1075570657342992</v>
      </c>
      <c r="H121" s="90">
        <f t="shared" si="239"/>
        <v>1.071526806653806</v>
      </c>
      <c r="I121" s="90">
        <f t="shared" si="239"/>
        <v>1.0608805370791849</v>
      </c>
      <c r="J121" s="22"/>
      <c r="K121" s="22"/>
      <c r="L121" s="22"/>
      <c r="M121" s="91">
        <f>$A$38</f>
        <v>20152</v>
      </c>
      <c r="N121" s="105"/>
      <c r="O121" s="90" t="str">
        <f t="shared" si="240"/>
        <v/>
      </c>
      <c r="P121" s="90" t="str">
        <f t="shared" si="240"/>
        <v/>
      </c>
      <c r="Q121" s="90" t="str">
        <f t="shared" si="240"/>
        <v/>
      </c>
      <c r="R121" s="90" t="str">
        <f t="shared" si="240"/>
        <v/>
      </c>
      <c r="S121" s="90" t="str">
        <f t="shared" si="240"/>
        <v/>
      </c>
      <c r="T121" s="90" t="str">
        <f t="shared" si="240"/>
        <v/>
      </c>
      <c r="U121" s="90" t="str">
        <f t="shared" si="240"/>
        <v/>
      </c>
      <c r="V121" s="22"/>
      <c r="W121" s="22"/>
      <c r="X121" s="22"/>
      <c r="Y121" s="91">
        <f>$A$38</f>
        <v>20152</v>
      </c>
      <c r="Z121" s="105"/>
      <c r="AA121" s="90" t="str">
        <f t="shared" si="241"/>
        <v/>
      </c>
      <c r="AB121" s="90" t="str">
        <f t="shared" si="241"/>
        <v/>
      </c>
      <c r="AC121" s="90" t="str">
        <f t="shared" si="241"/>
        <v/>
      </c>
      <c r="AD121" s="90" t="str">
        <f t="shared" si="241"/>
        <v/>
      </c>
      <c r="AE121" s="90" t="str">
        <f t="shared" si="241"/>
        <v/>
      </c>
      <c r="AF121" s="90" t="str">
        <f t="shared" si="241"/>
        <v/>
      </c>
      <c r="AG121" s="90" t="str">
        <f t="shared" si="241"/>
        <v/>
      </c>
      <c r="AH121" s="22"/>
      <c r="AI121" s="22"/>
      <c r="AJ121" s="22"/>
      <c r="AK121" s="91">
        <f>$A$38</f>
        <v>20152</v>
      </c>
      <c r="AL121" s="105"/>
      <c r="AM121" s="90" t="str">
        <f t="shared" si="242"/>
        <v/>
      </c>
      <c r="AN121" s="90" t="str">
        <f t="shared" si="242"/>
        <v/>
      </c>
      <c r="AO121" s="90" t="str">
        <f t="shared" si="242"/>
        <v/>
      </c>
      <c r="AP121" s="90" t="str">
        <f t="shared" si="242"/>
        <v/>
      </c>
      <c r="AQ121" s="90" t="str">
        <f t="shared" si="242"/>
        <v/>
      </c>
      <c r="AR121" s="90" t="str">
        <f t="shared" si="242"/>
        <v/>
      </c>
      <c r="AS121" s="90" t="str">
        <f t="shared" si="242"/>
        <v/>
      </c>
      <c r="AT121" s="22"/>
      <c r="AU121" s="22"/>
      <c r="AV121" s="22"/>
      <c r="AW121" s="91">
        <f>$A$38</f>
        <v>20152</v>
      </c>
      <c r="AX121" s="105"/>
      <c r="AY121" s="90" t="str">
        <f t="shared" si="243"/>
        <v/>
      </c>
      <c r="AZ121" s="90" t="str">
        <f t="shared" si="243"/>
        <v/>
      </c>
      <c r="BA121" s="90" t="str">
        <f t="shared" si="243"/>
        <v/>
      </c>
      <c r="BB121" s="90" t="str">
        <f t="shared" si="243"/>
        <v/>
      </c>
      <c r="BC121" s="90" t="str">
        <f t="shared" si="243"/>
        <v/>
      </c>
      <c r="BD121" s="90" t="str">
        <f t="shared" si="243"/>
        <v/>
      </c>
      <c r="BE121" s="90" t="str">
        <f t="shared" si="243"/>
        <v/>
      </c>
      <c r="BF121" s="22"/>
      <c r="BG121" s="22"/>
      <c r="BH121" s="22"/>
      <c r="BI121" s="91">
        <f>$A$38</f>
        <v>20152</v>
      </c>
      <c r="BJ121" s="105"/>
      <c r="BK121" s="90" t="str">
        <f t="shared" si="244"/>
        <v/>
      </c>
      <c r="BL121" s="90" t="str">
        <f t="shared" si="244"/>
        <v/>
      </c>
      <c r="BM121" s="90" t="str">
        <f t="shared" si="244"/>
        <v/>
      </c>
      <c r="BN121" s="90" t="str">
        <f t="shared" si="244"/>
        <v/>
      </c>
      <c r="BO121" s="90" t="str">
        <f t="shared" si="244"/>
        <v/>
      </c>
      <c r="BP121" s="90" t="str">
        <f t="shared" si="244"/>
        <v/>
      </c>
      <c r="BQ121" s="90" t="str">
        <f t="shared" si="244"/>
        <v/>
      </c>
      <c r="BR121" s="22"/>
      <c r="BS121" s="22"/>
      <c r="BT121" s="22"/>
      <c r="BU121" s="91">
        <f>$A$38</f>
        <v>20152</v>
      </c>
      <c r="BV121" s="105"/>
      <c r="BW121" s="90" t="str">
        <f t="shared" si="245"/>
        <v/>
      </c>
      <c r="BX121" s="90" t="str">
        <f t="shared" si="245"/>
        <v/>
      </c>
      <c r="BY121" s="90" t="str">
        <f t="shared" si="245"/>
        <v/>
      </c>
      <c r="BZ121" s="90" t="str">
        <f t="shared" si="245"/>
        <v/>
      </c>
      <c r="CA121" s="90" t="str">
        <f t="shared" si="245"/>
        <v/>
      </c>
      <c r="CB121" s="90" t="str">
        <f t="shared" si="245"/>
        <v/>
      </c>
      <c r="CC121" s="90" t="str">
        <f t="shared" si="245"/>
        <v/>
      </c>
      <c r="CD121" s="22"/>
      <c r="CE121" s="22"/>
      <c r="CF121" s="22"/>
      <c r="CG121" s="91">
        <f>$A$38</f>
        <v>20152</v>
      </c>
      <c r="CH121" s="105"/>
      <c r="CI121" s="90" t="str">
        <f t="shared" si="246"/>
        <v/>
      </c>
      <c r="CJ121" s="90" t="str">
        <f t="shared" si="246"/>
        <v/>
      </c>
      <c r="CK121" s="90" t="str">
        <f t="shared" si="246"/>
        <v/>
      </c>
      <c r="CL121" s="90" t="str">
        <f t="shared" si="246"/>
        <v/>
      </c>
      <c r="CM121" s="90" t="str">
        <f t="shared" si="246"/>
        <v/>
      </c>
      <c r="CN121" s="90" t="str">
        <f t="shared" si="246"/>
        <v/>
      </c>
      <c r="CO121" s="90" t="str">
        <f t="shared" si="246"/>
        <v/>
      </c>
      <c r="CP121" s="22"/>
      <c r="CQ121" s="22"/>
      <c r="CR121" s="22"/>
      <c r="CS121" s="91">
        <f>$A$38</f>
        <v>20152</v>
      </c>
      <c r="CT121" s="105"/>
      <c r="CU121" s="90" t="str">
        <f t="shared" si="247"/>
        <v/>
      </c>
      <c r="CV121" s="90" t="str">
        <f t="shared" si="247"/>
        <v/>
      </c>
      <c r="CW121" s="90" t="str">
        <f t="shared" si="247"/>
        <v/>
      </c>
      <c r="CX121" s="90" t="str">
        <f t="shared" si="247"/>
        <v/>
      </c>
      <c r="CY121" s="90" t="str">
        <f t="shared" si="247"/>
        <v/>
      </c>
      <c r="CZ121" s="90" t="str">
        <f t="shared" si="247"/>
        <v/>
      </c>
      <c r="DA121" s="90" t="str">
        <f t="shared" si="247"/>
        <v/>
      </c>
      <c r="DB121" s="22"/>
      <c r="DC121" s="22"/>
      <c r="DD121" s="22"/>
      <c r="DE121" s="91">
        <f>$A$38</f>
        <v>20152</v>
      </c>
      <c r="DF121" s="105"/>
      <c r="DG121" s="90" t="str">
        <f t="shared" si="248"/>
        <v/>
      </c>
      <c r="DH121" s="90" t="str">
        <f t="shared" si="248"/>
        <v/>
      </c>
      <c r="DI121" s="90" t="str">
        <f t="shared" si="248"/>
        <v/>
      </c>
      <c r="DJ121" s="90" t="str">
        <f t="shared" si="248"/>
        <v/>
      </c>
      <c r="DK121" s="90" t="str">
        <f t="shared" si="248"/>
        <v/>
      </c>
      <c r="DL121" s="90" t="str">
        <f t="shared" si="248"/>
        <v/>
      </c>
      <c r="DM121" s="90" t="str">
        <f t="shared" si="248"/>
        <v/>
      </c>
      <c r="DN121" s="22"/>
      <c r="DO121" s="22"/>
      <c r="DP121" s="22"/>
    </row>
    <row r="122" spans="1:120" x14ac:dyDescent="0.25">
      <c r="A122" s="91">
        <f>$A$39</f>
        <v>20162</v>
      </c>
      <c r="B122" s="105"/>
      <c r="C122" s="90">
        <f t="shared" si="239"/>
        <v>3.2756279561911015</v>
      </c>
      <c r="D122" s="90">
        <f t="shared" si="239"/>
        <v>1.8266401191109889</v>
      </c>
      <c r="E122" s="90">
        <f t="shared" si="239"/>
        <v>1.4657994190066352</v>
      </c>
      <c r="F122" s="90">
        <f t="shared" si="239"/>
        <v>1.1276637202061048</v>
      </c>
      <c r="G122" s="90">
        <f t="shared" si="239"/>
        <v>1.0596936237213745</v>
      </c>
      <c r="H122" s="90">
        <f t="shared" si="239"/>
        <v>1.0386855933162913</v>
      </c>
      <c r="I122" s="22"/>
      <c r="J122" s="22"/>
      <c r="K122" s="22"/>
      <c r="L122" s="22"/>
      <c r="M122" s="91">
        <f>$A$39</f>
        <v>20162</v>
      </c>
      <c r="N122" s="105"/>
      <c r="O122" s="90" t="str">
        <f t="shared" si="240"/>
        <v/>
      </c>
      <c r="P122" s="90" t="str">
        <f t="shared" si="240"/>
        <v/>
      </c>
      <c r="Q122" s="90" t="str">
        <f t="shared" si="240"/>
        <v/>
      </c>
      <c r="R122" s="90" t="str">
        <f t="shared" si="240"/>
        <v/>
      </c>
      <c r="S122" s="90" t="str">
        <f t="shared" si="240"/>
        <v/>
      </c>
      <c r="T122" s="90" t="str">
        <f t="shared" si="240"/>
        <v/>
      </c>
      <c r="U122" s="22"/>
      <c r="V122" s="22"/>
      <c r="W122" s="22"/>
      <c r="X122" s="22"/>
      <c r="Y122" s="91">
        <f>$A$39</f>
        <v>20162</v>
      </c>
      <c r="Z122" s="105"/>
      <c r="AA122" s="90" t="str">
        <f t="shared" si="241"/>
        <v/>
      </c>
      <c r="AB122" s="90" t="str">
        <f t="shared" si="241"/>
        <v/>
      </c>
      <c r="AC122" s="90" t="str">
        <f t="shared" si="241"/>
        <v/>
      </c>
      <c r="AD122" s="90" t="str">
        <f t="shared" si="241"/>
        <v/>
      </c>
      <c r="AE122" s="90" t="str">
        <f t="shared" si="241"/>
        <v/>
      </c>
      <c r="AF122" s="90" t="str">
        <f t="shared" si="241"/>
        <v/>
      </c>
      <c r="AG122" s="22"/>
      <c r="AH122" s="22"/>
      <c r="AI122" s="22"/>
      <c r="AJ122" s="22"/>
      <c r="AK122" s="91">
        <f>$A$39</f>
        <v>20162</v>
      </c>
      <c r="AL122" s="105"/>
      <c r="AM122" s="90" t="str">
        <f t="shared" si="242"/>
        <v/>
      </c>
      <c r="AN122" s="90" t="str">
        <f t="shared" si="242"/>
        <v/>
      </c>
      <c r="AO122" s="90" t="str">
        <f t="shared" si="242"/>
        <v/>
      </c>
      <c r="AP122" s="90" t="str">
        <f t="shared" si="242"/>
        <v/>
      </c>
      <c r="AQ122" s="90" t="str">
        <f t="shared" si="242"/>
        <v/>
      </c>
      <c r="AR122" s="90" t="str">
        <f t="shared" si="242"/>
        <v/>
      </c>
      <c r="AS122" s="22"/>
      <c r="AT122" s="22"/>
      <c r="AU122" s="22"/>
      <c r="AV122" s="22"/>
      <c r="AW122" s="91">
        <f>$A$39</f>
        <v>20162</v>
      </c>
      <c r="AX122" s="105"/>
      <c r="AY122" s="90" t="str">
        <f t="shared" si="243"/>
        <v/>
      </c>
      <c r="AZ122" s="90" t="str">
        <f t="shared" si="243"/>
        <v/>
      </c>
      <c r="BA122" s="90" t="str">
        <f t="shared" si="243"/>
        <v/>
      </c>
      <c r="BB122" s="90" t="str">
        <f t="shared" si="243"/>
        <v/>
      </c>
      <c r="BC122" s="90" t="str">
        <f t="shared" si="243"/>
        <v/>
      </c>
      <c r="BD122" s="90" t="str">
        <f t="shared" si="243"/>
        <v/>
      </c>
      <c r="BE122" s="22"/>
      <c r="BF122" s="22"/>
      <c r="BG122" s="22"/>
      <c r="BH122" s="22"/>
      <c r="BI122" s="91">
        <f>$A$39</f>
        <v>20162</v>
      </c>
      <c r="BJ122" s="105"/>
      <c r="BK122" s="90" t="str">
        <f t="shared" si="244"/>
        <v/>
      </c>
      <c r="BL122" s="90" t="str">
        <f t="shared" si="244"/>
        <v/>
      </c>
      <c r="BM122" s="90" t="str">
        <f t="shared" si="244"/>
        <v/>
      </c>
      <c r="BN122" s="90" t="str">
        <f t="shared" si="244"/>
        <v/>
      </c>
      <c r="BO122" s="90" t="str">
        <f t="shared" si="244"/>
        <v/>
      </c>
      <c r="BP122" s="90" t="str">
        <f t="shared" si="244"/>
        <v/>
      </c>
      <c r="BQ122" s="22"/>
      <c r="BR122" s="22"/>
      <c r="BS122" s="22"/>
      <c r="BT122" s="22"/>
      <c r="BU122" s="91">
        <f>$A$39</f>
        <v>20162</v>
      </c>
      <c r="BV122" s="105"/>
      <c r="BW122" s="90" t="str">
        <f t="shared" si="245"/>
        <v/>
      </c>
      <c r="BX122" s="90" t="str">
        <f t="shared" si="245"/>
        <v/>
      </c>
      <c r="BY122" s="90" t="str">
        <f t="shared" si="245"/>
        <v/>
      </c>
      <c r="BZ122" s="90" t="str">
        <f t="shared" si="245"/>
        <v/>
      </c>
      <c r="CA122" s="90" t="str">
        <f t="shared" si="245"/>
        <v/>
      </c>
      <c r="CB122" s="90" t="str">
        <f t="shared" si="245"/>
        <v/>
      </c>
      <c r="CC122" s="22"/>
      <c r="CD122" s="22"/>
      <c r="CE122" s="22"/>
      <c r="CF122" s="22"/>
      <c r="CG122" s="91">
        <f>$A$39</f>
        <v>20162</v>
      </c>
      <c r="CH122" s="105"/>
      <c r="CI122" s="90" t="str">
        <f t="shared" si="246"/>
        <v/>
      </c>
      <c r="CJ122" s="90" t="str">
        <f t="shared" si="246"/>
        <v/>
      </c>
      <c r="CK122" s="90" t="str">
        <f t="shared" si="246"/>
        <v/>
      </c>
      <c r="CL122" s="90" t="str">
        <f t="shared" si="246"/>
        <v/>
      </c>
      <c r="CM122" s="90" t="str">
        <f t="shared" si="246"/>
        <v/>
      </c>
      <c r="CN122" s="90" t="str">
        <f t="shared" si="246"/>
        <v/>
      </c>
      <c r="CO122" s="22"/>
      <c r="CP122" s="22"/>
      <c r="CQ122" s="22"/>
      <c r="CR122" s="22"/>
      <c r="CS122" s="91">
        <f>$A$39</f>
        <v>20162</v>
      </c>
      <c r="CT122" s="105"/>
      <c r="CU122" s="90" t="str">
        <f t="shared" si="247"/>
        <v/>
      </c>
      <c r="CV122" s="90" t="str">
        <f t="shared" si="247"/>
        <v/>
      </c>
      <c r="CW122" s="90" t="str">
        <f t="shared" si="247"/>
        <v/>
      </c>
      <c r="CX122" s="90" t="str">
        <f t="shared" si="247"/>
        <v/>
      </c>
      <c r="CY122" s="90" t="str">
        <f t="shared" si="247"/>
        <v/>
      </c>
      <c r="CZ122" s="90" t="str">
        <f t="shared" si="247"/>
        <v/>
      </c>
      <c r="DA122" s="22"/>
      <c r="DB122" s="22"/>
      <c r="DC122" s="22"/>
      <c r="DD122" s="22"/>
      <c r="DE122" s="91">
        <f>$A$39</f>
        <v>20162</v>
      </c>
      <c r="DF122" s="105"/>
      <c r="DG122" s="90" t="str">
        <f t="shared" si="248"/>
        <v/>
      </c>
      <c r="DH122" s="90" t="str">
        <f t="shared" si="248"/>
        <v/>
      </c>
      <c r="DI122" s="90" t="str">
        <f t="shared" si="248"/>
        <v/>
      </c>
      <c r="DJ122" s="90" t="str">
        <f t="shared" si="248"/>
        <v/>
      </c>
      <c r="DK122" s="90" t="str">
        <f t="shared" si="248"/>
        <v/>
      </c>
      <c r="DL122" s="90" t="str">
        <f t="shared" si="248"/>
        <v/>
      </c>
      <c r="DM122" s="22"/>
      <c r="DN122" s="22"/>
      <c r="DO122" s="22"/>
      <c r="DP122" s="22"/>
    </row>
    <row r="123" spans="1:120" x14ac:dyDescent="0.25">
      <c r="A123" s="91">
        <f>$A$40</f>
        <v>20172</v>
      </c>
      <c r="B123" s="105"/>
      <c r="C123" s="90">
        <f t="shared" si="239"/>
        <v>4.0029347438533218</v>
      </c>
      <c r="D123" s="90">
        <f t="shared" si="239"/>
        <v>1.7086911198321102</v>
      </c>
      <c r="E123" s="90">
        <f t="shared" si="239"/>
        <v>1.3516860705495319</v>
      </c>
      <c r="F123" s="90">
        <f t="shared" si="239"/>
        <v>1.1442996823056439</v>
      </c>
      <c r="G123" s="90">
        <f t="shared" si="239"/>
        <v>1.0957656067485952</v>
      </c>
      <c r="H123" s="22"/>
      <c r="I123" s="22"/>
      <c r="J123" s="22"/>
      <c r="K123" s="22"/>
      <c r="L123" s="22"/>
      <c r="M123" s="91">
        <f>$A$40</f>
        <v>20172</v>
      </c>
      <c r="N123" s="105"/>
      <c r="O123" s="90" t="str">
        <f t="shared" si="240"/>
        <v/>
      </c>
      <c r="P123" s="90" t="str">
        <f t="shared" si="240"/>
        <v/>
      </c>
      <c r="Q123" s="90" t="str">
        <f t="shared" si="240"/>
        <v/>
      </c>
      <c r="R123" s="90" t="str">
        <f t="shared" si="240"/>
        <v/>
      </c>
      <c r="S123" s="90" t="str">
        <f t="shared" si="240"/>
        <v/>
      </c>
      <c r="T123" s="22"/>
      <c r="U123" s="22"/>
      <c r="V123" s="22"/>
      <c r="W123" s="22"/>
      <c r="X123" s="22"/>
      <c r="Y123" s="91">
        <f>$A$40</f>
        <v>20172</v>
      </c>
      <c r="Z123" s="105"/>
      <c r="AA123" s="90" t="str">
        <f t="shared" si="241"/>
        <v/>
      </c>
      <c r="AB123" s="90" t="str">
        <f t="shared" si="241"/>
        <v/>
      </c>
      <c r="AC123" s="90" t="str">
        <f t="shared" si="241"/>
        <v/>
      </c>
      <c r="AD123" s="90" t="str">
        <f t="shared" si="241"/>
        <v/>
      </c>
      <c r="AE123" s="90" t="str">
        <f t="shared" si="241"/>
        <v/>
      </c>
      <c r="AF123" s="22"/>
      <c r="AG123" s="22"/>
      <c r="AH123" s="22"/>
      <c r="AI123" s="22"/>
      <c r="AJ123" s="22"/>
      <c r="AK123" s="91">
        <f>$A$40</f>
        <v>20172</v>
      </c>
      <c r="AL123" s="105"/>
      <c r="AM123" s="90" t="str">
        <f t="shared" si="242"/>
        <v/>
      </c>
      <c r="AN123" s="90" t="str">
        <f t="shared" si="242"/>
        <v/>
      </c>
      <c r="AO123" s="90" t="str">
        <f t="shared" si="242"/>
        <v/>
      </c>
      <c r="AP123" s="90" t="str">
        <f t="shared" si="242"/>
        <v/>
      </c>
      <c r="AQ123" s="90" t="str">
        <f t="shared" si="242"/>
        <v/>
      </c>
      <c r="AR123" s="22"/>
      <c r="AS123" s="22"/>
      <c r="AT123" s="22"/>
      <c r="AU123" s="22"/>
      <c r="AV123" s="22"/>
      <c r="AW123" s="91">
        <f>$A$40</f>
        <v>20172</v>
      </c>
      <c r="AX123" s="105"/>
      <c r="AY123" s="90" t="str">
        <f t="shared" si="243"/>
        <v/>
      </c>
      <c r="AZ123" s="90" t="str">
        <f t="shared" si="243"/>
        <v/>
      </c>
      <c r="BA123" s="90" t="str">
        <f t="shared" si="243"/>
        <v/>
      </c>
      <c r="BB123" s="90" t="str">
        <f t="shared" si="243"/>
        <v/>
      </c>
      <c r="BC123" s="90" t="str">
        <f t="shared" si="243"/>
        <v/>
      </c>
      <c r="BD123" s="22"/>
      <c r="BE123" s="22"/>
      <c r="BF123" s="22"/>
      <c r="BG123" s="22"/>
      <c r="BH123" s="22"/>
      <c r="BI123" s="91">
        <f>$A$40</f>
        <v>20172</v>
      </c>
      <c r="BJ123" s="105"/>
      <c r="BK123" s="90" t="str">
        <f t="shared" si="244"/>
        <v/>
      </c>
      <c r="BL123" s="90" t="str">
        <f t="shared" si="244"/>
        <v/>
      </c>
      <c r="BM123" s="90" t="str">
        <f t="shared" si="244"/>
        <v/>
      </c>
      <c r="BN123" s="90" t="str">
        <f t="shared" si="244"/>
        <v/>
      </c>
      <c r="BO123" s="90" t="str">
        <f t="shared" si="244"/>
        <v/>
      </c>
      <c r="BP123" s="22"/>
      <c r="BQ123" s="22"/>
      <c r="BR123" s="22"/>
      <c r="BS123" s="22"/>
      <c r="BT123" s="22"/>
      <c r="BU123" s="91">
        <f>$A$40</f>
        <v>20172</v>
      </c>
      <c r="BV123" s="105"/>
      <c r="BW123" s="90" t="str">
        <f t="shared" si="245"/>
        <v/>
      </c>
      <c r="BX123" s="90" t="str">
        <f t="shared" si="245"/>
        <v/>
      </c>
      <c r="BY123" s="90" t="str">
        <f t="shared" si="245"/>
        <v/>
      </c>
      <c r="BZ123" s="90" t="str">
        <f t="shared" si="245"/>
        <v/>
      </c>
      <c r="CA123" s="90" t="str">
        <f t="shared" si="245"/>
        <v/>
      </c>
      <c r="CB123" s="22"/>
      <c r="CC123" s="22"/>
      <c r="CD123" s="22"/>
      <c r="CE123" s="22"/>
      <c r="CF123" s="22"/>
      <c r="CG123" s="91">
        <f>$A$40</f>
        <v>20172</v>
      </c>
      <c r="CH123" s="105"/>
      <c r="CI123" s="90" t="str">
        <f t="shared" si="246"/>
        <v/>
      </c>
      <c r="CJ123" s="90" t="str">
        <f t="shared" si="246"/>
        <v/>
      </c>
      <c r="CK123" s="90" t="str">
        <f t="shared" si="246"/>
        <v/>
      </c>
      <c r="CL123" s="90" t="str">
        <f t="shared" si="246"/>
        <v/>
      </c>
      <c r="CM123" s="90" t="str">
        <f t="shared" si="246"/>
        <v/>
      </c>
      <c r="CN123" s="22"/>
      <c r="CO123" s="22"/>
      <c r="CP123" s="22"/>
      <c r="CQ123" s="22"/>
      <c r="CR123" s="22"/>
      <c r="CS123" s="91">
        <f>$A$40</f>
        <v>20172</v>
      </c>
      <c r="CT123" s="105"/>
      <c r="CU123" s="90" t="str">
        <f t="shared" si="247"/>
        <v/>
      </c>
      <c r="CV123" s="90" t="str">
        <f t="shared" si="247"/>
        <v/>
      </c>
      <c r="CW123" s="90" t="str">
        <f t="shared" si="247"/>
        <v/>
      </c>
      <c r="CX123" s="90" t="str">
        <f t="shared" si="247"/>
        <v/>
      </c>
      <c r="CY123" s="90" t="str">
        <f t="shared" si="247"/>
        <v/>
      </c>
      <c r="CZ123" s="22"/>
      <c r="DA123" s="22"/>
      <c r="DB123" s="22"/>
      <c r="DC123" s="22"/>
      <c r="DD123" s="22"/>
      <c r="DE123" s="91">
        <f>$A$40</f>
        <v>20172</v>
      </c>
      <c r="DF123" s="105"/>
      <c r="DG123" s="90" t="str">
        <f t="shared" si="248"/>
        <v/>
      </c>
      <c r="DH123" s="90" t="str">
        <f t="shared" si="248"/>
        <v/>
      </c>
      <c r="DI123" s="90" t="str">
        <f t="shared" si="248"/>
        <v/>
      </c>
      <c r="DJ123" s="90" t="str">
        <f t="shared" si="248"/>
        <v/>
      </c>
      <c r="DK123" s="90" t="str">
        <f t="shared" si="248"/>
        <v/>
      </c>
      <c r="DL123" s="22"/>
      <c r="DM123" s="22"/>
      <c r="DN123" s="22"/>
      <c r="DO123" s="22"/>
      <c r="DP123" s="22"/>
    </row>
    <row r="124" spans="1:120" x14ac:dyDescent="0.25">
      <c r="A124" s="91">
        <f>$A$41</f>
        <v>20182</v>
      </c>
      <c r="B124" s="105"/>
      <c r="C124" s="90">
        <f t="shared" si="239"/>
        <v>3.4920784710678183</v>
      </c>
      <c r="D124" s="90">
        <f t="shared" si="239"/>
        <v>1.8849758636477671</v>
      </c>
      <c r="E124" s="90">
        <f t="shared" si="239"/>
        <v>1.3533016417749997</v>
      </c>
      <c r="F124" s="90">
        <f t="shared" si="239"/>
        <v>1.2113214088344433</v>
      </c>
      <c r="G124" s="22"/>
      <c r="H124" s="22"/>
      <c r="I124" s="22"/>
      <c r="J124" s="22"/>
      <c r="K124" s="22"/>
      <c r="L124" s="22"/>
      <c r="M124" s="91">
        <f>$A$41</f>
        <v>20182</v>
      </c>
      <c r="N124" s="105"/>
      <c r="O124" s="90" t="str">
        <f t="shared" si="240"/>
        <v/>
      </c>
      <c r="P124" s="90" t="str">
        <f t="shared" si="240"/>
        <v/>
      </c>
      <c r="Q124" s="90" t="str">
        <f t="shared" si="240"/>
        <v/>
      </c>
      <c r="R124" s="90" t="str">
        <f t="shared" si="240"/>
        <v/>
      </c>
      <c r="S124" s="22"/>
      <c r="T124" s="22"/>
      <c r="U124" s="22"/>
      <c r="V124" s="22"/>
      <c r="W124" s="22"/>
      <c r="X124" s="22"/>
      <c r="Y124" s="91">
        <f>$A$41</f>
        <v>20182</v>
      </c>
      <c r="Z124" s="105"/>
      <c r="AA124" s="90" t="str">
        <f t="shared" si="241"/>
        <v/>
      </c>
      <c r="AB124" s="90" t="str">
        <f t="shared" si="241"/>
        <v/>
      </c>
      <c r="AC124" s="90" t="str">
        <f t="shared" si="241"/>
        <v/>
      </c>
      <c r="AD124" s="90" t="str">
        <f t="shared" si="241"/>
        <v/>
      </c>
      <c r="AE124" s="22"/>
      <c r="AF124" s="22"/>
      <c r="AG124" s="22"/>
      <c r="AH124" s="22"/>
      <c r="AI124" s="22"/>
      <c r="AJ124" s="22"/>
      <c r="AK124" s="91">
        <f>$A$41</f>
        <v>20182</v>
      </c>
      <c r="AL124" s="105"/>
      <c r="AM124" s="90" t="str">
        <f t="shared" si="242"/>
        <v/>
      </c>
      <c r="AN124" s="90" t="str">
        <f t="shared" si="242"/>
        <v/>
      </c>
      <c r="AO124" s="90" t="str">
        <f t="shared" si="242"/>
        <v/>
      </c>
      <c r="AP124" s="90" t="str">
        <f t="shared" si="242"/>
        <v/>
      </c>
      <c r="AQ124" s="22"/>
      <c r="AR124" s="22"/>
      <c r="AS124" s="22"/>
      <c r="AT124" s="22"/>
      <c r="AU124" s="22"/>
      <c r="AV124" s="22"/>
      <c r="AW124" s="91">
        <f>$A$41</f>
        <v>20182</v>
      </c>
      <c r="AX124" s="105"/>
      <c r="AY124" s="90" t="str">
        <f t="shared" si="243"/>
        <v/>
      </c>
      <c r="AZ124" s="90" t="str">
        <f t="shared" si="243"/>
        <v/>
      </c>
      <c r="BA124" s="90" t="str">
        <f t="shared" si="243"/>
        <v/>
      </c>
      <c r="BB124" s="90" t="str">
        <f t="shared" si="243"/>
        <v/>
      </c>
      <c r="BC124" s="22"/>
      <c r="BD124" s="22"/>
      <c r="BE124" s="22"/>
      <c r="BF124" s="22"/>
      <c r="BG124" s="22"/>
      <c r="BH124" s="22"/>
      <c r="BI124" s="91">
        <f>$A$41</f>
        <v>20182</v>
      </c>
      <c r="BJ124" s="105"/>
      <c r="BK124" s="90" t="str">
        <f t="shared" si="244"/>
        <v/>
      </c>
      <c r="BL124" s="90" t="str">
        <f t="shared" si="244"/>
        <v/>
      </c>
      <c r="BM124" s="90" t="str">
        <f t="shared" si="244"/>
        <v/>
      </c>
      <c r="BN124" s="90" t="str">
        <f t="shared" si="244"/>
        <v/>
      </c>
      <c r="BO124" s="22"/>
      <c r="BP124" s="22"/>
      <c r="BQ124" s="22"/>
      <c r="BR124" s="22"/>
      <c r="BS124" s="22"/>
      <c r="BT124" s="22"/>
      <c r="BU124" s="91">
        <f>$A$41</f>
        <v>20182</v>
      </c>
      <c r="BV124" s="105"/>
      <c r="BW124" s="90" t="str">
        <f t="shared" si="245"/>
        <v/>
      </c>
      <c r="BX124" s="90" t="str">
        <f t="shared" si="245"/>
        <v/>
      </c>
      <c r="BY124" s="90" t="str">
        <f t="shared" si="245"/>
        <v/>
      </c>
      <c r="BZ124" s="90" t="str">
        <f t="shared" si="245"/>
        <v/>
      </c>
      <c r="CA124" s="22"/>
      <c r="CB124" s="22"/>
      <c r="CC124" s="22"/>
      <c r="CD124" s="22"/>
      <c r="CE124" s="22"/>
      <c r="CF124" s="22"/>
      <c r="CG124" s="91">
        <f>$A$41</f>
        <v>20182</v>
      </c>
      <c r="CH124" s="105"/>
      <c r="CI124" s="90" t="str">
        <f t="shared" si="246"/>
        <v/>
      </c>
      <c r="CJ124" s="90" t="str">
        <f t="shared" si="246"/>
        <v/>
      </c>
      <c r="CK124" s="90" t="str">
        <f t="shared" si="246"/>
        <v/>
      </c>
      <c r="CL124" s="90" t="str">
        <f t="shared" si="246"/>
        <v/>
      </c>
      <c r="CM124" s="22"/>
      <c r="CN124" s="22"/>
      <c r="CO124" s="22"/>
      <c r="CP124" s="22"/>
      <c r="CQ124" s="22"/>
      <c r="CR124" s="22"/>
      <c r="CS124" s="91">
        <f>$A$41</f>
        <v>20182</v>
      </c>
      <c r="CT124" s="105"/>
      <c r="CU124" s="90" t="str">
        <f t="shared" si="247"/>
        <v/>
      </c>
      <c r="CV124" s="90" t="str">
        <f t="shared" si="247"/>
        <v/>
      </c>
      <c r="CW124" s="90" t="str">
        <f t="shared" si="247"/>
        <v/>
      </c>
      <c r="CX124" s="90" t="str">
        <f t="shared" si="247"/>
        <v/>
      </c>
      <c r="CY124" s="22"/>
      <c r="CZ124" s="22"/>
      <c r="DA124" s="22"/>
      <c r="DB124" s="22"/>
      <c r="DC124" s="22"/>
      <c r="DD124" s="22"/>
      <c r="DE124" s="91">
        <f>$A$41</f>
        <v>20182</v>
      </c>
      <c r="DF124" s="105"/>
      <c r="DG124" s="90" t="str">
        <f t="shared" si="248"/>
        <v/>
      </c>
      <c r="DH124" s="90" t="str">
        <f t="shared" si="248"/>
        <v/>
      </c>
      <c r="DI124" s="90" t="str">
        <f t="shared" si="248"/>
        <v/>
      </c>
      <c r="DJ124" s="90" t="str">
        <f t="shared" si="248"/>
        <v/>
      </c>
      <c r="DK124" s="22"/>
      <c r="DL124" s="22"/>
      <c r="DM124" s="22"/>
      <c r="DN124" s="22"/>
      <c r="DO124" s="22"/>
      <c r="DP124" s="22"/>
    </row>
    <row r="125" spans="1:120" x14ac:dyDescent="0.25">
      <c r="A125" s="91">
        <f>$A$42</f>
        <v>20192</v>
      </c>
      <c r="B125" s="105"/>
      <c r="C125" s="90">
        <f t="shared" si="239"/>
        <v>3.7442035893462697</v>
      </c>
      <c r="D125" s="90">
        <f t="shared" si="239"/>
        <v>2.0688160194402134</v>
      </c>
      <c r="E125" s="90">
        <f t="shared" si="239"/>
        <v>1.5135495169099162</v>
      </c>
      <c r="F125" s="22"/>
      <c r="G125" s="22"/>
      <c r="H125" s="22"/>
      <c r="I125" s="22"/>
      <c r="J125" s="22"/>
      <c r="K125" s="22"/>
      <c r="L125" s="22"/>
      <c r="M125" s="91">
        <f>$A$42</f>
        <v>20192</v>
      </c>
      <c r="N125" s="105"/>
      <c r="O125" s="90" t="str">
        <f t="shared" si="240"/>
        <v/>
      </c>
      <c r="P125" s="90" t="str">
        <f t="shared" si="240"/>
        <v/>
      </c>
      <c r="Q125" s="90" t="str">
        <f t="shared" si="240"/>
        <v/>
      </c>
      <c r="R125" s="22"/>
      <c r="S125" s="22"/>
      <c r="T125" s="22"/>
      <c r="U125" s="22"/>
      <c r="V125" s="22"/>
      <c r="W125" s="22"/>
      <c r="X125" s="22"/>
      <c r="Y125" s="91">
        <f>$A$42</f>
        <v>20192</v>
      </c>
      <c r="Z125" s="105"/>
      <c r="AA125" s="90" t="str">
        <f t="shared" si="241"/>
        <v/>
      </c>
      <c r="AB125" s="90" t="str">
        <f t="shared" si="241"/>
        <v/>
      </c>
      <c r="AC125" s="90" t="str">
        <f t="shared" si="241"/>
        <v/>
      </c>
      <c r="AD125" s="22"/>
      <c r="AE125" s="22"/>
      <c r="AF125" s="22"/>
      <c r="AG125" s="22"/>
      <c r="AH125" s="22"/>
      <c r="AI125" s="22"/>
      <c r="AJ125" s="22"/>
      <c r="AK125" s="91">
        <f>$A$42</f>
        <v>20192</v>
      </c>
      <c r="AL125" s="105"/>
      <c r="AM125" s="90" t="str">
        <f t="shared" si="242"/>
        <v/>
      </c>
      <c r="AN125" s="90" t="str">
        <f t="shared" si="242"/>
        <v/>
      </c>
      <c r="AO125" s="90" t="str">
        <f t="shared" si="242"/>
        <v/>
      </c>
      <c r="AP125" s="22"/>
      <c r="AQ125" s="22"/>
      <c r="AR125" s="22"/>
      <c r="AS125" s="22"/>
      <c r="AT125" s="22"/>
      <c r="AU125" s="22"/>
      <c r="AV125" s="22"/>
      <c r="AW125" s="91">
        <f>$A$42</f>
        <v>20192</v>
      </c>
      <c r="AX125" s="105"/>
      <c r="AY125" s="90" t="str">
        <f t="shared" si="243"/>
        <v/>
      </c>
      <c r="AZ125" s="90" t="str">
        <f t="shared" si="243"/>
        <v/>
      </c>
      <c r="BA125" s="90" t="str">
        <f t="shared" si="243"/>
        <v/>
      </c>
      <c r="BB125" s="22"/>
      <c r="BC125" s="22"/>
      <c r="BD125" s="22"/>
      <c r="BE125" s="22"/>
      <c r="BF125" s="22"/>
      <c r="BG125" s="22"/>
      <c r="BH125" s="22"/>
      <c r="BI125" s="91">
        <f>$A$42</f>
        <v>20192</v>
      </c>
      <c r="BJ125" s="105"/>
      <c r="BK125" s="90" t="str">
        <f t="shared" si="244"/>
        <v/>
      </c>
      <c r="BL125" s="90" t="str">
        <f t="shared" si="244"/>
        <v/>
      </c>
      <c r="BM125" s="90" t="str">
        <f t="shared" si="244"/>
        <v/>
      </c>
      <c r="BN125" s="22"/>
      <c r="BO125" s="22"/>
      <c r="BP125" s="22"/>
      <c r="BQ125" s="22"/>
      <c r="BR125" s="22"/>
      <c r="BS125" s="22"/>
      <c r="BT125" s="22"/>
      <c r="BU125" s="91">
        <f>$A$42</f>
        <v>20192</v>
      </c>
      <c r="BV125" s="105"/>
      <c r="BW125" s="90" t="str">
        <f t="shared" si="245"/>
        <v/>
      </c>
      <c r="BX125" s="90" t="str">
        <f t="shared" si="245"/>
        <v/>
      </c>
      <c r="BY125" s="90" t="str">
        <f t="shared" si="245"/>
        <v/>
      </c>
      <c r="BZ125" s="22"/>
      <c r="CA125" s="22"/>
      <c r="CB125" s="22"/>
      <c r="CC125" s="22"/>
      <c r="CD125" s="22"/>
      <c r="CE125" s="22"/>
      <c r="CF125" s="22"/>
      <c r="CG125" s="91">
        <f>$A$42</f>
        <v>20192</v>
      </c>
      <c r="CH125" s="105"/>
      <c r="CI125" s="90" t="str">
        <f t="shared" si="246"/>
        <v/>
      </c>
      <c r="CJ125" s="90" t="str">
        <f t="shared" si="246"/>
        <v/>
      </c>
      <c r="CK125" s="90" t="str">
        <f t="shared" si="246"/>
        <v/>
      </c>
      <c r="CL125" s="22"/>
      <c r="CM125" s="22"/>
      <c r="CN125" s="22"/>
      <c r="CO125" s="22"/>
      <c r="CP125" s="22"/>
      <c r="CQ125" s="22"/>
      <c r="CR125" s="22"/>
      <c r="CS125" s="91">
        <f>$A$42</f>
        <v>20192</v>
      </c>
      <c r="CT125" s="105"/>
      <c r="CU125" s="90" t="str">
        <f t="shared" si="247"/>
        <v/>
      </c>
      <c r="CV125" s="90" t="str">
        <f t="shared" si="247"/>
        <v/>
      </c>
      <c r="CW125" s="90" t="str">
        <f t="shared" si="247"/>
        <v/>
      </c>
      <c r="CX125" s="22"/>
      <c r="CY125" s="22"/>
      <c r="CZ125" s="22"/>
      <c r="DA125" s="22"/>
      <c r="DB125" s="22"/>
      <c r="DC125" s="22"/>
      <c r="DD125" s="22"/>
      <c r="DE125" s="91">
        <f>$A$42</f>
        <v>20192</v>
      </c>
      <c r="DF125" s="105"/>
      <c r="DG125" s="90" t="str">
        <f t="shared" si="248"/>
        <v/>
      </c>
      <c r="DH125" s="90" t="str">
        <f t="shared" si="248"/>
        <v/>
      </c>
      <c r="DI125" s="90" t="str">
        <f t="shared" si="248"/>
        <v/>
      </c>
      <c r="DJ125" s="22"/>
      <c r="DK125" s="22"/>
      <c r="DL125" s="22"/>
      <c r="DM125" s="22"/>
      <c r="DN125" s="22"/>
      <c r="DO125" s="22"/>
      <c r="DP125" s="22"/>
    </row>
    <row r="126" spans="1:120" x14ac:dyDescent="0.25">
      <c r="A126" s="91">
        <f>$A$43</f>
        <v>20202</v>
      </c>
      <c r="B126" s="105"/>
      <c r="C126" s="90">
        <f t="shared" si="239"/>
        <v>2.434316208800539</v>
      </c>
      <c r="D126" s="90">
        <f t="shared" si="239"/>
        <v>1.7598860095040143</v>
      </c>
      <c r="E126" s="22"/>
      <c r="F126" s="22"/>
      <c r="G126" s="22"/>
      <c r="H126" s="22"/>
      <c r="I126" s="22"/>
      <c r="J126" s="22"/>
      <c r="K126" s="22"/>
      <c r="L126" s="22"/>
      <c r="M126" s="91">
        <f>$A$43</f>
        <v>20202</v>
      </c>
      <c r="N126" s="105"/>
      <c r="O126" s="90" t="str">
        <f t="shared" si="240"/>
        <v/>
      </c>
      <c r="P126" s="90" t="str">
        <f t="shared" si="240"/>
        <v/>
      </c>
      <c r="Q126" s="22"/>
      <c r="R126" s="22"/>
      <c r="S126" s="22"/>
      <c r="T126" s="22"/>
      <c r="U126" s="22"/>
      <c r="V126" s="22"/>
      <c r="W126" s="22"/>
      <c r="X126" s="22"/>
      <c r="Y126" s="91">
        <f>$A$43</f>
        <v>20202</v>
      </c>
      <c r="Z126" s="105"/>
      <c r="AA126" s="90" t="str">
        <f t="shared" si="241"/>
        <v/>
      </c>
      <c r="AB126" s="90" t="str">
        <f t="shared" si="241"/>
        <v/>
      </c>
      <c r="AC126" s="22"/>
      <c r="AD126" s="22"/>
      <c r="AE126" s="22"/>
      <c r="AF126" s="22"/>
      <c r="AG126" s="22"/>
      <c r="AH126" s="22"/>
      <c r="AI126" s="22"/>
      <c r="AJ126" s="22"/>
      <c r="AK126" s="91">
        <f>$A$43</f>
        <v>20202</v>
      </c>
      <c r="AL126" s="105"/>
      <c r="AM126" s="90" t="str">
        <f t="shared" si="242"/>
        <v/>
      </c>
      <c r="AN126" s="90" t="str">
        <f t="shared" si="242"/>
        <v/>
      </c>
      <c r="AO126" s="22"/>
      <c r="AP126" s="22"/>
      <c r="AQ126" s="22"/>
      <c r="AR126" s="22"/>
      <c r="AS126" s="22"/>
      <c r="AT126" s="22"/>
      <c r="AU126" s="22"/>
      <c r="AV126" s="22"/>
      <c r="AW126" s="91">
        <f>$A$43</f>
        <v>20202</v>
      </c>
      <c r="AX126" s="105"/>
      <c r="AY126" s="90" t="str">
        <f t="shared" si="243"/>
        <v/>
      </c>
      <c r="AZ126" s="90" t="str">
        <f t="shared" si="243"/>
        <v/>
      </c>
      <c r="BA126" s="22"/>
      <c r="BB126" s="22"/>
      <c r="BC126" s="22"/>
      <c r="BD126" s="22"/>
      <c r="BE126" s="22"/>
      <c r="BF126" s="22"/>
      <c r="BG126" s="22"/>
      <c r="BH126" s="22"/>
      <c r="BI126" s="91">
        <f>$A$43</f>
        <v>20202</v>
      </c>
      <c r="BJ126" s="105"/>
      <c r="BK126" s="90" t="str">
        <f t="shared" si="244"/>
        <v/>
      </c>
      <c r="BL126" s="90" t="str">
        <f t="shared" si="244"/>
        <v/>
      </c>
      <c r="BM126" s="22"/>
      <c r="BN126" s="22"/>
      <c r="BO126" s="22"/>
      <c r="BP126" s="22"/>
      <c r="BQ126" s="22"/>
      <c r="BR126" s="22"/>
      <c r="BS126" s="22"/>
      <c r="BT126" s="22"/>
      <c r="BU126" s="91">
        <f>$A$43</f>
        <v>20202</v>
      </c>
      <c r="BV126" s="105"/>
      <c r="BW126" s="90" t="str">
        <f t="shared" si="245"/>
        <v/>
      </c>
      <c r="BX126" s="90" t="str">
        <f t="shared" si="245"/>
        <v/>
      </c>
      <c r="BY126" s="22"/>
      <c r="BZ126" s="22"/>
      <c r="CA126" s="22"/>
      <c r="CB126" s="22"/>
      <c r="CC126" s="22"/>
      <c r="CD126" s="22"/>
      <c r="CE126" s="22"/>
      <c r="CF126" s="22"/>
      <c r="CG126" s="91">
        <f>$A$43</f>
        <v>20202</v>
      </c>
      <c r="CH126" s="105"/>
      <c r="CI126" s="90" t="str">
        <f t="shared" si="246"/>
        <v/>
      </c>
      <c r="CJ126" s="90" t="str">
        <f t="shared" si="246"/>
        <v/>
      </c>
      <c r="CK126" s="22"/>
      <c r="CL126" s="22"/>
      <c r="CM126" s="22"/>
      <c r="CN126" s="22"/>
      <c r="CO126" s="22"/>
      <c r="CP126" s="22"/>
      <c r="CQ126" s="22"/>
      <c r="CR126" s="22"/>
      <c r="CS126" s="91">
        <f>$A$43</f>
        <v>20202</v>
      </c>
      <c r="CT126" s="105"/>
      <c r="CU126" s="90" t="str">
        <f t="shared" si="247"/>
        <v/>
      </c>
      <c r="CV126" s="90" t="str">
        <f t="shared" si="247"/>
        <v/>
      </c>
      <c r="CW126" s="22"/>
      <c r="CX126" s="22"/>
      <c r="CY126" s="22"/>
      <c r="CZ126" s="22"/>
      <c r="DA126" s="22"/>
      <c r="DB126" s="22"/>
      <c r="DC126" s="22"/>
      <c r="DD126" s="22"/>
      <c r="DE126" s="91">
        <f>$A$43</f>
        <v>20202</v>
      </c>
      <c r="DF126" s="105"/>
      <c r="DG126" s="90" t="str">
        <f t="shared" si="248"/>
        <v/>
      </c>
      <c r="DH126" s="90" t="str">
        <f t="shared" si="248"/>
        <v/>
      </c>
      <c r="DI126" s="22"/>
      <c r="DJ126" s="22"/>
      <c r="DK126" s="22"/>
      <c r="DL126" s="22"/>
      <c r="DM126" s="22"/>
      <c r="DN126" s="22"/>
      <c r="DO126" s="22"/>
      <c r="DP126" s="22"/>
    </row>
    <row r="127" spans="1:120" x14ac:dyDescent="0.25">
      <c r="A127" s="91">
        <f>$A$44</f>
        <v>20212</v>
      </c>
      <c r="B127" s="105"/>
      <c r="C127" s="90">
        <f t="shared" si="239"/>
        <v>2.4832449919368345</v>
      </c>
      <c r="D127" s="22"/>
      <c r="E127" s="22"/>
      <c r="F127" s="22"/>
      <c r="G127" s="22"/>
      <c r="H127" s="22"/>
      <c r="I127" s="22"/>
      <c r="J127" s="22"/>
      <c r="K127" s="22"/>
      <c r="L127" s="22"/>
      <c r="M127" s="91">
        <f>$A$44</f>
        <v>20212</v>
      </c>
      <c r="N127" s="105"/>
      <c r="O127" s="90" t="str">
        <f t="shared" si="240"/>
        <v/>
      </c>
      <c r="P127" s="22"/>
      <c r="Q127" s="22"/>
      <c r="R127" s="22"/>
      <c r="S127" s="22"/>
      <c r="T127" s="22"/>
      <c r="U127" s="22"/>
      <c r="V127" s="22"/>
      <c r="W127" s="22"/>
      <c r="X127" s="22"/>
      <c r="Y127" s="91">
        <f>$A$44</f>
        <v>20212</v>
      </c>
      <c r="Z127" s="105"/>
      <c r="AA127" s="90" t="str">
        <f t="shared" si="241"/>
        <v/>
      </c>
      <c r="AB127" s="22"/>
      <c r="AC127" s="22"/>
      <c r="AD127" s="22"/>
      <c r="AE127" s="22"/>
      <c r="AF127" s="22"/>
      <c r="AG127" s="22"/>
      <c r="AH127" s="22"/>
      <c r="AI127" s="22"/>
      <c r="AJ127" s="22"/>
      <c r="AK127" s="91">
        <f>$A$44</f>
        <v>20212</v>
      </c>
      <c r="AL127" s="105"/>
      <c r="AM127" s="90" t="str">
        <f t="shared" si="242"/>
        <v/>
      </c>
      <c r="AN127" s="22"/>
      <c r="AO127" s="22"/>
      <c r="AP127" s="22"/>
      <c r="AQ127" s="22"/>
      <c r="AR127" s="22"/>
      <c r="AS127" s="22"/>
      <c r="AT127" s="22"/>
      <c r="AU127" s="22"/>
      <c r="AV127" s="22"/>
      <c r="AW127" s="91">
        <f>$A$44</f>
        <v>20212</v>
      </c>
      <c r="AX127" s="105"/>
      <c r="AY127" s="90" t="str">
        <f t="shared" si="243"/>
        <v/>
      </c>
      <c r="AZ127" s="22"/>
      <c r="BA127" s="22"/>
      <c r="BB127" s="22"/>
      <c r="BC127" s="22"/>
      <c r="BD127" s="22"/>
      <c r="BE127" s="22"/>
      <c r="BF127" s="22"/>
      <c r="BG127" s="22"/>
      <c r="BH127" s="22"/>
      <c r="BI127" s="91">
        <f>$A$44</f>
        <v>20212</v>
      </c>
      <c r="BJ127" s="105"/>
      <c r="BK127" s="90" t="str">
        <f t="shared" si="244"/>
        <v/>
      </c>
      <c r="BL127" s="22"/>
      <c r="BM127" s="22"/>
      <c r="BN127" s="22"/>
      <c r="BO127" s="22"/>
      <c r="BP127" s="22"/>
      <c r="BQ127" s="22"/>
      <c r="BR127" s="22"/>
      <c r="BS127" s="22"/>
      <c r="BT127" s="22"/>
      <c r="BU127" s="91">
        <f>$A$44</f>
        <v>20212</v>
      </c>
      <c r="BV127" s="105"/>
      <c r="BW127" s="90" t="str">
        <f t="shared" si="245"/>
        <v/>
      </c>
      <c r="BX127" s="22"/>
      <c r="BY127" s="22"/>
      <c r="BZ127" s="22"/>
      <c r="CA127" s="22"/>
      <c r="CB127" s="22"/>
      <c r="CC127" s="22"/>
      <c r="CD127" s="22"/>
      <c r="CE127" s="22"/>
      <c r="CF127" s="22"/>
      <c r="CG127" s="91">
        <f>$A$44</f>
        <v>20212</v>
      </c>
      <c r="CH127" s="105"/>
      <c r="CI127" s="90" t="str">
        <f t="shared" si="246"/>
        <v/>
      </c>
      <c r="CJ127" s="22"/>
      <c r="CK127" s="22"/>
      <c r="CL127" s="22"/>
      <c r="CM127" s="22"/>
      <c r="CN127" s="22"/>
      <c r="CO127" s="22"/>
      <c r="CP127" s="22"/>
      <c r="CQ127" s="22"/>
      <c r="CR127" s="22"/>
      <c r="CS127" s="91">
        <f>$A$44</f>
        <v>20212</v>
      </c>
      <c r="CT127" s="105"/>
      <c r="CU127" s="90" t="str">
        <f t="shared" si="247"/>
        <v/>
      </c>
      <c r="CV127" s="22"/>
      <c r="CW127" s="22"/>
      <c r="CX127" s="22"/>
      <c r="CY127" s="22"/>
      <c r="CZ127" s="22"/>
      <c r="DA127" s="22"/>
      <c r="DB127" s="22"/>
      <c r="DC127" s="22"/>
      <c r="DD127" s="22"/>
      <c r="DE127" s="91">
        <f>$A$44</f>
        <v>20212</v>
      </c>
      <c r="DF127" s="105"/>
      <c r="DG127" s="90" t="str">
        <f t="shared" si="248"/>
        <v/>
      </c>
      <c r="DH127" s="22"/>
      <c r="DI127" s="22"/>
      <c r="DJ127" s="22"/>
      <c r="DK127" s="22"/>
      <c r="DL127" s="22"/>
      <c r="DM127" s="22"/>
      <c r="DN127" s="22"/>
      <c r="DO127" s="22"/>
      <c r="DP127" s="22"/>
    </row>
    <row r="128" spans="1:120" x14ac:dyDescent="0.25">
      <c r="A128" s="108"/>
      <c r="B128" s="108"/>
      <c r="C128" s="108"/>
      <c r="D128" s="108"/>
      <c r="E128" s="108"/>
      <c r="F128" s="108"/>
      <c r="G128" s="108"/>
      <c r="H128" s="108"/>
      <c r="I128" s="108"/>
      <c r="J128" s="108"/>
      <c r="K128" s="108"/>
      <c r="L128" s="109" t="s">
        <v>38</v>
      </c>
      <c r="M128" s="108"/>
      <c r="N128" s="108"/>
      <c r="O128" s="108"/>
      <c r="P128" s="108"/>
      <c r="Q128" s="108"/>
      <c r="R128" s="108"/>
      <c r="S128" s="108"/>
      <c r="T128" s="108"/>
      <c r="U128" s="108"/>
      <c r="V128" s="108"/>
      <c r="W128" s="108"/>
      <c r="X128" s="109" t="s">
        <v>38</v>
      </c>
      <c r="Y128" s="108"/>
      <c r="Z128" s="108"/>
      <c r="AA128" s="108"/>
      <c r="AB128" s="108"/>
      <c r="AC128" s="108"/>
      <c r="AD128" s="108"/>
      <c r="AE128" s="108"/>
      <c r="AF128" s="108"/>
      <c r="AG128" s="108"/>
      <c r="AH128" s="108"/>
      <c r="AI128" s="108"/>
      <c r="AJ128" s="109" t="s">
        <v>38</v>
      </c>
      <c r="AK128" s="108"/>
      <c r="AL128" s="108"/>
      <c r="AM128" s="108"/>
      <c r="AN128" s="108"/>
      <c r="AO128" s="108"/>
      <c r="AP128" s="108"/>
      <c r="AQ128" s="108"/>
      <c r="AR128" s="108"/>
      <c r="AS128" s="108"/>
      <c r="AT128" s="108"/>
      <c r="AU128" s="108"/>
      <c r="AV128" s="109" t="s">
        <v>38</v>
      </c>
      <c r="AW128" s="108"/>
      <c r="AX128" s="108"/>
      <c r="AY128" s="108"/>
      <c r="AZ128" s="108"/>
      <c r="BA128" s="108"/>
      <c r="BB128" s="108"/>
      <c r="BC128" s="108"/>
      <c r="BD128" s="108"/>
      <c r="BE128" s="108"/>
      <c r="BF128" s="108"/>
      <c r="BG128" s="108"/>
      <c r="BH128" s="109" t="s">
        <v>38</v>
      </c>
      <c r="BI128" s="108"/>
      <c r="BJ128" s="108"/>
      <c r="BK128" s="108"/>
      <c r="BL128" s="108"/>
      <c r="BM128" s="108"/>
      <c r="BN128" s="108"/>
      <c r="BO128" s="108"/>
      <c r="BP128" s="108"/>
      <c r="BQ128" s="108"/>
      <c r="BR128" s="108"/>
      <c r="BS128" s="108"/>
      <c r="BT128" s="109" t="s">
        <v>38</v>
      </c>
      <c r="BU128" s="108"/>
      <c r="BV128" s="108"/>
      <c r="BW128" s="108"/>
      <c r="BX128" s="108"/>
      <c r="BY128" s="108"/>
      <c r="BZ128" s="108"/>
      <c r="CA128" s="108"/>
      <c r="CB128" s="108"/>
      <c r="CC128" s="108"/>
      <c r="CD128" s="108"/>
      <c r="CE128" s="108"/>
      <c r="CF128" s="109" t="s">
        <v>38</v>
      </c>
      <c r="CG128" s="108"/>
      <c r="CH128" s="108"/>
      <c r="CI128" s="108"/>
      <c r="CJ128" s="108"/>
      <c r="CK128" s="108"/>
      <c r="CL128" s="108"/>
      <c r="CM128" s="108"/>
      <c r="CN128" s="108"/>
      <c r="CO128" s="108"/>
      <c r="CP128" s="108"/>
      <c r="CQ128" s="108"/>
      <c r="CR128" s="109" t="s">
        <v>38</v>
      </c>
      <c r="CS128" s="108"/>
      <c r="CT128" s="108"/>
      <c r="CU128" s="108"/>
      <c r="CV128" s="108"/>
      <c r="CW128" s="108"/>
      <c r="CX128" s="108"/>
      <c r="CY128" s="108"/>
      <c r="CZ128" s="108"/>
      <c r="DA128" s="108"/>
      <c r="DB128" s="108"/>
      <c r="DC128" s="108"/>
      <c r="DD128" s="109" t="s">
        <v>38</v>
      </c>
      <c r="DE128" s="108"/>
      <c r="DF128" s="108"/>
      <c r="DG128" s="108"/>
      <c r="DH128" s="108"/>
      <c r="DI128" s="108"/>
      <c r="DJ128" s="108"/>
      <c r="DK128" s="108"/>
      <c r="DL128" s="108"/>
      <c r="DM128" s="108"/>
      <c r="DN128" s="108"/>
      <c r="DO128" s="108"/>
      <c r="DP128" s="109" t="s">
        <v>38</v>
      </c>
    </row>
    <row r="129" spans="1:120" x14ac:dyDescent="0.25">
      <c r="A129" s="11" t="s">
        <v>37</v>
      </c>
      <c r="B129" s="107"/>
      <c r="C129" s="93">
        <f>IFERROR(SUM(D112:D114)/SUM(C112:C114),1)</f>
        <v>2.71723361398131</v>
      </c>
      <c r="D129" s="93">
        <f>IFERROR(SUM(E111:E113)/SUM(D111:D113),1)</f>
        <v>1.89375934453728</v>
      </c>
      <c r="E129" s="93">
        <f>IFERROR(SUM(F110:F112)/SUM(E110:E112),1)</f>
        <v>1.4008220183565234</v>
      </c>
      <c r="F129" s="93">
        <f>IFERROR(SUM(G109:G111)/SUM(F109:F111),1)</f>
        <v>1.158268264323445</v>
      </c>
      <c r="G129" s="93">
        <f>IFERROR(SUM(H108:H110)/SUM(G108:G110),1)</f>
        <v>1.0887407637076314</v>
      </c>
      <c r="H129" s="93">
        <f>IFERROR(SUM(I107:I109)/SUM(H107:H109),1)</f>
        <v>1.0533821785406507</v>
      </c>
      <c r="I129" s="93">
        <f>IFERROR(SUM(J106:J108)/SUM(I106:I108),1)</f>
        <v>1.0538466442975509</v>
      </c>
      <c r="J129" s="93">
        <f>IFERROR(SUM(K106:K107)/SUM(J106:J107),1)</f>
        <v>1.0344891855736207</v>
      </c>
      <c r="K129" s="93">
        <f>IFERROR(SUM(L106:L106)/SUM(K106:K106),1)</f>
        <v>1.017538040413404</v>
      </c>
      <c r="L129" s="93">
        <v>1</v>
      </c>
      <c r="M129" s="285" t="s">
        <v>37</v>
      </c>
      <c r="N129" s="107"/>
      <c r="O129" s="93">
        <f>IFERROR(SUM(P112:P114)/SUM(O112:O114),1)</f>
        <v>1</v>
      </c>
      <c r="P129" s="93">
        <f>IFERROR(SUM(Q111:Q113)/SUM(P111:P113),1)</f>
        <v>1</v>
      </c>
      <c r="Q129" s="93">
        <f>IFERROR(SUM(R110:R112)/SUM(Q110:Q112),1)</f>
        <v>1</v>
      </c>
      <c r="R129" s="93">
        <f>IFERROR(SUM(S109:S111)/SUM(R109:R111),1)</f>
        <v>1</v>
      </c>
      <c r="S129" s="93">
        <f>IFERROR(SUM(T108:T110)/SUM(S108:S110),1)</f>
        <v>1</v>
      </c>
      <c r="T129" s="93">
        <f>IFERROR(SUM(U107:U109)/SUM(T107:T109),1)</f>
        <v>1</v>
      </c>
      <c r="U129" s="93">
        <f>IFERROR(SUM(V106:V108)/SUM(U106:U108),1)</f>
        <v>1</v>
      </c>
      <c r="V129" s="93">
        <f>IFERROR(SUM(W106:W107)/SUM(V106:V107),1)</f>
        <v>1</v>
      </c>
      <c r="W129" s="93">
        <f>IFERROR(SUM(X106:X106)/SUM(W106:W106),1)</f>
        <v>1</v>
      </c>
      <c r="X129" s="93">
        <v>1</v>
      </c>
      <c r="Y129" s="285" t="s">
        <v>37</v>
      </c>
      <c r="Z129" s="107"/>
      <c r="AA129" s="93">
        <f>IFERROR(SUM(AB112:AB114)/SUM(AA112:AA114),1)</f>
        <v>1</v>
      </c>
      <c r="AB129" s="93">
        <f>IFERROR(SUM(AC111:AC113)/SUM(AB111:AB113),1)</f>
        <v>1</v>
      </c>
      <c r="AC129" s="93">
        <f>IFERROR(SUM(AD110:AD112)/SUM(AC110:AC112),1)</f>
        <v>1</v>
      </c>
      <c r="AD129" s="93">
        <f>IFERROR(SUM(AE109:AE111)/SUM(AD109:AD111),1)</f>
        <v>1</v>
      </c>
      <c r="AE129" s="93">
        <f>IFERROR(SUM(AF108:AF110)/SUM(AE108:AE110),1)</f>
        <v>1</v>
      </c>
      <c r="AF129" s="93">
        <f>IFERROR(SUM(AG107:AG109)/SUM(AF107:AF109),1)</f>
        <v>1</v>
      </c>
      <c r="AG129" s="93">
        <f>IFERROR(SUM(AH106:AH108)/SUM(AG106:AG108),1)</f>
        <v>1</v>
      </c>
      <c r="AH129" s="93">
        <f>IFERROR(SUM(AI106:AI107)/SUM(AH106:AH107),1)</f>
        <v>1</v>
      </c>
      <c r="AI129" s="93">
        <f>IFERROR(SUM(AJ106:AJ106)/SUM(AI106:AI106),1)</f>
        <v>1</v>
      </c>
      <c r="AJ129" s="93">
        <v>1</v>
      </c>
      <c r="AK129" s="285" t="s">
        <v>37</v>
      </c>
      <c r="AL129" s="107"/>
      <c r="AM129" s="93">
        <f>IFERROR(SUM(AN112:AN114)/SUM(AM112:AM114),1)</f>
        <v>1</v>
      </c>
      <c r="AN129" s="93">
        <f>IFERROR(SUM(AO111:AO113)/SUM(AN111:AN113),1)</f>
        <v>1</v>
      </c>
      <c r="AO129" s="93">
        <f>IFERROR(SUM(AP110:AP112)/SUM(AO110:AO112),1)</f>
        <v>1</v>
      </c>
      <c r="AP129" s="93">
        <f>IFERROR(SUM(AQ109:AQ111)/SUM(AP109:AP111),1)</f>
        <v>1</v>
      </c>
      <c r="AQ129" s="93">
        <f>IFERROR(SUM(AR108:AR110)/SUM(AQ108:AQ110),1)</f>
        <v>1</v>
      </c>
      <c r="AR129" s="93">
        <f>IFERROR(SUM(AS107:AS109)/SUM(AR107:AR109),1)</f>
        <v>1</v>
      </c>
      <c r="AS129" s="93">
        <f>IFERROR(SUM(AT106:AT108)/SUM(AS106:AS108),1)</f>
        <v>1</v>
      </c>
      <c r="AT129" s="93">
        <f>IFERROR(SUM(AU106:AU107)/SUM(AT106:AT107),1)</f>
        <v>1</v>
      </c>
      <c r="AU129" s="93">
        <f>IFERROR(SUM(AV106:AV106)/SUM(AU106:AU106),1)</f>
        <v>1</v>
      </c>
      <c r="AV129" s="93">
        <v>1</v>
      </c>
      <c r="AW129" s="285" t="s">
        <v>37</v>
      </c>
      <c r="AX129" s="107"/>
      <c r="AY129" s="93">
        <f>IFERROR(SUM(AZ112:AZ114)/SUM(AY112:AY114),1)</f>
        <v>1</v>
      </c>
      <c r="AZ129" s="93">
        <f>IFERROR(SUM(BA111:BA113)/SUM(AZ111:AZ113),1)</f>
        <v>1</v>
      </c>
      <c r="BA129" s="93">
        <f>IFERROR(SUM(BB110:BB112)/SUM(BA110:BA112),1)</f>
        <v>1</v>
      </c>
      <c r="BB129" s="93">
        <f>IFERROR(SUM(BC109:BC111)/SUM(BB109:BB111),1)</f>
        <v>1</v>
      </c>
      <c r="BC129" s="93">
        <f>IFERROR(SUM(BD108:BD110)/SUM(BC108:BC110),1)</f>
        <v>1</v>
      </c>
      <c r="BD129" s="93">
        <f>IFERROR(SUM(BE107:BE109)/SUM(BD107:BD109),1)</f>
        <v>1</v>
      </c>
      <c r="BE129" s="93">
        <f>IFERROR(SUM(BF106:BF108)/SUM(BE106:BE108),1)</f>
        <v>1</v>
      </c>
      <c r="BF129" s="93">
        <f>IFERROR(SUM(BG106:BG107)/SUM(BF106:BF107),1)</f>
        <v>1</v>
      </c>
      <c r="BG129" s="93">
        <f>IFERROR(SUM(BH106:BH106)/SUM(BG106:BG106),1)</f>
        <v>1</v>
      </c>
      <c r="BH129" s="93">
        <v>1</v>
      </c>
      <c r="BI129" s="285" t="s">
        <v>37</v>
      </c>
      <c r="BJ129" s="107"/>
      <c r="BK129" s="93">
        <f>IFERROR(SUM(BL112:BL114)/SUM(BK112:BK114),1)</f>
        <v>1</v>
      </c>
      <c r="BL129" s="93">
        <f>IFERROR(SUM(BM111:BM113)/SUM(BL111:BL113),1)</f>
        <v>1</v>
      </c>
      <c r="BM129" s="93">
        <f>IFERROR(SUM(BN110:BN112)/SUM(BM110:BM112),1)</f>
        <v>1</v>
      </c>
      <c r="BN129" s="93">
        <f>IFERROR(SUM(BO109:BO111)/SUM(BN109:BN111),1)</f>
        <v>1</v>
      </c>
      <c r="BO129" s="93">
        <f>IFERROR(SUM(BP108:BP110)/SUM(BO108:BO110),1)</f>
        <v>1</v>
      </c>
      <c r="BP129" s="93">
        <f>IFERROR(SUM(BQ107:BQ109)/SUM(BP107:BP109),1)</f>
        <v>1</v>
      </c>
      <c r="BQ129" s="93">
        <f>IFERROR(SUM(BR106:BR108)/SUM(BQ106:BQ108),1)</f>
        <v>1</v>
      </c>
      <c r="BR129" s="93">
        <f>IFERROR(SUM(BS106:BS107)/SUM(BR106:BR107),1)</f>
        <v>1</v>
      </c>
      <c r="BS129" s="93">
        <f>IFERROR(SUM(BT106:BT106)/SUM(BS106:BS106),1)</f>
        <v>1</v>
      </c>
      <c r="BT129" s="93">
        <v>1</v>
      </c>
      <c r="BU129" s="285" t="s">
        <v>37</v>
      </c>
      <c r="BV129" s="107"/>
      <c r="BW129" s="93">
        <f>IFERROR(SUM(BX112:BX114)/SUM(BW112:BW114),1)</f>
        <v>1</v>
      </c>
      <c r="BX129" s="93">
        <f>IFERROR(SUM(BY111:BY113)/SUM(BX111:BX113),1)</f>
        <v>1</v>
      </c>
      <c r="BY129" s="93">
        <f>IFERROR(SUM(BZ110:BZ112)/SUM(BY110:BY112),1)</f>
        <v>1</v>
      </c>
      <c r="BZ129" s="93">
        <f>IFERROR(SUM(CA109:CA111)/SUM(BZ109:BZ111),1)</f>
        <v>1</v>
      </c>
      <c r="CA129" s="93">
        <f>IFERROR(SUM(CB108:CB110)/SUM(CA108:CA110),1)</f>
        <v>1</v>
      </c>
      <c r="CB129" s="93">
        <f>IFERROR(SUM(CC107:CC109)/SUM(CB107:CB109),1)</f>
        <v>1</v>
      </c>
      <c r="CC129" s="93">
        <f>IFERROR(SUM(CD106:CD108)/SUM(CC106:CC108),1)</f>
        <v>1</v>
      </c>
      <c r="CD129" s="93">
        <f>IFERROR(SUM(CE106:CE107)/SUM(CD106:CD107),1)</f>
        <v>1</v>
      </c>
      <c r="CE129" s="93">
        <f>IFERROR(SUM(CF106:CF106)/SUM(CE106:CE106),1)</f>
        <v>1</v>
      </c>
      <c r="CF129" s="93">
        <v>1</v>
      </c>
      <c r="CG129" s="285" t="s">
        <v>37</v>
      </c>
      <c r="CH129" s="107"/>
      <c r="CI129" s="93">
        <f>IFERROR(SUM(CJ112:CJ114)/SUM(CI112:CI114),1)</f>
        <v>1</v>
      </c>
      <c r="CJ129" s="93">
        <f>IFERROR(SUM(CK111:CK113)/SUM(CJ111:CJ113),1)</f>
        <v>1</v>
      </c>
      <c r="CK129" s="93">
        <f>IFERROR(SUM(CL110:CL112)/SUM(CK110:CK112),1)</f>
        <v>1</v>
      </c>
      <c r="CL129" s="93">
        <f>IFERROR(SUM(CM109:CM111)/SUM(CL109:CL111),1)</f>
        <v>1</v>
      </c>
      <c r="CM129" s="93">
        <f>IFERROR(SUM(CN108:CN110)/SUM(CM108:CM110),1)</f>
        <v>1</v>
      </c>
      <c r="CN129" s="93">
        <f>IFERROR(SUM(CO107:CO109)/SUM(CN107:CN109),1)</f>
        <v>1</v>
      </c>
      <c r="CO129" s="93">
        <f>IFERROR(SUM(CP106:CP108)/SUM(CO106:CO108),1)</f>
        <v>1</v>
      </c>
      <c r="CP129" s="93">
        <f>IFERROR(SUM(CQ106:CQ107)/SUM(CP106:CP107),1)</f>
        <v>1</v>
      </c>
      <c r="CQ129" s="93">
        <f>IFERROR(SUM(CR106:CR106)/SUM(CQ106:CQ106),1)</f>
        <v>1</v>
      </c>
      <c r="CR129" s="93">
        <v>1</v>
      </c>
      <c r="CS129" s="285" t="s">
        <v>37</v>
      </c>
      <c r="CT129" s="107"/>
      <c r="CU129" s="93">
        <f>IFERROR(SUM(CV112:CV114)/SUM(CU112:CU114),1)</f>
        <v>1</v>
      </c>
      <c r="CV129" s="93">
        <f>IFERROR(SUM(CW111:CW113)/SUM(CV111:CV113),1)</f>
        <v>1</v>
      </c>
      <c r="CW129" s="93">
        <f>IFERROR(SUM(CX110:CX112)/SUM(CW110:CW112),1)</f>
        <v>1</v>
      </c>
      <c r="CX129" s="93">
        <f>IFERROR(SUM(CY109:CY111)/SUM(CX109:CX111),1)</f>
        <v>1</v>
      </c>
      <c r="CY129" s="93">
        <f>IFERROR(SUM(CZ108:CZ110)/SUM(CY108:CY110),1)</f>
        <v>1</v>
      </c>
      <c r="CZ129" s="93">
        <f>IFERROR(SUM(DA107:DA109)/SUM(CZ107:CZ109),1)</f>
        <v>1</v>
      </c>
      <c r="DA129" s="93">
        <f>IFERROR(SUM(DB106:DB108)/SUM(DA106:DA108),1)</f>
        <v>1</v>
      </c>
      <c r="DB129" s="93">
        <f>IFERROR(SUM(DC106:DC107)/SUM(DB106:DB107),1)</f>
        <v>1</v>
      </c>
      <c r="DC129" s="93">
        <f>IFERROR(SUM(DD106:DD106)/SUM(DC106:DC106),1)</f>
        <v>1</v>
      </c>
      <c r="DD129" s="93">
        <v>1</v>
      </c>
      <c r="DE129" s="285" t="s">
        <v>37</v>
      </c>
      <c r="DF129" s="107"/>
      <c r="DG129" s="93">
        <f>IFERROR(SUM(DH112:DH114)/SUM(DG112:DG114),1)</f>
        <v>1</v>
      </c>
      <c r="DH129" s="93">
        <f>IFERROR(SUM(DI111:DI113)/SUM(DH111:DH113),1)</f>
        <v>1</v>
      </c>
      <c r="DI129" s="93">
        <f>IFERROR(SUM(DJ110:DJ112)/SUM(DI110:DI112),1)</f>
        <v>1</v>
      </c>
      <c r="DJ129" s="93">
        <f>IFERROR(SUM(DK109:DK111)/SUM(DJ109:DJ111),1)</f>
        <v>1</v>
      </c>
      <c r="DK129" s="93">
        <f>IFERROR(SUM(DL108:DL110)/SUM(DK108:DK110),1)</f>
        <v>1</v>
      </c>
      <c r="DL129" s="93">
        <f>IFERROR(SUM(DM107:DM109)/SUM(DL107:DL109),1)</f>
        <v>1</v>
      </c>
      <c r="DM129" s="93">
        <f>IFERROR(SUM(DN106:DN108)/SUM(DM106:DM108),1)</f>
        <v>1</v>
      </c>
      <c r="DN129" s="93">
        <f>IFERROR(SUM(DO106:DO107)/SUM(DN106:DN107),1)</f>
        <v>1</v>
      </c>
      <c r="DO129" s="93">
        <f>IFERROR(SUM(DP106:DP106)/SUM(DO106:DO106),1)</f>
        <v>1</v>
      </c>
      <c r="DP129" s="93">
        <v>1</v>
      </c>
    </row>
    <row r="130" spans="1:120" ht="15.75" thickBot="1" x14ac:dyDescent="0.3">
      <c r="A130" s="11" t="s">
        <v>40</v>
      </c>
      <c r="B130" s="107"/>
      <c r="C130" s="93">
        <f>IF(C129=0,1,C129)</f>
        <v>2.71723361398131</v>
      </c>
      <c r="D130" s="93">
        <f t="shared" ref="D130:K130" si="249">IF(D129=0,1,D129)</f>
        <v>1.89375934453728</v>
      </c>
      <c r="E130" s="93">
        <f t="shared" si="249"/>
        <v>1.4008220183565234</v>
      </c>
      <c r="F130" s="93">
        <f t="shared" si="249"/>
        <v>1.158268264323445</v>
      </c>
      <c r="G130" s="93">
        <f t="shared" si="249"/>
        <v>1.0887407637076314</v>
      </c>
      <c r="H130" s="93">
        <f t="shared" si="249"/>
        <v>1.0533821785406507</v>
      </c>
      <c r="I130" s="93">
        <f t="shared" si="249"/>
        <v>1.0538466442975509</v>
      </c>
      <c r="J130" s="93">
        <f t="shared" si="249"/>
        <v>1.0344891855736207</v>
      </c>
      <c r="K130" s="93">
        <f t="shared" si="249"/>
        <v>1.017538040413404</v>
      </c>
      <c r="L130" s="93">
        <f>IF(L129=0,1,L129)</f>
        <v>1</v>
      </c>
      <c r="M130" s="285" t="s">
        <v>40</v>
      </c>
      <c r="N130" s="107"/>
      <c r="O130" s="93">
        <f>IF(O129=0,1,O129)</f>
        <v>1</v>
      </c>
      <c r="P130" s="93">
        <f t="shared" ref="P130:W130" si="250">IF(P129=0,1,P129)</f>
        <v>1</v>
      </c>
      <c r="Q130" s="93">
        <f t="shared" si="250"/>
        <v>1</v>
      </c>
      <c r="R130" s="93">
        <f t="shared" si="250"/>
        <v>1</v>
      </c>
      <c r="S130" s="93">
        <f t="shared" si="250"/>
        <v>1</v>
      </c>
      <c r="T130" s="93">
        <f t="shared" si="250"/>
        <v>1</v>
      </c>
      <c r="U130" s="93">
        <f t="shared" si="250"/>
        <v>1</v>
      </c>
      <c r="V130" s="93">
        <f t="shared" si="250"/>
        <v>1</v>
      </c>
      <c r="W130" s="93">
        <f t="shared" si="250"/>
        <v>1</v>
      </c>
      <c r="X130" s="93">
        <f>IF(X129=0,1,X129)</f>
        <v>1</v>
      </c>
      <c r="Y130" s="285" t="s">
        <v>40</v>
      </c>
      <c r="Z130" s="107"/>
      <c r="AA130" s="93">
        <f>IF(AA129=0,1,AA129)</f>
        <v>1</v>
      </c>
      <c r="AB130" s="93">
        <f t="shared" ref="AB130:AI130" si="251">IF(AB129=0,1,AB129)</f>
        <v>1</v>
      </c>
      <c r="AC130" s="93">
        <f t="shared" si="251"/>
        <v>1</v>
      </c>
      <c r="AD130" s="93">
        <f t="shared" si="251"/>
        <v>1</v>
      </c>
      <c r="AE130" s="93">
        <f t="shared" si="251"/>
        <v>1</v>
      </c>
      <c r="AF130" s="93">
        <f t="shared" si="251"/>
        <v>1</v>
      </c>
      <c r="AG130" s="93">
        <f t="shared" si="251"/>
        <v>1</v>
      </c>
      <c r="AH130" s="93">
        <f t="shared" si="251"/>
        <v>1</v>
      </c>
      <c r="AI130" s="93">
        <f t="shared" si="251"/>
        <v>1</v>
      </c>
      <c r="AJ130" s="93">
        <f>IF(AJ129=0,1,AJ129)</f>
        <v>1</v>
      </c>
      <c r="AK130" s="285" t="s">
        <v>40</v>
      </c>
      <c r="AL130" s="107"/>
      <c r="AM130" s="93">
        <f>IF(AM129=0,1,AM129)</f>
        <v>1</v>
      </c>
      <c r="AN130" s="93">
        <f t="shared" ref="AN130:AU130" si="252">IF(AN129=0,1,AN129)</f>
        <v>1</v>
      </c>
      <c r="AO130" s="93">
        <f t="shared" si="252"/>
        <v>1</v>
      </c>
      <c r="AP130" s="93">
        <f t="shared" si="252"/>
        <v>1</v>
      </c>
      <c r="AQ130" s="93">
        <f t="shared" si="252"/>
        <v>1</v>
      </c>
      <c r="AR130" s="93">
        <f t="shared" si="252"/>
        <v>1</v>
      </c>
      <c r="AS130" s="93">
        <f t="shared" si="252"/>
        <v>1</v>
      </c>
      <c r="AT130" s="93">
        <f t="shared" si="252"/>
        <v>1</v>
      </c>
      <c r="AU130" s="93">
        <f t="shared" si="252"/>
        <v>1</v>
      </c>
      <c r="AV130" s="93">
        <f>IF(AV129=0,1,AV129)</f>
        <v>1</v>
      </c>
      <c r="AW130" s="285" t="s">
        <v>40</v>
      </c>
      <c r="AX130" s="107"/>
      <c r="AY130" s="93">
        <f>IF(AY129=0,1,AY129)</f>
        <v>1</v>
      </c>
      <c r="AZ130" s="93">
        <f t="shared" ref="AZ130:BG130" si="253">IF(AZ129=0,1,AZ129)</f>
        <v>1</v>
      </c>
      <c r="BA130" s="93">
        <f t="shared" si="253"/>
        <v>1</v>
      </c>
      <c r="BB130" s="93">
        <f t="shared" si="253"/>
        <v>1</v>
      </c>
      <c r="BC130" s="93">
        <f t="shared" si="253"/>
        <v>1</v>
      </c>
      <c r="BD130" s="93">
        <f t="shared" si="253"/>
        <v>1</v>
      </c>
      <c r="BE130" s="93">
        <f t="shared" si="253"/>
        <v>1</v>
      </c>
      <c r="BF130" s="93">
        <f t="shared" si="253"/>
        <v>1</v>
      </c>
      <c r="BG130" s="93">
        <f t="shared" si="253"/>
        <v>1</v>
      </c>
      <c r="BH130" s="93">
        <f>IF(BH129=0,1,BH129)</f>
        <v>1</v>
      </c>
      <c r="BI130" s="285" t="s">
        <v>40</v>
      </c>
      <c r="BJ130" s="107"/>
      <c r="BK130" s="93">
        <f>IF(BK129=0,1,BK129)</f>
        <v>1</v>
      </c>
      <c r="BL130" s="93">
        <f t="shared" ref="BL130:BS130" si="254">IF(BL129=0,1,BL129)</f>
        <v>1</v>
      </c>
      <c r="BM130" s="93">
        <f t="shared" si="254"/>
        <v>1</v>
      </c>
      <c r="BN130" s="93">
        <f t="shared" si="254"/>
        <v>1</v>
      </c>
      <c r="BO130" s="93">
        <f t="shared" si="254"/>
        <v>1</v>
      </c>
      <c r="BP130" s="93">
        <f t="shared" si="254"/>
        <v>1</v>
      </c>
      <c r="BQ130" s="93">
        <f t="shared" si="254"/>
        <v>1</v>
      </c>
      <c r="BR130" s="93">
        <f t="shared" si="254"/>
        <v>1</v>
      </c>
      <c r="BS130" s="93">
        <f t="shared" si="254"/>
        <v>1</v>
      </c>
      <c r="BT130" s="93">
        <f>IF(BT129=0,1,BT129)</f>
        <v>1</v>
      </c>
      <c r="BU130" s="285" t="s">
        <v>40</v>
      </c>
      <c r="BV130" s="107"/>
      <c r="BW130" s="93">
        <f>IF(BW129=0,1,BW129)</f>
        <v>1</v>
      </c>
      <c r="BX130" s="93">
        <f t="shared" ref="BX130:CE130" si="255">IF(BX129=0,1,BX129)</f>
        <v>1</v>
      </c>
      <c r="BY130" s="93">
        <f t="shared" si="255"/>
        <v>1</v>
      </c>
      <c r="BZ130" s="93">
        <f t="shared" si="255"/>
        <v>1</v>
      </c>
      <c r="CA130" s="93">
        <f t="shared" si="255"/>
        <v>1</v>
      </c>
      <c r="CB130" s="93">
        <f t="shared" si="255"/>
        <v>1</v>
      </c>
      <c r="CC130" s="93">
        <f t="shared" si="255"/>
        <v>1</v>
      </c>
      <c r="CD130" s="93">
        <f t="shared" si="255"/>
        <v>1</v>
      </c>
      <c r="CE130" s="93">
        <f t="shared" si="255"/>
        <v>1</v>
      </c>
      <c r="CF130" s="93">
        <f>IF(CF129=0,1,CF129)</f>
        <v>1</v>
      </c>
      <c r="CG130" s="285" t="s">
        <v>40</v>
      </c>
      <c r="CH130" s="107"/>
      <c r="CI130" s="93">
        <f>IF(CI129=0,1,CI129)</f>
        <v>1</v>
      </c>
      <c r="CJ130" s="93">
        <f t="shared" ref="CJ130:CQ130" si="256">IF(CJ129=0,1,CJ129)</f>
        <v>1</v>
      </c>
      <c r="CK130" s="93">
        <f t="shared" si="256"/>
        <v>1</v>
      </c>
      <c r="CL130" s="93">
        <f t="shared" si="256"/>
        <v>1</v>
      </c>
      <c r="CM130" s="93">
        <f t="shared" si="256"/>
        <v>1</v>
      </c>
      <c r="CN130" s="93">
        <f t="shared" si="256"/>
        <v>1</v>
      </c>
      <c r="CO130" s="93">
        <f t="shared" si="256"/>
        <v>1</v>
      </c>
      <c r="CP130" s="93">
        <f t="shared" si="256"/>
        <v>1</v>
      </c>
      <c r="CQ130" s="93">
        <f t="shared" si="256"/>
        <v>1</v>
      </c>
      <c r="CR130" s="93">
        <f>IF(CR129=0,1,CR129)</f>
        <v>1</v>
      </c>
      <c r="CS130" s="285" t="s">
        <v>40</v>
      </c>
      <c r="CT130" s="107"/>
      <c r="CU130" s="93">
        <f>IF(CU129=0,1,CU129)</f>
        <v>1</v>
      </c>
      <c r="CV130" s="93">
        <f t="shared" ref="CV130:DC130" si="257">IF(CV129=0,1,CV129)</f>
        <v>1</v>
      </c>
      <c r="CW130" s="93">
        <f t="shared" si="257"/>
        <v>1</v>
      </c>
      <c r="CX130" s="93">
        <f t="shared" si="257"/>
        <v>1</v>
      </c>
      <c r="CY130" s="93">
        <f t="shared" si="257"/>
        <v>1</v>
      </c>
      <c r="CZ130" s="93">
        <f t="shared" si="257"/>
        <v>1</v>
      </c>
      <c r="DA130" s="93">
        <f t="shared" si="257"/>
        <v>1</v>
      </c>
      <c r="DB130" s="93">
        <f t="shared" si="257"/>
        <v>1</v>
      </c>
      <c r="DC130" s="93">
        <f t="shared" si="257"/>
        <v>1</v>
      </c>
      <c r="DD130" s="93">
        <f>IF(DD129=0,1,DD129)</f>
        <v>1</v>
      </c>
      <c r="DE130" s="285" t="s">
        <v>40</v>
      </c>
      <c r="DF130" s="107"/>
      <c r="DG130" s="93">
        <f>IF(DG129=0,1,DG129)</f>
        <v>1</v>
      </c>
      <c r="DH130" s="93">
        <f t="shared" ref="DH130:DO130" si="258">IF(DH129=0,1,DH129)</f>
        <v>1</v>
      </c>
      <c r="DI130" s="93">
        <f t="shared" si="258"/>
        <v>1</v>
      </c>
      <c r="DJ130" s="93">
        <f t="shared" si="258"/>
        <v>1</v>
      </c>
      <c r="DK130" s="93">
        <f t="shared" si="258"/>
        <v>1</v>
      </c>
      <c r="DL130" s="93">
        <f t="shared" si="258"/>
        <v>1</v>
      </c>
      <c r="DM130" s="93">
        <f t="shared" si="258"/>
        <v>1</v>
      </c>
      <c r="DN130" s="93">
        <f t="shared" si="258"/>
        <v>1</v>
      </c>
      <c r="DO130" s="93">
        <f t="shared" si="258"/>
        <v>1</v>
      </c>
      <c r="DP130" s="93">
        <f>IF(DP129=0,1,DP129)</f>
        <v>1</v>
      </c>
    </row>
    <row r="131" spans="1:120" ht="15.75" thickBot="1" x14ac:dyDescent="0.3">
      <c r="A131" s="111" t="s">
        <v>39</v>
      </c>
      <c r="B131" s="115"/>
      <c r="C131" s="113">
        <f>PRODUCT(C130:L130)</f>
        <v>10.622050461977043</v>
      </c>
      <c r="D131" s="113">
        <f>PRODUCT(D130:L130)</f>
        <v>3.9091414176985455</v>
      </c>
      <c r="E131" s="113">
        <f>PRODUCT(E130:L130)</f>
        <v>2.0642229061336743</v>
      </c>
      <c r="F131" s="113">
        <f>PRODUCT(F130:L130)</f>
        <v>1.4735797118291076</v>
      </c>
      <c r="G131" s="113">
        <f>PRODUCT(G130:L130)</f>
        <v>1.2722266138318472</v>
      </c>
      <c r="H131" s="113">
        <f>PRODUCT(H130:L130)</f>
        <v>1.1685303391225725</v>
      </c>
      <c r="I131" s="113">
        <f>PRODUCT(I130:L130)</f>
        <v>1.1093128049132628</v>
      </c>
      <c r="J131" s="113">
        <f>PRODUCT(J130:L130)</f>
        <v>1.0526320987174402</v>
      </c>
      <c r="K131" s="113">
        <f>PRODUCT(K130:L130)</f>
        <v>1.017538040413404</v>
      </c>
      <c r="L131" s="114">
        <f>PRODUCT(L130:L130)</f>
        <v>1</v>
      </c>
      <c r="M131" s="111" t="s">
        <v>39</v>
      </c>
      <c r="N131" s="115"/>
      <c r="O131" s="113">
        <f>PRODUCT(O130:X130)</f>
        <v>1</v>
      </c>
      <c r="P131" s="113">
        <f>PRODUCT(P130:X130)</f>
        <v>1</v>
      </c>
      <c r="Q131" s="113">
        <f>PRODUCT(Q130:X130)</f>
        <v>1</v>
      </c>
      <c r="R131" s="113">
        <f>PRODUCT(R130:X130)</f>
        <v>1</v>
      </c>
      <c r="S131" s="113">
        <f>PRODUCT(S130:X130)</f>
        <v>1</v>
      </c>
      <c r="T131" s="113">
        <f>PRODUCT(T130:X130)</f>
        <v>1</v>
      </c>
      <c r="U131" s="113">
        <f>PRODUCT(U130:X130)</f>
        <v>1</v>
      </c>
      <c r="V131" s="113">
        <f>PRODUCT(V130:X130)</f>
        <v>1</v>
      </c>
      <c r="W131" s="113">
        <f>PRODUCT(W130:X130)</f>
        <v>1</v>
      </c>
      <c r="X131" s="114">
        <f>PRODUCT(X130:X130)</f>
        <v>1</v>
      </c>
      <c r="Y131" s="111" t="s">
        <v>39</v>
      </c>
      <c r="Z131" s="115"/>
      <c r="AA131" s="113">
        <f>PRODUCT(AA130:AJ130)</f>
        <v>1</v>
      </c>
      <c r="AB131" s="113">
        <f>PRODUCT(AB130:AJ130)</f>
        <v>1</v>
      </c>
      <c r="AC131" s="113">
        <f>PRODUCT(AC130:AJ130)</f>
        <v>1</v>
      </c>
      <c r="AD131" s="113">
        <f>PRODUCT(AD130:AJ130)</f>
        <v>1</v>
      </c>
      <c r="AE131" s="113">
        <f>PRODUCT(AE130:AJ130)</f>
        <v>1</v>
      </c>
      <c r="AF131" s="113">
        <f>PRODUCT(AF130:AJ130)</f>
        <v>1</v>
      </c>
      <c r="AG131" s="113">
        <f>PRODUCT(AG130:AJ130)</f>
        <v>1</v>
      </c>
      <c r="AH131" s="113">
        <f>PRODUCT(AH130:AJ130)</f>
        <v>1</v>
      </c>
      <c r="AI131" s="113">
        <f>PRODUCT(AI130:AJ130)</f>
        <v>1</v>
      </c>
      <c r="AJ131" s="114">
        <f>PRODUCT(AJ130:AJ130)</f>
        <v>1</v>
      </c>
      <c r="AK131" s="111" t="s">
        <v>39</v>
      </c>
      <c r="AL131" s="115"/>
      <c r="AM131" s="113">
        <f>PRODUCT(AM130:AV130)</f>
        <v>1</v>
      </c>
      <c r="AN131" s="113">
        <f>PRODUCT(AN130:AV130)</f>
        <v>1</v>
      </c>
      <c r="AO131" s="113">
        <f>PRODUCT(AO130:AV130)</f>
        <v>1</v>
      </c>
      <c r="AP131" s="113">
        <f>PRODUCT(AP130:AV130)</f>
        <v>1</v>
      </c>
      <c r="AQ131" s="113">
        <f>PRODUCT(AQ130:AV130)</f>
        <v>1</v>
      </c>
      <c r="AR131" s="113">
        <f>PRODUCT(AR130:AV130)</f>
        <v>1</v>
      </c>
      <c r="AS131" s="113">
        <f>PRODUCT(AS130:AV130)</f>
        <v>1</v>
      </c>
      <c r="AT131" s="113">
        <f>PRODUCT(AT130:AV130)</f>
        <v>1</v>
      </c>
      <c r="AU131" s="113">
        <f>PRODUCT(AU130:AV130)</f>
        <v>1</v>
      </c>
      <c r="AV131" s="114">
        <f>PRODUCT(AV130:AV130)</f>
        <v>1</v>
      </c>
      <c r="AW131" s="111" t="s">
        <v>39</v>
      </c>
      <c r="AX131" s="115"/>
      <c r="AY131" s="113">
        <f>PRODUCT(AY130:BH130)</f>
        <v>1</v>
      </c>
      <c r="AZ131" s="113">
        <f>PRODUCT(AZ130:BH130)</f>
        <v>1</v>
      </c>
      <c r="BA131" s="113">
        <f>PRODUCT(BA130:BH130)</f>
        <v>1</v>
      </c>
      <c r="BB131" s="113">
        <f>PRODUCT(BB130:BH130)</f>
        <v>1</v>
      </c>
      <c r="BC131" s="113">
        <f>PRODUCT(BC130:BH130)</f>
        <v>1</v>
      </c>
      <c r="BD131" s="113">
        <f>PRODUCT(BD130:BH130)</f>
        <v>1</v>
      </c>
      <c r="BE131" s="113">
        <f>PRODUCT(BE130:BH130)</f>
        <v>1</v>
      </c>
      <c r="BF131" s="113">
        <f>PRODUCT(BF130:BH130)</f>
        <v>1</v>
      </c>
      <c r="BG131" s="113">
        <f>PRODUCT(BG130:BH130)</f>
        <v>1</v>
      </c>
      <c r="BH131" s="114">
        <f>PRODUCT(BH130:BH130)</f>
        <v>1</v>
      </c>
      <c r="BI131" s="111" t="s">
        <v>39</v>
      </c>
      <c r="BJ131" s="115"/>
      <c r="BK131" s="113">
        <f>PRODUCT(BK130:BT130)</f>
        <v>1</v>
      </c>
      <c r="BL131" s="113">
        <f>PRODUCT(BL130:BT130)</f>
        <v>1</v>
      </c>
      <c r="BM131" s="113">
        <f>PRODUCT(BM130:BT130)</f>
        <v>1</v>
      </c>
      <c r="BN131" s="113">
        <f>PRODUCT(BN130:BT130)</f>
        <v>1</v>
      </c>
      <c r="BO131" s="113">
        <f>PRODUCT(BO130:BT130)</f>
        <v>1</v>
      </c>
      <c r="BP131" s="113">
        <f>PRODUCT(BP130:BT130)</f>
        <v>1</v>
      </c>
      <c r="BQ131" s="113">
        <f>PRODUCT(BQ130:BT130)</f>
        <v>1</v>
      </c>
      <c r="BR131" s="113">
        <f>PRODUCT(BR130:BT130)</f>
        <v>1</v>
      </c>
      <c r="BS131" s="113">
        <f>PRODUCT(BS130:BT130)</f>
        <v>1</v>
      </c>
      <c r="BT131" s="114">
        <f>PRODUCT(BT130:BT130)</f>
        <v>1</v>
      </c>
      <c r="BU131" s="111" t="s">
        <v>39</v>
      </c>
      <c r="BV131" s="115"/>
      <c r="BW131" s="113">
        <f>PRODUCT(BW130:CF130)</f>
        <v>1</v>
      </c>
      <c r="BX131" s="113">
        <f>PRODUCT(BX130:CF130)</f>
        <v>1</v>
      </c>
      <c r="BY131" s="113">
        <f>PRODUCT(BY130:CF130)</f>
        <v>1</v>
      </c>
      <c r="BZ131" s="113">
        <f>PRODUCT(BZ130:CF130)</f>
        <v>1</v>
      </c>
      <c r="CA131" s="113">
        <f>PRODUCT(CA130:CF130)</f>
        <v>1</v>
      </c>
      <c r="CB131" s="113">
        <f>PRODUCT(CB130:CF130)</f>
        <v>1</v>
      </c>
      <c r="CC131" s="113">
        <f>PRODUCT(CC130:CF130)</f>
        <v>1</v>
      </c>
      <c r="CD131" s="113">
        <f>PRODUCT(CD130:CF130)</f>
        <v>1</v>
      </c>
      <c r="CE131" s="113">
        <f>PRODUCT(CE130:CF130)</f>
        <v>1</v>
      </c>
      <c r="CF131" s="114">
        <f>PRODUCT(CF130:CF130)</f>
        <v>1</v>
      </c>
      <c r="CG131" s="111" t="s">
        <v>39</v>
      </c>
      <c r="CH131" s="115"/>
      <c r="CI131" s="113">
        <f>PRODUCT(CI130:CR130)</f>
        <v>1</v>
      </c>
      <c r="CJ131" s="113">
        <f>PRODUCT(CJ130:CR130)</f>
        <v>1</v>
      </c>
      <c r="CK131" s="113">
        <f>PRODUCT(CK130:CR130)</f>
        <v>1</v>
      </c>
      <c r="CL131" s="113">
        <f>PRODUCT(CL130:CR130)</f>
        <v>1</v>
      </c>
      <c r="CM131" s="113">
        <f>PRODUCT(CM130:CR130)</f>
        <v>1</v>
      </c>
      <c r="CN131" s="113">
        <f>PRODUCT(CN130:CR130)</f>
        <v>1</v>
      </c>
      <c r="CO131" s="113">
        <f>PRODUCT(CO130:CR130)</f>
        <v>1</v>
      </c>
      <c r="CP131" s="113">
        <f>PRODUCT(CP130:CR130)</f>
        <v>1</v>
      </c>
      <c r="CQ131" s="113">
        <f>PRODUCT(CQ130:CR130)</f>
        <v>1</v>
      </c>
      <c r="CR131" s="114">
        <f>PRODUCT(CR130:CR130)</f>
        <v>1</v>
      </c>
      <c r="CS131" s="111" t="s">
        <v>39</v>
      </c>
      <c r="CT131" s="115"/>
      <c r="CU131" s="113">
        <f>PRODUCT(CU130:DD130)</f>
        <v>1</v>
      </c>
      <c r="CV131" s="113">
        <f>PRODUCT(CV130:DD130)</f>
        <v>1</v>
      </c>
      <c r="CW131" s="113">
        <f>PRODUCT(CW130:DD130)</f>
        <v>1</v>
      </c>
      <c r="CX131" s="113">
        <f>PRODUCT(CX130:DD130)</f>
        <v>1</v>
      </c>
      <c r="CY131" s="113">
        <f>PRODUCT(CY130:DD130)</f>
        <v>1</v>
      </c>
      <c r="CZ131" s="113">
        <f>PRODUCT(CZ130:DD130)</f>
        <v>1</v>
      </c>
      <c r="DA131" s="113">
        <f>PRODUCT(DA130:DD130)</f>
        <v>1</v>
      </c>
      <c r="DB131" s="113">
        <f>PRODUCT(DB130:DD130)</f>
        <v>1</v>
      </c>
      <c r="DC131" s="113">
        <f>PRODUCT(DC130:DD130)</f>
        <v>1</v>
      </c>
      <c r="DD131" s="114">
        <f>PRODUCT(DD130:DD130)</f>
        <v>1</v>
      </c>
      <c r="DE131" s="111" t="s">
        <v>39</v>
      </c>
      <c r="DF131" s="115"/>
      <c r="DG131" s="113">
        <f>PRODUCT(DG130:DP130)</f>
        <v>1</v>
      </c>
      <c r="DH131" s="113">
        <f>PRODUCT(DH130:DP130)</f>
        <v>1</v>
      </c>
      <c r="DI131" s="113">
        <f>PRODUCT(DI130:DP130)</f>
        <v>1</v>
      </c>
      <c r="DJ131" s="113">
        <f>PRODUCT(DJ130:DP130)</f>
        <v>1</v>
      </c>
      <c r="DK131" s="113">
        <f>PRODUCT(DK130:DP130)</f>
        <v>1</v>
      </c>
      <c r="DL131" s="113">
        <f>PRODUCT(DL130:DP130)</f>
        <v>1</v>
      </c>
      <c r="DM131" s="113">
        <f>PRODUCT(DM130:DP130)</f>
        <v>1</v>
      </c>
      <c r="DN131" s="113">
        <f>PRODUCT(DN130:DP130)</f>
        <v>1</v>
      </c>
      <c r="DO131" s="113">
        <f>PRODUCT(DO130:DP130)</f>
        <v>1</v>
      </c>
      <c r="DP131" s="114">
        <f>PRODUCT(DP130:DP130)</f>
        <v>1</v>
      </c>
    </row>
    <row r="132" spans="1:120" x14ac:dyDescent="0.25">
      <c r="A132" s="95" t="s">
        <v>41</v>
      </c>
      <c r="B132" s="106"/>
      <c r="C132" s="99">
        <f>C131*C115</f>
        <v>10556931.981619893</v>
      </c>
      <c r="D132" s="99">
        <f>D131*D114</f>
        <v>10837511.649401009</v>
      </c>
      <c r="E132" s="99">
        <f>E131*E113</f>
        <v>8959823.4943410754</v>
      </c>
      <c r="F132" s="99">
        <f>F131*F112</f>
        <v>9216663.1742638852</v>
      </c>
      <c r="G132" s="99">
        <f>G131*G111</f>
        <v>8723190.6785433125</v>
      </c>
      <c r="H132" s="99">
        <f>H131*H110</f>
        <v>10764738.55543234</v>
      </c>
      <c r="I132" s="99">
        <f>I131*I109</f>
        <v>8893491.1234304607</v>
      </c>
      <c r="J132" s="99">
        <f>J131*J108</f>
        <v>10741992.925248126</v>
      </c>
      <c r="K132" s="99">
        <f>K131*K107</f>
        <v>8499084.8072538022</v>
      </c>
      <c r="L132" s="99">
        <f>L131*L106</f>
        <v>8186100.2000000002</v>
      </c>
      <c r="M132" s="95" t="s">
        <v>41</v>
      </c>
      <c r="N132" s="106"/>
      <c r="O132" s="99">
        <f>O131*O115</f>
        <v>0</v>
      </c>
      <c r="P132" s="99">
        <f>P131*P114</f>
        <v>0</v>
      </c>
      <c r="Q132" s="99">
        <f>Q131*Q113</f>
        <v>0</v>
      </c>
      <c r="R132" s="99">
        <f>R131*R112</f>
        <v>0</v>
      </c>
      <c r="S132" s="99">
        <f>S131*S111</f>
        <v>0</v>
      </c>
      <c r="T132" s="99">
        <f>T131*T110</f>
        <v>0</v>
      </c>
      <c r="U132" s="99">
        <f>U131*U109</f>
        <v>0</v>
      </c>
      <c r="V132" s="99">
        <f>V131*V108</f>
        <v>0</v>
      </c>
      <c r="W132" s="99">
        <f>W131*W107</f>
        <v>0</v>
      </c>
      <c r="X132" s="99">
        <f>X131*X106</f>
        <v>0</v>
      </c>
      <c r="Y132" s="95" t="s">
        <v>41</v>
      </c>
      <c r="Z132" s="106"/>
      <c r="AA132" s="99">
        <f>AA131*AA115</f>
        <v>0</v>
      </c>
      <c r="AB132" s="99">
        <f>AB131*AB114</f>
        <v>0</v>
      </c>
      <c r="AC132" s="99">
        <f>AC131*AC113</f>
        <v>0</v>
      </c>
      <c r="AD132" s="99">
        <f>AD131*AD112</f>
        <v>0</v>
      </c>
      <c r="AE132" s="99">
        <f>AE131*AE111</f>
        <v>0</v>
      </c>
      <c r="AF132" s="99">
        <f>AF131*AF110</f>
        <v>0</v>
      </c>
      <c r="AG132" s="99">
        <f>AG131*AG109</f>
        <v>0</v>
      </c>
      <c r="AH132" s="99">
        <f>AH131*AH108</f>
        <v>0</v>
      </c>
      <c r="AI132" s="99">
        <f>AI131*AI107</f>
        <v>0</v>
      </c>
      <c r="AJ132" s="99">
        <f>AJ131*AJ106</f>
        <v>0</v>
      </c>
      <c r="AK132" s="95" t="s">
        <v>41</v>
      </c>
      <c r="AL132" s="106"/>
      <c r="AM132" s="99">
        <f>AM131*AM115</f>
        <v>0</v>
      </c>
      <c r="AN132" s="99">
        <f>AN131*AN114</f>
        <v>0</v>
      </c>
      <c r="AO132" s="99">
        <f>AO131*AO113</f>
        <v>0</v>
      </c>
      <c r="AP132" s="99">
        <f>AP131*AP112</f>
        <v>0</v>
      </c>
      <c r="AQ132" s="99">
        <f>AQ131*AQ111</f>
        <v>0</v>
      </c>
      <c r="AR132" s="99">
        <f>AR131*AR110</f>
        <v>0</v>
      </c>
      <c r="AS132" s="99">
        <f>AS131*AS109</f>
        <v>0</v>
      </c>
      <c r="AT132" s="99">
        <f>AT131*AT108</f>
        <v>0</v>
      </c>
      <c r="AU132" s="99">
        <f>AU131*AU107</f>
        <v>0</v>
      </c>
      <c r="AV132" s="99">
        <f>AV131*AV106</f>
        <v>0</v>
      </c>
      <c r="AW132" s="95" t="s">
        <v>41</v>
      </c>
      <c r="AX132" s="106"/>
      <c r="AY132" s="99">
        <f>AY131*AY115</f>
        <v>0</v>
      </c>
      <c r="AZ132" s="99">
        <f>AZ131*AZ114</f>
        <v>0</v>
      </c>
      <c r="BA132" s="99">
        <f>BA131*BA113</f>
        <v>0</v>
      </c>
      <c r="BB132" s="99">
        <f>BB131*BB112</f>
        <v>0</v>
      </c>
      <c r="BC132" s="99">
        <f>BC131*BC111</f>
        <v>0</v>
      </c>
      <c r="BD132" s="99">
        <f>BD131*BD110</f>
        <v>0</v>
      </c>
      <c r="BE132" s="99">
        <f>BE131*BE109</f>
        <v>0</v>
      </c>
      <c r="BF132" s="99">
        <f>BF131*BF108</f>
        <v>0</v>
      </c>
      <c r="BG132" s="99">
        <f>BG131*BG107</f>
        <v>0</v>
      </c>
      <c r="BH132" s="99">
        <f>BH131*BH106</f>
        <v>0</v>
      </c>
      <c r="BI132" s="95" t="s">
        <v>41</v>
      </c>
      <c r="BJ132" s="106"/>
      <c r="BK132" s="99">
        <f>BK131*BK115</f>
        <v>0</v>
      </c>
      <c r="BL132" s="99">
        <f>BL131*BL114</f>
        <v>0</v>
      </c>
      <c r="BM132" s="99">
        <f>BM131*BM113</f>
        <v>0</v>
      </c>
      <c r="BN132" s="99">
        <f>BN131*BN112</f>
        <v>0</v>
      </c>
      <c r="BO132" s="99">
        <f>BO131*BO111</f>
        <v>0</v>
      </c>
      <c r="BP132" s="99">
        <f>BP131*BP110</f>
        <v>0</v>
      </c>
      <c r="BQ132" s="99">
        <f>BQ131*BQ109</f>
        <v>0</v>
      </c>
      <c r="BR132" s="99">
        <f>BR131*BR108</f>
        <v>0</v>
      </c>
      <c r="BS132" s="99">
        <f>BS131*BS107</f>
        <v>0</v>
      </c>
      <c r="BT132" s="99">
        <f>BT131*BT106</f>
        <v>0</v>
      </c>
      <c r="BU132" s="95" t="s">
        <v>41</v>
      </c>
      <c r="BV132" s="106"/>
      <c r="BW132" s="99">
        <f>BW131*BW115</f>
        <v>0</v>
      </c>
      <c r="BX132" s="99">
        <f>BX131*BX114</f>
        <v>0</v>
      </c>
      <c r="BY132" s="99">
        <f>BY131*BY113</f>
        <v>0</v>
      </c>
      <c r="BZ132" s="99">
        <f>BZ131*BZ112</f>
        <v>0</v>
      </c>
      <c r="CA132" s="99">
        <f>CA131*CA111</f>
        <v>0</v>
      </c>
      <c r="CB132" s="99">
        <f>CB131*CB110</f>
        <v>0</v>
      </c>
      <c r="CC132" s="99">
        <f>CC131*CC109</f>
        <v>0</v>
      </c>
      <c r="CD132" s="99">
        <f>CD131*CD108</f>
        <v>0</v>
      </c>
      <c r="CE132" s="99">
        <f>CE131*CE107</f>
        <v>0</v>
      </c>
      <c r="CF132" s="99">
        <f>CF131*CF106</f>
        <v>0</v>
      </c>
      <c r="CG132" s="95" t="s">
        <v>41</v>
      </c>
      <c r="CH132" s="106"/>
      <c r="CI132" s="99">
        <f>CI131*CI115</f>
        <v>0</v>
      </c>
      <c r="CJ132" s="99">
        <f>CJ131*CJ114</f>
        <v>0</v>
      </c>
      <c r="CK132" s="99">
        <f>CK131*CK113</f>
        <v>0</v>
      </c>
      <c r="CL132" s="99">
        <f>CL131*CL112</f>
        <v>0</v>
      </c>
      <c r="CM132" s="99">
        <f>CM131*CM111</f>
        <v>0</v>
      </c>
      <c r="CN132" s="99">
        <f>CN131*CN110</f>
        <v>0</v>
      </c>
      <c r="CO132" s="99">
        <f>CO131*CO109</f>
        <v>0</v>
      </c>
      <c r="CP132" s="99">
        <f>CP131*CP108</f>
        <v>0</v>
      </c>
      <c r="CQ132" s="99">
        <f>CQ131*CQ107</f>
        <v>0</v>
      </c>
      <c r="CR132" s="99">
        <f>CR131*CR106</f>
        <v>0</v>
      </c>
      <c r="CS132" s="95" t="s">
        <v>41</v>
      </c>
      <c r="CT132" s="106"/>
      <c r="CU132" s="99">
        <f>CU131*CU115</f>
        <v>0</v>
      </c>
      <c r="CV132" s="99">
        <f>CV131*CV114</f>
        <v>0</v>
      </c>
      <c r="CW132" s="99">
        <f>CW131*CW113</f>
        <v>0</v>
      </c>
      <c r="CX132" s="99">
        <f>CX131*CX112</f>
        <v>0</v>
      </c>
      <c r="CY132" s="99">
        <f>CY131*CY111</f>
        <v>0</v>
      </c>
      <c r="CZ132" s="99">
        <f>CZ131*CZ110</f>
        <v>0</v>
      </c>
      <c r="DA132" s="99">
        <f>DA131*DA109</f>
        <v>0</v>
      </c>
      <c r="DB132" s="99">
        <f>DB131*DB108</f>
        <v>0</v>
      </c>
      <c r="DC132" s="99">
        <f>DC131*DC107</f>
        <v>0</v>
      </c>
      <c r="DD132" s="99">
        <f>DD131*DD106</f>
        <v>0</v>
      </c>
      <c r="DE132" s="95" t="s">
        <v>41</v>
      </c>
      <c r="DF132" s="106"/>
      <c r="DG132" s="99">
        <f>DG131*DG115</f>
        <v>0</v>
      </c>
      <c r="DH132" s="99">
        <f>DH131*DH114</f>
        <v>0</v>
      </c>
      <c r="DI132" s="99">
        <f>DI131*DI113</f>
        <v>0</v>
      </c>
      <c r="DJ132" s="99">
        <f>DJ131*DJ112</f>
        <v>0</v>
      </c>
      <c r="DK132" s="99">
        <f>DK131*DK111</f>
        <v>0</v>
      </c>
      <c r="DL132" s="99">
        <f>DL131*DL110</f>
        <v>0</v>
      </c>
      <c r="DM132" s="99">
        <f>DM131*DM109</f>
        <v>0</v>
      </c>
      <c r="DN132" s="99">
        <f>DN131*DN108</f>
        <v>0</v>
      </c>
      <c r="DO132" s="99">
        <f>DO131*DO107</f>
        <v>0</v>
      </c>
      <c r="DP132" s="99">
        <f>DP131*DP106</f>
        <v>0</v>
      </c>
    </row>
    <row r="133" spans="1:120" ht="21" x14ac:dyDescent="0.35">
      <c r="A133" s="137" t="str">
        <f>Co_Name</f>
        <v>State Farm General Insurance Company</v>
      </c>
      <c r="B133" s="68"/>
      <c r="C133" s="40"/>
      <c r="D133" s="18"/>
      <c r="E133" s="18"/>
      <c r="F133" s="18"/>
      <c r="G133" s="18"/>
      <c r="H133" s="18"/>
      <c r="I133" s="18"/>
      <c r="J133" s="18"/>
      <c r="K133" s="18"/>
      <c r="L133" s="18"/>
      <c r="M133" s="137" t="str">
        <f>Co_Name</f>
        <v>State Farm General Insurance Company</v>
      </c>
      <c r="N133" s="68"/>
      <c r="O133" s="40"/>
      <c r="P133" s="18"/>
      <c r="Q133" s="18"/>
      <c r="R133" s="18"/>
      <c r="S133" s="18"/>
      <c r="T133" s="18"/>
      <c r="U133" s="18"/>
      <c r="V133" s="18"/>
      <c r="W133" s="18"/>
      <c r="X133" s="18"/>
      <c r="Y133" s="137" t="str">
        <f>Co_Name</f>
        <v>State Farm General Insurance Company</v>
      </c>
      <c r="Z133" s="68"/>
      <c r="AA133" s="40"/>
      <c r="AB133" s="18"/>
      <c r="AC133" s="18"/>
      <c r="AD133" s="18"/>
      <c r="AE133" s="18"/>
      <c r="AF133" s="18"/>
      <c r="AG133" s="18"/>
      <c r="AH133" s="18"/>
      <c r="AI133" s="18"/>
      <c r="AJ133" s="18"/>
      <c r="AK133" s="137" t="str">
        <f>Co_Name</f>
        <v>State Farm General Insurance Company</v>
      </c>
      <c r="AL133" s="68"/>
      <c r="AM133" s="40"/>
      <c r="AN133" s="18"/>
      <c r="AO133" s="18"/>
      <c r="AP133" s="18"/>
      <c r="AQ133" s="18"/>
      <c r="AR133" s="18"/>
      <c r="AS133" s="18"/>
      <c r="AT133" s="18"/>
      <c r="AU133" s="18"/>
      <c r="AV133" s="18"/>
      <c r="AW133" s="137" t="str">
        <f>Co_Name</f>
        <v>State Farm General Insurance Company</v>
      </c>
      <c r="AX133" s="68"/>
      <c r="AY133" s="40"/>
      <c r="AZ133" s="18"/>
      <c r="BA133" s="18"/>
      <c r="BB133" s="18"/>
      <c r="BC133" s="18"/>
      <c r="BD133" s="18"/>
      <c r="BE133" s="18"/>
      <c r="BF133" s="18"/>
      <c r="BG133" s="18"/>
      <c r="BH133" s="18"/>
      <c r="BI133" s="137" t="str">
        <f>Co_Name</f>
        <v>State Farm General Insurance Company</v>
      </c>
      <c r="BJ133" s="68"/>
      <c r="BK133" s="40"/>
      <c r="BL133" s="18"/>
      <c r="BM133" s="18"/>
      <c r="BN133" s="18"/>
      <c r="BO133" s="18"/>
      <c r="BP133" s="18"/>
      <c r="BQ133" s="18"/>
      <c r="BR133" s="18"/>
      <c r="BS133" s="18"/>
      <c r="BT133" s="18"/>
      <c r="BU133" s="137" t="str">
        <f>Co_Name</f>
        <v>State Farm General Insurance Company</v>
      </c>
      <c r="BV133" s="68"/>
      <c r="BW133" s="40"/>
      <c r="BX133" s="18"/>
      <c r="BY133" s="18"/>
      <c r="BZ133" s="18"/>
      <c r="CA133" s="18"/>
      <c r="CB133" s="18"/>
      <c r="CC133" s="18"/>
      <c r="CD133" s="18"/>
      <c r="CE133" s="18"/>
      <c r="CF133" s="18"/>
      <c r="CG133" s="137" t="str">
        <f>Co_Name</f>
        <v>State Farm General Insurance Company</v>
      </c>
      <c r="CH133" s="68"/>
      <c r="CI133" s="40"/>
      <c r="CJ133" s="18"/>
      <c r="CK133" s="18"/>
      <c r="CL133" s="18"/>
      <c r="CM133" s="18"/>
      <c r="CN133" s="18"/>
      <c r="CO133" s="18"/>
      <c r="CP133" s="18"/>
      <c r="CQ133" s="18"/>
      <c r="CR133" s="18"/>
      <c r="CS133" s="137" t="str">
        <f>Co_Name</f>
        <v>State Farm General Insurance Company</v>
      </c>
      <c r="CT133" s="68"/>
      <c r="CU133" s="40"/>
      <c r="CV133" s="18"/>
      <c r="CW133" s="18"/>
      <c r="CX133" s="18"/>
      <c r="CY133" s="18"/>
      <c r="CZ133" s="18"/>
      <c r="DA133" s="18"/>
      <c r="DB133" s="18"/>
      <c r="DC133" s="18"/>
      <c r="DD133" s="18"/>
      <c r="DE133" s="137" t="str">
        <f>Co_Name</f>
        <v>State Farm General Insurance Company</v>
      </c>
      <c r="DF133" s="68"/>
      <c r="DG133" s="40"/>
      <c r="DH133" s="18"/>
      <c r="DI133" s="18"/>
      <c r="DJ133" s="18"/>
      <c r="DK133" s="18"/>
      <c r="DL133" s="18"/>
      <c r="DM133" s="18"/>
      <c r="DN133" s="18"/>
      <c r="DO133" s="18"/>
      <c r="DP133" s="18"/>
    </row>
    <row r="134" spans="1:120" ht="21" x14ac:dyDescent="0.35">
      <c r="A134" s="137" t="str">
        <f>A$2</f>
        <v>Homeowners Multiple Peril</v>
      </c>
      <c r="B134" s="68"/>
      <c r="C134" s="40"/>
      <c r="D134" s="18"/>
      <c r="E134" s="18"/>
      <c r="F134" s="18"/>
      <c r="G134" s="18"/>
      <c r="H134" s="18"/>
      <c r="I134" s="18"/>
      <c r="J134" s="18"/>
      <c r="K134" s="18"/>
      <c r="L134" s="18"/>
      <c r="M134" s="137" t="str">
        <f>M$2</f>
        <v/>
      </c>
      <c r="N134" s="68"/>
      <c r="O134" s="40"/>
      <c r="P134" s="18"/>
      <c r="Q134" s="18"/>
      <c r="R134" s="18"/>
      <c r="S134" s="18"/>
      <c r="T134" s="18"/>
      <c r="U134" s="18"/>
      <c r="V134" s="18"/>
      <c r="W134" s="18"/>
      <c r="X134" s="18"/>
      <c r="Y134" s="137" t="str">
        <f>Y$2</f>
        <v/>
      </c>
      <c r="Z134" s="68"/>
      <c r="AA134" s="40"/>
      <c r="AB134" s="18"/>
      <c r="AC134" s="18"/>
      <c r="AD134" s="18"/>
      <c r="AE134" s="18"/>
      <c r="AF134" s="18"/>
      <c r="AG134" s="18"/>
      <c r="AH134" s="18"/>
      <c r="AI134" s="18"/>
      <c r="AJ134" s="18"/>
      <c r="AK134" s="137" t="str">
        <f>AK$2</f>
        <v/>
      </c>
      <c r="AL134" s="68"/>
      <c r="AM134" s="40"/>
      <c r="AN134" s="18"/>
      <c r="AO134" s="18"/>
      <c r="AP134" s="18"/>
      <c r="AQ134" s="18"/>
      <c r="AR134" s="18"/>
      <c r="AS134" s="18"/>
      <c r="AT134" s="18"/>
      <c r="AU134" s="18"/>
      <c r="AV134" s="18"/>
      <c r="AW134" s="137" t="str">
        <f>AW$2</f>
        <v/>
      </c>
      <c r="AX134" s="68"/>
      <c r="AY134" s="40"/>
      <c r="AZ134" s="18"/>
      <c r="BA134" s="18"/>
      <c r="BB134" s="18"/>
      <c r="BC134" s="18"/>
      <c r="BD134" s="18"/>
      <c r="BE134" s="18"/>
      <c r="BF134" s="18"/>
      <c r="BG134" s="18"/>
      <c r="BH134" s="18"/>
      <c r="BI134" s="137" t="str">
        <f>BI$2</f>
        <v/>
      </c>
      <c r="BJ134" s="68"/>
      <c r="BK134" s="40"/>
      <c r="BL134" s="18"/>
      <c r="BM134" s="18"/>
      <c r="BN134" s="18"/>
      <c r="BO134" s="18"/>
      <c r="BP134" s="18"/>
      <c r="BQ134" s="18"/>
      <c r="BR134" s="18"/>
      <c r="BS134" s="18"/>
      <c r="BT134" s="18"/>
      <c r="BU134" s="137" t="str">
        <f>BU$2</f>
        <v/>
      </c>
      <c r="BV134" s="68"/>
      <c r="BW134" s="40"/>
      <c r="BX134" s="18"/>
      <c r="BY134" s="18"/>
      <c r="BZ134" s="18"/>
      <c r="CA134" s="18"/>
      <c r="CB134" s="18"/>
      <c r="CC134" s="18"/>
      <c r="CD134" s="18"/>
      <c r="CE134" s="18"/>
      <c r="CF134" s="18"/>
      <c r="CG134" s="137" t="str">
        <f>CG$2</f>
        <v/>
      </c>
      <c r="CH134" s="68"/>
      <c r="CI134" s="40"/>
      <c r="CJ134" s="18"/>
      <c r="CK134" s="18"/>
      <c r="CL134" s="18"/>
      <c r="CM134" s="18"/>
      <c r="CN134" s="18"/>
      <c r="CO134" s="18"/>
      <c r="CP134" s="18"/>
      <c r="CQ134" s="18"/>
      <c r="CR134" s="18"/>
      <c r="CS134" s="137" t="str">
        <f>CS$2</f>
        <v/>
      </c>
      <c r="CT134" s="68"/>
      <c r="CU134" s="40"/>
      <c r="CV134" s="18"/>
      <c r="CW134" s="18"/>
      <c r="CX134" s="18"/>
      <c r="CY134" s="18"/>
      <c r="CZ134" s="18"/>
      <c r="DA134" s="18"/>
      <c r="DB134" s="18"/>
      <c r="DC134" s="18"/>
      <c r="DD134" s="18"/>
      <c r="DE134" s="137" t="str">
        <f>DE$2</f>
        <v/>
      </c>
      <c r="DF134" s="68"/>
      <c r="DG134" s="40"/>
      <c r="DH134" s="18"/>
      <c r="DI134" s="18"/>
      <c r="DJ134" s="18"/>
      <c r="DK134" s="18"/>
      <c r="DL134" s="18"/>
      <c r="DM134" s="18"/>
      <c r="DN134" s="18"/>
      <c r="DO134" s="18"/>
      <c r="DP134" s="18"/>
    </row>
    <row r="135" spans="1:120" ht="21" customHeight="1" x14ac:dyDescent="0.25"/>
    <row r="136" spans="1:120" ht="21" x14ac:dyDescent="0.25">
      <c r="A136" s="48" t="s">
        <v>201</v>
      </c>
      <c r="B136" s="48"/>
      <c r="C136" s="18"/>
      <c r="D136" s="18"/>
      <c r="E136" s="18"/>
      <c r="F136" s="18"/>
      <c r="G136" s="18"/>
      <c r="H136" s="18"/>
      <c r="I136" s="18"/>
      <c r="J136" s="18"/>
      <c r="K136" s="18"/>
      <c r="L136" s="18"/>
      <c r="M136" s="48" t="s">
        <v>201</v>
      </c>
      <c r="N136" s="48"/>
      <c r="O136" s="18"/>
      <c r="P136" s="18"/>
      <c r="Q136" s="18"/>
      <c r="R136" s="18"/>
      <c r="S136" s="18"/>
      <c r="T136" s="18"/>
      <c r="U136" s="18"/>
      <c r="V136" s="18"/>
      <c r="W136" s="18"/>
      <c r="X136" s="18"/>
      <c r="Y136" s="48" t="s">
        <v>201</v>
      </c>
      <c r="Z136" s="48"/>
      <c r="AA136" s="18"/>
      <c r="AB136" s="18"/>
      <c r="AC136" s="18"/>
      <c r="AD136" s="18"/>
      <c r="AE136" s="18"/>
      <c r="AF136" s="18"/>
      <c r="AG136" s="18"/>
      <c r="AH136" s="18"/>
      <c r="AI136" s="18"/>
      <c r="AJ136" s="18"/>
      <c r="AK136" s="48" t="s">
        <v>201</v>
      </c>
      <c r="AL136" s="48"/>
      <c r="AM136" s="18"/>
      <c r="AN136" s="18"/>
      <c r="AO136" s="18"/>
      <c r="AP136" s="18"/>
      <c r="AQ136" s="18"/>
      <c r="AR136" s="18"/>
      <c r="AS136" s="18"/>
      <c r="AT136" s="18"/>
      <c r="AU136" s="18"/>
      <c r="AV136" s="18"/>
      <c r="AW136" s="48" t="s">
        <v>201</v>
      </c>
      <c r="AX136" s="48"/>
      <c r="AY136" s="18"/>
      <c r="AZ136" s="18"/>
      <c r="BA136" s="18"/>
      <c r="BB136" s="18"/>
      <c r="BC136" s="18"/>
      <c r="BD136" s="18"/>
      <c r="BE136" s="18"/>
      <c r="BF136" s="18"/>
      <c r="BG136" s="18"/>
      <c r="BH136" s="18"/>
      <c r="BI136" s="48" t="s">
        <v>201</v>
      </c>
      <c r="BJ136" s="48"/>
      <c r="BK136" s="18"/>
      <c r="BL136" s="18"/>
      <c r="BM136" s="18"/>
      <c r="BN136" s="18"/>
      <c r="BO136" s="18"/>
      <c r="BP136" s="18"/>
      <c r="BQ136" s="18"/>
      <c r="BR136" s="18"/>
      <c r="BS136" s="18"/>
      <c r="BT136" s="18"/>
      <c r="BU136" s="48" t="s">
        <v>201</v>
      </c>
      <c r="BV136" s="48"/>
      <c r="BW136" s="18"/>
      <c r="BX136" s="18"/>
      <c r="BY136" s="18"/>
      <c r="BZ136" s="18"/>
      <c r="CA136" s="18"/>
      <c r="CB136" s="18"/>
      <c r="CC136" s="18"/>
      <c r="CD136" s="18"/>
      <c r="CE136" s="18"/>
      <c r="CF136" s="18"/>
      <c r="CG136" s="48" t="s">
        <v>201</v>
      </c>
      <c r="CH136" s="48"/>
      <c r="CI136" s="18"/>
      <c r="CJ136" s="18"/>
      <c r="CK136" s="18"/>
      <c r="CL136" s="18"/>
      <c r="CM136" s="18"/>
      <c r="CN136" s="18"/>
      <c r="CO136" s="18"/>
      <c r="CP136" s="18"/>
      <c r="CQ136" s="18"/>
      <c r="CR136" s="18"/>
      <c r="CS136" s="48" t="s">
        <v>201</v>
      </c>
      <c r="CT136" s="48"/>
      <c r="CU136" s="18"/>
      <c r="CV136" s="18"/>
      <c r="CW136" s="18"/>
      <c r="CX136" s="18"/>
      <c r="CY136" s="18"/>
      <c r="CZ136" s="18"/>
      <c r="DA136" s="18"/>
      <c r="DB136" s="18"/>
      <c r="DC136" s="18"/>
      <c r="DD136" s="18"/>
      <c r="DE136" s="48" t="s">
        <v>201</v>
      </c>
      <c r="DF136" s="48"/>
      <c r="DG136" s="18"/>
      <c r="DH136" s="18"/>
      <c r="DI136" s="18"/>
      <c r="DJ136" s="18"/>
      <c r="DK136" s="18"/>
      <c r="DL136" s="18"/>
      <c r="DM136" s="18"/>
      <c r="DN136" s="18"/>
      <c r="DO136" s="18"/>
      <c r="DP136" s="18"/>
    </row>
    <row r="137" spans="1:120" x14ac:dyDescent="0.25">
      <c r="A137" s="138" t="str">
        <f>A$5</f>
        <v>Rental Dwelling</v>
      </c>
      <c r="B137" s="69"/>
      <c r="C137" s="18"/>
      <c r="D137" s="18"/>
      <c r="E137" s="18"/>
      <c r="F137" s="18"/>
      <c r="G137" s="18"/>
      <c r="H137" s="18"/>
      <c r="I137" s="18"/>
      <c r="J137" s="18"/>
      <c r="K137" s="18"/>
      <c r="L137" s="18"/>
      <c r="M137" s="138">
        <f>M$5</f>
        <v>0</v>
      </c>
      <c r="N137" s="69"/>
      <c r="O137" s="18"/>
      <c r="P137" s="18"/>
      <c r="Q137" s="18"/>
      <c r="R137" s="18"/>
      <c r="S137" s="18"/>
      <c r="T137" s="18"/>
      <c r="U137" s="18"/>
      <c r="V137" s="18"/>
      <c r="W137" s="18"/>
      <c r="X137" s="18"/>
      <c r="Y137" s="138">
        <f>Y$5</f>
        <v>0</v>
      </c>
      <c r="Z137" s="69"/>
      <c r="AA137" s="18"/>
      <c r="AB137" s="18"/>
      <c r="AC137" s="18"/>
      <c r="AD137" s="18"/>
      <c r="AE137" s="18"/>
      <c r="AF137" s="18"/>
      <c r="AG137" s="18"/>
      <c r="AH137" s="18"/>
      <c r="AI137" s="18"/>
      <c r="AJ137" s="18"/>
      <c r="AK137" s="138">
        <f>AK$5</f>
        <v>0</v>
      </c>
      <c r="AL137" s="69"/>
      <c r="AM137" s="18"/>
      <c r="AN137" s="18"/>
      <c r="AO137" s="18"/>
      <c r="AP137" s="18"/>
      <c r="AQ137" s="18"/>
      <c r="AR137" s="18"/>
      <c r="AS137" s="18"/>
      <c r="AT137" s="18"/>
      <c r="AU137" s="18"/>
      <c r="AV137" s="18"/>
      <c r="AW137" s="138">
        <f>AW$5</f>
        <v>0</v>
      </c>
      <c r="AX137" s="69"/>
      <c r="AY137" s="18"/>
      <c r="AZ137" s="18"/>
      <c r="BA137" s="18"/>
      <c r="BB137" s="18"/>
      <c r="BC137" s="18"/>
      <c r="BD137" s="18"/>
      <c r="BE137" s="18"/>
      <c r="BF137" s="18"/>
      <c r="BG137" s="18"/>
      <c r="BH137" s="18"/>
      <c r="BI137" s="138">
        <f>BI$5</f>
        <v>0</v>
      </c>
      <c r="BJ137" s="69"/>
      <c r="BK137" s="18"/>
      <c r="BL137" s="18"/>
      <c r="BM137" s="18"/>
      <c r="BN137" s="18"/>
      <c r="BO137" s="18"/>
      <c r="BP137" s="18"/>
      <c r="BQ137" s="18"/>
      <c r="BR137" s="18"/>
      <c r="BS137" s="18"/>
      <c r="BT137" s="18"/>
      <c r="BU137" s="138">
        <f>BU$5</f>
        <v>0</v>
      </c>
      <c r="BV137" s="69"/>
      <c r="BW137" s="18"/>
      <c r="BX137" s="18"/>
      <c r="BY137" s="18"/>
      <c r="BZ137" s="18"/>
      <c r="CA137" s="18"/>
      <c r="CB137" s="18"/>
      <c r="CC137" s="18"/>
      <c r="CD137" s="18"/>
      <c r="CE137" s="18"/>
      <c r="CF137" s="18"/>
      <c r="CG137" s="138">
        <f>CG$5</f>
        <v>0</v>
      </c>
      <c r="CH137" s="69"/>
      <c r="CI137" s="18"/>
      <c r="CJ137" s="18"/>
      <c r="CK137" s="18"/>
      <c r="CL137" s="18"/>
      <c r="CM137" s="18"/>
      <c r="CN137" s="18"/>
      <c r="CO137" s="18"/>
      <c r="CP137" s="18"/>
      <c r="CQ137" s="18"/>
      <c r="CR137" s="18"/>
      <c r="CS137" s="138">
        <f>CS$5</f>
        <v>0</v>
      </c>
      <c r="CT137" s="69"/>
      <c r="CU137" s="18"/>
      <c r="CV137" s="18"/>
      <c r="CW137" s="18"/>
      <c r="CX137" s="18"/>
      <c r="CY137" s="18"/>
      <c r="CZ137" s="18"/>
      <c r="DA137" s="18"/>
      <c r="DB137" s="18"/>
      <c r="DC137" s="18"/>
      <c r="DD137" s="18"/>
      <c r="DE137" s="138">
        <f>DE$5</f>
        <v>0</v>
      </c>
      <c r="DF137" s="69"/>
      <c r="DG137" s="18"/>
      <c r="DH137" s="18"/>
      <c r="DI137" s="18"/>
      <c r="DJ137" s="18"/>
      <c r="DK137" s="18"/>
      <c r="DL137" s="18"/>
      <c r="DM137" s="18"/>
      <c r="DN137" s="18"/>
      <c r="DO137" s="18"/>
      <c r="DP137" s="18"/>
    </row>
    <row r="139" spans="1:120" x14ac:dyDescent="0.25">
      <c r="A139" s="102"/>
      <c r="B139" s="129"/>
      <c r="C139" s="129" t="s">
        <v>4</v>
      </c>
      <c r="D139" s="103"/>
      <c r="E139" s="103"/>
      <c r="F139" s="103"/>
      <c r="G139" s="103"/>
      <c r="H139" s="103"/>
      <c r="I139" s="103"/>
      <c r="J139" s="103"/>
      <c r="K139" s="103"/>
      <c r="L139" s="103"/>
      <c r="M139" s="102"/>
      <c r="N139" s="129"/>
      <c r="O139" s="129" t="s">
        <v>4</v>
      </c>
      <c r="P139" s="103"/>
      <c r="Q139" s="103"/>
      <c r="R139" s="103"/>
      <c r="S139" s="103"/>
      <c r="T139" s="103"/>
      <c r="U139" s="103"/>
      <c r="V139" s="103"/>
      <c r="W139" s="103"/>
      <c r="X139" s="103"/>
      <c r="Y139" s="102"/>
      <c r="Z139" s="129"/>
      <c r="AA139" s="129" t="s">
        <v>4</v>
      </c>
      <c r="AB139" s="103"/>
      <c r="AC139" s="103"/>
      <c r="AD139" s="103"/>
      <c r="AE139" s="103"/>
      <c r="AF139" s="103"/>
      <c r="AG139" s="103"/>
      <c r="AH139" s="103"/>
      <c r="AI139" s="103"/>
      <c r="AJ139" s="103"/>
      <c r="AK139" s="102"/>
      <c r="AL139" s="129"/>
      <c r="AM139" s="129" t="s">
        <v>4</v>
      </c>
      <c r="AN139" s="103"/>
      <c r="AO139" s="103"/>
      <c r="AP139" s="103"/>
      <c r="AQ139" s="103"/>
      <c r="AR139" s="103"/>
      <c r="AS139" s="103"/>
      <c r="AT139" s="103"/>
      <c r="AU139" s="103"/>
      <c r="AV139" s="103"/>
      <c r="AW139" s="102"/>
      <c r="AX139" s="129"/>
      <c r="AY139" s="129" t="s">
        <v>4</v>
      </c>
      <c r="AZ139" s="103"/>
      <c r="BA139" s="103"/>
      <c r="BB139" s="103"/>
      <c r="BC139" s="103"/>
      <c r="BD139" s="103"/>
      <c r="BE139" s="103"/>
      <c r="BF139" s="103"/>
      <c r="BG139" s="103"/>
      <c r="BH139" s="103"/>
      <c r="BI139" s="102"/>
      <c r="BJ139" s="129"/>
      <c r="BK139" s="129" t="s">
        <v>4</v>
      </c>
      <c r="BL139" s="103"/>
      <c r="BM139" s="103"/>
      <c r="BN139" s="103"/>
      <c r="BO139" s="103"/>
      <c r="BP139" s="103"/>
      <c r="BQ139" s="103"/>
      <c r="BR139" s="103"/>
      <c r="BS139" s="103"/>
      <c r="BT139" s="103"/>
      <c r="BU139" s="102"/>
      <c r="BV139" s="129"/>
      <c r="BW139" s="129" t="s">
        <v>4</v>
      </c>
      <c r="BX139" s="103"/>
      <c r="BY139" s="103"/>
      <c r="BZ139" s="103"/>
      <c r="CA139" s="103"/>
      <c r="CB139" s="103"/>
      <c r="CC139" s="103"/>
      <c r="CD139" s="103"/>
      <c r="CE139" s="103"/>
      <c r="CF139" s="103"/>
      <c r="CG139" s="102"/>
      <c r="CH139" s="129"/>
      <c r="CI139" s="129" t="s">
        <v>4</v>
      </c>
      <c r="CJ139" s="103"/>
      <c r="CK139" s="103"/>
      <c r="CL139" s="103"/>
      <c r="CM139" s="103"/>
      <c r="CN139" s="103"/>
      <c r="CO139" s="103"/>
      <c r="CP139" s="103"/>
      <c r="CQ139" s="103"/>
      <c r="CR139" s="103"/>
      <c r="CS139" s="102"/>
      <c r="CT139" s="129"/>
      <c r="CU139" s="129" t="s">
        <v>4</v>
      </c>
      <c r="CV139" s="103"/>
      <c r="CW139" s="103"/>
      <c r="CX139" s="103"/>
      <c r="CY139" s="103"/>
      <c r="CZ139" s="103"/>
      <c r="DA139" s="103"/>
      <c r="DB139" s="103"/>
      <c r="DC139" s="103"/>
      <c r="DD139" s="103"/>
      <c r="DE139" s="102"/>
      <c r="DF139" s="129"/>
      <c r="DG139" s="129" t="s">
        <v>4</v>
      </c>
      <c r="DH139" s="103"/>
      <c r="DI139" s="103"/>
      <c r="DJ139" s="103"/>
      <c r="DK139" s="103"/>
      <c r="DL139" s="103"/>
      <c r="DM139" s="103"/>
      <c r="DN139" s="103"/>
      <c r="DO139" s="103"/>
      <c r="DP139" s="103"/>
    </row>
    <row r="140" spans="1:120" ht="30" x14ac:dyDescent="0.25">
      <c r="A140" s="92" t="str">
        <f>$A$35</f>
        <v>Fiscal Accident Year Data Ending</v>
      </c>
      <c r="B140" s="98">
        <f>$B$35</f>
        <v>0</v>
      </c>
      <c r="C140" s="98" t="str">
        <f>$C$35</f>
        <v>12</v>
      </c>
      <c r="D140" s="98">
        <f>$D$35</f>
        <v>24</v>
      </c>
      <c r="E140" s="98">
        <f>$E$35</f>
        <v>36</v>
      </c>
      <c r="F140" s="98">
        <f>$F$35</f>
        <v>48</v>
      </c>
      <c r="G140" s="98">
        <f>$G$35</f>
        <v>60</v>
      </c>
      <c r="H140" s="98">
        <f>$H$35</f>
        <v>72</v>
      </c>
      <c r="I140" s="98">
        <f>$I$35</f>
        <v>84</v>
      </c>
      <c r="J140" s="98">
        <f>$J$35</f>
        <v>96</v>
      </c>
      <c r="K140" s="98">
        <f>$K$35</f>
        <v>108</v>
      </c>
      <c r="L140" s="98">
        <f>$L$35</f>
        <v>120</v>
      </c>
      <c r="M140" s="92" t="str">
        <f>$A$35</f>
        <v>Fiscal Accident Year Data Ending</v>
      </c>
      <c r="N140" s="98">
        <f>$B$35</f>
        <v>0</v>
      </c>
      <c r="O140" s="98" t="str">
        <f>$C$35</f>
        <v>12</v>
      </c>
      <c r="P140" s="98">
        <f>$D$35</f>
        <v>24</v>
      </c>
      <c r="Q140" s="98">
        <f>$E$35</f>
        <v>36</v>
      </c>
      <c r="R140" s="98">
        <f>$F$35</f>
        <v>48</v>
      </c>
      <c r="S140" s="98">
        <f>$G$35</f>
        <v>60</v>
      </c>
      <c r="T140" s="98">
        <f>$H$35</f>
        <v>72</v>
      </c>
      <c r="U140" s="98">
        <f>$I$35</f>
        <v>84</v>
      </c>
      <c r="V140" s="98">
        <f>$J$35</f>
        <v>96</v>
      </c>
      <c r="W140" s="98">
        <f>$K$35</f>
        <v>108</v>
      </c>
      <c r="X140" s="98">
        <f>$L$35</f>
        <v>120</v>
      </c>
      <c r="Y140" s="92" t="str">
        <f>$A$35</f>
        <v>Fiscal Accident Year Data Ending</v>
      </c>
      <c r="Z140" s="98">
        <f>$B$35</f>
        <v>0</v>
      </c>
      <c r="AA140" s="98" t="str">
        <f>$C$35</f>
        <v>12</v>
      </c>
      <c r="AB140" s="98">
        <f>$D$35</f>
        <v>24</v>
      </c>
      <c r="AC140" s="98">
        <f>$E$35</f>
        <v>36</v>
      </c>
      <c r="AD140" s="98">
        <f>$F$35</f>
        <v>48</v>
      </c>
      <c r="AE140" s="98">
        <f>$G$35</f>
        <v>60</v>
      </c>
      <c r="AF140" s="98">
        <f>$H$35</f>
        <v>72</v>
      </c>
      <c r="AG140" s="98">
        <f>$I$35</f>
        <v>84</v>
      </c>
      <c r="AH140" s="98">
        <f>$J$35</f>
        <v>96</v>
      </c>
      <c r="AI140" s="98">
        <f>$K$35</f>
        <v>108</v>
      </c>
      <c r="AJ140" s="98">
        <f>$L$35</f>
        <v>120</v>
      </c>
      <c r="AK140" s="92" t="str">
        <f>$A$35</f>
        <v>Fiscal Accident Year Data Ending</v>
      </c>
      <c r="AL140" s="98">
        <f>$B$35</f>
        <v>0</v>
      </c>
      <c r="AM140" s="98" t="str">
        <f>$C$35</f>
        <v>12</v>
      </c>
      <c r="AN140" s="98">
        <f>$D$35</f>
        <v>24</v>
      </c>
      <c r="AO140" s="98">
        <f>$E$35</f>
        <v>36</v>
      </c>
      <c r="AP140" s="98">
        <f>$F$35</f>
        <v>48</v>
      </c>
      <c r="AQ140" s="98">
        <f>$G$35</f>
        <v>60</v>
      </c>
      <c r="AR140" s="98">
        <f>$H$35</f>
        <v>72</v>
      </c>
      <c r="AS140" s="98">
        <f>$I$35</f>
        <v>84</v>
      </c>
      <c r="AT140" s="98">
        <f>$J$35</f>
        <v>96</v>
      </c>
      <c r="AU140" s="98">
        <f>$K$35</f>
        <v>108</v>
      </c>
      <c r="AV140" s="98">
        <f>$L$35</f>
        <v>120</v>
      </c>
      <c r="AW140" s="92" t="str">
        <f>$A$35</f>
        <v>Fiscal Accident Year Data Ending</v>
      </c>
      <c r="AX140" s="98">
        <f>$B$35</f>
        <v>0</v>
      </c>
      <c r="AY140" s="98" t="str">
        <f>$C$35</f>
        <v>12</v>
      </c>
      <c r="AZ140" s="98">
        <f>$D$35</f>
        <v>24</v>
      </c>
      <c r="BA140" s="98">
        <f>$E$35</f>
        <v>36</v>
      </c>
      <c r="BB140" s="98">
        <f>$F$35</f>
        <v>48</v>
      </c>
      <c r="BC140" s="98">
        <f>$G$35</f>
        <v>60</v>
      </c>
      <c r="BD140" s="98">
        <f>$H$35</f>
        <v>72</v>
      </c>
      <c r="BE140" s="98">
        <f>$I$35</f>
        <v>84</v>
      </c>
      <c r="BF140" s="98">
        <f>$J$35</f>
        <v>96</v>
      </c>
      <c r="BG140" s="98">
        <f>$K$35</f>
        <v>108</v>
      </c>
      <c r="BH140" s="98">
        <f>$L$35</f>
        <v>120</v>
      </c>
      <c r="BI140" s="92" t="str">
        <f>$A$35</f>
        <v>Fiscal Accident Year Data Ending</v>
      </c>
      <c r="BJ140" s="98">
        <f>$B$35</f>
        <v>0</v>
      </c>
      <c r="BK140" s="98" t="str">
        <f>$C$35</f>
        <v>12</v>
      </c>
      <c r="BL140" s="98">
        <f>$D$35</f>
        <v>24</v>
      </c>
      <c r="BM140" s="98">
        <f>$E$35</f>
        <v>36</v>
      </c>
      <c r="BN140" s="98">
        <f>$F$35</f>
        <v>48</v>
      </c>
      <c r="BO140" s="98">
        <f>$G$35</f>
        <v>60</v>
      </c>
      <c r="BP140" s="98">
        <f>$H$35</f>
        <v>72</v>
      </c>
      <c r="BQ140" s="98">
        <f>$I$35</f>
        <v>84</v>
      </c>
      <c r="BR140" s="98">
        <f>$J$35</f>
        <v>96</v>
      </c>
      <c r="BS140" s="98">
        <f>$K$35</f>
        <v>108</v>
      </c>
      <c r="BT140" s="98">
        <f>$L$35</f>
        <v>120</v>
      </c>
      <c r="BU140" s="92" t="str">
        <f>$A$35</f>
        <v>Fiscal Accident Year Data Ending</v>
      </c>
      <c r="BV140" s="98">
        <f>$B$35</f>
        <v>0</v>
      </c>
      <c r="BW140" s="98" t="str">
        <f>$C$35</f>
        <v>12</v>
      </c>
      <c r="BX140" s="98">
        <f>$D$35</f>
        <v>24</v>
      </c>
      <c r="BY140" s="98">
        <f>$E$35</f>
        <v>36</v>
      </c>
      <c r="BZ140" s="98">
        <f>$F$35</f>
        <v>48</v>
      </c>
      <c r="CA140" s="98">
        <f>$G$35</f>
        <v>60</v>
      </c>
      <c r="CB140" s="98">
        <f>$H$35</f>
        <v>72</v>
      </c>
      <c r="CC140" s="98">
        <f>$I$35</f>
        <v>84</v>
      </c>
      <c r="CD140" s="98">
        <f>$J$35</f>
        <v>96</v>
      </c>
      <c r="CE140" s="98">
        <f>$K$35</f>
        <v>108</v>
      </c>
      <c r="CF140" s="98">
        <f>$L$35</f>
        <v>120</v>
      </c>
      <c r="CG140" s="92" t="str">
        <f>$A$35</f>
        <v>Fiscal Accident Year Data Ending</v>
      </c>
      <c r="CH140" s="98">
        <f>$B$35</f>
        <v>0</v>
      </c>
      <c r="CI140" s="98" t="str">
        <f>$C$35</f>
        <v>12</v>
      </c>
      <c r="CJ140" s="98">
        <f>$D$35</f>
        <v>24</v>
      </c>
      <c r="CK140" s="98">
        <f>$E$35</f>
        <v>36</v>
      </c>
      <c r="CL140" s="98">
        <f>$F$35</f>
        <v>48</v>
      </c>
      <c r="CM140" s="98">
        <f>$G$35</f>
        <v>60</v>
      </c>
      <c r="CN140" s="98">
        <f>$H$35</f>
        <v>72</v>
      </c>
      <c r="CO140" s="98">
        <f>$I$35</f>
        <v>84</v>
      </c>
      <c r="CP140" s="98">
        <f>$J$35</f>
        <v>96</v>
      </c>
      <c r="CQ140" s="98">
        <f>$K$35</f>
        <v>108</v>
      </c>
      <c r="CR140" s="98">
        <f>$L$35</f>
        <v>120</v>
      </c>
      <c r="CS140" s="92" t="str">
        <f>$A$35</f>
        <v>Fiscal Accident Year Data Ending</v>
      </c>
      <c r="CT140" s="98">
        <f>$B$35</f>
        <v>0</v>
      </c>
      <c r="CU140" s="98" t="str">
        <f>$C$35</f>
        <v>12</v>
      </c>
      <c r="CV140" s="98">
        <f>$D$35</f>
        <v>24</v>
      </c>
      <c r="CW140" s="98">
        <f>$E$35</f>
        <v>36</v>
      </c>
      <c r="CX140" s="98">
        <f>$F$35</f>
        <v>48</v>
      </c>
      <c r="CY140" s="98">
        <f>$G$35</f>
        <v>60</v>
      </c>
      <c r="CZ140" s="98">
        <f>$H$35</f>
        <v>72</v>
      </c>
      <c r="DA140" s="98">
        <f>$I$35</f>
        <v>84</v>
      </c>
      <c r="DB140" s="98">
        <f>$J$35</f>
        <v>96</v>
      </c>
      <c r="DC140" s="98">
        <f>$K$35</f>
        <v>108</v>
      </c>
      <c r="DD140" s="98">
        <f>$L$35</f>
        <v>120</v>
      </c>
      <c r="DE140" s="92" t="str">
        <f>$A$35</f>
        <v>Fiscal Accident Year Data Ending</v>
      </c>
      <c r="DF140" s="98">
        <f>$B$35</f>
        <v>0</v>
      </c>
      <c r="DG140" s="98" t="str">
        <f>$C$35</f>
        <v>12</v>
      </c>
      <c r="DH140" s="98">
        <f>$D$35</f>
        <v>24</v>
      </c>
      <c r="DI140" s="98">
        <f>$E$35</f>
        <v>36</v>
      </c>
      <c r="DJ140" s="98">
        <f>$F$35</f>
        <v>48</v>
      </c>
      <c r="DK140" s="98">
        <f>$G$35</f>
        <v>60</v>
      </c>
      <c r="DL140" s="98">
        <f>$H$35</f>
        <v>72</v>
      </c>
      <c r="DM140" s="98">
        <f>$I$35</f>
        <v>84</v>
      </c>
      <c r="DN140" s="98">
        <f>$J$35</f>
        <v>96</v>
      </c>
      <c r="DO140" s="98">
        <f>$K$35</f>
        <v>108</v>
      </c>
      <c r="DP140" s="98">
        <f>$L$35</f>
        <v>120</v>
      </c>
    </row>
    <row r="141" spans="1:120" ht="15" customHeight="1" x14ac:dyDescent="0.25">
      <c r="A141" s="31">
        <f>$A$36</f>
        <v>20132</v>
      </c>
      <c r="B141" s="116"/>
      <c r="C141" s="117">
        <f>IFERROR(C106/C71,"")</f>
        <v>1.8371162418682072E-2</v>
      </c>
      <c r="D141" s="117">
        <f>IFERROR(D106/D71,"")</f>
        <v>4.4028281106994686E-2</v>
      </c>
      <c r="E141" s="117">
        <f t="shared" ref="E141:L141" si="259">IFERROR(E106/E71,"")</f>
        <v>7.0461646983173434E-2</v>
      </c>
      <c r="F141" s="117">
        <f t="shared" si="259"/>
        <v>8.9073117436613544E-2</v>
      </c>
      <c r="G141" s="117">
        <f t="shared" si="259"/>
        <v>0.10191317245809127</v>
      </c>
      <c r="H141" s="117">
        <f t="shared" si="259"/>
        <v>0.10853208206454598</v>
      </c>
      <c r="I141" s="117">
        <f t="shared" si="259"/>
        <v>0.11096584802201881</v>
      </c>
      <c r="J141" s="117">
        <f t="shared" si="259"/>
        <v>0.11179920172812782</v>
      </c>
      <c r="K141" s="117">
        <f t="shared" si="259"/>
        <v>0.11298571602863414</v>
      </c>
      <c r="L141" s="117">
        <f t="shared" si="259"/>
        <v>0.11450585368489261</v>
      </c>
      <c r="M141" s="31">
        <f>$A$36</f>
        <v>20132</v>
      </c>
      <c r="N141" s="116"/>
      <c r="O141" s="117" t="str">
        <f>IFERROR(O106/O71,"")</f>
        <v/>
      </c>
      <c r="P141" s="117" t="str">
        <f t="shared" ref="P141:X141" si="260">IFERROR(P106/P71,"")</f>
        <v/>
      </c>
      <c r="Q141" s="117" t="str">
        <f t="shared" si="260"/>
        <v/>
      </c>
      <c r="R141" s="117" t="str">
        <f t="shared" si="260"/>
        <v/>
      </c>
      <c r="S141" s="117" t="str">
        <f t="shared" si="260"/>
        <v/>
      </c>
      <c r="T141" s="117" t="str">
        <f t="shared" si="260"/>
        <v/>
      </c>
      <c r="U141" s="117" t="str">
        <f t="shared" si="260"/>
        <v/>
      </c>
      <c r="V141" s="117" t="str">
        <f t="shared" si="260"/>
        <v/>
      </c>
      <c r="W141" s="117" t="str">
        <f t="shared" si="260"/>
        <v/>
      </c>
      <c r="X141" s="117" t="str">
        <f t="shared" si="260"/>
        <v/>
      </c>
      <c r="Y141" s="31">
        <f>$A$36</f>
        <v>20132</v>
      </c>
      <c r="Z141" s="116"/>
      <c r="AA141" s="117" t="str">
        <f>IFERROR(AA106/AA71,"")</f>
        <v/>
      </c>
      <c r="AB141" s="117" t="str">
        <f t="shared" ref="AB141:AJ141" si="261">IFERROR(AB106/AB71,"")</f>
        <v/>
      </c>
      <c r="AC141" s="117" t="str">
        <f t="shared" si="261"/>
        <v/>
      </c>
      <c r="AD141" s="117" t="str">
        <f t="shared" si="261"/>
        <v/>
      </c>
      <c r="AE141" s="117" t="str">
        <f t="shared" si="261"/>
        <v/>
      </c>
      <c r="AF141" s="117" t="str">
        <f t="shared" si="261"/>
        <v/>
      </c>
      <c r="AG141" s="117" t="str">
        <f t="shared" si="261"/>
        <v/>
      </c>
      <c r="AH141" s="117" t="str">
        <f t="shared" si="261"/>
        <v/>
      </c>
      <c r="AI141" s="117" t="str">
        <f t="shared" si="261"/>
        <v/>
      </c>
      <c r="AJ141" s="117" t="str">
        <f t="shared" si="261"/>
        <v/>
      </c>
      <c r="AK141" s="31">
        <f>$A$36</f>
        <v>20132</v>
      </c>
      <c r="AL141" s="116"/>
      <c r="AM141" s="117" t="str">
        <f>IFERROR(AM106/AM71,"")</f>
        <v/>
      </c>
      <c r="AN141" s="117" t="str">
        <f t="shared" ref="AN141:AV141" si="262">IFERROR(AN106/AN71,"")</f>
        <v/>
      </c>
      <c r="AO141" s="117" t="str">
        <f t="shared" si="262"/>
        <v/>
      </c>
      <c r="AP141" s="117" t="str">
        <f t="shared" si="262"/>
        <v/>
      </c>
      <c r="AQ141" s="117" t="str">
        <f t="shared" si="262"/>
        <v/>
      </c>
      <c r="AR141" s="117" t="str">
        <f t="shared" si="262"/>
        <v/>
      </c>
      <c r="AS141" s="117" t="str">
        <f t="shared" si="262"/>
        <v/>
      </c>
      <c r="AT141" s="117" t="str">
        <f t="shared" si="262"/>
        <v/>
      </c>
      <c r="AU141" s="117" t="str">
        <f t="shared" si="262"/>
        <v/>
      </c>
      <c r="AV141" s="117" t="str">
        <f t="shared" si="262"/>
        <v/>
      </c>
      <c r="AW141" s="31">
        <f>$A$36</f>
        <v>20132</v>
      </c>
      <c r="AX141" s="116"/>
      <c r="AY141" s="117" t="str">
        <f>IFERROR(AY106/AY71,"")</f>
        <v/>
      </c>
      <c r="AZ141" s="117" t="str">
        <f t="shared" ref="AZ141:BH141" si="263">IFERROR(AZ106/AZ71,"")</f>
        <v/>
      </c>
      <c r="BA141" s="117" t="str">
        <f t="shared" si="263"/>
        <v/>
      </c>
      <c r="BB141" s="117" t="str">
        <f t="shared" si="263"/>
        <v/>
      </c>
      <c r="BC141" s="117" t="str">
        <f t="shared" si="263"/>
        <v/>
      </c>
      <c r="BD141" s="117" t="str">
        <f t="shared" si="263"/>
        <v/>
      </c>
      <c r="BE141" s="117" t="str">
        <f t="shared" si="263"/>
        <v/>
      </c>
      <c r="BF141" s="117" t="str">
        <f t="shared" si="263"/>
        <v/>
      </c>
      <c r="BG141" s="117" t="str">
        <f t="shared" si="263"/>
        <v/>
      </c>
      <c r="BH141" s="117" t="str">
        <f t="shared" si="263"/>
        <v/>
      </c>
      <c r="BI141" s="31">
        <f>$A$36</f>
        <v>20132</v>
      </c>
      <c r="BJ141" s="116"/>
      <c r="BK141" s="117" t="str">
        <f>IFERROR(BK106/BK71,"")</f>
        <v/>
      </c>
      <c r="BL141" s="117" t="str">
        <f t="shared" ref="BL141:BT141" si="264">IFERROR(BL106/BL71,"")</f>
        <v/>
      </c>
      <c r="BM141" s="117" t="str">
        <f t="shared" si="264"/>
        <v/>
      </c>
      <c r="BN141" s="117" t="str">
        <f t="shared" si="264"/>
        <v/>
      </c>
      <c r="BO141" s="117" t="str">
        <f t="shared" si="264"/>
        <v/>
      </c>
      <c r="BP141" s="117" t="str">
        <f t="shared" si="264"/>
        <v/>
      </c>
      <c r="BQ141" s="117" t="str">
        <f t="shared" si="264"/>
        <v/>
      </c>
      <c r="BR141" s="117" t="str">
        <f t="shared" si="264"/>
        <v/>
      </c>
      <c r="BS141" s="117" t="str">
        <f t="shared" si="264"/>
        <v/>
      </c>
      <c r="BT141" s="117" t="str">
        <f t="shared" si="264"/>
        <v/>
      </c>
      <c r="BU141" s="31">
        <f>$A$36</f>
        <v>20132</v>
      </c>
      <c r="BV141" s="116"/>
      <c r="BW141" s="117" t="str">
        <f>IFERROR(BW106/BW71,"")</f>
        <v/>
      </c>
      <c r="BX141" s="117" t="str">
        <f t="shared" ref="BX141:CF141" si="265">IFERROR(BX106/BX71,"")</f>
        <v/>
      </c>
      <c r="BY141" s="117" t="str">
        <f t="shared" si="265"/>
        <v/>
      </c>
      <c r="BZ141" s="117" t="str">
        <f t="shared" si="265"/>
        <v/>
      </c>
      <c r="CA141" s="117" t="str">
        <f t="shared" si="265"/>
        <v/>
      </c>
      <c r="CB141" s="117" t="str">
        <f t="shared" si="265"/>
        <v/>
      </c>
      <c r="CC141" s="117" t="str">
        <f t="shared" si="265"/>
        <v/>
      </c>
      <c r="CD141" s="117" t="str">
        <f t="shared" si="265"/>
        <v/>
      </c>
      <c r="CE141" s="117" t="str">
        <f t="shared" si="265"/>
        <v/>
      </c>
      <c r="CF141" s="117" t="str">
        <f t="shared" si="265"/>
        <v/>
      </c>
      <c r="CG141" s="31">
        <f>$A$36</f>
        <v>20132</v>
      </c>
      <c r="CH141" s="116"/>
      <c r="CI141" s="117" t="str">
        <f>IFERROR(CI106/CI71,"")</f>
        <v/>
      </c>
      <c r="CJ141" s="117" t="str">
        <f t="shared" ref="CJ141:CR141" si="266">IFERROR(CJ106/CJ71,"")</f>
        <v/>
      </c>
      <c r="CK141" s="117" t="str">
        <f t="shared" si="266"/>
        <v/>
      </c>
      <c r="CL141" s="117" t="str">
        <f t="shared" si="266"/>
        <v/>
      </c>
      <c r="CM141" s="117" t="str">
        <f t="shared" si="266"/>
        <v/>
      </c>
      <c r="CN141" s="117" t="str">
        <f t="shared" si="266"/>
        <v/>
      </c>
      <c r="CO141" s="117" t="str">
        <f t="shared" si="266"/>
        <v/>
      </c>
      <c r="CP141" s="117" t="str">
        <f t="shared" si="266"/>
        <v/>
      </c>
      <c r="CQ141" s="117" t="str">
        <f t="shared" si="266"/>
        <v/>
      </c>
      <c r="CR141" s="117" t="str">
        <f t="shared" si="266"/>
        <v/>
      </c>
      <c r="CS141" s="31">
        <f>$A$36</f>
        <v>20132</v>
      </c>
      <c r="CT141" s="116"/>
      <c r="CU141" s="117" t="str">
        <f>IFERROR(CU106/CU71,"")</f>
        <v/>
      </c>
      <c r="CV141" s="117" t="str">
        <f t="shared" ref="CV141:DD141" si="267">IFERROR(CV106/CV71,"")</f>
        <v/>
      </c>
      <c r="CW141" s="117" t="str">
        <f t="shared" si="267"/>
        <v/>
      </c>
      <c r="CX141" s="117" t="str">
        <f t="shared" si="267"/>
        <v/>
      </c>
      <c r="CY141" s="117" t="str">
        <f t="shared" si="267"/>
        <v/>
      </c>
      <c r="CZ141" s="117" t="str">
        <f t="shared" si="267"/>
        <v/>
      </c>
      <c r="DA141" s="117" t="str">
        <f t="shared" si="267"/>
        <v/>
      </c>
      <c r="DB141" s="117" t="str">
        <f t="shared" si="267"/>
        <v/>
      </c>
      <c r="DC141" s="117" t="str">
        <f t="shared" si="267"/>
        <v/>
      </c>
      <c r="DD141" s="117" t="str">
        <f t="shared" si="267"/>
        <v/>
      </c>
      <c r="DE141" s="31">
        <f>$A$36</f>
        <v>20132</v>
      </c>
      <c r="DF141" s="116"/>
      <c r="DG141" s="117" t="str">
        <f>IFERROR(DG106/DG71,"")</f>
        <v/>
      </c>
      <c r="DH141" s="117" t="str">
        <f t="shared" ref="DH141:DP141" si="268">IFERROR(DH106/DH71,"")</f>
        <v/>
      </c>
      <c r="DI141" s="117" t="str">
        <f t="shared" si="268"/>
        <v/>
      </c>
      <c r="DJ141" s="117" t="str">
        <f t="shared" si="268"/>
        <v/>
      </c>
      <c r="DK141" s="117" t="str">
        <f t="shared" si="268"/>
        <v/>
      </c>
      <c r="DL141" s="117" t="str">
        <f t="shared" si="268"/>
        <v/>
      </c>
      <c r="DM141" s="117" t="str">
        <f t="shared" si="268"/>
        <v/>
      </c>
      <c r="DN141" s="117" t="str">
        <f t="shared" si="268"/>
        <v/>
      </c>
      <c r="DO141" s="117" t="str">
        <f t="shared" si="268"/>
        <v/>
      </c>
      <c r="DP141" s="117" t="str">
        <f t="shared" si="268"/>
        <v/>
      </c>
    </row>
    <row r="142" spans="1:120" ht="15" customHeight="1" x14ac:dyDescent="0.25">
      <c r="A142" s="31">
        <f>$A$37</f>
        <v>20142</v>
      </c>
      <c r="B142" s="116"/>
      <c r="C142" s="117">
        <f t="shared" ref="C142:K142" si="269">IFERROR(C107/C72,"")</f>
        <v>1.4740250689778503E-2</v>
      </c>
      <c r="D142" s="117">
        <f t="shared" si="269"/>
        <v>3.7127785253140026E-2</v>
      </c>
      <c r="E142" s="117">
        <f t="shared" si="269"/>
        <v>6.3624444596675434E-2</v>
      </c>
      <c r="F142" s="117">
        <f t="shared" si="269"/>
        <v>8.1465873441774861E-2</v>
      </c>
      <c r="G142" s="117">
        <f t="shared" si="269"/>
        <v>9.2547476177507013E-2</v>
      </c>
      <c r="H142" s="117">
        <f t="shared" si="269"/>
        <v>9.8834928717787388E-2</v>
      </c>
      <c r="I142" s="117">
        <f t="shared" si="269"/>
        <v>0.10290987548612646</v>
      </c>
      <c r="J142" s="117">
        <f t="shared" si="269"/>
        <v>0.1105749377734485</v>
      </c>
      <c r="K142" s="117">
        <f t="shared" si="269"/>
        <v>0.11646511438780124</v>
      </c>
      <c r="L142" s="134"/>
      <c r="M142" s="31">
        <f>$A$37</f>
        <v>20142</v>
      </c>
      <c r="N142" s="116"/>
      <c r="O142" s="117" t="str">
        <f t="shared" ref="O142:W142" si="270">IFERROR(O107/O72,"")</f>
        <v/>
      </c>
      <c r="P142" s="117" t="str">
        <f t="shared" si="270"/>
        <v/>
      </c>
      <c r="Q142" s="117" t="str">
        <f t="shared" si="270"/>
        <v/>
      </c>
      <c r="R142" s="117" t="str">
        <f t="shared" si="270"/>
        <v/>
      </c>
      <c r="S142" s="117" t="str">
        <f t="shared" si="270"/>
        <v/>
      </c>
      <c r="T142" s="117" t="str">
        <f t="shared" si="270"/>
        <v/>
      </c>
      <c r="U142" s="117" t="str">
        <f t="shared" si="270"/>
        <v/>
      </c>
      <c r="V142" s="117" t="str">
        <f t="shared" si="270"/>
        <v/>
      </c>
      <c r="W142" s="117" t="str">
        <f t="shared" si="270"/>
        <v/>
      </c>
      <c r="X142" s="134"/>
      <c r="Y142" s="31">
        <f>$A$37</f>
        <v>20142</v>
      </c>
      <c r="Z142" s="116"/>
      <c r="AA142" s="117" t="str">
        <f t="shared" ref="AA142:AI142" si="271">IFERROR(AA107/AA72,"")</f>
        <v/>
      </c>
      <c r="AB142" s="117" t="str">
        <f t="shared" si="271"/>
        <v/>
      </c>
      <c r="AC142" s="117" t="str">
        <f t="shared" si="271"/>
        <v/>
      </c>
      <c r="AD142" s="117" t="str">
        <f t="shared" si="271"/>
        <v/>
      </c>
      <c r="AE142" s="117" t="str">
        <f t="shared" si="271"/>
        <v/>
      </c>
      <c r="AF142" s="117" t="str">
        <f t="shared" si="271"/>
        <v/>
      </c>
      <c r="AG142" s="117" t="str">
        <f t="shared" si="271"/>
        <v/>
      </c>
      <c r="AH142" s="117" t="str">
        <f t="shared" si="271"/>
        <v/>
      </c>
      <c r="AI142" s="117" t="str">
        <f t="shared" si="271"/>
        <v/>
      </c>
      <c r="AJ142" s="134"/>
      <c r="AK142" s="31">
        <f>$A$37</f>
        <v>20142</v>
      </c>
      <c r="AL142" s="116"/>
      <c r="AM142" s="117" t="str">
        <f t="shared" ref="AM142:AU142" si="272">IFERROR(AM107/AM72,"")</f>
        <v/>
      </c>
      <c r="AN142" s="117" t="str">
        <f t="shared" si="272"/>
        <v/>
      </c>
      <c r="AO142" s="117" t="str">
        <f t="shared" si="272"/>
        <v/>
      </c>
      <c r="AP142" s="117" t="str">
        <f t="shared" si="272"/>
        <v/>
      </c>
      <c r="AQ142" s="117" t="str">
        <f t="shared" si="272"/>
        <v/>
      </c>
      <c r="AR142" s="117" t="str">
        <f t="shared" si="272"/>
        <v/>
      </c>
      <c r="AS142" s="117" t="str">
        <f t="shared" si="272"/>
        <v/>
      </c>
      <c r="AT142" s="117" t="str">
        <f t="shared" si="272"/>
        <v/>
      </c>
      <c r="AU142" s="117" t="str">
        <f t="shared" si="272"/>
        <v/>
      </c>
      <c r="AV142" s="134"/>
      <c r="AW142" s="31">
        <f>$A$37</f>
        <v>20142</v>
      </c>
      <c r="AX142" s="116"/>
      <c r="AY142" s="117" t="str">
        <f t="shared" ref="AY142:BG142" si="273">IFERROR(AY107/AY72,"")</f>
        <v/>
      </c>
      <c r="AZ142" s="117" t="str">
        <f t="shared" si="273"/>
        <v/>
      </c>
      <c r="BA142" s="117" t="str">
        <f t="shared" si="273"/>
        <v/>
      </c>
      <c r="BB142" s="117" t="str">
        <f t="shared" si="273"/>
        <v/>
      </c>
      <c r="BC142" s="117" t="str">
        <f t="shared" si="273"/>
        <v/>
      </c>
      <c r="BD142" s="117" t="str">
        <f t="shared" si="273"/>
        <v/>
      </c>
      <c r="BE142" s="117" t="str">
        <f t="shared" si="273"/>
        <v/>
      </c>
      <c r="BF142" s="117" t="str">
        <f t="shared" si="273"/>
        <v/>
      </c>
      <c r="BG142" s="117" t="str">
        <f t="shared" si="273"/>
        <v/>
      </c>
      <c r="BH142" s="134"/>
      <c r="BI142" s="31">
        <f>$A$37</f>
        <v>20142</v>
      </c>
      <c r="BJ142" s="116"/>
      <c r="BK142" s="117" t="str">
        <f t="shared" ref="BK142:BS142" si="274">IFERROR(BK107/BK72,"")</f>
        <v/>
      </c>
      <c r="BL142" s="117" t="str">
        <f t="shared" si="274"/>
        <v/>
      </c>
      <c r="BM142" s="117" t="str">
        <f t="shared" si="274"/>
        <v/>
      </c>
      <c r="BN142" s="117" t="str">
        <f t="shared" si="274"/>
        <v/>
      </c>
      <c r="BO142" s="117" t="str">
        <f t="shared" si="274"/>
        <v/>
      </c>
      <c r="BP142" s="117" t="str">
        <f t="shared" si="274"/>
        <v/>
      </c>
      <c r="BQ142" s="117" t="str">
        <f t="shared" si="274"/>
        <v/>
      </c>
      <c r="BR142" s="117" t="str">
        <f t="shared" si="274"/>
        <v/>
      </c>
      <c r="BS142" s="117" t="str">
        <f t="shared" si="274"/>
        <v/>
      </c>
      <c r="BT142" s="134"/>
      <c r="BU142" s="31">
        <f>$A$37</f>
        <v>20142</v>
      </c>
      <c r="BV142" s="116"/>
      <c r="BW142" s="117" t="str">
        <f t="shared" ref="BW142:CE142" si="275">IFERROR(BW107/BW72,"")</f>
        <v/>
      </c>
      <c r="BX142" s="117" t="str">
        <f t="shared" si="275"/>
        <v/>
      </c>
      <c r="BY142" s="117" t="str">
        <f t="shared" si="275"/>
        <v/>
      </c>
      <c r="BZ142" s="117" t="str">
        <f t="shared" si="275"/>
        <v/>
      </c>
      <c r="CA142" s="117" t="str">
        <f t="shared" si="275"/>
        <v/>
      </c>
      <c r="CB142" s="117" t="str">
        <f t="shared" si="275"/>
        <v/>
      </c>
      <c r="CC142" s="117" t="str">
        <f t="shared" si="275"/>
        <v/>
      </c>
      <c r="CD142" s="117" t="str">
        <f t="shared" si="275"/>
        <v/>
      </c>
      <c r="CE142" s="117" t="str">
        <f t="shared" si="275"/>
        <v/>
      </c>
      <c r="CF142" s="134"/>
      <c r="CG142" s="31">
        <f>$A$37</f>
        <v>20142</v>
      </c>
      <c r="CH142" s="116"/>
      <c r="CI142" s="117" t="str">
        <f t="shared" ref="CI142:CQ142" si="276">IFERROR(CI107/CI72,"")</f>
        <v/>
      </c>
      <c r="CJ142" s="117" t="str">
        <f t="shared" si="276"/>
        <v/>
      </c>
      <c r="CK142" s="117" t="str">
        <f t="shared" si="276"/>
        <v/>
      </c>
      <c r="CL142" s="117" t="str">
        <f t="shared" si="276"/>
        <v/>
      </c>
      <c r="CM142" s="117" t="str">
        <f t="shared" si="276"/>
        <v/>
      </c>
      <c r="CN142" s="117" t="str">
        <f t="shared" si="276"/>
        <v/>
      </c>
      <c r="CO142" s="117" t="str">
        <f t="shared" si="276"/>
        <v/>
      </c>
      <c r="CP142" s="117" t="str">
        <f t="shared" si="276"/>
        <v/>
      </c>
      <c r="CQ142" s="117" t="str">
        <f t="shared" si="276"/>
        <v/>
      </c>
      <c r="CR142" s="134"/>
      <c r="CS142" s="31">
        <f>$A$37</f>
        <v>20142</v>
      </c>
      <c r="CT142" s="116"/>
      <c r="CU142" s="117" t="str">
        <f t="shared" ref="CU142:DC142" si="277">IFERROR(CU107/CU72,"")</f>
        <v/>
      </c>
      <c r="CV142" s="117" t="str">
        <f t="shared" si="277"/>
        <v/>
      </c>
      <c r="CW142" s="117" t="str">
        <f t="shared" si="277"/>
        <v/>
      </c>
      <c r="CX142" s="117" t="str">
        <f t="shared" si="277"/>
        <v/>
      </c>
      <c r="CY142" s="117" t="str">
        <f t="shared" si="277"/>
        <v/>
      </c>
      <c r="CZ142" s="117" t="str">
        <f t="shared" si="277"/>
        <v/>
      </c>
      <c r="DA142" s="117" t="str">
        <f t="shared" si="277"/>
        <v/>
      </c>
      <c r="DB142" s="117" t="str">
        <f t="shared" si="277"/>
        <v/>
      </c>
      <c r="DC142" s="117" t="str">
        <f t="shared" si="277"/>
        <v/>
      </c>
      <c r="DD142" s="134"/>
      <c r="DE142" s="31">
        <f>$A$37</f>
        <v>20142</v>
      </c>
      <c r="DF142" s="116"/>
      <c r="DG142" s="117" t="str">
        <f t="shared" ref="DG142:DO142" si="278">IFERROR(DG107/DG72,"")</f>
        <v/>
      </c>
      <c r="DH142" s="117" t="str">
        <f t="shared" si="278"/>
        <v/>
      </c>
      <c r="DI142" s="117" t="str">
        <f t="shared" si="278"/>
        <v/>
      </c>
      <c r="DJ142" s="117" t="str">
        <f t="shared" si="278"/>
        <v/>
      </c>
      <c r="DK142" s="117" t="str">
        <f t="shared" si="278"/>
        <v/>
      </c>
      <c r="DL142" s="117" t="str">
        <f t="shared" si="278"/>
        <v/>
      </c>
      <c r="DM142" s="117" t="str">
        <f t="shared" si="278"/>
        <v/>
      </c>
      <c r="DN142" s="117" t="str">
        <f t="shared" si="278"/>
        <v/>
      </c>
      <c r="DO142" s="117" t="str">
        <f t="shared" si="278"/>
        <v/>
      </c>
      <c r="DP142" s="134"/>
    </row>
    <row r="143" spans="1:120" ht="15" customHeight="1" x14ac:dyDescent="0.25">
      <c r="A143" s="31">
        <f>$A$38</f>
        <v>20152</v>
      </c>
      <c r="B143" s="116"/>
      <c r="C143" s="117">
        <f t="shared" ref="C143:J143" si="279">IFERROR(C108/C73,"")</f>
        <v>1.2955442945087192E-2</v>
      </c>
      <c r="D143" s="117">
        <f t="shared" si="279"/>
        <v>4.4900444693765078E-2</v>
      </c>
      <c r="E143" s="117">
        <f t="shared" si="279"/>
        <v>7.1513324584030979E-2</v>
      </c>
      <c r="F143" s="117">
        <f t="shared" si="279"/>
        <v>9.1646408047037164E-2</v>
      </c>
      <c r="G143" s="117">
        <f t="shared" si="279"/>
        <v>0.10694131381151337</v>
      </c>
      <c r="H143" s="117">
        <f t="shared" si="279"/>
        <v>0.11720398671956207</v>
      </c>
      <c r="I143" s="117">
        <f t="shared" si="279"/>
        <v>0.12483852073606061</v>
      </c>
      <c r="J143" s="117">
        <f t="shared" si="279"/>
        <v>0.12852319622300393</v>
      </c>
      <c r="K143" s="134"/>
      <c r="L143" s="134"/>
      <c r="M143" s="31">
        <f>$A$38</f>
        <v>20152</v>
      </c>
      <c r="N143" s="116"/>
      <c r="O143" s="117" t="str">
        <f t="shared" ref="O143:V143" si="280">IFERROR(O108/O73,"")</f>
        <v/>
      </c>
      <c r="P143" s="117" t="str">
        <f t="shared" si="280"/>
        <v/>
      </c>
      <c r="Q143" s="117" t="str">
        <f t="shared" si="280"/>
        <v/>
      </c>
      <c r="R143" s="117" t="str">
        <f t="shared" si="280"/>
        <v/>
      </c>
      <c r="S143" s="117" t="str">
        <f t="shared" si="280"/>
        <v/>
      </c>
      <c r="T143" s="117" t="str">
        <f t="shared" si="280"/>
        <v/>
      </c>
      <c r="U143" s="117" t="str">
        <f t="shared" si="280"/>
        <v/>
      </c>
      <c r="V143" s="117" t="str">
        <f t="shared" si="280"/>
        <v/>
      </c>
      <c r="W143" s="134"/>
      <c r="X143" s="134"/>
      <c r="Y143" s="31">
        <f>$A$38</f>
        <v>20152</v>
      </c>
      <c r="Z143" s="116"/>
      <c r="AA143" s="117" t="str">
        <f t="shared" ref="AA143:AH143" si="281">IFERROR(AA108/AA73,"")</f>
        <v/>
      </c>
      <c r="AB143" s="117" t="str">
        <f t="shared" si="281"/>
        <v/>
      </c>
      <c r="AC143" s="117" t="str">
        <f t="shared" si="281"/>
        <v/>
      </c>
      <c r="AD143" s="117" t="str">
        <f t="shared" si="281"/>
        <v/>
      </c>
      <c r="AE143" s="117" t="str">
        <f t="shared" si="281"/>
        <v/>
      </c>
      <c r="AF143" s="117" t="str">
        <f t="shared" si="281"/>
        <v/>
      </c>
      <c r="AG143" s="117" t="str">
        <f t="shared" si="281"/>
        <v/>
      </c>
      <c r="AH143" s="117" t="str">
        <f t="shared" si="281"/>
        <v/>
      </c>
      <c r="AI143" s="134"/>
      <c r="AJ143" s="134"/>
      <c r="AK143" s="31">
        <f>$A$38</f>
        <v>20152</v>
      </c>
      <c r="AL143" s="116"/>
      <c r="AM143" s="117" t="str">
        <f t="shared" ref="AM143:AT143" si="282">IFERROR(AM108/AM73,"")</f>
        <v/>
      </c>
      <c r="AN143" s="117" t="str">
        <f t="shared" si="282"/>
        <v/>
      </c>
      <c r="AO143" s="117" t="str">
        <f t="shared" si="282"/>
        <v/>
      </c>
      <c r="AP143" s="117" t="str">
        <f t="shared" si="282"/>
        <v/>
      </c>
      <c r="AQ143" s="117" t="str">
        <f t="shared" si="282"/>
        <v/>
      </c>
      <c r="AR143" s="117" t="str">
        <f t="shared" si="282"/>
        <v/>
      </c>
      <c r="AS143" s="117" t="str">
        <f t="shared" si="282"/>
        <v/>
      </c>
      <c r="AT143" s="117" t="str">
        <f t="shared" si="282"/>
        <v/>
      </c>
      <c r="AU143" s="134"/>
      <c r="AV143" s="134"/>
      <c r="AW143" s="31">
        <f>$A$38</f>
        <v>20152</v>
      </c>
      <c r="AX143" s="116"/>
      <c r="AY143" s="117" t="str">
        <f t="shared" ref="AY143:BF143" si="283">IFERROR(AY108/AY73,"")</f>
        <v/>
      </c>
      <c r="AZ143" s="117" t="str">
        <f t="shared" si="283"/>
        <v/>
      </c>
      <c r="BA143" s="117" t="str">
        <f t="shared" si="283"/>
        <v/>
      </c>
      <c r="BB143" s="117" t="str">
        <f t="shared" si="283"/>
        <v/>
      </c>
      <c r="BC143" s="117" t="str">
        <f t="shared" si="283"/>
        <v/>
      </c>
      <c r="BD143" s="117" t="str">
        <f t="shared" si="283"/>
        <v/>
      </c>
      <c r="BE143" s="117" t="str">
        <f t="shared" si="283"/>
        <v/>
      </c>
      <c r="BF143" s="117" t="str">
        <f t="shared" si="283"/>
        <v/>
      </c>
      <c r="BG143" s="134"/>
      <c r="BH143" s="134"/>
      <c r="BI143" s="31">
        <f>$A$38</f>
        <v>20152</v>
      </c>
      <c r="BJ143" s="116"/>
      <c r="BK143" s="117" t="str">
        <f t="shared" ref="BK143:BR143" si="284">IFERROR(BK108/BK73,"")</f>
        <v/>
      </c>
      <c r="BL143" s="117" t="str">
        <f t="shared" si="284"/>
        <v/>
      </c>
      <c r="BM143" s="117" t="str">
        <f t="shared" si="284"/>
        <v/>
      </c>
      <c r="BN143" s="117" t="str">
        <f t="shared" si="284"/>
        <v/>
      </c>
      <c r="BO143" s="117" t="str">
        <f t="shared" si="284"/>
        <v/>
      </c>
      <c r="BP143" s="117" t="str">
        <f t="shared" si="284"/>
        <v/>
      </c>
      <c r="BQ143" s="117" t="str">
        <f t="shared" si="284"/>
        <v/>
      </c>
      <c r="BR143" s="117" t="str">
        <f t="shared" si="284"/>
        <v/>
      </c>
      <c r="BS143" s="134"/>
      <c r="BT143" s="134"/>
      <c r="BU143" s="31">
        <f>$A$38</f>
        <v>20152</v>
      </c>
      <c r="BV143" s="116"/>
      <c r="BW143" s="117" t="str">
        <f t="shared" ref="BW143:CD143" si="285">IFERROR(BW108/BW73,"")</f>
        <v/>
      </c>
      <c r="BX143" s="117" t="str">
        <f t="shared" si="285"/>
        <v/>
      </c>
      <c r="BY143" s="117" t="str">
        <f t="shared" si="285"/>
        <v/>
      </c>
      <c r="BZ143" s="117" t="str">
        <f t="shared" si="285"/>
        <v/>
      </c>
      <c r="CA143" s="117" t="str">
        <f t="shared" si="285"/>
        <v/>
      </c>
      <c r="CB143" s="117" t="str">
        <f t="shared" si="285"/>
        <v/>
      </c>
      <c r="CC143" s="117" t="str">
        <f t="shared" si="285"/>
        <v/>
      </c>
      <c r="CD143" s="117" t="str">
        <f t="shared" si="285"/>
        <v/>
      </c>
      <c r="CE143" s="134"/>
      <c r="CF143" s="134"/>
      <c r="CG143" s="31">
        <f>$A$38</f>
        <v>20152</v>
      </c>
      <c r="CH143" s="116"/>
      <c r="CI143" s="117" t="str">
        <f t="shared" ref="CI143:CP143" si="286">IFERROR(CI108/CI73,"")</f>
        <v/>
      </c>
      <c r="CJ143" s="117" t="str">
        <f t="shared" si="286"/>
        <v/>
      </c>
      <c r="CK143" s="117" t="str">
        <f t="shared" si="286"/>
        <v/>
      </c>
      <c r="CL143" s="117" t="str">
        <f t="shared" si="286"/>
        <v/>
      </c>
      <c r="CM143" s="117" t="str">
        <f t="shared" si="286"/>
        <v/>
      </c>
      <c r="CN143" s="117" t="str">
        <f t="shared" si="286"/>
        <v/>
      </c>
      <c r="CO143" s="117" t="str">
        <f t="shared" si="286"/>
        <v/>
      </c>
      <c r="CP143" s="117" t="str">
        <f t="shared" si="286"/>
        <v/>
      </c>
      <c r="CQ143" s="134"/>
      <c r="CR143" s="134"/>
      <c r="CS143" s="31">
        <f>$A$38</f>
        <v>20152</v>
      </c>
      <c r="CT143" s="116"/>
      <c r="CU143" s="117" t="str">
        <f t="shared" ref="CU143:DB143" si="287">IFERROR(CU108/CU73,"")</f>
        <v/>
      </c>
      <c r="CV143" s="117" t="str">
        <f t="shared" si="287"/>
        <v/>
      </c>
      <c r="CW143" s="117" t="str">
        <f t="shared" si="287"/>
        <v/>
      </c>
      <c r="CX143" s="117" t="str">
        <f t="shared" si="287"/>
        <v/>
      </c>
      <c r="CY143" s="117" t="str">
        <f t="shared" si="287"/>
        <v/>
      </c>
      <c r="CZ143" s="117" t="str">
        <f t="shared" si="287"/>
        <v/>
      </c>
      <c r="DA143" s="117" t="str">
        <f t="shared" si="287"/>
        <v/>
      </c>
      <c r="DB143" s="117" t="str">
        <f t="shared" si="287"/>
        <v/>
      </c>
      <c r="DC143" s="134"/>
      <c r="DD143" s="134"/>
      <c r="DE143" s="31">
        <f>$A$38</f>
        <v>20152</v>
      </c>
      <c r="DF143" s="116"/>
      <c r="DG143" s="117" t="str">
        <f t="shared" ref="DG143:DN143" si="288">IFERROR(DG108/DG73,"")</f>
        <v/>
      </c>
      <c r="DH143" s="117" t="str">
        <f t="shared" si="288"/>
        <v/>
      </c>
      <c r="DI143" s="117" t="str">
        <f t="shared" si="288"/>
        <v/>
      </c>
      <c r="DJ143" s="117" t="str">
        <f t="shared" si="288"/>
        <v/>
      </c>
      <c r="DK143" s="117" t="str">
        <f t="shared" si="288"/>
        <v/>
      </c>
      <c r="DL143" s="117" t="str">
        <f t="shared" si="288"/>
        <v/>
      </c>
      <c r="DM143" s="117" t="str">
        <f t="shared" si="288"/>
        <v/>
      </c>
      <c r="DN143" s="117" t="str">
        <f t="shared" si="288"/>
        <v/>
      </c>
      <c r="DO143" s="134"/>
      <c r="DP143" s="134"/>
    </row>
    <row r="144" spans="1:120" ht="15" customHeight="1" x14ac:dyDescent="0.25">
      <c r="A144" s="31">
        <f>$A$39</f>
        <v>20162</v>
      </c>
      <c r="B144" s="116"/>
      <c r="C144" s="117">
        <f t="shared" ref="C144:I144" si="289">IFERROR(C109/C74,"")</f>
        <v>1.2463692460257395E-2</v>
      </c>
      <c r="D144" s="117">
        <f t="shared" si="289"/>
        <v>3.2914876867951304E-2</v>
      </c>
      <c r="E144" s="117">
        <f t="shared" si="289"/>
        <v>5.7817430382255369E-2</v>
      </c>
      <c r="F144" s="117">
        <f t="shared" si="289"/>
        <v>8.1428148465284123E-2</v>
      </c>
      <c r="G144" s="117">
        <f t="shared" si="289"/>
        <v>9.0836874070707188E-2</v>
      </c>
      <c r="H144" s="117">
        <f t="shared" si="289"/>
        <v>9.5337668528182692E-2</v>
      </c>
      <c r="I144" s="117">
        <f t="shared" si="289"/>
        <v>9.7532323436188298E-2</v>
      </c>
      <c r="J144" s="134"/>
      <c r="K144" s="134"/>
      <c r="L144" s="134"/>
      <c r="M144" s="31">
        <f>$A$39</f>
        <v>20162</v>
      </c>
      <c r="N144" s="116"/>
      <c r="O144" s="117" t="str">
        <f t="shared" ref="O144:U144" si="290">IFERROR(O109/O74,"")</f>
        <v/>
      </c>
      <c r="P144" s="117" t="str">
        <f t="shared" si="290"/>
        <v/>
      </c>
      <c r="Q144" s="117" t="str">
        <f t="shared" si="290"/>
        <v/>
      </c>
      <c r="R144" s="117" t="str">
        <f t="shared" si="290"/>
        <v/>
      </c>
      <c r="S144" s="117" t="str">
        <f t="shared" si="290"/>
        <v/>
      </c>
      <c r="T144" s="117" t="str">
        <f t="shared" si="290"/>
        <v/>
      </c>
      <c r="U144" s="117" t="str">
        <f t="shared" si="290"/>
        <v/>
      </c>
      <c r="V144" s="134"/>
      <c r="W144" s="134"/>
      <c r="X144" s="134"/>
      <c r="Y144" s="31">
        <f>$A$39</f>
        <v>20162</v>
      </c>
      <c r="Z144" s="116"/>
      <c r="AA144" s="117" t="str">
        <f t="shared" ref="AA144:AG144" si="291">IFERROR(AA109/AA74,"")</f>
        <v/>
      </c>
      <c r="AB144" s="117" t="str">
        <f t="shared" si="291"/>
        <v/>
      </c>
      <c r="AC144" s="117" t="str">
        <f t="shared" si="291"/>
        <v/>
      </c>
      <c r="AD144" s="117" t="str">
        <f t="shared" si="291"/>
        <v/>
      </c>
      <c r="AE144" s="117" t="str">
        <f t="shared" si="291"/>
        <v/>
      </c>
      <c r="AF144" s="117" t="str">
        <f t="shared" si="291"/>
        <v/>
      </c>
      <c r="AG144" s="117" t="str">
        <f t="shared" si="291"/>
        <v/>
      </c>
      <c r="AH144" s="134"/>
      <c r="AI144" s="134"/>
      <c r="AJ144" s="134"/>
      <c r="AK144" s="31">
        <f>$A$39</f>
        <v>20162</v>
      </c>
      <c r="AL144" s="116"/>
      <c r="AM144" s="117" t="str">
        <f t="shared" ref="AM144:AS144" si="292">IFERROR(AM109/AM74,"")</f>
        <v/>
      </c>
      <c r="AN144" s="117" t="str">
        <f t="shared" si="292"/>
        <v/>
      </c>
      <c r="AO144" s="117" t="str">
        <f t="shared" si="292"/>
        <v/>
      </c>
      <c r="AP144" s="117" t="str">
        <f t="shared" si="292"/>
        <v/>
      </c>
      <c r="AQ144" s="117" t="str">
        <f t="shared" si="292"/>
        <v/>
      </c>
      <c r="AR144" s="117" t="str">
        <f t="shared" si="292"/>
        <v/>
      </c>
      <c r="AS144" s="117" t="str">
        <f t="shared" si="292"/>
        <v/>
      </c>
      <c r="AT144" s="134"/>
      <c r="AU144" s="134"/>
      <c r="AV144" s="134"/>
      <c r="AW144" s="31">
        <f>$A$39</f>
        <v>20162</v>
      </c>
      <c r="AX144" s="116"/>
      <c r="AY144" s="117" t="str">
        <f t="shared" ref="AY144:BE144" si="293">IFERROR(AY109/AY74,"")</f>
        <v/>
      </c>
      <c r="AZ144" s="117" t="str">
        <f t="shared" si="293"/>
        <v/>
      </c>
      <c r="BA144" s="117" t="str">
        <f t="shared" si="293"/>
        <v/>
      </c>
      <c r="BB144" s="117" t="str">
        <f t="shared" si="293"/>
        <v/>
      </c>
      <c r="BC144" s="117" t="str">
        <f t="shared" si="293"/>
        <v/>
      </c>
      <c r="BD144" s="117" t="str">
        <f t="shared" si="293"/>
        <v/>
      </c>
      <c r="BE144" s="117" t="str">
        <f t="shared" si="293"/>
        <v/>
      </c>
      <c r="BF144" s="134"/>
      <c r="BG144" s="134"/>
      <c r="BH144" s="134"/>
      <c r="BI144" s="31">
        <f>$A$39</f>
        <v>20162</v>
      </c>
      <c r="BJ144" s="116"/>
      <c r="BK144" s="117" t="str">
        <f t="shared" ref="BK144:BQ144" si="294">IFERROR(BK109/BK74,"")</f>
        <v/>
      </c>
      <c r="BL144" s="117" t="str">
        <f t="shared" si="294"/>
        <v/>
      </c>
      <c r="BM144" s="117" t="str">
        <f t="shared" si="294"/>
        <v/>
      </c>
      <c r="BN144" s="117" t="str">
        <f t="shared" si="294"/>
        <v/>
      </c>
      <c r="BO144" s="117" t="str">
        <f t="shared" si="294"/>
        <v/>
      </c>
      <c r="BP144" s="117" t="str">
        <f t="shared" si="294"/>
        <v/>
      </c>
      <c r="BQ144" s="117" t="str">
        <f t="shared" si="294"/>
        <v/>
      </c>
      <c r="BR144" s="134"/>
      <c r="BS144" s="134"/>
      <c r="BT144" s="134"/>
      <c r="BU144" s="31">
        <f>$A$39</f>
        <v>20162</v>
      </c>
      <c r="BV144" s="116"/>
      <c r="BW144" s="117" t="str">
        <f t="shared" ref="BW144:CC144" si="295">IFERROR(BW109/BW74,"")</f>
        <v/>
      </c>
      <c r="BX144" s="117" t="str">
        <f t="shared" si="295"/>
        <v/>
      </c>
      <c r="BY144" s="117" t="str">
        <f t="shared" si="295"/>
        <v/>
      </c>
      <c r="BZ144" s="117" t="str">
        <f t="shared" si="295"/>
        <v/>
      </c>
      <c r="CA144" s="117" t="str">
        <f t="shared" si="295"/>
        <v/>
      </c>
      <c r="CB144" s="117" t="str">
        <f t="shared" si="295"/>
        <v/>
      </c>
      <c r="CC144" s="117" t="str">
        <f t="shared" si="295"/>
        <v/>
      </c>
      <c r="CD144" s="134"/>
      <c r="CE144" s="134"/>
      <c r="CF144" s="134"/>
      <c r="CG144" s="31">
        <f>$A$39</f>
        <v>20162</v>
      </c>
      <c r="CH144" s="116"/>
      <c r="CI144" s="117" t="str">
        <f t="shared" ref="CI144:CO144" si="296">IFERROR(CI109/CI74,"")</f>
        <v/>
      </c>
      <c r="CJ144" s="117" t="str">
        <f t="shared" si="296"/>
        <v/>
      </c>
      <c r="CK144" s="117" t="str">
        <f t="shared" si="296"/>
        <v/>
      </c>
      <c r="CL144" s="117" t="str">
        <f t="shared" si="296"/>
        <v/>
      </c>
      <c r="CM144" s="117" t="str">
        <f t="shared" si="296"/>
        <v/>
      </c>
      <c r="CN144" s="117" t="str">
        <f t="shared" si="296"/>
        <v/>
      </c>
      <c r="CO144" s="117" t="str">
        <f t="shared" si="296"/>
        <v/>
      </c>
      <c r="CP144" s="134"/>
      <c r="CQ144" s="134"/>
      <c r="CR144" s="134"/>
      <c r="CS144" s="31">
        <f>$A$39</f>
        <v>20162</v>
      </c>
      <c r="CT144" s="116"/>
      <c r="CU144" s="117" t="str">
        <f t="shared" ref="CU144:DA144" si="297">IFERROR(CU109/CU74,"")</f>
        <v/>
      </c>
      <c r="CV144" s="117" t="str">
        <f t="shared" si="297"/>
        <v/>
      </c>
      <c r="CW144" s="117" t="str">
        <f t="shared" si="297"/>
        <v/>
      </c>
      <c r="CX144" s="117" t="str">
        <f t="shared" si="297"/>
        <v/>
      </c>
      <c r="CY144" s="117" t="str">
        <f t="shared" si="297"/>
        <v/>
      </c>
      <c r="CZ144" s="117" t="str">
        <f t="shared" si="297"/>
        <v/>
      </c>
      <c r="DA144" s="117" t="str">
        <f t="shared" si="297"/>
        <v/>
      </c>
      <c r="DB144" s="134"/>
      <c r="DC144" s="134"/>
      <c r="DD144" s="134"/>
      <c r="DE144" s="31">
        <f>$A$39</f>
        <v>20162</v>
      </c>
      <c r="DF144" s="116"/>
      <c r="DG144" s="117" t="str">
        <f t="shared" ref="DG144:DM144" si="298">IFERROR(DG109/DG74,"")</f>
        <v/>
      </c>
      <c r="DH144" s="117" t="str">
        <f t="shared" si="298"/>
        <v/>
      </c>
      <c r="DI144" s="117" t="str">
        <f t="shared" si="298"/>
        <v/>
      </c>
      <c r="DJ144" s="117" t="str">
        <f t="shared" si="298"/>
        <v/>
      </c>
      <c r="DK144" s="117" t="str">
        <f t="shared" si="298"/>
        <v/>
      </c>
      <c r="DL144" s="117" t="str">
        <f t="shared" si="298"/>
        <v/>
      </c>
      <c r="DM144" s="117" t="str">
        <f t="shared" si="298"/>
        <v/>
      </c>
      <c r="DN144" s="134"/>
      <c r="DO144" s="134"/>
      <c r="DP144" s="134"/>
    </row>
    <row r="145" spans="1:120" ht="15" customHeight="1" x14ac:dyDescent="0.25">
      <c r="A145" s="31">
        <f>$A$40</f>
        <v>20172</v>
      </c>
      <c r="B145" s="116"/>
      <c r="C145" s="117">
        <f t="shared" ref="C145:H145" si="299">IFERROR(C110/C75,"")</f>
        <v>1.1613658510307396E-2</v>
      </c>
      <c r="D145" s="117">
        <f t="shared" si="299"/>
        <v>3.8208729073328611E-2</v>
      </c>
      <c r="E145" s="117">
        <f t="shared" si="299"/>
        <v>6.20257965119951E-2</v>
      </c>
      <c r="F145" s="117">
        <f t="shared" si="299"/>
        <v>8.2082831647227544E-2</v>
      </c>
      <c r="G145" s="117">
        <f t="shared" si="299"/>
        <v>9.1721665989319939E-2</v>
      </c>
      <c r="H145" s="117">
        <f t="shared" si="299"/>
        <v>9.7945914117483532E-2</v>
      </c>
      <c r="I145" s="134"/>
      <c r="J145" s="134"/>
      <c r="K145" s="134"/>
      <c r="L145" s="134"/>
      <c r="M145" s="31">
        <f>$A$40</f>
        <v>20172</v>
      </c>
      <c r="N145" s="116"/>
      <c r="O145" s="117" t="str">
        <f t="shared" ref="O145:T145" si="300">IFERROR(O110/O75,"")</f>
        <v/>
      </c>
      <c r="P145" s="117" t="str">
        <f t="shared" si="300"/>
        <v/>
      </c>
      <c r="Q145" s="117" t="str">
        <f t="shared" si="300"/>
        <v/>
      </c>
      <c r="R145" s="117" t="str">
        <f t="shared" si="300"/>
        <v/>
      </c>
      <c r="S145" s="117" t="str">
        <f t="shared" si="300"/>
        <v/>
      </c>
      <c r="T145" s="117" t="str">
        <f t="shared" si="300"/>
        <v/>
      </c>
      <c r="U145" s="134"/>
      <c r="V145" s="134"/>
      <c r="W145" s="134"/>
      <c r="X145" s="134"/>
      <c r="Y145" s="31">
        <f>$A$40</f>
        <v>20172</v>
      </c>
      <c r="Z145" s="116"/>
      <c r="AA145" s="117" t="str">
        <f t="shared" ref="AA145:AF145" si="301">IFERROR(AA110/AA75,"")</f>
        <v/>
      </c>
      <c r="AB145" s="117" t="str">
        <f t="shared" si="301"/>
        <v/>
      </c>
      <c r="AC145" s="117" t="str">
        <f t="shared" si="301"/>
        <v/>
      </c>
      <c r="AD145" s="117" t="str">
        <f t="shared" si="301"/>
        <v/>
      </c>
      <c r="AE145" s="117" t="str">
        <f t="shared" si="301"/>
        <v/>
      </c>
      <c r="AF145" s="117" t="str">
        <f t="shared" si="301"/>
        <v/>
      </c>
      <c r="AG145" s="134"/>
      <c r="AH145" s="134"/>
      <c r="AI145" s="134"/>
      <c r="AJ145" s="134"/>
      <c r="AK145" s="31">
        <f>$A$40</f>
        <v>20172</v>
      </c>
      <c r="AL145" s="116"/>
      <c r="AM145" s="117" t="str">
        <f t="shared" ref="AM145:AR145" si="302">IFERROR(AM110/AM75,"")</f>
        <v/>
      </c>
      <c r="AN145" s="117" t="str">
        <f t="shared" si="302"/>
        <v/>
      </c>
      <c r="AO145" s="117" t="str">
        <f t="shared" si="302"/>
        <v/>
      </c>
      <c r="AP145" s="117" t="str">
        <f t="shared" si="302"/>
        <v/>
      </c>
      <c r="AQ145" s="117" t="str">
        <f t="shared" si="302"/>
        <v/>
      </c>
      <c r="AR145" s="117" t="str">
        <f t="shared" si="302"/>
        <v/>
      </c>
      <c r="AS145" s="134"/>
      <c r="AT145" s="134"/>
      <c r="AU145" s="134"/>
      <c r="AV145" s="134"/>
      <c r="AW145" s="31">
        <f>$A$40</f>
        <v>20172</v>
      </c>
      <c r="AX145" s="116"/>
      <c r="AY145" s="117" t="str">
        <f t="shared" ref="AY145:BD145" si="303">IFERROR(AY110/AY75,"")</f>
        <v/>
      </c>
      <c r="AZ145" s="117" t="str">
        <f t="shared" si="303"/>
        <v/>
      </c>
      <c r="BA145" s="117" t="str">
        <f t="shared" si="303"/>
        <v/>
      </c>
      <c r="BB145" s="117" t="str">
        <f t="shared" si="303"/>
        <v/>
      </c>
      <c r="BC145" s="117" t="str">
        <f t="shared" si="303"/>
        <v/>
      </c>
      <c r="BD145" s="117" t="str">
        <f t="shared" si="303"/>
        <v/>
      </c>
      <c r="BE145" s="134"/>
      <c r="BF145" s="134"/>
      <c r="BG145" s="134"/>
      <c r="BH145" s="134"/>
      <c r="BI145" s="31">
        <f>$A$40</f>
        <v>20172</v>
      </c>
      <c r="BJ145" s="116"/>
      <c r="BK145" s="117" t="str">
        <f t="shared" ref="BK145:BP145" si="304">IFERROR(BK110/BK75,"")</f>
        <v/>
      </c>
      <c r="BL145" s="117" t="str">
        <f t="shared" si="304"/>
        <v/>
      </c>
      <c r="BM145" s="117" t="str">
        <f t="shared" si="304"/>
        <v/>
      </c>
      <c r="BN145" s="117" t="str">
        <f t="shared" si="304"/>
        <v/>
      </c>
      <c r="BO145" s="117" t="str">
        <f t="shared" si="304"/>
        <v/>
      </c>
      <c r="BP145" s="117" t="str">
        <f t="shared" si="304"/>
        <v/>
      </c>
      <c r="BQ145" s="134"/>
      <c r="BR145" s="134"/>
      <c r="BS145" s="134"/>
      <c r="BT145" s="134"/>
      <c r="BU145" s="31">
        <f>$A$40</f>
        <v>20172</v>
      </c>
      <c r="BV145" s="116"/>
      <c r="BW145" s="117" t="str">
        <f t="shared" ref="BW145:CB145" si="305">IFERROR(BW110/BW75,"")</f>
        <v/>
      </c>
      <c r="BX145" s="117" t="str">
        <f t="shared" si="305"/>
        <v/>
      </c>
      <c r="BY145" s="117" t="str">
        <f t="shared" si="305"/>
        <v/>
      </c>
      <c r="BZ145" s="117" t="str">
        <f t="shared" si="305"/>
        <v/>
      </c>
      <c r="CA145" s="117" t="str">
        <f t="shared" si="305"/>
        <v/>
      </c>
      <c r="CB145" s="117" t="str">
        <f t="shared" si="305"/>
        <v/>
      </c>
      <c r="CC145" s="134"/>
      <c r="CD145" s="134"/>
      <c r="CE145" s="134"/>
      <c r="CF145" s="134"/>
      <c r="CG145" s="31">
        <f>$A$40</f>
        <v>20172</v>
      </c>
      <c r="CH145" s="116"/>
      <c r="CI145" s="117" t="str">
        <f t="shared" ref="CI145:CN145" si="306">IFERROR(CI110/CI75,"")</f>
        <v/>
      </c>
      <c r="CJ145" s="117" t="str">
        <f t="shared" si="306"/>
        <v/>
      </c>
      <c r="CK145" s="117" t="str">
        <f t="shared" si="306"/>
        <v/>
      </c>
      <c r="CL145" s="117" t="str">
        <f t="shared" si="306"/>
        <v/>
      </c>
      <c r="CM145" s="117" t="str">
        <f t="shared" si="306"/>
        <v/>
      </c>
      <c r="CN145" s="117" t="str">
        <f t="shared" si="306"/>
        <v/>
      </c>
      <c r="CO145" s="134"/>
      <c r="CP145" s="134"/>
      <c r="CQ145" s="134"/>
      <c r="CR145" s="134"/>
      <c r="CS145" s="31">
        <f>$A$40</f>
        <v>20172</v>
      </c>
      <c r="CT145" s="116"/>
      <c r="CU145" s="117" t="str">
        <f t="shared" ref="CU145:CZ145" si="307">IFERROR(CU110/CU75,"")</f>
        <v/>
      </c>
      <c r="CV145" s="117" t="str">
        <f t="shared" si="307"/>
        <v/>
      </c>
      <c r="CW145" s="117" t="str">
        <f t="shared" si="307"/>
        <v/>
      </c>
      <c r="CX145" s="117" t="str">
        <f t="shared" si="307"/>
        <v/>
      </c>
      <c r="CY145" s="117" t="str">
        <f t="shared" si="307"/>
        <v/>
      </c>
      <c r="CZ145" s="117" t="str">
        <f t="shared" si="307"/>
        <v/>
      </c>
      <c r="DA145" s="134"/>
      <c r="DB145" s="134"/>
      <c r="DC145" s="134"/>
      <c r="DD145" s="134"/>
      <c r="DE145" s="31">
        <f>$A$40</f>
        <v>20172</v>
      </c>
      <c r="DF145" s="116"/>
      <c r="DG145" s="117" t="str">
        <f t="shared" ref="DG145:DL145" si="308">IFERROR(DG110/DG75,"")</f>
        <v/>
      </c>
      <c r="DH145" s="117" t="str">
        <f t="shared" si="308"/>
        <v/>
      </c>
      <c r="DI145" s="117" t="str">
        <f t="shared" si="308"/>
        <v/>
      </c>
      <c r="DJ145" s="117" t="str">
        <f t="shared" si="308"/>
        <v/>
      </c>
      <c r="DK145" s="117" t="str">
        <f t="shared" si="308"/>
        <v/>
      </c>
      <c r="DL145" s="117" t="str">
        <f t="shared" si="308"/>
        <v/>
      </c>
      <c r="DM145" s="134"/>
      <c r="DN145" s="134"/>
      <c r="DO145" s="134"/>
      <c r="DP145" s="134"/>
    </row>
    <row r="146" spans="1:120" ht="15" customHeight="1" x14ac:dyDescent="0.25">
      <c r="A146" s="31">
        <f>$A$41</f>
        <v>20182</v>
      </c>
      <c r="B146" s="116"/>
      <c r="C146" s="117">
        <f t="shared" ref="C146:G146" si="309">IFERROR(C111/C76,"")</f>
        <v>1.2461671558984947E-2</v>
      </c>
      <c r="D146" s="117">
        <f t="shared" si="309"/>
        <v>3.4553675970729829E-2</v>
      </c>
      <c r="E146" s="117">
        <f t="shared" si="309"/>
        <v>6.3069926104626042E-2</v>
      </c>
      <c r="F146" s="117">
        <f t="shared" si="309"/>
        <v>8.2473319681367105E-2</v>
      </c>
      <c r="G146" s="117">
        <f t="shared" si="309"/>
        <v>9.6927266816486224E-2</v>
      </c>
      <c r="H146" s="134"/>
      <c r="I146" s="134"/>
      <c r="J146" s="134"/>
      <c r="K146" s="134"/>
      <c r="L146" s="134"/>
      <c r="M146" s="31">
        <f>$A$41</f>
        <v>20182</v>
      </c>
      <c r="N146" s="116"/>
      <c r="O146" s="117" t="str">
        <f t="shared" ref="O146:S146" si="310">IFERROR(O111/O76,"")</f>
        <v/>
      </c>
      <c r="P146" s="117" t="str">
        <f t="shared" si="310"/>
        <v/>
      </c>
      <c r="Q146" s="117" t="str">
        <f t="shared" si="310"/>
        <v/>
      </c>
      <c r="R146" s="117" t="str">
        <f t="shared" si="310"/>
        <v/>
      </c>
      <c r="S146" s="117" t="str">
        <f t="shared" si="310"/>
        <v/>
      </c>
      <c r="T146" s="134"/>
      <c r="U146" s="134"/>
      <c r="V146" s="134"/>
      <c r="W146" s="134"/>
      <c r="X146" s="134"/>
      <c r="Y146" s="31">
        <f>$A$41</f>
        <v>20182</v>
      </c>
      <c r="Z146" s="116"/>
      <c r="AA146" s="117" t="str">
        <f t="shared" ref="AA146:AE146" si="311">IFERROR(AA111/AA76,"")</f>
        <v/>
      </c>
      <c r="AB146" s="117" t="str">
        <f t="shared" si="311"/>
        <v/>
      </c>
      <c r="AC146" s="117" t="str">
        <f t="shared" si="311"/>
        <v/>
      </c>
      <c r="AD146" s="117" t="str">
        <f t="shared" si="311"/>
        <v/>
      </c>
      <c r="AE146" s="117" t="str">
        <f t="shared" si="311"/>
        <v/>
      </c>
      <c r="AF146" s="134"/>
      <c r="AG146" s="134"/>
      <c r="AH146" s="134"/>
      <c r="AI146" s="134"/>
      <c r="AJ146" s="134"/>
      <c r="AK146" s="31">
        <f>$A$41</f>
        <v>20182</v>
      </c>
      <c r="AL146" s="116"/>
      <c r="AM146" s="117" t="str">
        <f t="shared" ref="AM146:AQ146" si="312">IFERROR(AM111/AM76,"")</f>
        <v/>
      </c>
      <c r="AN146" s="117" t="str">
        <f t="shared" si="312"/>
        <v/>
      </c>
      <c r="AO146" s="117" t="str">
        <f t="shared" si="312"/>
        <v/>
      </c>
      <c r="AP146" s="117" t="str">
        <f t="shared" si="312"/>
        <v/>
      </c>
      <c r="AQ146" s="117" t="str">
        <f t="shared" si="312"/>
        <v/>
      </c>
      <c r="AR146" s="134"/>
      <c r="AS146" s="134"/>
      <c r="AT146" s="134"/>
      <c r="AU146" s="134"/>
      <c r="AV146" s="134"/>
      <c r="AW146" s="31">
        <f>$A$41</f>
        <v>20182</v>
      </c>
      <c r="AX146" s="116"/>
      <c r="AY146" s="117" t="str">
        <f t="shared" ref="AY146:BC146" si="313">IFERROR(AY111/AY76,"")</f>
        <v/>
      </c>
      <c r="AZ146" s="117" t="str">
        <f t="shared" si="313"/>
        <v/>
      </c>
      <c r="BA146" s="117" t="str">
        <f t="shared" si="313"/>
        <v/>
      </c>
      <c r="BB146" s="117" t="str">
        <f t="shared" si="313"/>
        <v/>
      </c>
      <c r="BC146" s="117" t="str">
        <f t="shared" si="313"/>
        <v/>
      </c>
      <c r="BD146" s="134"/>
      <c r="BE146" s="134"/>
      <c r="BF146" s="134"/>
      <c r="BG146" s="134"/>
      <c r="BH146" s="134"/>
      <c r="BI146" s="31">
        <f>$A$41</f>
        <v>20182</v>
      </c>
      <c r="BJ146" s="116"/>
      <c r="BK146" s="117" t="str">
        <f t="shared" ref="BK146:BO146" si="314">IFERROR(BK111/BK76,"")</f>
        <v/>
      </c>
      <c r="BL146" s="117" t="str">
        <f t="shared" si="314"/>
        <v/>
      </c>
      <c r="BM146" s="117" t="str">
        <f t="shared" si="314"/>
        <v/>
      </c>
      <c r="BN146" s="117" t="str">
        <f t="shared" si="314"/>
        <v/>
      </c>
      <c r="BO146" s="117" t="str">
        <f t="shared" si="314"/>
        <v/>
      </c>
      <c r="BP146" s="134"/>
      <c r="BQ146" s="134"/>
      <c r="BR146" s="134"/>
      <c r="BS146" s="134"/>
      <c r="BT146" s="134"/>
      <c r="BU146" s="31">
        <f>$A$41</f>
        <v>20182</v>
      </c>
      <c r="BV146" s="116"/>
      <c r="BW146" s="117" t="str">
        <f t="shared" ref="BW146:CA146" si="315">IFERROR(BW111/BW76,"")</f>
        <v/>
      </c>
      <c r="BX146" s="117" t="str">
        <f t="shared" si="315"/>
        <v/>
      </c>
      <c r="BY146" s="117" t="str">
        <f t="shared" si="315"/>
        <v/>
      </c>
      <c r="BZ146" s="117" t="str">
        <f t="shared" si="315"/>
        <v/>
      </c>
      <c r="CA146" s="117" t="str">
        <f t="shared" si="315"/>
        <v/>
      </c>
      <c r="CB146" s="134"/>
      <c r="CC146" s="134"/>
      <c r="CD146" s="134"/>
      <c r="CE146" s="134"/>
      <c r="CF146" s="134"/>
      <c r="CG146" s="31">
        <f>$A$41</f>
        <v>20182</v>
      </c>
      <c r="CH146" s="116"/>
      <c r="CI146" s="117" t="str">
        <f t="shared" ref="CI146:CM146" si="316">IFERROR(CI111/CI76,"")</f>
        <v/>
      </c>
      <c r="CJ146" s="117" t="str">
        <f t="shared" si="316"/>
        <v/>
      </c>
      <c r="CK146" s="117" t="str">
        <f t="shared" si="316"/>
        <v/>
      </c>
      <c r="CL146" s="117" t="str">
        <f t="shared" si="316"/>
        <v/>
      </c>
      <c r="CM146" s="117" t="str">
        <f t="shared" si="316"/>
        <v/>
      </c>
      <c r="CN146" s="134"/>
      <c r="CO146" s="134"/>
      <c r="CP146" s="134"/>
      <c r="CQ146" s="134"/>
      <c r="CR146" s="134"/>
      <c r="CS146" s="31">
        <f>$A$41</f>
        <v>20182</v>
      </c>
      <c r="CT146" s="116"/>
      <c r="CU146" s="117" t="str">
        <f t="shared" ref="CU146:CY146" si="317">IFERROR(CU111/CU76,"")</f>
        <v/>
      </c>
      <c r="CV146" s="117" t="str">
        <f t="shared" si="317"/>
        <v/>
      </c>
      <c r="CW146" s="117" t="str">
        <f t="shared" si="317"/>
        <v/>
      </c>
      <c r="CX146" s="117" t="str">
        <f t="shared" si="317"/>
        <v/>
      </c>
      <c r="CY146" s="117" t="str">
        <f t="shared" si="317"/>
        <v/>
      </c>
      <c r="CZ146" s="134"/>
      <c r="DA146" s="134"/>
      <c r="DB146" s="134"/>
      <c r="DC146" s="134"/>
      <c r="DD146" s="134"/>
      <c r="DE146" s="31">
        <f>$A$41</f>
        <v>20182</v>
      </c>
      <c r="DF146" s="116"/>
      <c r="DG146" s="117" t="str">
        <f t="shared" ref="DG146:DK146" si="318">IFERROR(DG111/DG76,"")</f>
        <v/>
      </c>
      <c r="DH146" s="117" t="str">
        <f t="shared" si="318"/>
        <v/>
      </c>
      <c r="DI146" s="117" t="str">
        <f t="shared" si="318"/>
        <v/>
      </c>
      <c r="DJ146" s="117" t="str">
        <f t="shared" si="318"/>
        <v/>
      </c>
      <c r="DK146" s="117" t="str">
        <f t="shared" si="318"/>
        <v/>
      </c>
      <c r="DL146" s="134"/>
      <c r="DM146" s="134"/>
      <c r="DN146" s="134"/>
      <c r="DO146" s="134"/>
      <c r="DP146" s="134"/>
    </row>
    <row r="147" spans="1:120" ht="15" customHeight="1" x14ac:dyDescent="0.25">
      <c r="A147" s="31">
        <f>$A$42</f>
        <v>20192</v>
      </c>
      <c r="B147" s="116"/>
      <c r="C147" s="117">
        <f t="shared" ref="C147:F147" si="319">IFERROR(C112/C77,"")</f>
        <v>9.5560486872685452E-3</v>
      </c>
      <c r="D147" s="117">
        <f t="shared" si="319"/>
        <v>2.6654354654397226E-2</v>
      </c>
      <c r="E147" s="117">
        <f t="shared" si="319"/>
        <v>5.2349596536708613E-2</v>
      </c>
      <c r="F147" s="117">
        <f t="shared" si="319"/>
        <v>7.4867218289579762E-2</v>
      </c>
      <c r="G147" s="134"/>
      <c r="H147" s="134"/>
      <c r="I147" s="134"/>
      <c r="J147" s="134"/>
      <c r="K147" s="134"/>
      <c r="L147" s="134"/>
      <c r="M147" s="31">
        <f>$A$42</f>
        <v>20192</v>
      </c>
      <c r="N147" s="116"/>
      <c r="O147" s="117" t="str">
        <f t="shared" ref="O147:R147" si="320">IFERROR(O112/O77,"")</f>
        <v/>
      </c>
      <c r="P147" s="117" t="str">
        <f t="shared" si="320"/>
        <v/>
      </c>
      <c r="Q147" s="117" t="str">
        <f t="shared" si="320"/>
        <v/>
      </c>
      <c r="R147" s="117" t="str">
        <f t="shared" si="320"/>
        <v/>
      </c>
      <c r="S147" s="134"/>
      <c r="T147" s="134"/>
      <c r="U147" s="134"/>
      <c r="V147" s="134"/>
      <c r="W147" s="134"/>
      <c r="X147" s="134"/>
      <c r="Y147" s="31">
        <f>$A$42</f>
        <v>20192</v>
      </c>
      <c r="Z147" s="116"/>
      <c r="AA147" s="117" t="str">
        <f t="shared" ref="AA147:AD147" si="321">IFERROR(AA112/AA77,"")</f>
        <v/>
      </c>
      <c r="AB147" s="117" t="str">
        <f t="shared" si="321"/>
        <v/>
      </c>
      <c r="AC147" s="117" t="str">
        <f t="shared" si="321"/>
        <v/>
      </c>
      <c r="AD147" s="117" t="str">
        <f t="shared" si="321"/>
        <v/>
      </c>
      <c r="AE147" s="134"/>
      <c r="AF147" s="134"/>
      <c r="AG147" s="134"/>
      <c r="AH147" s="134"/>
      <c r="AI147" s="134"/>
      <c r="AJ147" s="134"/>
      <c r="AK147" s="31">
        <f>$A$42</f>
        <v>20192</v>
      </c>
      <c r="AL147" s="116"/>
      <c r="AM147" s="117" t="str">
        <f t="shared" ref="AM147:AP147" si="322">IFERROR(AM112/AM77,"")</f>
        <v/>
      </c>
      <c r="AN147" s="117" t="str">
        <f t="shared" si="322"/>
        <v/>
      </c>
      <c r="AO147" s="117" t="str">
        <f t="shared" si="322"/>
        <v/>
      </c>
      <c r="AP147" s="117" t="str">
        <f t="shared" si="322"/>
        <v/>
      </c>
      <c r="AQ147" s="134"/>
      <c r="AR147" s="134"/>
      <c r="AS147" s="134"/>
      <c r="AT147" s="134"/>
      <c r="AU147" s="134"/>
      <c r="AV147" s="134"/>
      <c r="AW147" s="31">
        <f>$A$42</f>
        <v>20192</v>
      </c>
      <c r="AX147" s="116"/>
      <c r="AY147" s="117" t="str">
        <f t="shared" ref="AY147:BB147" si="323">IFERROR(AY112/AY77,"")</f>
        <v/>
      </c>
      <c r="AZ147" s="117" t="str">
        <f t="shared" si="323"/>
        <v/>
      </c>
      <c r="BA147" s="117" t="str">
        <f t="shared" si="323"/>
        <v/>
      </c>
      <c r="BB147" s="117" t="str">
        <f t="shared" si="323"/>
        <v/>
      </c>
      <c r="BC147" s="134"/>
      <c r="BD147" s="134"/>
      <c r="BE147" s="134"/>
      <c r="BF147" s="134"/>
      <c r="BG147" s="134"/>
      <c r="BH147" s="134"/>
      <c r="BI147" s="31">
        <f>$A$42</f>
        <v>20192</v>
      </c>
      <c r="BJ147" s="116"/>
      <c r="BK147" s="117" t="str">
        <f t="shared" ref="BK147:BN147" si="324">IFERROR(BK112/BK77,"")</f>
        <v/>
      </c>
      <c r="BL147" s="117" t="str">
        <f t="shared" si="324"/>
        <v/>
      </c>
      <c r="BM147" s="117" t="str">
        <f t="shared" si="324"/>
        <v/>
      </c>
      <c r="BN147" s="117" t="str">
        <f t="shared" si="324"/>
        <v/>
      </c>
      <c r="BO147" s="134"/>
      <c r="BP147" s="134"/>
      <c r="BQ147" s="134"/>
      <c r="BR147" s="134"/>
      <c r="BS147" s="134"/>
      <c r="BT147" s="134"/>
      <c r="BU147" s="31">
        <f>$A$42</f>
        <v>20192</v>
      </c>
      <c r="BV147" s="116"/>
      <c r="BW147" s="117" t="str">
        <f t="shared" ref="BW147:BZ147" si="325">IFERROR(BW112/BW77,"")</f>
        <v/>
      </c>
      <c r="BX147" s="117" t="str">
        <f t="shared" si="325"/>
        <v/>
      </c>
      <c r="BY147" s="117" t="str">
        <f t="shared" si="325"/>
        <v/>
      </c>
      <c r="BZ147" s="117" t="str">
        <f t="shared" si="325"/>
        <v/>
      </c>
      <c r="CA147" s="134"/>
      <c r="CB147" s="134"/>
      <c r="CC147" s="134"/>
      <c r="CD147" s="134"/>
      <c r="CE147" s="134"/>
      <c r="CF147" s="134"/>
      <c r="CG147" s="31">
        <f>$A$42</f>
        <v>20192</v>
      </c>
      <c r="CH147" s="116"/>
      <c r="CI147" s="117" t="str">
        <f t="shared" ref="CI147:CL147" si="326">IFERROR(CI112/CI77,"")</f>
        <v/>
      </c>
      <c r="CJ147" s="117" t="str">
        <f t="shared" si="326"/>
        <v/>
      </c>
      <c r="CK147" s="117" t="str">
        <f t="shared" si="326"/>
        <v/>
      </c>
      <c r="CL147" s="117" t="str">
        <f t="shared" si="326"/>
        <v/>
      </c>
      <c r="CM147" s="134"/>
      <c r="CN147" s="134"/>
      <c r="CO147" s="134"/>
      <c r="CP147" s="134"/>
      <c r="CQ147" s="134"/>
      <c r="CR147" s="134"/>
      <c r="CS147" s="31">
        <f>$A$42</f>
        <v>20192</v>
      </c>
      <c r="CT147" s="116"/>
      <c r="CU147" s="117" t="str">
        <f t="shared" ref="CU147:CX147" si="327">IFERROR(CU112/CU77,"")</f>
        <v/>
      </c>
      <c r="CV147" s="117" t="str">
        <f t="shared" si="327"/>
        <v/>
      </c>
      <c r="CW147" s="117" t="str">
        <f t="shared" si="327"/>
        <v/>
      </c>
      <c r="CX147" s="117" t="str">
        <f t="shared" si="327"/>
        <v/>
      </c>
      <c r="CY147" s="134"/>
      <c r="CZ147" s="134"/>
      <c r="DA147" s="134"/>
      <c r="DB147" s="134"/>
      <c r="DC147" s="134"/>
      <c r="DD147" s="134"/>
      <c r="DE147" s="31">
        <f>$A$42</f>
        <v>20192</v>
      </c>
      <c r="DF147" s="116"/>
      <c r="DG147" s="117" t="str">
        <f t="shared" ref="DG147:DJ147" si="328">IFERROR(DG112/DG77,"")</f>
        <v/>
      </c>
      <c r="DH147" s="117" t="str">
        <f t="shared" si="328"/>
        <v/>
      </c>
      <c r="DI147" s="117" t="str">
        <f t="shared" si="328"/>
        <v/>
      </c>
      <c r="DJ147" s="117" t="str">
        <f t="shared" si="328"/>
        <v/>
      </c>
      <c r="DK147" s="134"/>
      <c r="DL147" s="134"/>
      <c r="DM147" s="134"/>
      <c r="DN147" s="134"/>
      <c r="DO147" s="134"/>
      <c r="DP147" s="134"/>
    </row>
    <row r="148" spans="1:120" ht="15" customHeight="1" x14ac:dyDescent="0.25">
      <c r="A148" s="31">
        <f>$A$43</f>
        <v>20202</v>
      </c>
      <c r="B148" s="116"/>
      <c r="C148" s="117">
        <f t="shared" ref="C148:E148" si="329">IFERROR(C113/C78,"")</f>
        <v>1.9512715787970532E-2</v>
      </c>
      <c r="D148" s="117">
        <f t="shared" si="329"/>
        <v>3.4939216179895191E-2</v>
      </c>
      <c r="E148" s="117">
        <f t="shared" si="329"/>
        <v>5.6886761941793762E-2</v>
      </c>
      <c r="F148" s="134"/>
      <c r="G148" s="134"/>
      <c r="H148" s="134"/>
      <c r="I148" s="134"/>
      <c r="J148" s="134"/>
      <c r="K148" s="134"/>
      <c r="L148" s="134"/>
      <c r="M148" s="31">
        <f>$A$43</f>
        <v>20202</v>
      </c>
      <c r="N148" s="116"/>
      <c r="O148" s="117" t="str">
        <f t="shared" ref="O148:Q150" si="330">IFERROR(O113/O78,"")</f>
        <v/>
      </c>
      <c r="P148" s="117" t="str">
        <f t="shared" si="330"/>
        <v/>
      </c>
      <c r="Q148" s="117" t="str">
        <f t="shared" si="330"/>
        <v/>
      </c>
      <c r="R148" s="134"/>
      <c r="S148" s="134"/>
      <c r="T148" s="134"/>
      <c r="U148" s="134"/>
      <c r="V148" s="134"/>
      <c r="W148" s="134"/>
      <c r="X148" s="134"/>
      <c r="Y148" s="31">
        <f>$A$43</f>
        <v>20202</v>
      </c>
      <c r="Z148" s="116"/>
      <c r="AA148" s="117" t="str">
        <f t="shared" ref="AA148:AC150" si="331">IFERROR(AA113/AA78,"")</f>
        <v/>
      </c>
      <c r="AB148" s="117" t="str">
        <f t="shared" si="331"/>
        <v/>
      </c>
      <c r="AC148" s="117" t="str">
        <f t="shared" si="331"/>
        <v/>
      </c>
      <c r="AD148" s="134"/>
      <c r="AE148" s="134"/>
      <c r="AF148" s="134"/>
      <c r="AG148" s="134"/>
      <c r="AH148" s="134"/>
      <c r="AI148" s="134"/>
      <c r="AJ148" s="134"/>
      <c r="AK148" s="31">
        <f>$A$43</f>
        <v>20202</v>
      </c>
      <c r="AL148" s="116"/>
      <c r="AM148" s="117" t="str">
        <f t="shared" ref="AM148:AO150" si="332">IFERROR(AM113/AM78,"")</f>
        <v/>
      </c>
      <c r="AN148" s="117" t="str">
        <f t="shared" si="332"/>
        <v/>
      </c>
      <c r="AO148" s="117" t="str">
        <f t="shared" si="332"/>
        <v/>
      </c>
      <c r="AP148" s="134"/>
      <c r="AQ148" s="134"/>
      <c r="AR148" s="134"/>
      <c r="AS148" s="134"/>
      <c r="AT148" s="134"/>
      <c r="AU148" s="134"/>
      <c r="AV148" s="134"/>
      <c r="AW148" s="31">
        <f>$A$43</f>
        <v>20202</v>
      </c>
      <c r="AX148" s="116"/>
      <c r="AY148" s="117" t="str">
        <f t="shared" ref="AY148:BA150" si="333">IFERROR(AY113/AY78,"")</f>
        <v/>
      </c>
      <c r="AZ148" s="117" t="str">
        <f t="shared" si="333"/>
        <v/>
      </c>
      <c r="BA148" s="117" t="str">
        <f t="shared" si="333"/>
        <v/>
      </c>
      <c r="BB148" s="134"/>
      <c r="BC148" s="134"/>
      <c r="BD148" s="134"/>
      <c r="BE148" s="134"/>
      <c r="BF148" s="134"/>
      <c r="BG148" s="134"/>
      <c r="BH148" s="134"/>
      <c r="BI148" s="31">
        <f>$A$43</f>
        <v>20202</v>
      </c>
      <c r="BJ148" s="116"/>
      <c r="BK148" s="117" t="str">
        <f t="shared" ref="BK148:BM150" si="334">IFERROR(BK113/BK78,"")</f>
        <v/>
      </c>
      <c r="BL148" s="117" t="str">
        <f t="shared" si="334"/>
        <v/>
      </c>
      <c r="BM148" s="117" t="str">
        <f t="shared" si="334"/>
        <v/>
      </c>
      <c r="BN148" s="134"/>
      <c r="BO148" s="134"/>
      <c r="BP148" s="134"/>
      <c r="BQ148" s="134"/>
      <c r="BR148" s="134"/>
      <c r="BS148" s="134"/>
      <c r="BT148" s="134"/>
      <c r="BU148" s="31">
        <f>$A$43</f>
        <v>20202</v>
      </c>
      <c r="BV148" s="116"/>
      <c r="BW148" s="117" t="str">
        <f t="shared" ref="BW148:BY150" si="335">IFERROR(BW113/BW78,"")</f>
        <v/>
      </c>
      <c r="BX148" s="117" t="str">
        <f t="shared" si="335"/>
        <v/>
      </c>
      <c r="BY148" s="117" t="str">
        <f t="shared" si="335"/>
        <v/>
      </c>
      <c r="BZ148" s="134"/>
      <c r="CA148" s="134"/>
      <c r="CB148" s="134"/>
      <c r="CC148" s="134"/>
      <c r="CD148" s="134"/>
      <c r="CE148" s="134"/>
      <c r="CF148" s="134"/>
      <c r="CG148" s="31">
        <f>$A$43</f>
        <v>20202</v>
      </c>
      <c r="CH148" s="116"/>
      <c r="CI148" s="117" t="str">
        <f t="shared" ref="CI148:CK150" si="336">IFERROR(CI113/CI78,"")</f>
        <v/>
      </c>
      <c r="CJ148" s="117" t="str">
        <f t="shared" si="336"/>
        <v/>
      </c>
      <c r="CK148" s="117" t="str">
        <f t="shared" si="336"/>
        <v/>
      </c>
      <c r="CL148" s="134"/>
      <c r="CM148" s="134"/>
      <c r="CN148" s="134"/>
      <c r="CO148" s="134"/>
      <c r="CP148" s="134"/>
      <c r="CQ148" s="134"/>
      <c r="CR148" s="134"/>
      <c r="CS148" s="31">
        <f>$A$43</f>
        <v>20202</v>
      </c>
      <c r="CT148" s="116"/>
      <c r="CU148" s="117" t="str">
        <f t="shared" ref="CU148:CW150" si="337">IFERROR(CU113/CU78,"")</f>
        <v/>
      </c>
      <c r="CV148" s="117" t="str">
        <f t="shared" si="337"/>
        <v/>
      </c>
      <c r="CW148" s="117" t="str">
        <f t="shared" si="337"/>
        <v/>
      </c>
      <c r="CX148" s="134"/>
      <c r="CY148" s="134"/>
      <c r="CZ148" s="134"/>
      <c r="DA148" s="134"/>
      <c r="DB148" s="134"/>
      <c r="DC148" s="134"/>
      <c r="DD148" s="134"/>
      <c r="DE148" s="31">
        <f>$A$43</f>
        <v>20202</v>
      </c>
      <c r="DF148" s="116"/>
      <c r="DG148" s="117" t="str">
        <f t="shared" ref="DG148:DI150" si="338">IFERROR(DG113/DG78,"")</f>
        <v/>
      </c>
      <c r="DH148" s="117" t="str">
        <f t="shared" si="338"/>
        <v/>
      </c>
      <c r="DI148" s="117" t="str">
        <f t="shared" si="338"/>
        <v/>
      </c>
      <c r="DJ148" s="134"/>
      <c r="DK148" s="134"/>
      <c r="DL148" s="134"/>
      <c r="DM148" s="134"/>
      <c r="DN148" s="134"/>
      <c r="DO148" s="134"/>
      <c r="DP148" s="134"/>
    </row>
    <row r="149" spans="1:120" ht="15" customHeight="1" x14ac:dyDescent="0.25">
      <c r="A149" s="31">
        <f>$A$44</f>
        <v>20212</v>
      </c>
      <c r="B149" s="116"/>
      <c r="C149" s="117">
        <f t="shared" ref="C149" si="339">IFERROR(C114/C79,"")</f>
        <v>2.0819296156652709E-2</v>
      </c>
      <c r="D149" s="117">
        <f>IFERROR(D114/D79,"")</f>
        <v>3.6345406031434359E-2</v>
      </c>
      <c r="E149" s="134"/>
      <c r="F149" s="134"/>
      <c r="G149" s="134"/>
      <c r="H149" s="134"/>
      <c r="I149" s="134"/>
      <c r="J149" s="134"/>
      <c r="K149" s="134"/>
      <c r="L149" s="134"/>
      <c r="M149" s="31">
        <f>$A$44</f>
        <v>20212</v>
      </c>
      <c r="N149" s="116"/>
      <c r="O149" s="117" t="str">
        <f t="shared" si="330"/>
        <v/>
      </c>
      <c r="P149" s="117" t="str">
        <f>IFERROR(P114/P79,"")</f>
        <v/>
      </c>
      <c r="Q149" s="134"/>
      <c r="R149" s="134"/>
      <c r="S149" s="134"/>
      <c r="T149" s="134"/>
      <c r="U149" s="134"/>
      <c r="V149" s="134"/>
      <c r="W149" s="134"/>
      <c r="X149" s="134"/>
      <c r="Y149" s="31">
        <f>$A$44</f>
        <v>20212</v>
      </c>
      <c r="Z149" s="116"/>
      <c r="AA149" s="117" t="str">
        <f t="shared" si="331"/>
        <v/>
      </c>
      <c r="AB149" s="117" t="str">
        <f>IFERROR(AB114/AB79,"")</f>
        <v/>
      </c>
      <c r="AC149" s="134"/>
      <c r="AD149" s="134"/>
      <c r="AE149" s="134"/>
      <c r="AF149" s="134"/>
      <c r="AG149" s="134"/>
      <c r="AH149" s="134"/>
      <c r="AI149" s="134"/>
      <c r="AJ149" s="134"/>
      <c r="AK149" s="31">
        <f>$A$44</f>
        <v>20212</v>
      </c>
      <c r="AL149" s="116"/>
      <c r="AM149" s="117" t="str">
        <f t="shared" si="332"/>
        <v/>
      </c>
      <c r="AN149" s="117" t="str">
        <f>IFERROR(AN114/AN79,"")</f>
        <v/>
      </c>
      <c r="AO149" s="134"/>
      <c r="AP149" s="134"/>
      <c r="AQ149" s="134"/>
      <c r="AR149" s="134"/>
      <c r="AS149" s="134"/>
      <c r="AT149" s="134"/>
      <c r="AU149" s="134"/>
      <c r="AV149" s="134"/>
      <c r="AW149" s="31">
        <f>$A$44</f>
        <v>20212</v>
      </c>
      <c r="AX149" s="116"/>
      <c r="AY149" s="117" t="str">
        <f t="shared" si="333"/>
        <v/>
      </c>
      <c r="AZ149" s="117" t="str">
        <f>IFERROR(AZ114/AZ79,"")</f>
        <v/>
      </c>
      <c r="BA149" s="134"/>
      <c r="BB149" s="134"/>
      <c r="BC149" s="134"/>
      <c r="BD149" s="134"/>
      <c r="BE149" s="134"/>
      <c r="BF149" s="134"/>
      <c r="BG149" s="134"/>
      <c r="BH149" s="134"/>
      <c r="BI149" s="31">
        <f>$A$44</f>
        <v>20212</v>
      </c>
      <c r="BJ149" s="116"/>
      <c r="BK149" s="117" t="str">
        <f t="shared" si="334"/>
        <v/>
      </c>
      <c r="BL149" s="117" t="str">
        <f>IFERROR(BL114/BL79,"")</f>
        <v/>
      </c>
      <c r="BM149" s="134"/>
      <c r="BN149" s="134"/>
      <c r="BO149" s="134"/>
      <c r="BP149" s="134"/>
      <c r="BQ149" s="134"/>
      <c r="BR149" s="134"/>
      <c r="BS149" s="134"/>
      <c r="BT149" s="134"/>
      <c r="BU149" s="31">
        <f>$A$44</f>
        <v>20212</v>
      </c>
      <c r="BV149" s="116"/>
      <c r="BW149" s="117" t="str">
        <f t="shared" si="335"/>
        <v/>
      </c>
      <c r="BX149" s="117" t="str">
        <f>IFERROR(BX114/BX79,"")</f>
        <v/>
      </c>
      <c r="BY149" s="134"/>
      <c r="BZ149" s="134"/>
      <c r="CA149" s="134"/>
      <c r="CB149" s="134"/>
      <c r="CC149" s="134"/>
      <c r="CD149" s="134"/>
      <c r="CE149" s="134"/>
      <c r="CF149" s="134"/>
      <c r="CG149" s="31">
        <f>$A$44</f>
        <v>20212</v>
      </c>
      <c r="CH149" s="116"/>
      <c r="CI149" s="117" t="str">
        <f t="shared" si="336"/>
        <v/>
      </c>
      <c r="CJ149" s="117" t="str">
        <f>IFERROR(CJ114/CJ79,"")</f>
        <v/>
      </c>
      <c r="CK149" s="134"/>
      <c r="CL149" s="134"/>
      <c r="CM149" s="134"/>
      <c r="CN149" s="134"/>
      <c r="CO149" s="134"/>
      <c r="CP149" s="134"/>
      <c r="CQ149" s="134"/>
      <c r="CR149" s="134"/>
      <c r="CS149" s="31">
        <f>$A$44</f>
        <v>20212</v>
      </c>
      <c r="CT149" s="116"/>
      <c r="CU149" s="117" t="str">
        <f t="shared" si="337"/>
        <v/>
      </c>
      <c r="CV149" s="117" t="str">
        <f>IFERROR(CV114/CV79,"")</f>
        <v/>
      </c>
      <c r="CW149" s="134"/>
      <c r="CX149" s="134"/>
      <c r="CY149" s="134"/>
      <c r="CZ149" s="134"/>
      <c r="DA149" s="134"/>
      <c r="DB149" s="134"/>
      <c r="DC149" s="134"/>
      <c r="DD149" s="134"/>
      <c r="DE149" s="31">
        <f>$A$44</f>
        <v>20212</v>
      </c>
      <c r="DF149" s="116"/>
      <c r="DG149" s="117" t="str">
        <f t="shared" si="338"/>
        <v/>
      </c>
      <c r="DH149" s="117" t="str">
        <f>IFERROR(DH114/DH79,"")</f>
        <v/>
      </c>
      <c r="DI149" s="134"/>
      <c r="DJ149" s="134"/>
      <c r="DK149" s="134"/>
      <c r="DL149" s="134"/>
      <c r="DM149" s="134"/>
      <c r="DN149" s="134"/>
      <c r="DO149" s="134"/>
      <c r="DP149" s="134"/>
    </row>
    <row r="150" spans="1:120" ht="15" customHeight="1" x14ac:dyDescent="0.25">
      <c r="A150" s="31">
        <f>$A$45</f>
        <v>20222</v>
      </c>
      <c r="B150" s="116"/>
      <c r="C150" s="117">
        <f t="shared" ref="C150" si="340">IFERROR(C115/C80,"")</f>
        <v>1.5268596859373821E-2</v>
      </c>
      <c r="D150" s="134"/>
      <c r="E150" s="134"/>
      <c r="F150" s="134"/>
      <c r="G150" s="134"/>
      <c r="H150" s="134"/>
      <c r="I150" s="134"/>
      <c r="J150" s="134"/>
      <c r="K150" s="134"/>
      <c r="L150" s="134"/>
      <c r="M150" s="31">
        <f>$A$45</f>
        <v>20222</v>
      </c>
      <c r="N150" s="116"/>
      <c r="O150" s="117" t="str">
        <f t="shared" si="330"/>
        <v/>
      </c>
      <c r="P150" s="134"/>
      <c r="Q150" s="134"/>
      <c r="R150" s="134"/>
      <c r="S150" s="134"/>
      <c r="T150" s="134"/>
      <c r="U150" s="134"/>
      <c r="V150" s="134"/>
      <c r="W150" s="134"/>
      <c r="X150" s="134"/>
      <c r="Y150" s="31">
        <f>$A$45</f>
        <v>20222</v>
      </c>
      <c r="Z150" s="116"/>
      <c r="AA150" s="117" t="str">
        <f t="shared" si="331"/>
        <v/>
      </c>
      <c r="AB150" s="134"/>
      <c r="AC150" s="134"/>
      <c r="AD150" s="134"/>
      <c r="AE150" s="134"/>
      <c r="AF150" s="134"/>
      <c r="AG150" s="134"/>
      <c r="AH150" s="134"/>
      <c r="AI150" s="134"/>
      <c r="AJ150" s="134"/>
      <c r="AK150" s="31">
        <f>$A$45</f>
        <v>20222</v>
      </c>
      <c r="AL150" s="116"/>
      <c r="AM150" s="117" t="str">
        <f t="shared" si="332"/>
        <v/>
      </c>
      <c r="AN150" s="134"/>
      <c r="AO150" s="134"/>
      <c r="AP150" s="134"/>
      <c r="AQ150" s="134"/>
      <c r="AR150" s="134"/>
      <c r="AS150" s="134"/>
      <c r="AT150" s="134"/>
      <c r="AU150" s="134"/>
      <c r="AV150" s="134"/>
      <c r="AW150" s="31">
        <f>$A$45</f>
        <v>20222</v>
      </c>
      <c r="AX150" s="116"/>
      <c r="AY150" s="117" t="str">
        <f t="shared" si="333"/>
        <v/>
      </c>
      <c r="AZ150" s="134"/>
      <c r="BA150" s="134"/>
      <c r="BB150" s="134"/>
      <c r="BC150" s="134"/>
      <c r="BD150" s="134"/>
      <c r="BE150" s="134"/>
      <c r="BF150" s="134"/>
      <c r="BG150" s="134"/>
      <c r="BH150" s="134"/>
      <c r="BI150" s="31">
        <f>$A$45</f>
        <v>20222</v>
      </c>
      <c r="BJ150" s="116"/>
      <c r="BK150" s="117" t="str">
        <f t="shared" si="334"/>
        <v/>
      </c>
      <c r="BL150" s="134"/>
      <c r="BM150" s="134"/>
      <c r="BN150" s="134"/>
      <c r="BO150" s="134"/>
      <c r="BP150" s="134"/>
      <c r="BQ150" s="134"/>
      <c r="BR150" s="134"/>
      <c r="BS150" s="134"/>
      <c r="BT150" s="134"/>
      <c r="BU150" s="31">
        <f>$A$45</f>
        <v>20222</v>
      </c>
      <c r="BV150" s="116"/>
      <c r="BW150" s="117" t="str">
        <f t="shared" si="335"/>
        <v/>
      </c>
      <c r="BX150" s="134"/>
      <c r="BY150" s="134"/>
      <c r="BZ150" s="134"/>
      <c r="CA150" s="134"/>
      <c r="CB150" s="134"/>
      <c r="CC150" s="134"/>
      <c r="CD150" s="134"/>
      <c r="CE150" s="134"/>
      <c r="CF150" s="134"/>
      <c r="CG150" s="31">
        <f>$A$45</f>
        <v>20222</v>
      </c>
      <c r="CH150" s="116"/>
      <c r="CI150" s="117" t="str">
        <f t="shared" si="336"/>
        <v/>
      </c>
      <c r="CJ150" s="134"/>
      <c r="CK150" s="134"/>
      <c r="CL150" s="134"/>
      <c r="CM150" s="134"/>
      <c r="CN150" s="134"/>
      <c r="CO150" s="134"/>
      <c r="CP150" s="134"/>
      <c r="CQ150" s="134"/>
      <c r="CR150" s="134"/>
      <c r="CS150" s="31">
        <f>$A$45</f>
        <v>20222</v>
      </c>
      <c r="CT150" s="116"/>
      <c r="CU150" s="117" t="str">
        <f t="shared" si="337"/>
        <v/>
      </c>
      <c r="CV150" s="134"/>
      <c r="CW150" s="134"/>
      <c r="CX150" s="134"/>
      <c r="CY150" s="134"/>
      <c r="CZ150" s="134"/>
      <c r="DA150" s="134"/>
      <c r="DB150" s="134"/>
      <c r="DC150" s="134"/>
      <c r="DD150" s="134"/>
      <c r="DE150" s="31">
        <f>$A$45</f>
        <v>20222</v>
      </c>
      <c r="DF150" s="116"/>
      <c r="DG150" s="117" t="str">
        <f t="shared" si="338"/>
        <v/>
      </c>
      <c r="DH150" s="134"/>
      <c r="DI150" s="134"/>
      <c r="DJ150" s="134"/>
      <c r="DK150" s="134"/>
      <c r="DL150" s="134"/>
      <c r="DM150" s="134"/>
      <c r="DN150" s="134"/>
      <c r="DO150" s="134"/>
      <c r="DP150" s="134"/>
    </row>
    <row r="151" spans="1:120" ht="15" customHeight="1" x14ac:dyDescent="0.25"/>
    <row r="152" spans="1:120" x14ac:dyDescent="0.25">
      <c r="A152" s="130"/>
      <c r="B152" s="131"/>
      <c r="C152" s="131" t="s">
        <v>36</v>
      </c>
      <c r="D152" s="132"/>
      <c r="E152" s="132"/>
      <c r="F152" s="132"/>
      <c r="G152" s="132"/>
      <c r="H152" s="132"/>
      <c r="I152" s="132"/>
      <c r="J152" s="132"/>
      <c r="K152" s="132"/>
      <c r="L152" s="132"/>
      <c r="M152" s="130"/>
      <c r="N152" s="131"/>
      <c r="O152" s="131" t="s">
        <v>36</v>
      </c>
      <c r="P152" s="132"/>
      <c r="Q152" s="132"/>
      <c r="R152" s="132"/>
      <c r="S152" s="132"/>
      <c r="T152" s="132"/>
      <c r="U152" s="132"/>
      <c r="V152" s="132"/>
      <c r="W152" s="132"/>
      <c r="X152" s="132"/>
      <c r="Y152" s="130"/>
      <c r="Z152" s="131"/>
      <c r="AA152" s="131" t="s">
        <v>36</v>
      </c>
      <c r="AB152" s="132"/>
      <c r="AC152" s="132"/>
      <c r="AD152" s="132"/>
      <c r="AE152" s="132"/>
      <c r="AF152" s="132"/>
      <c r="AG152" s="132"/>
      <c r="AH152" s="132"/>
      <c r="AI152" s="132"/>
      <c r="AJ152" s="132"/>
      <c r="AK152" s="130"/>
      <c r="AL152" s="131"/>
      <c r="AM152" s="131" t="s">
        <v>36</v>
      </c>
      <c r="AN152" s="132"/>
      <c r="AO152" s="132"/>
      <c r="AP152" s="132"/>
      <c r="AQ152" s="132"/>
      <c r="AR152" s="132"/>
      <c r="AS152" s="132"/>
      <c r="AT152" s="132"/>
      <c r="AU152" s="132"/>
      <c r="AV152" s="132"/>
      <c r="AW152" s="130"/>
      <c r="AX152" s="131"/>
      <c r="AY152" s="131" t="s">
        <v>36</v>
      </c>
      <c r="AZ152" s="132"/>
      <c r="BA152" s="132"/>
      <c r="BB152" s="132"/>
      <c r="BC152" s="132"/>
      <c r="BD152" s="132"/>
      <c r="BE152" s="132"/>
      <c r="BF152" s="132"/>
      <c r="BG152" s="132"/>
      <c r="BH152" s="132"/>
      <c r="BI152" s="130"/>
      <c r="BJ152" s="131"/>
      <c r="BK152" s="131" t="s">
        <v>36</v>
      </c>
      <c r="BL152" s="132"/>
      <c r="BM152" s="132"/>
      <c r="BN152" s="132"/>
      <c r="BO152" s="132"/>
      <c r="BP152" s="132"/>
      <c r="BQ152" s="132"/>
      <c r="BR152" s="132"/>
      <c r="BS152" s="132"/>
      <c r="BT152" s="132"/>
      <c r="BU152" s="130"/>
      <c r="BV152" s="131"/>
      <c r="BW152" s="131" t="s">
        <v>36</v>
      </c>
      <c r="BX152" s="132"/>
      <c r="BY152" s="132"/>
      <c r="BZ152" s="132"/>
      <c r="CA152" s="132"/>
      <c r="CB152" s="132"/>
      <c r="CC152" s="132"/>
      <c r="CD152" s="132"/>
      <c r="CE152" s="132"/>
      <c r="CF152" s="132"/>
      <c r="CG152" s="130"/>
      <c r="CH152" s="131"/>
      <c r="CI152" s="131" t="s">
        <v>36</v>
      </c>
      <c r="CJ152" s="132"/>
      <c r="CK152" s="132"/>
      <c r="CL152" s="132"/>
      <c r="CM152" s="132"/>
      <c r="CN152" s="132"/>
      <c r="CO152" s="132"/>
      <c r="CP152" s="132"/>
      <c r="CQ152" s="132"/>
      <c r="CR152" s="132"/>
      <c r="CS152" s="130"/>
      <c r="CT152" s="131"/>
      <c r="CU152" s="131" t="s">
        <v>36</v>
      </c>
      <c r="CV152" s="132"/>
      <c r="CW152" s="132"/>
      <c r="CX152" s="132"/>
      <c r="CY152" s="132"/>
      <c r="CZ152" s="132"/>
      <c r="DA152" s="132"/>
      <c r="DB152" s="132"/>
      <c r="DC152" s="132"/>
      <c r="DD152" s="132"/>
      <c r="DE152" s="130"/>
      <c r="DF152" s="131"/>
      <c r="DG152" s="131" t="s">
        <v>36</v>
      </c>
      <c r="DH152" s="132"/>
      <c r="DI152" s="132"/>
      <c r="DJ152" s="132"/>
      <c r="DK152" s="132"/>
      <c r="DL152" s="132"/>
      <c r="DM152" s="132"/>
      <c r="DN152" s="132"/>
      <c r="DO152" s="132"/>
      <c r="DP152" s="132"/>
    </row>
    <row r="153" spans="1:120" ht="30" x14ac:dyDescent="0.25">
      <c r="A153" s="92" t="str">
        <f>$A$35</f>
        <v>Fiscal Accident Year Data Ending</v>
      </c>
      <c r="B153" s="92"/>
      <c r="C153" s="100" t="str">
        <f>$C$35&amp;"-"&amp;$D$35</f>
        <v>12-24</v>
      </c>
      <c r="D153" s="100" t="str">
        <f>$D$35&amp;"-"&amp;$E$35</f>
        <v>24-36</v>
      </c>
      <c r="E153" s="100" t="str">
        <f>$E$35&amp;"-"&amp;$F$35</f>
        <v>36-48</v>
      </c>
      <c r="F153" s="100" t="str">
        <f>$F$35&amp;"-"&amp;$G$35</f>
        <v>48-60</v>
      </c>
      <c r="G153" s="100" t="str">
        <f>$G$35&amp;"-"&amp;$H$35</f>
        <v>60-72</v>
      </c>
      <c r="H153" s="100" t="str">
        <f>$H$35&amp;"-"&amp;$I$35</f>
        <v>72-84</v>
      </c>
      <c r="I153" s="100" t="str">
        <f>$I$35&amp;"-"&amp;$J$35</f>
        <v>84-96</v>
      </c>
      <c r="J153" s="100" t="str">
        <f>$J$35&amp;"-"&amp;$K$35</f>
        <v>96-108</v>
      </c>
      <c r="K153" s="100" t="str">
        <f>$K$35&amp;"-"&amp;$L$35</f>
        <v>108-120</v>
      </c>
      <c r="L153" s="100" t="str">
        <f>$L$35&amp;"-Ult"</f>
        <v>120-Ult</v>
      </c>
      <c r="M153" s="92" t="str">
        <f>$A$35</f>
        <v>Fiscal Accident Year Data Ending</v>
      </c>
      <c r="N153" s="92"/>
      <c r="O153" s="100" t="str">
        <f>$C$35&amp;"-"&amp;$D$35</f>
        <v>12-24</v>
      </c>
      <c r="P153" s="100" t="str">
        <f>$D$35&amp;"-"&amp;$E$35</f>
        <v>24-36</v>
      </c>
      <c r="Q153" s="100" t="str">
        <f>$E$35&amp;"-"&amp;$F$35</f>
        <v>36-48</v>
      </c>
      <c r="R153" s="100" t="str">
        <f>$F$35&amp;"-"&amp;$G$35</f>
        <v>48-60</v>
      </c>
      <c r="S153" s="100" t="str">
        <f>$G$35&amp;"-"&amp;$H$35</f>
        <v>60-72</v>
      </c>
      <c r="T153" s="100" t="str">
        <f>$H$35&amp;"-"&amp;$I$35</f>
        <v>72-84</v>
      </c>
      <c r="U153" s="100" t="str">
        <f>$I$35&amp;"-"&amp;$J$35</f>
        <v>84-96</v>
      </c>
      <c r="V153" s="100" t="str">
        <f>$J$35&amp;"-"&amp;$K$35</f>
        <v>96-108</v>
      </c>
      <c r="W153" s="100" t="str">
        <f>$K$35&amp;"-"&amp;$L$35</f>
        <v>108-120</v>
      </c>
      <c r="X153" s="100" t="str">
        <f>$L$35&amp;"-Ult"</f>
        <v>120-Ult</v>
      </c>
      <c r="Y153" s="92" t="str">
        <f>$A$35</f>
        <v>Fiscal Accident Year Data Ending</v>
      </c>
      <c r="Z153" s="92"/>
      <c r="AA153" s="100" t="str">
        <f>$C$35&amp;"-"&amp;$D$35</f>
        <v>12-24</v>
      </c>
      <c r="AB153" s="100" t="str">
        <f>$D$35&amp;"-"&amp;$E$35</f>
        <v>24-36</v>
      </c>
      <c r="AC153" s="100" t="str">
        <f>$E$35&amp;"-"&amp;$F$35</f>
        <v>36-48</v>
      </c>
      <c r="AD153" s="100" t="str">
        <f>$F$35&amp;"-"&amp;$G$35</f>
        <v>48-60</v>
      </c>
      <c r="AE153" s="100" t="str">
        <f>$G$35&amp;"-"&amp;$H$35</f>
        <v>60-72</v>
      </c>
      <c r="AF153" s="100" t="str">
        <f>$H$35&amp;"-"&amp;$I$35</f>
        <v>72-84</v>
      </c>
      <c r="AG153" s="100" t="str">
        <f>$I$35&amp;"-"&amp;$J$35</f>
        <v>84-96</v>
      </c>
      <c r="AH153" s="100" t="str">
        <f>$J$35&amp;"-"&amp;$K$35</f>
        <v>96-108</v>
      </c>
      <c r="AI153" s="100" t="str">
        <f>$K$35&amp;"-"&amp;$L$35</f>
        <v>108-120</v>
      </c>
      <c r="AJ153" s="100" t="str">
        <f>$L$35&amp;"-Ult"</f>
        <v>120-Ult</v>
      </c>
      <c r="AK153" s="92" t="str">
        <f>$A$35</f>
        <v>Fiscal Accident Year Data Ending</v>
      </c>
      <c r="AL153" s="92"/>
      <c r="AM153" s="100" t="str">
        <f>$C$35&amp;"-"&amp;$D$35</f>
        <v>12-24</v>
      </c>
      <c r="AN153" s="100" t="str">
        <f>$D$35&amp;"-"&amp;$E$35</f>
        <v>24-36</v>
      </c>
      <c r="AO153" s="100" t="str">
        <f>$E$35&amp;"-"&amp;$F$35</f>
        <v>36-48</v>
      </c>
      <c r="AP153" s="100" t="str">
        <f>$F$35&amp;"-"&amp;$G$35</f>
        <v>48-60</v>
      </c>
      <c r="AQ153" s="100" t="str">
        <f>$G$35&amp;"-"&amp;$H$35</f>
        <v>60-72</v>
      </c>
      <c r="AR153" s="100" t="str">
        <f>$H$35&amp;"-"&amp;$I$35</f>
        <v>72-84</v>
      </c>
      <c r="AS153" s="100" t="str">
        <f>$I$35&amp;"-"&amp;$J$35</f>
        <v>84-96</v>
      </c>
      <c r="AT153" s="100" t="str">
        <f>$J$35&amp;"-"&amp;$K$35</f>
        <v>96-108</v>
      </c>
      <c r="AU153" s="100" t="str">
        <f>$K$35&amp;"-"&amp;$L$35</f>
        <v>108-120</v>
      </c>
      <c r="AV153" s="100" t="str">
        <f>$L$35&amp;"-Ult"</f>
        <v>120-Ult</v>
      </c>
      <c r="AW153" s="92" t="str">
        <f>$A$35</f>
        <v>Fiscal Accident Year Data Ending</v>
      </c>
      <c r="AX153" s="92"/>
      <c r="AY153" s="100" t="str">
        <f>$C$35&amp;"-"&amp;$D$35</f>
        <v>12-24</v>
      </c>
      <c r="AZ153" s="100" t="str">
        <f>$D$35&amp;"-"&amp;$E$35</f>
        <v>24-36</v>
      </c>
      <c r="BA153" s="100" t="str">
        <f>$E$35&amp;"-"&amp;$F$35</f>
        <v>36-48</v>
      </c>
      <c r="BB153" s="100" t="str">
        <f>$F$35&amp;"-"&amp;$G$35</f>
        <v>48-60</v>
      </c>
      <c r="BC153" s="100" t="str">
        <f>$G$35&amp;"-"&amp;$H$35</f>
        <v>60-72</v>
      </c>
      <c r="BD153" s="100" t="str">
        <f>$H$35&amp;"-"&amp;$I$35</f>
        <v>72-84</v>
      </c>
      <c r="BE153" s="100" t="str">
        <f>$I$35&amp;"-"&amp;$J$35</f>
        <v>84-96</v>
      </c>
      <c r="BF153" s="100" t="str">
        <f>$J$35&amp;"-"&amp;$K$35</f>
        <v>96-108</v>
      </c>
      <c r="BG153" s="100" t="str">
        <f>$K$35&amp;"-"&amp;$L$35</f>
        <v>108-120</v>
      </c>
      <c r="BH153" s="100" t="str">
        <f>$L$35&amp;"-Ult"</f>
        <v>120-Ult</v>
      </c>
      <c r="BI153" s="92" t="str">
        <f>$A$35</f>
        <v>Fiscal Accident Year Data Ending</v>
      </c>
      <c r="BJ153" s="92"/>
      <c r="BK153" s="100" t="str">
        <f>$C$35&amp;"-"&amp;$D$35</f>
        <v>12-24</v>
      </c>
      <c r="BL153" s="100" t="str">
        <f>$D$35&amp;"-"&amp;$E$35</f>
        <v>24-36</v>
      </c>
      <c r="BM153" s="100" t="str">
        <f>$E$35&amp;"-"&amp;$F$35</f>
        <v>36-48</v>
      </c>
      <c r="BN153" s="100" t="str">
        <f>$F$35&amp;"-"&amp;$G$35</f>
        <v>48-60</v>
      </c>
      <c r="BO153" s="100" t="str">
        <f>$G$35&amp;"-"&amp;$H$35</f>
        <v>60-72</v>
      </c>
      <c r="BP153" s="100" t="str">
        <f>$H$35&amp;"-"&amp;$I$35</f>
        <v>72-84</v>
      </c>
      <c r="BQ153" s="100" t="str">
        <f>$I$35&amp;"-"&amp;$J$35</f>
        <v>84-96</v>
      </c>
      <c r="BR153" s="100" t="str">
        <f>$J$35&amp;"-"&amp;$K$35</f>
        <v>96-108</v>
      </c>
      <c r="BS153" s="100" t="str">
        <f>$K$35&amp;"-"&amp;$L$35</f>
        <v>108-120</v>
      </c>
      <c r="BT153" s="100" t="str">
        <f>$L$35&amp;"-Ult"</f>
        <v>120-Ult</v>
      </c>
      <c r="BU153" s="92" t="str">
        <f>$A$35</f>
        <v>Fiscal Accident Year Data Ending</v>
      </c>
      <c r="BV153" s="92"/>
      <c r="BW153" s="100" t="str">
        <f>$C$35&amp;"-"&amp;$D$35</f>
        <v>12-24</v>
      </c>
      <c r="BX153" s="100" t="str">
        <f>$D$35&amp;"-"&amp;$E$35</f>
        <v>24-36</v>
      </c>
      <c r="BY153" s="100" t="str">
        <f>$E$35&amp;"-"&amp;$F$35</f>
        <v>36-48</v>
      </c>
      <c r="BZ153" s="100" t="str">
        <f>$F$35&amp;"-"&amp;$G$35</f>
        <v>48-60</v>
      </c>
      <c r="CA153" s="100" t="str">
        <f>$G$35&amp;"-"&amp;$H$35</f>
        <v>60-72</v>
      </c>
      <c r="CB153" s="100" t="str">
        <f>$H$35&amp;"-"&amp;$I$35</f>
        <v>72-84</v>
      </c>
      <c r="CC153" s="100" t="str">
        <f>$I$35&amp;"-"&amp;$J$35</f>
        <v>84-96</v>
      </c>
      <c r="CD153" s="100" t="str">
        <f>$J$35&amp;"-"&amp;$K$35</f>
        <v>96-108</v>
      </c>
      <c r="CE153" s="100" t="str">
        <f>$K$35&amp;"-"&amp;$L$35</f>
        <v>108-120</v>
      </c>
      <c r="CF153" s="100" t="str">
        <f>$L$35&amp;"-Ult"</f>
        <v>120-Ult</v>
      </c>
      <c r="CG153" s="92" t="str">
        <f>$A$35</f>
        <v>Fiscal Accident Year Data Ending</v>
      </c>
      <c r="CH153" s="92"/>
      <c r="CI153" s="100" t="str">
        <f>$C$35&amp;"-"&amp;$D$35</f>
        <v>12-24</v>
      </c>
      <c r="CJ153" s="100" t="str">
        <f>$D$35&amp;"-"&amp;$E$35</f>
        <v>24-36</v>
      </c>
      <c r="CK153" s="100" t="str">
        <f>$E$35&amp;"-"&amp;$F$35</f>
        <v>36-48</v>
      </c>
      <c r="CL153" s="100" t="str">
        <f>$F$35&amp;"-"&amp;$G$35</f>
        <v>48-60</v>
      </c>
      <c r="CM153" s="100" t="str">
        <f>$G$35&amp;"-"&amp;$H$35</f>
        <v>60-72</v>
      </c>
      <c r="CN153" s="100" t="str">
        <f>$H$35&amp;"-"&amp;$I$35</f>
        <v>72-84</v>
      </c>
      <c r="CO153" s="100" t="str">
        <f>$I$35&amp;"-"&amp;$J$35</f>
        <v>84-96</v>
      </c>
      <c r="CP153" s="100" t="str">
        <f>$J$35&amp;"-"&amp;$K$35</f>
        <v>96-108</v>
      </c>
      <c r="CQ153" s="100" t="str">
        <f>$K$35&amp;"-"&amp;$L$35</f>
        <v>108-120</v>
      </c>
      <c r="CR153" s="100" t="str">
        <f>$L$35&amp;"-Ult"</f>
        <v>120-Ult</v>
      </c>
      <c r="CS153" s="92" t="str">
        <f>$A$35</f>
        <v>Fiscal Accident Year Data Ending</v>
      </c>
      <c r="CT153" s="92"/>
      <c r="CU153" s="100" t="str">
        <f>$C$35&amp;"-"&amp;$D$35</f>
        <v>12-24</v>
      </c>
      <c r="CV153" s="100" t="str">
        <f>$D$35&amp;"-"&amp;$E$35</f>
        <v>24-36</v>
      </c>
      <c r="CW153" s="100" t="str">
        <f>$E$35&amp;"-"&amp;$F$35</f>
        <v>36-48</v>
      </c>
      <c r="CX153" s="100" t="str">
        <f>$F$35&amp;"-"&amp;$G$35</f>
        <v>48-60</v>
      </c>
      <c r="CY153" s="100" t="str">
        <f>$G$35&amp;"-"&amp;$H$35</f>
        <v>60-72</v>
      </c>
      <c r="CZ153" s="100" t="str">
        <f>$H$35&amp;"-"&amp;$I$35</f>
        <v>72-84</v>
      </c>
      <c r="DA153" s="100" t="str">
        <f>$I$35&amp;"-"&amp;$J$35</f>
        <v>84-96</v>
      </c>
      <c r="DB153" s="100" t="str">
        <f>$J$35&amp;"-"&amp;$K$35</f>
        <v>96-108</v>
      </c>
      <c r="DC153" s="100" t="str">
        <f>$K$35&amp;"-"&amp;$L$35</f>
        <v>108-120</v>
      </c>
      <c r="DD153" s="100" t="str">
        <f>$L$35&amp;"-Ult"</f>
        <v>120-Ult</v>
      </c>
      <c r="DE153" s="92" t="str">
        <f>$A$35</f>
        <v>Fiscal Accident Year Data Ending</v>
      </c>
      <c r="DF153" s="92"/>
      <c r="DG153" s="100" t="str">
        <f>$C$35&amp;"-"&amp;$D$35</f>
        <v>12-24</v>
      </c>
      <c r="DH153" s="100" t="str">
        <f>$D$35&amp;"-"&amp;$E$35</f>
        <v>24-36</v>
      </c>
      <c r="DI153" s="100" t="str">
        <f>$E$35&amp;"-"&amp;$F$35</f>
        <v>36-48</v>
      </c>
      <c r="DJ153" s="100" t="str">
        <f>$F$35&amp;"-"&amp;$G$35</f>
        <v>48-60</v>
      </c>
      <c r="DK153" s="100" t="str">
        <f>$G$35&amp;"-"&amp;$H$35</f>
        <v>60-72</v>
      </c>
      <c r="DL153" s="100" t="str">
        <f>$H$35&amp;"-"&amp;$I$35</f>
        <v>72-84</v>
      </c>
      <c r="DM153" s="100" t="str">
        <f>$I$35&amp;"-"&amp;$J$35</f>
        <v>84-96</v>
      </c>
      <c r="DN153" s="100" t="str">
        <f>$J$35&amp;"-"&amp;$K$35</f>
        <v>96-108</v>
      </c>
      <c r="DO153" s="100" t="str">
        <f>$K$35&amp;"-"&amp;$L$35</f>
        <v>108-120</v>
      </c>
      <c r="DP153" s="100" t="str">
        <f>$L$35&amp;"-Ult"</f>
        <v>120-Ult</v>
      </c>
    </row>
    <row r="154" spans="1:120" x14ac:dyDescent="0.25">
      <c r="A154" s="91">
        <f>$A$36</f>
        <v>20132</v>
      </c>
      <c r="B154" s="105"/>
      <c r="C154" s="90">
        <f>IFERROR(D141/C141,"")</f>
        <v>2.3965974554893315</v>
      </c>
      <c r="D154" s="90">
        <f t="shared" ref="D154:K155" si="341">IFERROR(E141/D141,"")</f>
        <v>1.6003724245319069</v>
      </c>
      <c r="E154" s="90">
        <f t="shared" si="341"/>
        <v>1.2641361825942645</v>
      </c>
      <c r="F154" s="90">
        <f t="shared" si="341"/>
        <v>1.144151854016056</v>
      </c>
      <c r="G154" s="90">
        <f t="shared" si="341"/>
        <v>1.0649465564343661</v>
      </c>
      <c r="H154" s="90">
        <f t="shared" si="341"/>
        <v>1.0224243920431326</v>
      </c>
      <c r="I154" s="90">
        <f t="shared" si="341"/>
        <v>1.0075100016893814</v>
      </c>
      <c r="J154" s="90">
        <f t="shared" si="341"/>
        <v>1.0106129049417694</v>
      </c>
      <c r="K154" s="90">
        <f t="shared" si="341"/>
        <v>1.0134542463391851</v>
      </c>
      <c r="L154" s="22"/>
      <c r="M154" s="91">
        <f>$A$36</f>
        <v>20132</v>
      </c>
      <c r="N154" s="105"/>
      <c r="O154" s="90" t="str">
        <f>IFERROR(P141/O141,"")</f>
        <v/>
      </c>
      <c r="P154" s="90" t="str">
        <f t="shared" ref="P154:W154" si="342">IFERROR(Q141/P141,"")</f>
        <v/>
      </c>
      <c r="Q154" s="90" t="str">
        <f t="shared" si="342"/>
        <v/>
      </c>
      <c r="R154" s="90" t="str">
        <f t="shared" si="342"/>
        <v/>
      </c>
      <c r="S154" s="90" t="str">
        <f t="shared" si="342"/>
        <v/>
      </c>
      <c r="T154" s="90" t="str">
        <f t="shared" si="342"/>
        <v/>
      </c>
      <c r="U154" s="90" t="str">
        <f t="shared" si="342"/>
        <v/>
      </c>
      <c r="V154" s="90" t="str">
        <f t="shared" si="342"/>
        <v/>
      </c>
      <c r="W154" s="90" t="str">
        <f t="shared" si="342"/>
        <v/>
      </c>
      <c r="X154" s="22"/>
      <c r="Y154" s="91">
        <f>$A$36</f>
        <v>20132</v>
      </c>
      <c r="Z154" s="105"/>
      <c r="AA154" s="90" t="str">
        <f>IFERROR(AB141/AA141,"")</f>
        <v/>
      </c>
      <c r="AB154" s="90" t="str">
        <f t="shared" ref="AB154:AI154" si="343">IFERROR(AC141/AB141,"")</f>
        <v/>
      </c>
      <c r="AC154" s="90" t="str">
        <f t="shared" si="343"/>
        <v/>
      </c>
      <c r="AD154" s="90" t="str">
        <f t="shared" si="343"/>
        <v/>
      </c>
      <c r="AE154" s="90" t="str">
        <f t="shared" si="343"/>
        <v/>
      </c>
      <c r="AF154" s="90" t="str">
        <f t="shared" si="343"/>
        <v/>
      </c>
      <c r="AG154" s="90" t="str">
        <f t="shared" si="343"/>
        <v/>
      </c>
      <c r="AH154" s="90" t="str">
        <f t="shared" si="343"/>
        <v/>
      </c>
      <c r="AI154" s="90" t="str">
        <f t="shared" si="343"/>
        <v/>
      </c>
      <c r="AJ154" s="22"/>
      <c r="AK154" s="91">
        <f>$A$36</f>
        <v>20132</v>
      </c>
      <c r="AL154" s="105"/>
      <c r="AM154" s="90" t="str">
        <f>IFERROR(AN141/AM141,"")</f>
        <v/>
      </c>
      <c r="AN154" s="90" t="str">
        <f t="shared" ref="AN154:AU154" si="344">IFERROR(AO141/AN141,"")</f>
        <v/>
      </c>
      <c r="AO154" s="90" t="str">
        <f t="shared" si="344"/>
        <v/>
      </c>
      <c r="AP154" s="90" t="str">
        <f t="shared" si="344"/>
        <v/>
      </c>
      <c r="AQ154" s="90" t="str">
        <f t="shared" si="344"/>
        <v/>
      </c>
      <c r="AR154" s="90" t="str">
        <f t="shared" si="344"/>
        <v/>
      </c>
      <c r="AS154" s="90" t="str">
        <f t="shared" si="344"/>
        <v/>
      </c>
      <c r="AT154" s="90" t="str">
        <f t="shared" si="344"/>
        <v/>
      </c>
      <c r="AU154" s="90" t="str">
        <f t="shared" si="344"/>
        <v/>
      </c>
      <c r="AV154" s="22"/>
      <c r="AW154" s="91">
        <f>$A$36</f>
        <v>20132</v>
      </c>
      <c r="AX154" s="105"/>
      <c r="AY154" s="90" t="str">
        <f>IFERROR(AZ141/AY141,"")</f>
        <v/>
      </c>
      <c r="AZ154" s="90" t="str">
        <f t="shared" ref="AZ154:BG154" si="345">IFERROR(BA141/AZ141,"")</f>
        <v/>
      </c>
      <c r="BA154" s="90" t="str">
        <f t="shared" si="345"/>
        <v/>
      </c>
      <c r="BB154" s="90" t="str">
        <f t="shared" si="345"/>
        <v/>
      </c>
      <c r="BC154" s="90" t="str">
        <f t="shared" si="345"/>
        <v/>
      </c>
      <c r="BD154" s="90" t="str">
        <f t="shared" si="345"/>
        <v/>
      </c>
      <c r="BE154" s="90" t="str">
        <f t="shared" si="345"/>
        <v/>
      </c>
      <c r="BF154" s="90" t="str">
        <f t="shared" si="345"/>
        <v/>
      </c>
      <c r="BG154" s="90" t="str">
        <f t="shared" si="345"/>
        <v/>
      </c>
      <c r="BH154" s="22"/>
      <c r="BI154" s="91">
        <f>$A$36</f>
        <v>20132</v>
      </c>
      <c r="BJ154" s="105"/>
      <c r="BK154" s="90" t="str">
        <f>IFERROR(BL141/BK141,"")</f>
        <v/>
      </c>
      <c r="BL154" s="90" t="str">
        <f t="shared" ref="BL154:BS154" si="346">IFERROR(BM141/BL141,"")</f>
        <v/>
      </c>
      <c r="BM154" s="90" t="str">
        <f t="shared" si="346"/>
        <v/>
      </c>
      <c r="BN154" s="90" t="str">
        <f t="shared" si="346"/>
        <v/>
      </c>
      <c r="BO154" s="90" t="str">
        <f t="shared" si="346"/>
        <v/>
      </c>
      <c r="BP154" s="90" t="str">
        <f t="shared" si="346"/>
        <v/>
      </c>
      <c r="BQ154" s="90" t="str">
        <f t="shared" si="346"/>
        <v/>
      </c>
      <c r="BR154" s="90" t="str">
        <f t="shared" si="346"/>
        <v/>
      </c>
      <c r="BS154" s="90" t="str">
        <f t="shared" si="346"/>
        <v/>
      </c>
      <c r="BT154" s="22"/>
      <c r="BU154" s="91">
        <f>$A$36</f>
        <v>20132</v>
      </c>
      <c r="BV154" s="105"/>
      <c r="BW154" s="90" t="str">
        <f>IFERROR(BX141/BW141,"")</f>
        <v/>
      </c>
      <c r="BX154" s="90" t="str">
        <f t="shared" ref="BX154:CE154" si="347">IFERROR(BY141/BX141,"")</f>
        <v/>
      </c>
      <c r="BY154" s="90" t="str">
        <f t="shared" si="347"/>
        <v/>
      </c>
      <c r="BZ154" s="90" t="str">
        <f t="shared" si="347"/>
        <v/>
      </c>
      <c r="CA154" s="90" t="str">
        <f t="shared" si="347"/>
        <v/>
      </c>
      <c r="CB154" s="90" t="str">
        <f t="shared" si="347"/>
        <v/>
      </c>
      <c r="CC154" s="90" t="str">
        <f t="shared" si="347"/>
        <v/>
      </c>
      <c r="CD154" s="90" t="str">
        <f t="shared" si="347"/>
        <v/>
      </c>
      <c r="CE154" s="90" t="str">
        <f t="shared" si="347"/>
        <v/>
      </c>
      <c r="CF154" s="22"/>
      <c r="CG154" s="91">
        <f>$A$36</f>
        <v>20132</v>
      </c>
      <c r="CH154" s="105"/>
      <c r="CI154" s="90" t="str">
        <f>IFERROR(CJ141/CI141,"")</f>
        <v/>
      </c>
      <c r="CJ154" s="90" t="str">
        <f t="shared" ref="CJ154:CQ154" si="348">IFERROR(CK141/CJ141,"")</f>
        <v/>
      </c>
      <c r="CK154" s="90" t="str">
        <f t="shared" si="348"/>
        <v/>
      </c>
      <c r="CL154" s="90" t="str">
        <f t="shared" si="348"/>
        <v/>
      </c>
      <c r="CM154" s="90" t="str">
        <f t="shared" si="348"/>
        <v/>
      </c>
      <c r="CN154" s="90" t="str">
        <f t="shared" si="348"/>
        <v/>
      </c>
      <c r="CO154" s="90" t="str">
        <f t="shared" si="348"/>
        <v/>
      </c>
      <c r="CP154" s="90" t="str">
        <f t="shared" si="348"/>
        <v/>
      </c>
      <c r="CQ154" s="90" t="str">
        <f t="shared" si="348"/>
        <v/>
      </c>
      <c r="CR154" s="22"/>
      <c r="CS154" s="91">
        <f>$A$36</f>
        <v>20132</v>
      </c>
      <c r="CT154" s="105"/>
      <c r="CU154" s="90" t="str">
        <f>IFERROR(CV141/CU141,"")</f>
        <v/>
      </c>
      <c r="CV154" s="90" t="str">
        <f t="shared" ref="CV154:DB154" si="349">IFERROR(CW141/CV141,"")</f>
        <v/>
      </c>
      <c r="CW154" s="90" t="str">
        <f t="shared" si="349"/>
        <v/>
      </c>
      <c r="CX154" s="90" t="str">
        <f t="shared" si="349"/>
        <v/>
      </c>
      <c r="CY154" s="90" t="str">
        <f t="shared" si="349"/>
        <v/>
      </c>
      <c r="CZ154" s="90" t="str">
        <f t="shared" si="349"/>
        <v/>
      </c>
      <c r="DA154" s="90" t="str">
        <f t="shared" si="349"/>
        <v/>
      </c>
      <c r="DB154" s="90" t="str">
        <f t="shared" si="349"/>
        <v/>
      </c>
      <c r="DC154" s="90" t="str">
        <f>IFERROR(DD141/DC141,"")</f>
        <v/>
      </c>
      <c r="DD154" s="22"/>
      <c r="DE154" s="91">
        <f>$A$36</f>
        <v>20132</v>
      </c>
      <c r="DF154" s="105"/>
      <c r="DG154" s="90" t="str">
        <f>IFERROR(DH141/DG141,"")</f>
        <v/>
      </c>
      <c r="DH154" s="90" t="str">
        <f t="shared" ref="DH154:DO154" si="350">IFERROR(DI141/DH141,"")</f>
        <v/>
      </c>
      <c r="DI154" s="90" t="str">
        <f t="shared" si="350"/>
        <v/>
      </c>
      <c r="DJ154" s="90" t="str">
        <f t="shared" si="350"/>
        <v/>
      </c>
      <c r="DK154" s="90" t="str">
        <f t="shared" si="350"/>
        <v/>
      </c>
      <c r="DL154" s="90" t="str">
        <f t="shared" si="350"/>
        <v/>
      </c>
      <c r="DM154" s="90" t="str">
        <f t="shared" si="350"/>
        <v/>
      </c>
      <c r="DN154" s="90" t="str">
        <f t="shared" si="350"/>
        <v/>
      </c>
      <c r="DO154" s="90" t="str">
        <f t="shared" si="350"/>
        <v/>
      </c>
      <c r="DP154" s="22"/>
    </row>
    <row r="155" spans="1:120" x14ac:dyDescent="0.25">
      <c r="A155" s="91">
        <f>$A$37</f>
        <v>20142</v>
      </c>
      <c r="B155" s="105"/>
      <c r="C155" s="90">
        <f t="shared" ref="C155:I162" si="351">IFERROR(D142/C142,"")</f>
        <v>2.5188028368395363</v>
      </c>
      <c r="D155" s="90">
        <f t="shared" si="351"/>
        <v>1.7136611883224167</v>
      </c>
      <c r="E155" s="90">
        <f t="shared" si="351"/>
        <v>1.2804178324573021</v>
      </c>
      <c r="F155" s="90">
        <f t="shared" si="351"/>
        <v>1.1360275446337953</v>
      </c>
      <c r="G155" s="90">
        <f t="shared" si="351"/>
        <v>1.0679375905207937</v>
      </c>
      <c r="H155" s="90">
        <f t="shared" si="351"/>
        <v>1.0412298245286811</v>
      </c>
      <c r="I155" s="90">
        <f t="shared" si="351"/>
        <v>1.0744832529542356</v>
      </c>
      <c r="J155" s="90">
        <f t="shared" si="341"/>
        <v>1.0532686405523541</v>
      </c>
      <c r="K155" s="22"/>
      <c r="L155" s="22"/>
      <c r="M155" s="91">
        <f>$A$37</f>
        <v>20142</v>
      </c>
      <c r="N155" s="105"/>
      <c r="O155" s="90" t="str">
        <f t="shared" ref="O155:V162" si="352">IFERROR(P142/O142,"")</f>
        <v/>
      </c>
      <c r="P155" s="90" t="str">
        <f t="shared" si="352"/>
        <v/>
      </c>
      <c r="Q155" s="90" t="str">
        <f t="shared" si="352"/>
        <v/>
      </c>
      <c r="R155" s="90" t="str">
        <f t="shared" si="352"/>
        <v/>
      </c>
      <c r="S155" s="90" t="str">
        <f t="shared" si="352"/>
        <v/>
      </c>
      <c r="T155" s="90" t="str">
        <f t="shared" si="352"/>
        <v/>
      </c>
      <c r="U155" s="90" t="str">
        <f t="shared" si="352"/>
        <v/>
      </c>
      <c r="V155" s="90" t="str">
        <f t="shared" si="352"/>
        <v/>
      </c>
      <c r="W155" s="22"/>
      <c r="X155" s="22"/>
      <c r="Y155" s="91">
        <f>$A$37</f>
        <v>20142</v>
      </c>
      <c r="Z155" s="105"/>
      <c r="AA155" s="90" t="str">
        <f t="shared" ref="AA155:AH162" si="353">IFERROR(AB142/AA142,"")</f>
        <v/>
      </c>
      <c r="AB155" s="90" t="str">
        <f t="shared" si="353"/>
        <v/>
      </c>
      <c r="AC155" s="90" t="str">
        <f t="shared" si="353"/>
        <v/>
      </c>
      <c r="AD155" s="90" t="str">
        <f t="shared" si="353"/>
        <v/>
      </c>
      <c r="AE155" s="90" t="str">
        <f t="shared" si="353"/>
        <v/>
      </c>
      <c r="AF155" s="90" t="str">
        <f t="shared" si="353"/>
        <v/>
      </c>
      <c r="AG155" s="90" t="str">
        <f t="shared" si="353"/>
        <v/>
      </c>
      <c r="AH155" s="90" t="str">
        <f t="shared" si="353"/>
        <v/>
      </c>
      <c r="AI155" s="22"/>
      <c r="AJ155" s="22"/>
      <c r="AK155" s="91">
        <f>$A$37</f>
        <v>20142</v>
      </c>
      <c r="AL155" s="105"/>
      <c r="AM155" s="90" t="str">
        <f t="shared" ref="AM155:AT162" si="354">IFERROR(AN142/AM142,"")</f>
        <v/>
      </c>
      <c r="AN155" s="90" t="str">
        <f t="shared" si="354"/>
        <v/>
      </c>
      <c r="AO155" s="90" t="str">
        <f t="shared" si="354"/>
        <v/>
      </c>
      <c r="AP155" s="90" t="str">
        <f t="shared" si="354"/>
        <v/>
      </c>
      <c r="AQ155" s="90" t="str">
        <f t="shared" si="354"/>
        <v/>
      </c>
      <c r="AR155" s="90" t="str">
        <f t="shared" si="354"/>
        <v/>
      </c>
      <c r="AS155" s="90" t="str">
        <f t="shared" si="354"/>
        <v/>
      </c>
      <c r="AT155" s="90" t="str">
        <f t="shared" si="354"/>
        <v/>
      </c>
      <c r="AU155" s="22"/>
      <c r="AV155" s="22"/>
      <c r="AW155" s="91">
        <f>$A$37</f>
        <v>20142</v>
      </c>
      <c r="AX155" s="105"/>
      <c r="AY155" s="90" t="str">
        <f t="shared" ref="AY155:BF162" si="355">IFERROR(AZ142/AY142,"")</f>
        <v/>
      </c>
      <c r="AZ155" s="90" t="str">
        <f t="shared" si="355"/>
        <v/>
      </c>
      <c r="BA155" s="90" t="str">
        <f t="shared" si="355"/>
        <v/>
      </c>
      <c r="BB155" s="90" t="str">
        <f t="shared" si="355"/>
        <v/>
      </c>
      <c r="BC155" s="90" t="str">
        <f t="shared" si="355"/>
        <v/>
      </c>
      <c r="BD155" s="90" t="str">
        <f t="shared" si="355"/>
        <v/>
      </c>
      <c r="BE155" s="90" t="str">
        <f t="shared" si="355"/>
        <v/>
      </c>
      <c r="BF155" s="90" t="str">
        <f t="shared" si="355"/>
        <v/>
      </c>
      <c r="BG155" s="22"/>
      <c r="BH155" s="22"/>
      <c r="BI155" s="91">
        <f>$A$37</f>
        <v>20142</v>
      </c>
      <c r="BJ155" s="105"/>
      <c r="BK155" s="90" t="str">
        <f t="shared" ref="BK155:BR162" si="356">IFERROR(BL142/BK142,"")</f>
        <v/>
      </c>
      <c r="BL155" s="90" t="str">
        <f t="shared" si="356"/>
        <v/>
      </c>
      <c r="BM155" s="90" t="str">
        <f t="shared" si="356"/>
        <v/>
      </c>
      <c r="BN155" s="90" t="str">
        <f t="shared" si="356"/>
        <v/>
      </c>
      <c r="BO155" s="90" t="str">
        <f t="shared" si="356"/>
        <v/>
      </c>
      <c r="BP155" s="90" t="str">
        <f t="shared" si="356"/>
        <v/>
      </c>
      <c r="BQ155" s="90" t="str">
        <f t="shared" si="356"/>
        <v/>
      </c>
      <c r="BR155" s="90" t="str">
        <f t="shared" si="356"/>
        <v/>
      </c>
      <c r="BS155" s="22"/>
      <c r="BT155" s="22"/>
      <c r="BU155" s="91">
        <f>$A$37</f>
        <v>20142</v>
      </c>
      <c r="BV155" s="105"/>
      <c r="BW155" s="90" t="str">
        <f t="shared" ref="BW155:CD162" si="357">IFERROR(BX142/BW142,"")</f>
        <v/>
      </c>
      <c r="BX155" s="90" t="str">
        <f t="shared" si="357"/>
        <v/>
      </c>
      <c r="BY155" s="90" t="str">
        <f t="shared" si="357"/>
        <v/>
      </c>
      <c r="BZ155" s="90" t="str">
        <f t="shared" si="357"/>
        <v/>
      </c>
      <c r="CA155" s="90" t="str">
        <f t="shared" si="357"/>
        <v/>
      </c>
      <c r="CB155" s="90" t="str">
        <f t="shared" si="357"/>
        <v/>
      </c>
      <c r="CC155" s="90" t="str">
        <f t="shared" si="357"/>
        <v/>
      </c>
      <c r="CD155" s="90" t="str">
        <f t="shared" si="357"/>
        <v/>
      </c>
      <c r="CE155" s="22"/>
      <c r="CF155" s="22"/>
      <c r="CG155" s="91">
        <f>$A$37</f>
        <v>20142</v>
      </c>
      <c r="CH155" s="105"/>
      <c r="CI155" s="90" t="str">
        <f t="shared" ref="CI155:CP162" si="358">IFERROR(CJ142/CI142,"")</f>
        <v/>
      </c>
      <c r="CJ155" s="90" t="str">
        <f t="shared" si="358"/>
        <v/>
      </c>
      <c r="CK155" s="90" t="str">
        <f t="shared" si="358"/>
        <v/>
      </c>
      <c r="CL155" s="90" t="str">
        <f t="shared" si="358"/>
        <v/>
      </c>
      <c r="CM155" s="90" t="str">
        <f t="shared" si="358"/>
        <v/>
      </c>
      <c r="CN155" s="90" t="str">
        <f t="shared" si="358"/>
        <v/>
      </c>
      <c r="CO155" s="90" t="str">
        <f t="shared" si="358"/>
        <v/>
      </c>
      <c r="CP155" s="90" t="str">
        <f t="shared" si="358"/>
        <v/>
      </c>
      <c r="CQ155" s="22"/>
      <c r="CR155" s="22"/>
      <c r="CS155" s="91">
        <f>$A$37</f>
        <v>20142</v>
      </c>
      <c r="CT155" s="105"/>
      <c r="CU155" s="90" t="str">
        <f t="shared" ref="CU155:DB162" si="359">IFERROR(CV142/CU142,"")</f>
        <v/>
      </c>
      <c r="CV155" s="90" t="str">
        <f t="shared" si="359"/>
        <v/>
      </c>
      <c r="CW155" s="90" t="str">
        <f t="shared" si="359"/>
        <v/>
      </c>
      <c r="CX155" s="90" t="str">
        <f t="shared" si="359"/>
        <v/>
      </c>
      <c r="CY155" s="90" t="str">
        <f t="shared" si="359"/>
        <v/>
      </c>
      <c r="CZ155" s="90" t="str">
        <f t="shared" si="359"/>
        <v/>
      </c>
      <c r="DA155" s="90" t="str">
        <f t="shared" si="359"/>
        <v/>
      </c>
      <c r="DB155" s="90" t="str">
        <f t="shared" si="359"/>
        <v/>
      </c>
      <c r="DC155" s="22"/>
      <c r="DD155" s="22"/>
      <c r="DE155" s="91">
        <f>$A$37</f>
        <v>20142</v>
      </c>
      <c r="DF155" s="105"/>
      <c r="DG155" s="90" t="str">
        <f t="shared" ref="DG155:DN162" si="360">IFERROR(DH142/DG142,"")</f>
        <v/>
      </c>
      <c r="DH155" s="90" t="str">
        <f t="shared" si="360"/>
        <v/>
      </c>
      <c r="DI155" s="90" t="str">
        <f t="shared" si="360"/>
        <v/>
      </c>
      <c r="DJ155" s="90" t="str">
        <f t="shared" si="360"/>
        <v/>
      </c>
      <c r="DK155" s="90" t="str">
        <f t="shared" si="360"/>
        <v/>
      </c>
      <c r="DL155" s="90" t="str">
        <f t="shared" si="360"/>
        <v/>
      </c>
      <c r="DM155" s="90" t="str">
        <f t="shared" si="360"/>
        <v/>
      </c>
      <c r="DN155" s="90" t="str">
        <f t="shared" si="360"/>
        <v/>
      </c>
      <c r="DO155" s="22"/>
      <c r="DP155" s="22"/>
    </row>
    <row r="156" spans="1:120" x14ac:dyDescent="0.25">
      <c r="A156" s="91">
        <f>$A$38</f>
        <v>20152</v>
      </c>
      <c r="B156" s="105"/>
      <c r="C156" s="90">
        <f t="shared" si="351"/>
        <v>3.4657591318243339</v>
      </c>
      <c r="D156" s="90">
        <f t="shared" si="351"/>
        <v>1.5927086039297378</v>
      </c>
      <c r="E156" s="90">
        <f t="shared" si="351"/>
        <v>1.2815291217421869</v>
      </c>
      <c r="F156" s="90">
        <f t="shared" si="351"/>
        <v>1.1668904007304481</v>
      </c>
      <c r="G156" s="90">
        <f t="shared" si="351"/>
        <v>1.095965465003889</v>
      </c>
      <c r="H156" s="90">
        <f t="shared" si="351"/>
        <v>1.065138859437998</v>
      </c>
      <c r="I156" s="90">
        <f t="shared" si="351"/>
        <v>1.0295155330679833</v>
      </c>
      <c r="J156" s="22"/>
      <c r="K156" s="22"/>
      <c r="L156" s="22"/>
      <c r="M156" s="91">
        <f>$A$38</f>
        <v>20152</v>
      </c>
      <c r="N156" s="105"/>
      <c r="O156" s="90" t="str">
        <f t="shared" si="352"/>
        <v/>
      </c>
      <c r="P156" s="90" t="str">
        <f t="shared" si="352"/>
        <v/>
      </c>
      <c r="Q156" s="90" t="str">
        <f t="shared" si="352"/>
        <v/>
      </c>
      <c r="R156" s="90" t="str">
        <f t="shared" si="352"/>
        <v/>
      </c>
      <c r="S156" s="90" t="str">
        <f t="shared" si="352"/>
        <v/>
      </c>
      <c r="T156" s="90" t="str">
        <f t="shared" si="352"/>
        <v/>
      </c>
      <c r="U156" s="90" t="str">
        <f t="shared" si="352"/>
        <v/>
      </c>
      <c r="V156" s="22"/>
      <c r="W156" s="22"/>
      <c r="X156" s="22"/>
      <c r="Y156" s="91">
        <f>$A$38</f>
        <v>20152</v>
      </c>
      <c r="Z156" s="105"/>
      <c r="AA156" s="90" t="str">
        <f t="shared" si="353"/>
        <v/>
      </c>
      <c r="AB156" s="90" t="str">
        <f t="shared" si="353"/>
        <v/>
      </c>
      <c r="AC156" s="90" t="str">
        <f t="shared" si="353"/>
        <v/>
      </c>
      <c r="AD156" s="90" t="str">
        <f t="shared" si="353"/>
        <v/>
      </c>
      <c r="AE156" s="90" t="str">
        <f t="shared" si="353"/>
        <v/>
      </c>
      <c r="AF156" s="90" t="str">
        <f t="shared" si="353"/>
        <v/>
      </c>
      <c r="AG156" s="90" t="str">
        <f t="shared" si="353"/>
        <v/>
      </c>
      <c r="AH156" s="22"/>
      <c r="AI156" s="22"/>
      <c r="AJ156" s="22"/>
      <c r="AK156" s="91">
        <f>$A$38</f>
        <v>20152</v>
      </c>
      <c r="AL156" s="105"/>
      <c r="AM156" s="90" t="str">
        <f t="shared" si="354"/>
        <v/>
      </c>
      <c r="AN156" s="90" t="str">
        <f t="shared" si="354"/>
        <v/>
      </c>
      <c r="AO156" s="90" t="str">
        <f t="shared" si="354"/>
        <v/>
      </c>
      <c r="AP156" s="90" t="str">
        <f t="shared" si="354"/>
        <v/>
      </c>
      <c r="AQ156" s="90" t="str">
        <f t="shared" si="354"/>
        <v/>
      </c>
      <c r="AR156" s="90" t="str">
        <f t="shared" si="354"/>
        <v/>
      </c>
      <c r="AS156" s="90" t="str">
        <f t="shared" si="354"/>
        <v/>
      </c>
      <c r="AT156" s="22"/>
      <c r="AU156" s="22"/>
      <c r="AV156" s="22"/>
      <c r="AW156" s="91">
        <f>$A$38</f>
        <v>20152</v>
      </c>
      <c r="AX156" s="105"/>
      <c r="AY156" s="90" t="str">
        <f t="shared" si="355"/>
        <v/>
      </c>
      <c r="AZ156" s="90" t="str">
        <f t="shared" si="355"/>
        <v/>
      </c>
      <c r="BA156" s="90" t="str">
        <f t="shared" si="355"/>
        <v/>
      </c>
      <c r="BB156" s="90" t="str">
        <f t="shared" si="355"/>
        <v/>
      </c>
      <c r="BC156" s="90" t="str">
        <f t="shared" si="355"/>
        <v/>
      </c>
      <c r="BD156" s="90" t="str">
        <f t="shared" si="355"/>
        <v/>
      </c>
      <c r="BE156" s="90" t="str">
        <f t="shared" si="355"/>
        <v/>
      </c>
      <c r="BF156" s="22"/>
      <c r="BG156" s="22"/>
      <c r="BH156" s="22"/>
      <c r="BI156" s="91">
        <f>$A$38</f>
        <v>20152</v>
      </c>
      <c r="BJ156" s="105"/>
      <c r="BK156" s="90" t="str">
        <f t="shared" si="356"/>
        <v/>
      </c>
      <c r="BL156" s="90" t="str">
        <f t="shared" si="356"/>
        <v/>
      </c>
      <c r="BM156" s="90" t="str">
        <f t="shared" si="356"/>
        <v/>
      </c>
      <c r="BN156" s="90" t="str">
        <f t="shared" si="356"/>
        <v/>
      </c>
      <c r="BO156" s="90" t="str">
        <f t="shared" si="356"/>
        <v/>
      </c>
      <c r="BP156" s="90" t="str">
        <f t="shared" si="356"/>
        <v/>
      </c>
      <c r="BQ156" s="90" t="str">
        <f t="shared" si="356"/>
        <v/>
      </c>
      <c r="BR156" s="22"/>
      <c r="BS156" s="22"/>
      <c r="BT156" s="22"/>
      <c r="BU156" s="91">
        <f>$A$38</f>
        <v>20152</v>
      </c>
      <c r="BV156" s="105"/>
      <c r="BW156" s="90" t="str">
        <f t="shared" si="357"/>
        <v/>
      </c>
      <c r="BX156" s="90" t="str">
        <f t="shared" si="357"/>
        <v/>
      </c>
      <c r="BY156" s="90" t="str">
        <f t="shared" si="357"/>
        <v/>
      </c>
      <c r="BZ156" s="90" t="str">
        <f t="shared" si="357"/>
        <v/>
      </c>
      <c r="CA156" s="90" t="str">
        <f t="shared" si="357"/>
        <v/>
      </c>
      <c r="CB156" s="90" t="str">
        <f t="shared" si="357"/>
        <v/>
      </c>
      <c r="CC156" s="90" t="str">
        <f t="shared" si="357"/>
        <v/>
      </c>
      <c r="CD156" s="22"/>
      <c r="CE156" s="22"/>
      <c r="CF156" s="22"/>
      <c r="CG156" s="91">
        <f>$A$38</f>
        <v>20152</v>
      </c>
      <c r="CH156" s="105"/>
      <c r="CI156" s="90" t="str">
        <f t="shared" si="358"/>
        <v/>
      </c>
      <c r="CJ156" s="90" t="str">
        <f t="shared" si="358"/>
        <v/>
      </c>
      <c r="CK156" s="90" t="str">
        <f t="shared" si="358"/>
        <v/>
      </c>
      <c r="CL156" s="90" t="str">
        <f t="shared" si="358"/>
        <v/>
      </c>
      <c r="CM156" s="90" t="str">
        <f t="shared" si="358"/>
        <v/>
      </c>
      <c r="CN156" s="90" t="str">
        <f t="shared" si="358"/>
        <v/>
      </c>
      <c r="CO156" s="90" t="str">
        <f t="shared" si="358"/>
        <v/>
      </c>
      <c r="CP156" s="22"/>
      <c r="CQ156" s="22"/>
      <c r="CR156" s="22"/>
      <c r="CS156" s="91">
        <f>$A$38</f>
        <v>20152</v>
      </c>
      <c r="CT156" s="105"/>
      <c r="CU156" s="90" t="str">
        <f t="shared" si="359"/>
        <v/>
      </c>
      <c r="CV156" s="90" t="str">
        <f t="shared" si="359"/>
        <v/>
      </c>
      <c r="CW156" s="90" t="str">
        <f t="shared" si="359"/>
        <v/>
      </c>
      <c r="CX156" s="90" t="str">
        <f t="shared" si="359"/>
        <v/>
      </c>
      <c r="CY156" s="90" t="str">
        <f t="shared" si="359"/>
        <v/>
      </c>
      <c r="CZ156" s="90" t="str">
        <f t="shared" si="359"/>
        <v/>
      </c>
      <c r="DA156" s="90" t="str">
        <f t="shared" si="359"/>
        <v/>
      </c>
      <c r="DB156" s="22"/>
      <c r="DC156" s="22"/>
      <c r="DD156" s="22"/>
      <c r="DE156" s="91">
        <f>$A$38</f>
        <v>20152</v>
      </c>
      <c r="DF156" s="105"/>
      <c r="DG156" s="90" t="str">
        <f t="shared" si="360"/>
        <v/>
      </c>
      <c r="DH156" s="90" t="str">
        <f t="shared" si="360"/>
        <v/>
      </c>
      <c r="DI156" s="90" t="str">
        <f t="shared" si="360"/>
        <v/>
      </c>
      <c r="DJ156" s="90" t="str">
        <f t="shared" si="360"/>
        <v/>
      </c>
      <c r="DK156" s="90" t="str">
        <f t="shared" si="360"/>
        <v/>
      </c>
      <c r="DL156" s="90" t="str">
        <f t="shared" si="360"/>
        <v/>
      </c>
      <c r="DM156" s="90" t="str">
        <f t="shared" si="360"/>
        <v/>
      </c>
      <c r="DN156" s="22"/>
      <c r="DO156" s="22"/>
      <c r="DP156" s="22"/>
    </row>
    <row r="157" spans="1:120" x14ac:dyDescent="0.25">
      <c r="A157" s="91">
        <f>$A$39</f>
        <v>20162</v>
      </c>
      <c r="B157" s="105"/>
      <c r="C157" s="90">
        <f t="shared" si="351"/>
        <v>2.6408608021183122</v>
      </c>
      <c r="D157" s="90">
        <f t="shared" si="351"/>
        <v>1.7565744090190198</v>
      </c>
      <c r="E157" s="90">
        <f t="shared" si="351"/>
        <v>1.408366783631309</v>
      </c>
      <c r="F157" s="90">
        <f t="shared" si="351"/>
        <v>1.1155463532298584</v>
      </c>
      <c r="G157" s="90">
        <f t="shared" si="351"/>
        <v>1.0495480993101116</v>
      </c>
      <c r="H157" s="90">
        <f t="shared" si="351"/>
        <v>1.023019808873938</v>
      </c>
      <c r="I157" s="22"/>
      <c r="J157" s="22"/>
      <c r="K157" s="22"/>
      <c r="L157" s="22"/>
      <c r="M157" s="91">
        <f>$A$39</f>
        <v>20162</v>
      </c>
      <c r="N157" s="105"/>
      <c r="O157" s="90" t="str">
        <f t="shared" si="352"/>
        <v/>
      </c>
      <c r="P157" s="90" t="str">
        <f t="shared" si="352"/>
        <v/>
      </c>
      <c r="Q157" s="90" t="str">
        <f t="shared" si="352"/>
        <v/>
      </c>
      <c r="R157" s="90" t="str">
        <f t="shared" si="352"/>
        <v/>
      </c>
      <c r="S157" s="90" t="str">
        <f t="shared" si="352"/>
        <v/>
      </c>
      <c r="T157" s="90" t="str">
        <f t="shared" si="352"/>
        <v/>
      </c>
      <c r="U157" s="22"/>
      <c r="V157" s="22"/>
      <c r="W157" s="22"/>
      <c r="X157" s="22"/>
      <c r="Y157" s="91">
        <f>$A$39</f>
        <v>20162</v>
      </c>
      <c r="Z157" s="105"/>
      <c r="AA157" s="90" t="str">
        <f t="shared" si="353"/>
        <v/>
      </c>
      <c r="AB157" s="90" t="str">
        <f t="shared" si="353"/>
        <v/>
      </c>
      <c r="AC157" s="90" t="str">
        <f t="shared" si="353"/>
        <v/>
      </c>
      <c r="AD157" s="90" t="str">
        <f t="shared" si="353"/>
        <v/>
      </c>
      <c r="AE157" s="90" t="str">
        <f t="shared" si="353"/>
        <v/>
      </c>
      <c r="AF157" s="90" t="str">
        <f t="shared" si="353"/>
        <v/>
      </c>
      <c r="AG157" s="22"/>
      <c r="AH157" s="22"/>
      <c r="AI157" s="22"/>
      <c r="AJ157" s="22"/>
      <c r="AK157" s="91">
        <f>$A$39</f>
        <v>20162</v>
      </c>
      <c r="AL157" s="105"/>
      <c r="AM157" s="90" t="str">
        <f t="shared" si="354"/>
        <v/>
      </c>
      <c r="AN157" s="90" t="str">
        <f t="shared" si="354"/>
        <v/>
      </c>
      <c r="AO157" s="90" t="str">
        <f t="shared" si="354"/>
        <v/>
      </c>
      <c r="AP157" s="90" t="str">
        <f t="shared" si="354"/>
        <v/>
      </c>
      <c r="AQ157" s="90" t="str">
        <f t="shared" si="354"/>
        <v/>
      </c>
      <c r="AR157" s="90" t="str">
        <f t="shared" si="354"/>
        <v/>
      </c>
      <c r="AS157" s="22"/>
      <c r="AT157" s="22"/>
      <c r="AU157" s="22"/>
      <c r="AV157" s="22"/>
      <c r="AW157" s="91">
        <f>$A$39</f>
        <v>20162</v>
      </c>
      <c r="AX157" s="105"/>
      <c r="AY157" s="90" t="str">
        <f t="shared" si="355"/>
        <v/>
      </c>
      <c r="AZ157" s="90" t="str">
        <f t="shared" si="355"/>
        <v/>
      </c>
      <c r="BA157" s="90" t="str">
        <f t="shared" si="355"/>
        <v/>
      </c>
      <c r="BB157" s="90" t="str">
        <f t="shared" si="355"/>
        <v/>
      </c>
      <c r="BC157" s="90" t="str">
        <f t="shared" si="355"/>
        <v/>
      </c>
      <c r="BD157" s="90" t="str">
        <f t="shared" si="355"/>
        <v/>
      </c>
      <c r="BE157" s="22"/>
      <c r="BF157" s="22"/>
      <c r="BG157" s="22"/>
      <c r="BH157" s="22"/>
      <c r="BI157" s="91">
        <f>$A$39</f>
        <v>20162</v>
      </c>
      <c r="BJ157" s="105"/>
      <c r="BK157" s="90" t="str">
        <f t="shared" si="356"/>
        <v/>
      </c>
      <c r="BL157" s="90" t="str">
        <f t="shared" si="356"/>
        <v/>
      </c>
      <c r="BM157" s="90" t="str">
        <f t="shared" si="356"/>
        <v/>
      </c>
      <c r="BN157" s="90" t="str">
        <f t="shared" si="356"/>
        <v/>
      </c>
      <c r="BO157" s="90" t="str">
        <f t="shared" si="356"/>
        <v/>
      </c>
      <c r="BP157" s="90" t="str">
        <f t="shared" si="356"/>
        <v/>
      </c>
      <c r="BQ157" s="22"/>
      <c r="BR157" s="22"/>
      <c r="BS157" s="22"/>
      <c r="BT157" s="22"/>
      <c r="BU157" s="91">
        <f>$A$39</f>
        <v>20162</v>
      </c>
      <c r="BV157" s="105"/>
      <c r="BW157" s="90" t="str">
        <f t="shared" si="357"/>
        <v/>
      </c>
      <c r="BX157" s="90" t="str">
        <f t="shared" si="357"/>
        <v/>
      </c>
      <c r="BY157" s="90" t="str">
        <f t="shared" si="357"/>
        <v/>
      </c>
      <c r="BZ157" s="90" t="str">
        <f t="shared" si="357"/>
        <v/>
      </c>
      <c r="CA157" s="90" t="str">
        <f t="shared" si="357"/>
        <v/>
      </c>
      <c r="CB157" s="90" t="str">
        <f t="shared" si="357"/>
        <v/>
      </c>
      <c r="CC157" s="22"/>
      <c r="CD157" s="22"/>
      <c r="CE157" s="22"/>
      <c r="CF157" s="22"/>
      <c r="CG157" s="91">
        <f>$A$39</f>
        <v>20162</v>
      </c>
      <c r="CH157" s="105"/>
      <c r="CI157" s="90" t="str">
        <f t="shared" si="358"/>
        <v/>
      </c>
      <c r="CJ157" s="90" t="str">
        <f t="shared" si="358"/>
        <v/>
      </c>
      <c r="CK157" s="90" t="str">
        <f t="shared" si="358"/>
        <v/>
      </c>
      <c r="CL157" s="90" t="str">
        <f t="shared" si="358"/>
        <v/>
      </c>
      <c r="CM157" s="90" t="str">
        <f t="shared" si="358"/>
        <v/>
      </c>
      <c r="CN157" s="90" t="str">
        <f t="shared" si="358"/>
        <v/>
      </c>
      <c r="CO157" s="22"/>
      <c r="CP157" s="22"/>
      <c r="CQ157" s="22"/>
      <c r="CR157" s="22"/>
      <c r="CS157" s="91">
        <f>$A$39</f>
        <v>20162</v>
      </c>
      <c r="CT157" s="105"/>
      <c r="CU157" s="90" t="str">
        <f t="shared" si="359"/>
        <v/>
      </c>
      <c r="CV157" s="90" t="str">
        <f t="shared" si="359"/>
        <v/>
      </c>
      <c r="CW157" s="90" t="str">
        <f t="shared" si="359"/>
        <v/>
      </c>
      <c r="CX157" s="90" t="str">
        <f t="shared" si="359"/>
        <v/>
      </c>
      <c r="CY157" s="90" t="str">
        <f t="shared" si="359"/>
        <v/>
      </c>
      <c r="CZ157" s="90" t="str">
        <f t="shared" si="359"/>
        <v/>
      </c>
      <c r="DA157" s="22"/>
      <c r="DB157" s="22"/>
      <c r="DC157" s="22"/>
      <c r="DD157" s="22"/>
      <c r="DE157" s="91">
        <f>$A$39</f>
        <v>20162</v>
      </c>
      <c r="DF157" s="105"/>
      <c r="DG157" s="90" t="str">
        <f t="shared" si="360"/>
        <v/>
      </c>
      <c r="DH157" s="90" t="str">
        <f t="shared" si="360"/>
        <v/>
      </c>
      <c r="DI157" s="90" t="str">
        <f t="shared" si="360"/>
        <v/>
      </c>
      <c r="DJ157" s="90" t="str">
        <f t="shared" si="360"/>
        <v/>
      </c>
      <c r="DK157" s="90" t="str">
        <f t="shared" si="360"/>
        <v/>
      </c>
      <c r="DL157" s="90" t="str">
        <f t="shared" si="360"/>
        <v/>
      </c>
      <c r="DM157" s="22"/>
      <c r="DN157" s="22"/>
      <c r="DO157" s="22"/>
      <c r="DP157" s="22"/>
    </row>
    <row r="158" spans="1:120" x14ac:dyDescent="0.25">
      <c r="A158" s="91">
        <f>$A$40</f>
        <v>20172</v>
      </c>
      <c r="B158" s="105"/>
      <c r="C158" s="90">
        <f t="shared" si="351"/>
        <v>3.2899821395142164</v>
      </c>
      <c r="D158" s="90">
        <f t="shared" si="351"/>
        <v>1.6233410012920806</v>
      </c>
      <c r="E158" s="90">
        <f t="shared" si="351"/>
        <v>1.3233660228990956</v>
      </c>
      <c r="F158" s="90">
        <f t="shared" si="351"/>
        <v>1.1174281411674223</v>
      </c>
      <c r="G158" s="90">
        <f t="shared" si="351"/>
        <v>1.0678601730684694</v>
      </c>
      <c r="H158" s="22"/>
      <c r="I158" s="22"/>
      <c r="J158" s="22"/>
      <c r="K158" s="22"/>
      <c r="L158" s="22"/>
      <c r="M158" s="91">
        <f>$A$40</f>
        <v>20172</v>
      </c>
      <c r="N158" s="105"/>
      <c r="O158" s="90" t="str">
        <f t="shared" si="352"/>
        <v/>
      </c>
      <c r="P158" s="90" t="str">
        <f t="shared" si="352"/>
        <v/>
      </c>
      <c r="Q158" s="90" t="str">
        <f t="shared" si="352"/>
        <v/>
      </c>
      <c r="R158" s="90" t="str">
        <f t="shared" si="352"/>
        <v/>
      </c>
      <c r="S158" s="90" t="str">
        <f t="shared" si="352"/>
        <v/>
      </c>
      <c r="T158" s="22"/>
      <c r="U158" s="22"/>
      <c r="V158" s="22"/>
      <c r="W158" s="22"/>
      <c r="X158" s="22"/>
      <c r="Y158" s="91">
        <f>$A$40</f>
        <v>20172</v>
      </c>
      <c r="Z158" s="105"/>
      <c r="AA158" s="90" t="str">
        <f t="shared" si="353"/>
        <v/>
      </c>
      <c r="AB158" s="90" t="str">
        <f t="shared" si="353"/>
        <v/>
      </c>
      <c r="AC158" s="90" t="str">
        <f t="shared" si="353"/>
        <v/>
      </c>
      <c r="AD158" s="90" t="str">
        <f t="shared" si="353"/>
        <v/>
      </c>
      <c r="AE158" s="90" t="str">
        <f t="shared" si="353"/>
        <v/>
      </c>
      <c r="AF158" s="22"/>
      <c r="AG158" s="22"/>
      <c r="AH158" s="22"/>
      <c r="AI158" s="22"/>
      <c r="AJ158" s="22"/>
      <c r="AK158" s="91">
        <f>$A$40</f>
        <v>20172</v>
      </c>
      <c r="AL158" s="105"/>
      <c r="AM158" s="90" t="str">
        <f t="shared" si="354"/>
        <v/>
      </c>
      <c r="AN158" s="90" t="str">
        <f t="shared" si="354"/>
        <v/>
      </c>
      <c r="AO158" s="90" t="str">
        <f t="shared" si="354"/>
        <v/>
      </c>
      <c r="AP158" s="90" t="str">
        <f t="shared" si="354"/>
        <v/>
      </c>
      <c r="AQ158" s="90" t="str">
        <f t="shared" si="354"/>
        <v/>
      </c>
      <c r="AR158" s="22"/>
      <c r="AS158" s="22"/>
      <c r="AT158" s="22"/>
      <c r="AU158" s="22"/>
      <c r="AV158" s="22"/>
      <c r="AW158" s="91">
        <f>$A$40</f>
        <v>20172</v>
      </c>
      <c r="AX158" s="105"/>
      <c r="AY158" s="90" t="str">
        <f t="shared" si="355"/>
        <v/>
      </c>
      <c r="AZ158" s="90" t="str">
        <f t="shared" si="355"/>
        <v/>
      </c>
      <c r="BA158" s="90" t="str">
        <f t="shared" si="355"/>
        <v/>
      </c>
      <c r="BB158" s="90" t="str">
        <f t="shared" si="355"/>
        <v/>
      </c>
      <c r="BC158" s="90" t="str">
        <f t="shared" si="355"/>
        <v/>
      </c>
      <c r="BD158" s="22"/>
      <c r="BE158" s="22"/>
      <c r="BF158" s="22"/>
      <c r="BG158" s="22"/>
      <c r="BH158" s="22"/>
      <c r="BI158" s="91">
        <f>$A$40</f>
        <v>20172</v>
      </c>
      <c r="BJ158" s="105"/>
      <c r="BK158" s="90" t="str">
        <f t="shared" si="356"/>
        <v/>
      </c>
      <c r="BL158" s="90" t="str">
        <f t="shared" si="356"/>
        <v/>
      </c>
      <c r="BM158" s="90" t="str">
        <f t="shared" si="356"/>
        <v/>
      </c>
      <c r="BN158" s="90" t="str">
        <f t="shared" si="356"/>
        <v/>
      </c>
      <c r="BO158" s="90" t="str">
        <f t="shared" si="356"/>
        <v/>
      </c>
      <c r="BP158" s="22"/>
      <c r="BQ158" s="22"/>
      <c r="BR158" s="22"/>
      <c r="BS158" s="22"/>
      <c r="BT158" s="22"/>
      <c r="BU158" s="91">
        <f>$A$40</f>
        <v>20172</v>
      </c>
      <c r="BV158" s="105"/>
      <c r="BW158" s="90" t="str">
        <f t="shared" si="357"/>
        <v/>
      </c>
      <c r="BX158" s="90" t="str">
        <f t="shared" si="357"/>
        <v/>
      </c>
      <c r="BY158" s="90" t="str">
        <f t="shared" si="357"/>
        <v/>
      </c>
      <c r="BZ158" s="90" t="str">
        <f t="shared" si="357"/>
        <v/>
      </c>
      <c r="CA158" s="90" t="str">
        <f t="shared" si="357"/>
        <v/>
      </c>
      <c r="CB158" s="22"/>
      <c r="CC158" s="22"/>
      <c r="CD158" s="22"/>
      <c r="CE158" s="22"/>
      <c r="CF158" s="22"/>
      <c r="CG158" s="91">
        <f>$A$40</f>
        <v>20172</v>
      </c>
      <c r="CH158" s="105"/>
      <c r="CI158" s="90" t="str">
        <f t="shared" si="358"/>
        <v/>
      </c>
      <c r="CJ158" s="90" t="str">
        <f t="shared" si="358"/>
        <v/>
      </c>
      <c r="CK158" s="90" t="str">
        <f t="shared" si="358"/>
        <v/>
      </c>
      <c r="CL158" s="90" t="str">
        <f t="shared" si="358"/>
        <v/>
      </c>
      <c r="CM158" s="90" t="str">
        <f t="shared" si="358"/>
        <v/>
      </c>
      <c r="CN158" s="22"/>
      <c r="CO158" s="22"/>
      <c r="CP158" s="22"/>
      <c r="CQ158" s="22"/>
      <c r="CR158" s="22"/>
      <c r="CS158" s="91">
        <f>$A$40</f>
        <v>20172</v>
      </c>
      <c r="CT158" s="105"/>
      <c r="CU158" s="90" t="str">
        <f t="shared" si="359"/>
        <v/>
      </c>
      <c r="CV158" s="90" t="str">
        <f t="shared" si="359"/>
        <v/>
      </c>
      <c r="CW158" s="90" t="str">
        <f t="shared" si="359"/>
        <v/>
      </c>
      <c r="CX158" s="90" t="str">
        <f t="shared" si="359"/>
        <v/>
      </c>
      <c r="CY158" s="90" t="str">
        <f t="shared" si="359"/>
        <v/>
      </c>
      <c r="CZ158" s="22"/>
      <c r="DA158" s="22"/>
      <c r="DB158" s="22"/>
      <c r="DC158" s="22"/>
      <c r="DD158" s="22"/>
      <c r="DE158" s="91">
        <f>$A$40</f>
        <v>20172</v>
      </c>
      <c r="DF158" s="105"/>
      <c r="DG158" s="90" t="str">
        <f t="shared" si="360"/>
        <v/>
      </c>
      <c r="DH158" s="90" t="str">
        <f t="shared" si="360"/>
        <v/>
      </c>
      <c r="DI158" s="90" t="str">
        <f t="shared" si="360"/>
        <v/>
      </c>
      <c r="DJ158" s="90" t="str">
        <f t="shared" si="360"/>
        <v/>
      </c>
      <c r="DK158" s="90" t="str">
        <f t="shared" si="360"/>
        <v/>
      </c>
      <c r="DL158" s="22"/>
      <c r="DM158" s="22"/>
      <c r="DN158" s="22"/>
      <c r="DO158" s="22"/>
      <c r="DP158" s="22"/>
    </row>
    <row r="159" spans="1:120" x14ac:dyDescent="0.25">
      <c r="A159" s="91">
        <f>$A$41</f>
        <v>20182</v>
      </c>
      <c r="B159" s="105"/>
      <c r="C159" s="90">
        <f t="shared" si="351"/>
        <v>2.7727962342111643</v>
      </c>
      <c r="D159" s="90">
        <f t="shared" si="351"/>
        <v>1.8252739927888462</v>
      </c>
      <c r="E159" s="90">
        <f t="shared" si="351"/>
        <v>1.3076489029740257</v>
      </c>
      <c r="F159" s="90">
        <f t="shared" si="351"/>
        <v>1.1752560366305305</v>
      </c>
      <c r="G159" s="22"/>
      <c r="H159" s="22"/>
      <c r="I159" s="22"/>
      <c r="J159" s="22"/>
      <c r="K159" s="22"/>
      <c r="L159" s="22"/>
      <c r="M159" s="91">
        <f>$A$41</f>
        <v>20182</v>
      </c>
      <c r="N159" s="105"/>
      <c r="O159" s="90" t="str">
        <f t="shared" si="352"/>
        <v/>
      </c>
      <c r="P159" s="90" t="str">
        <f t="shared" si="352"/>
        <v/>
      </c>
      <c r="Q159" s="90" t="str">
        <f t="shared" si="352"/>
        <v/>
      </c>
      <c r="R159" s="90" t="str">
        <f t="shared" si="352"/>
        <v/>
      </c>
      <c r="S159" s="22"/>
      <c r="T159" s="22"/>
      <c r="U159" s="22"/>
      <c r="V159" s="22"/>
      <c r="W159" s="22"/>
      <c r="X159" s="22"/>
      <c r="Y159" s="91">
        <f>$A$41</f>
        <v>20182</v>
      </c>
      <c r="Z159" s="105"/>
      <c r="AA159" s="90" t="str">
        <f t="shared" si="353"/>
        <v/>
      </c>
      <c r="AB159" s="90" t="str">
        <f t="shared" si="353"/>
        <v/>
      </c>
      <c r="AC159" s="90" t="str">
        <f t="shared" si="353"/>
        <v/>
      </c>
      <c r="AD159" s="90" t="str">
        <f t="shared" si="353"/>
        <v/>
      </c>
      <c r="AE159" s="22"/>
      <c r="AF159" s="22"/>
      <c r="AG159" s="22"/>
      <c r="AH159" s="22"/>
      <c r="AI159" s="22"/>
      <c r="AJ159" s="22"/>
      <c r="AK159" s="91">
        <f>$A$41</f>
        <v>20182</v>
      </c>
      <c r="AL159" s="105"/>
      <c r="AM159" s="90" t="str">
        <f t="shared" si="354"/>
        <v/>
      </c>
      <c r="AN159" s="90" t="str">
        <f t="shared" si="354"/>
        <v/>
      </c>
      <c r="AO159" s="90" t="str">
        <f t="shared" si="354"/>
        <v/>
      </c>
      <c r="AP159" s="90" t="str">
        <f t="shared" si="354"/>
        <v/>
      </c>
      <c r="AQ159" s="22"/>
      <c r="AR159" s="22"/>
      <c r="AS159" s="22"/>
      <c r="AT159" s="22"/>
      <c r="AU159" s="22"/>
      <c r="AV159" s="22"/>
      <c r="AW159" s="91">
        <f>$A$41</f>
        <v>20182</v>
      </c>
      <c r="AX159" s="105"/>
      <c r="AY159" s="90" t="str">
        <f t="shared" si="355"/>
        <v/>
      </c>
      <c r="AZ159" s="90" t="str">
        <f t="shared" si="355"/>
        <v/>
      </c>
      <c r="BA159" s="90" t="str">
        <f t="shared" si="355"/>
        <v/>
      </c>
      <c r="BB159" s="90" t="str">
        <f t="shared" si="355"/>
        <v/>
      </c>
      <c r="BC159" s="22"/>
      <c r="BD159" s="22"/>
      <c r="BE159" s="22"/>
      <c r="BF159" s="22"/>
      <c r="BG159" s="22"/>
      <c r="BH159" s="22"/>
      <c r="BI159" s="91">
        <f>$A$41</f>
        <v>20182</v>
      </c>
      <c r="BJ159" s="105"/>
      <c r="BK159" s="90" t="str">
        <f t="shared" si="356"/>
        <v/>
      </c>
      <c r="BL159" s="90" t="str">
        <f t="shared" si="356"/>
        <v/>
      </c>
      <c r="BM159" s="90" t="str">
        <f t="shared" si="356"/>
        <v/>
      </c>
      <c r="BN159" s="90" t="str">
        <f t="shared" si="356"/>
        <v/>
      </c>
      <c r="BO159" s="22"/>
      <c r="BP159" s="22"/>
      <c r="BQ159" s="22"/>
      <c r="BR159" s="22"/>
      <c r="BS159" s="22"/>
      <c r="BT159" s="22"/>
      <c r="BU159" s="91">
        <f>$A$41</f>
        <v>20182</v>
      </c>
      <c r="BV159" s="105"/>
      <c r="BW159" s="90" t="str">
        <f t="shared" si="357"/>
        <v/>
      </c>
      <c r="BX159" s="90" t="str">
        <f t="shared" si="357"/>
        <v/>
      </c>
      <c r="BY159" s="90" t="str">
        <f t="shared" si="357"/>
        <v/>
      </c>
      <c r="BZ159" s="90" t="str">
        <f t="shared" si="357"/>
        <v/>
      </c>
      <c r="CA159" s="22"/>
      <c r="CB159" s="22"/>
      <c r="CC159" s="22"/>
      <c r="CD159" s="22"/>
      <c r="CE159" s="22"/>
      <c r="CF159" s="22"/>
      <c r="CG159" s="91">
        <f>$A$41</f>
        <v>20182</v>
      </c>
      <c r="CH159" s="105"/>
      <c r="CI159" s="90" t="str">
        <f t="shared" si="358"/>
        <v/>
      </c>
      <c r="CJ159" s="90" t="str">
        <f t="shared" si="358"/>
        <v/>
      </c>
      <c r="CK159" s="90" t="str">
        <f t="shared" si="358"/>
        <v/>
      </c>
      <c r="CL159" s="90" t="str">
        <f t="shared" si="358"/>
        <v/>
      </c>
      <c r="CM159" s="22"/>
      <c r="CN159" s="22"/>
      <c r="CO159" s="22"/>
      <c r="CP159" s="22"/>
      <c r="CQ159" s="22"/>
      <c r="CR159" s="22"/>
      <c r="CS159" s="91">
        <f>$A$41</f>
        <v>20182</v>
      </c>
      <c r="CT159" s="105"/>
      <c r="CU159" s="90" t="str">
        <f t="shared" si="359"/>
        <v/>
      </c>
      <c r="CV159" s="90" t="str">
        <f t="shared" si="359"/>
        <v/>
      </c>
      <c r="CW159" s="90" t="str">
        <f t="shared" si="359"/>
        <v/>
      </c>
      <c r="CX159" s="90" t="str">
        <f t="shared" si="359"/>
        <v/>
      </c>
      <c r="CY159" s="22"/>
      <c r="CZ159" s="22"/>
      <c r="DA159" s="22"/>
      <c r="DB159" s="22"/>
      <c r="DC159" s="22"/>
      <c r="DD159" s="22"/>
      <c r="DE159" s="91">
        <f>$A$41</f>
        <v>20182</v>
      </c>
      <c r="DF159" s="105"/>
      <c r="DG159" s="90" t="str">
        <f t="shared" si="360"/>
        <v/>
      </c>
      <c r="DH159" s="90" t="str">
        <f t="shared" si="360"/>
        <v/>
      </c>
      <c r="DI159" s="90" t="str">
        <f t="shared" si="360"/>
        <v/>
      </c>
      <c r="DJ159" s="90" t="str">
        <f t="shared" si="360"/>
        <v/>
      </c>
      <c r="DK159" s="22"/>
      <c r="DL159" s="22"/>
      <c r="DM159" s="22"/>
      <c r="DN159" s="22"/>
      <c r="DO159" s="22"/>
      <c r="DP159" s="22"/>
    </row>
    <row r="160" spans="1:120" x14ac:dyDescent="0.25">
      <c r="A160" s="91">
        <f>$A$42</f>
        <v>20192</v>
      </c>
      <c r="B160" s="105"/>
      <c r="C160" s="90">
        <f t="shared" si="351"/>
        <v>2.7892652629437342</v>
      </c>
      <c r="D160" s="90">
        <f t="shared" si="351"/>
        <v>1.9640166575210025</v>
      </c>
      <c r="E160" s="90">
        <f t="shared" si="351"/>
        <v>1.4301393562237166</v>
      </c>
      <c r="F160" s="22"/>
      <c r="G160" s="22"/>
      <c r="H160" s="22"/>
      <c r="I160" s="22"/>
      <c r="J160" s="22"/>
      <c r="K160" s="22"/>
      <c r="L160" s="22"/>
      <c r="M160" s="91">
        <f>$A$42</f>
        <v>20192</v>
      </c>
      <c r="N160" s="105"/>
      <c r="O160" s="90" t="str">
        <f t="shared" si="352"/>
        <v/>
      </c>
      <c r="P160" s="90" t="str">
        <f t="shared" si="352"/>
        <v/>
      </c>
      <c r="Q160" s="90" t="str">
        <f t="shared" si="352"/>
        <v/>
      </c>
      <c r="R160" s="22"/>
      <c r="S160" s="22"/>
      <c r="T160" s="22"/>
      <c r="U160" s="22"/>
      <c r="V160" s="22"/>
      <c r="W160" s="22"/>
      <c r="X160" s="22"/>
      <c r="Y160" s="91">
        <f>$A$42</f>
        <v>20192</v>
      </c>
      <c r="Z160" s="105"/>
      <c r="AA160" s="90" t="str">
        <f t="shared" si="353"/>
        <v/>
      </c>
      <c r="AB160" s="90" t="str">
        <f t="shared" si="353"/>
        <v/>
      </c>
      <c r="AC160" s="90" t="str">
        <f t="shared" si="353"/>
        <v/>
      </c>
      <c r="AD160" s="22"/>
      <c r="AE160" s="22"/>
      <c r="AF160" s="22"/>
      <c r="AG160" s="22"/>
      <c r="AH160" s="22"/>
      <c r="AI160" s="22"/>
      <c r="AJ160" s="22"/>
      <c r="AK160" s="91">
        <f>$A$42</f>
        <v>20192</v>
      </c>
      <c r="AL160" s="105"/>
      <c r="AM160" s="90" t="str">
        <f t="shared" si="354"/>
        <v/>
      </c>
      <c r="AN160" s="90" t="str">
        <f t="shared" si="354"/>
        <v/>
      </c>
      <c r="AO160" s="90" t="str">
        <f t="shared" si="354"/>
        <v/>
      </c>
      <c r="AP160" s="22"/>
      <c r="AQ160" s="22"/>
      <c r="AR160" s="22"/>
      <c r="AS160" s="22"/>
      <c r="AT160" s="22"/>
      <c r="AU160" s="22"/>
      <c r="AV160" s="22"/>
      <c r="AW160" s="91">
        <f>$A$42</f>
        <v>20192</v>
      </c>
      <c r="AX160" s="105"/>
      <c r="AY160" s="90" t="str">
        <f t="shared" si="355"/>
        <v/>
      </c>
      <c r="AZ160" s="90" t="str">
        <f t="shared" si="355"/>
        <v/>
      </c>
      <c r="BA160" s="90" t="str">
        <f t="shared" si="355"/>
        <v/>
      </c>
      <c r="BB160" s="22"/>
      <c r="BC160" s="22"/>
      <c r="BD160" s="22"/>
      <c r="BE160" s="22"/>
      <c r="BF160" s="22"/>
      <c r="BG160" s="22"/>
      <c r="BH160" s="22"/>
      <c r="BI160" s="91">
        <f>$A$42</f>
        <v>20192</v>
      </c>
      <c r="BJ160" s="105"/>
      <c r="BK160" s="90" t="str">
        <f t="shared" si="356"/>
        <v/>
      </c>
      <c r="BL160" s="90" t="str">
        <f t="shared" si="356"/>
        <v/>
      </c>
      <c r="BM160" s="90" t="str">
        <f t="shared" si="356"/>
        <v/>
      </c>
      <c r="BN160" s="22"/>
      <c r="BO160" s="22"/>
      <c r="BP160" s="22"/>
      <c r="BQ160" s="22"/>
      <c r="BR160" s="22"/>
      <c r="BS160" s="22"/>
      <c r="BT160" s="22"/>
      <c r="BU160" s="91">
        <f>$A$42</f>
        <v>20192</v>
      </c>
      <c r="BV160" s="105"/>
      <c r="BW160" s="90" t="str">
        <f t="shared" si="357"/>
        <v/>
      </c>
      <c r="BX160" s="90" t="str">
        <f t="shared" si="357"/>
        <v/>
      </c>
      <c r="BY160" s="90" t="str">
        <f t="shared" si="357"/>
        <v/>
      </c>
      <c r="BZ160" s="22"/>
      <c r="CA160" s="22"/>
      <c r="CB160" s="22"/>
      <c r="CC160" s="22"/>
      <c r="CD160" s="22"/>
      <c r="CE160" s="22"/>
      <c r="CF160" s="22"/>
      <c r="CG160" s="91">
        <f>$A$42</f>
        <v>20192</v>
      </c>
      <c r="CH160" s="105"/>
      <c r="CI160" s="90" t="str">
        <f t="shared" si="358"/>
        <v/>
      </c>
      <c r="CJ160" s="90" t="str">
        <f t="shared" si="358"/>
        <v/>
      </c>
      <c r="CK160" s="90" t="str">
        <f t="shared" si="358"/>
        <v/>
      </c>
      <c r="CL160" s="22"/>
      <c r="CM160" s="22"/>
      <c r="CN160" s="22"/>
      <c r="CO160" s="22"/>
      <c r="CP160" s="22"/>
      <c r="CQ160" s="22"/>
      <c r="CR160" s="22"/>
      <c r="CS160" s="91">
        <f>$A$42</f>
        <v>20192</v>
      </c>
      <c r="CT160" s="105"/>
      <c r="CU160" s="90" t="str">
        <f t="shared" si="359"/>
        <v/>
      </c>
      <c r="CV160" s="90" t="str">
        <f t="shared" si="359"/>
        <v/>
      </c>
      <c r="CW160" s="90" t="str">
        <f t="shared" si="359"/>
        <v/>
      </c>
      <c r="CX160" s="22"/>
      <c r="CY160" s="22"/>
      <c r="CZ160" s="22"/>
      <c r="DA160" s="22"/>
      <c r="DB160" s="22"/>
      <c r="DC160" s="22"/>
      <c r="DD160" s="22"/>
      <c r="DE160" s="91">
        <f>$A$42</f>
        <v>20192</v>
      </c>
      <c r="DF160" s="105"/>
      <c r="DG160" s="90" t="str">
        <f t="shared" si="360"/>
        <v/>
      </c>
      <c r="DH160" s="90" t="str">
        <f t="shared" si="360"/>
        <v/>
      </c>
      <c r="DI160" s="90" t="str">
        <f t="shared" si="360"/>
        <v/>
      </c>
      <c r="DJ160" s="22"/>
      <c r="DK160" s="22"/>
      <c r="DL160" s="22"/>
      <c r="DM160" s="22"/>
      <c r="DN160" s="22"/>
      <c r="DO160" s="22"/>
      <c r="DP160" s="22"/>
    </row>
    <row r="161" spans="1:120" x14ac:dyDescent="0.25">
      <c r="A161" s="91">
        <f>$A$43</f>
        <v>20202</v>
      </c>
      <c r="B161" s="105"/>
      <c r="C161" s="90">
        <f t="shared" si="351"/>
        <v>1.7905870489557891</v>
      </c>
      <c r="D161" s="90">
        <f t="shared" si="351"/>
        <v>1.62816365567261</v>
      </c>
      <c r="E161" s="22"/>
      <c r="F161" s="22"/>
      <c r="G161" s="22"/>
      <c r="H161" s="22"/>
      <c r="I161" s="22"/>
      <c r="J161" s="22"/>
      <c r="K161" s="22"/>
      <c r="L161" s="22"/>
      <c r="M161" s="91">
        <f>$A$43</f>
        <v>20202</v>
      </c>
      <c r="N161" s="105"/>
      <c r="O161" s="90" t="str">
        <f t="shared" si="352"/>
        <v/>
      </c>
      <c r="P161" s="90" t="str">
        <f t="shared" si="352"/>
        <v/>
      </c>
      <c r="Q161" s="22"/>
      <c r="R161" s="22"/>
      <c r="S161" s="22"/>
      <c r="T161" s="22"/>
      <c r="U161" s="22"/>
      <c r="V161" s="22"/>
      <c r="W161" s="22"/>
      <c r="X161" s="22"/>
      <c r="Y161" s="91">
        <f>$A$43</f>
        <v>20202</v>
      </c>
      <c r="Z161" s="105"/>
      <c r="AA161" s="90" t="str">
        <f t="shared" si="353"/>
        <v/>
      </c>
      <c r="AB161" s="90" t="str">
        <f t="shared" si="353"/>
        <v/>
      </c>
      <c r="AC161" s="22"/>
      <c r="AD161" s="22"/>
      <c r="AE161" s="22"/>
      <c r="AF161" s="22"/>
      <c r="AG161" s="22"/>
      <c r="AH161" s="22"/>
      <c r="AI161" s="22"/>
      <c r="AJ161" s="22"/>
      <c r="AK161" s="91">
        <f>$A$43</f>
        <v>20202</v>
      </c>
      <c r="AL161" s="105"/>
      <c r="AM161" s="90" t="str">
        <f t="shared" si="354"/>
        <v/>
      </c>
      <c r="AN161" s="90" t="str">
        <f t="shared" si="354"/>
        <v/>
      </c>
      <c r="AO161" s="22"/>
      <c r="AP161" s="22"/>
      <c r="AQ161" s="22"/>
      <c r="AR161" s="22"/>
      <c r="AS161" s="22"/>
      <c r="AT161" s="22"/>
      <c r="AU161" s="22"/>
      <c r="AV161" s="22"/>
      <c r="AW161" s="91">
        <f>$A$43</f>
        <v>20202</v>
      </c>
      <c r="AX161" s="105"/>
      <c r="AY161" s="90" t="str">
        <f t="shared" si="355"/>
        <v/>
      </c>
      <c r="AZ161" s="90" t="str">
        <f t="shared" si="355"/>
        <v/>
      </c>
      <c r="BA161" s="22"/>
      <c r="BB161" s="22"/>
      <c r="BC161" s="22"/>
      <c r="BD161" s="22"/>
      <c r="BE161" s="22"/>
      <c r="BF161" s="22"/>
      <c r="BG161" s="22"/>
      <c r="BH161" s="22"/>
      <c r="BI161" s="91">
        <f>$A$43</f>
        <v>20202</v>
      </c>
      <c r="BJ161" s="105"/>
      <c r="BK161" s="90" t="str">
        <f t="shared" si="356"/>
        <v/>
      </c>
      <c r="BL161" s="90" t="str">
        <f t="shared" si="356"/>
        <v/>
      </c>
      <c r="BM161" s="22"/>
      <c r="BN161" s="22"/>
      <c r="BO161" s="22"/>
      <c r="BP161" s="22"/>
      <c r="BQ161" s="22"/>
      <c r="BR161" s="22"/>
      <c r="BS161" s="22"/>
      <c r="BT161" s="22"/>
      <c r="BU161" s="91">
        <f>$A$43</f>
        <v>20202</v>
      </c>
      <c r="BV161" s="105"/>
      <c r="BW161" s="90" t="str">
        <f t="shared" si="357"/>
        <v/>
      </c>
      <c r="BX161" s="90" t="str">
        <f t="shared" si="357"/>
        <v/>
      </c>
      <c r="BY161" s="22"/>
      <c r="BZ161" s="22"/>
      <c r="CA161" s="22"/>
      <c r="CB161" s="22"/>
      <c r="CC161" s="22"/>
      <c r="CD161" s="22"/>
      <c r="CE161" s="22"/>
      <c r="CF161" s="22"/>
      <c r="CG161" s="91">
        <f>$A$43</f>
        <v>20202</v>
      </c>
      <c r="CH161" s="105"/>
      <c r="CI161" s="90" t="str">
        <f t="shared" si="358"/>
        <v/>
      </c>
      <c r="CJ161" s="90" t="str">
        <f t="shared" si="358"/>
        <v/>
      </c>
      <c r="CK161" s="22"/>
      <c r="CL161" s="22"/>
      <c r="CM161" s="22"/>
      <c r="CN161" s="22"/>
      <c r="CO161" s="22"/>
      <c r="CP161" s="22"/>
      <c r="CQ161" s="22"/>
      <c r="CR161" s="22"/>
      <c r="CS161" s="91">
        <f>$A$43</f>
        <v>20202</v>
      </c>
      <c r="CT161" s="105"/>
      <c r="CU161" s="90" t="str">
        <f t="shared" si="359"/>
        <v/>
      </c>
      <c r="CV161" s="90" t="str">
        <f t="shared" si="359"/>
        <v/>
      </c>
      <c r="CW161" s="22"/>
      <c r="CX161" s="22"/>
      <c r="CY161" s="22"/>
      <c r="CZ161" s="22"/>
      <c r="DA161" s="22"/>
      <c r="DB161" s="22"/>
      <c r="DC161" s="22"/>
      <c r="DD161" s="22"/>
      <c r="DE161" s="91">
        <f>$A$43</f>
        <v>20202</v>
      </c>
      <c r="DF161" s="105"/>
      <c r="DG161" s="90" t="str">
        <f t="shared" si="360"/>
        <v/>
      </c>
      <c r="DH161" s="90" t="str">
        <f t="shared" si="360"/>
        <v/>
      </c>
      <c r="DI161" s="22"/>
      <c r="DJ161" s="22"/>
      <c r="DK161" s="22"/>
      <c r="DL161" s="22"/>
      <c r="DM161" s="22"/>
      <c r="DN161" s="22"/>
      <c r="DO161" s="22"/>
      <c r="DP161" s="22"/>
    </row>
    <row r="162" spans="1:120" x14ac:dyDescent="0.25">
      <c r="A162" s="91">
        <f>$A$44</f>
        <v>20212</v>
      </c>
      <c r="B162" s="105"/>
      <c r="C162" s="90">
        <f t="shared" si="351"/>
        <v>1.7457557526420198</v>
      </c>
      <c r="D162" s="22"/>
      <c r="E162" s="22"/>
      <c r="F162" s="22"/>
      <c r="G162" s="22"/>
      <c r="H162" s="22"/>
      <c r="I162" s="22"/>
      <c r="J162" s="22"/>
      <c r="K162" s="22"/>
      <c r="L162" s="22"/>
      <c r="M162" s="91">
        <f>$A$44</f>
        <v>20212</v>
      </c>
      <c r="N162" s="105"/>
      <c r="O162" s="90" t="str">
        <f t="shared" si="352"/>
        <v/>
      </c>
      <c r="P162" s="22"/>
      <c r="Q162" s="22"/>
      <c r="R162" s="22"/>
      <c r="S162" s="22"/>
      <c r="T162" s="22"/>
      <c r="U162" s="22"/>
      <c r="V162" s="22"/>
      <c r="W162" s="22"/>
      <c r="X162" s="22"/>
      <c r="Y162" s="91">
        <f>$A$44</f>
        <v>20212</v>
      </c>
      <c r="Z162" s="105"/>
      <c r="AA162" s="90" t="str">
        <f t="shared" si="353"/>
        <v/>
      </c>
      <c r="AB162" s="22"/>
      <c r="AC162" s="22"/>
      <c r="AD162" s="22"/>
      <c r="AE162" s="22"/>
      <c r="AF162" s="22"/>
      <c r="AG162" s="22"/>
      <c r="AH162" s="22"/>
      <c r="AI162" s="22"/>
      <c r="AJ162" s="22"/>
      <c r="AK162" s="91">
        <f>$A$44</f>
        <v>20212</v>
      </c>
      <c r="AL162" s="105"/>
      <c r="AM162" s="90" t="str">
        <f t="shared" si="354"/>
        <v/>
      </c>
      <c r="AN162" s="22"/>
      <c r="AO162" s="22"/>
      <c r="AP162" s="22"/>
      <c r="AQ162" s="22"/>
      <c r="AR162" s="22"/>
      <c r="AS162" s="22"/>
      <c r="AT162" s="22"/>
      <c r="AU162" s="22"/>
      <c r="AV162" s="22"/>
      <c r="AW162" s="91">
        <f>$A$44</f>
        <v>20212</v>
      </c>
      <c r="AX162" s="105"/>
      <c r="AY162" s="90" t="str">
        <f t="shared" si="355"/>
        <v/>
      </c>
      <c r="AZ162" s="22"/>
      <c r="BA162" s="22"/>
      <c r="BB162" s="22"/>
      <c r="BC162" s="22"/>
      <c r="BD162" s="22"/>
      <c r="BE162" s="22"/>
      <c r="BF162" s="22"/>
      <c r="BG162" s="22"/>
      <c r="BH162" s="22"/>
      <c r="BI162" s="91">
        <f>$A$44</f>
        <v>20212</v>
      </c>
      <c r="BJ162" s="105"/>
      <c r="BK162" s="90" t="str">
        <f t="shared" si="356"/>
        <v/>
      </c>
      <c r="BL162" s="22"/>
      <c r="BM162" s="22"/>
      <c r="BN162" s="22"/>
      <c r="BO162" s="22"/>
      <c r="BP162" s="22"/>
      <c r="BQ162" s="22"/>
      <c r="BR162" s="22"/>
      <c r="BS162" s="22"/>
      <c r="BT162" s="22"/>
      <c r="BU162" s="91">
        <f>$A$44</f>
        <v>20212</v>
      </c>
      <c r="BV162" s="105"/>
      <c r="BW162" s="90" t="str">
        <f t="shared" si="357"/>
        <v/>
      </c>
      <c r="BX162" s="22"/>
      <c r="BY162" s="22"/>
      <c r="BZ162" s="22"/>
      <c r="CA162" s="22"/>
      <c r="CB162" s="22"/>
      <c r="CC162" s="22"/>
      <c r="CD162" s="22"/>
      <c r="CE162" s="22"/>
      <c r="CF162" s="22"/>
      <c r="CG162" s="91">
        <f>$A$44</f>
        <v>20212</v>
      </c>
      <c r="CH162" s="105"/>
      <c r="CI162" s="90" t="str">
        <f t="shared" si="358"/>
        <v/>
      </c>
      <c r="CJ162" s="22"/>
      <c r="CK162" s="22"/>
      <c r="CL162" s="22"/>
      <c r="CM162" s="22"/>
      <c r="CN162" s="22"/>
      <c r="CO162" s="22"/>
      <c r="CP162" s="22"/>
      <c r="CQ162" s="22"/>
      <c r="CR162" s="22"/>
      <c r="CS162" s="91">
        <f>$A$44</f>
        <v>20212</v>
      </c>
      <c r="CT162" s="105"/>
      <c r="CU162" s="90" t="str">
        <f t="shared" si="359"/>
        <v/>
      </c>
      <c r="CV162" s="22"/>
      <c r="CW162" s="22"/>
      <c r="CX162" s="22"/>
      <c r="CY162" s="22"/>
      <c r="CZ162" s="22"/>
      <c r="DA162" s="22"/>
      <c r="DB162" s="22"/>
      <c r="DC162" s="22"/>
      <c r="DD162" s="22"/>
      <c r="DE162" s="91">
        <f>$A$44</f>
        <v>20212</v>
      </c>
      <c r="DF162" s="105"/>
      <c r="DG162" s="90" t="str">
        <f t="shared" si="360"/>
        <v/>
      </c>
      <c r="DH162" s="22"/>
      <c r="DI162" s="22"/>
      <c r="DJ162" s="22"/>
      <c r="DK162" s="22"/>
      <c r="DL162" s="22"/>
      <c r="DM162" s="22"/>
      <c r="DN162" s="22"/>
      <c r="DO162" s="22"/>
      <c r="DP162" s="22"/>
    </row>
    <row r="163" spans="1:120" x14ac:dyDescent="0.25">
      <c r="L163" s="94" t="s">
        <v>38</v>
      </c>
      <c r="X163" s="94" t="s">
        <v>38</v>
      </c>
      <c r="AJ163" s="94" t="s">
        <v>38</v>
      </c>
      <c r="AV163" s="94" t="s">
        <v>38</v>
      </c>
      <c r="BH163" s="94" t="s">
        <v>38</v>
      </c>
      <c r="BT163" s="94" t="s">
        <v>38</v>
      </c>
      <c r="CF163" s="94" t="s">
        <v>38</v>
      </c>
      <c r="CR163" s="94" t="s">
        <v>38</v>
      </c>
      <c r="DD163" s="94" t="s">
        <v>38</v>
      </c>
      <c r="DP163" s="94" t="s">
        <v>38</v>
      </c>
    </row>
    <row r="164" spans="1:120" x14ac:dyDescent="0.25">
      <c r="A164" s="262" t="s">
        <v>52</v>
      </c>
      <c r="B164" s="263"/>
      <c r="C164" s="264">
        <f>IFERROR(AVERAGE(C160:C162),1)</f>
        <v>2.108536021513848</v>
      </c>
      <c r="D164" s="264">
        <f>IFERROR(AVERAGE(D159:D161),1)</f>
        <v>1.805818101994153</v>
      </c>
      <c r="E164" s="264">
        <f>IFERROR(AVERAGE(E158:E160),1)</f>
        <v>1.3537180940322793</v>
      </c>
      <c r="F164" s="264">
        <f>IFERROR(AVERAGE(F157:F159),1)</f>
        <v>1.1360768436759372</v>
      </c>
      <c r="G164" s="264">
        <f>IFERROR(AVERAGE(G156:G158),1)</f>
        <v>1.0711245791274899</v>
      </c>
      <c r="H164" s="264">
        <f>IFERROR(AVERAGE(H155:H157),1)</f>
        <v>1.043129497613539</v>
      </c>
      <c r="I164" s="264">
        <f>IFERROR(AVERAGE(I154:I156),1)</f>
        <v>1.0371695959038669</v>
      </c>
      <c r="J164" s="264">
        <f>IFERROR(AVERAGE(J154:J155),1)</f>
        <v>1.0319407727470618</v>
      </c>
      <c r="K164" s="264">
        <f>IFERROR(AVERAGE(K154:K154),1)</f>
        <v>1.0134542463391851</v>
      </c>
      <c r="L164" s="264">
        <v>1</v>
      </c>
      <c r="M164" s="262" t="s">
        <v>52</v>
      </c>
      <c r="N164" s="263"/>
      <c r="O164" s="264">
        <f>IFERROR(AVERAGE(O160:O162),1)</f>
        <v>1</v>
      </c>
      <c r="P164" s="264">
        <f>IFERROR(AVERAGE(P159:P161),1)</f>
        <v>1</v>
      </c>
      <c r="Q164" s="264">
        <f>IFERROR(AVERAGE(Q158:Q160),1)</f>
        <v>1</v>
      </c>
      <c r="R164" s="264">
        <f>IFERROR(AVERAGE(R157:R159),1)</f>
        <v>1</v>
      </c>
      <c r="S164" s="264">
        <f>IFERROR(AVERAGE(S156:S158),1)</f>
        <v>1</v>
      </c>
      <c r="T164" s="264">
        <f>IFERROR(AVERAGE(T155:T157),1)</f>
        <v>1</v>
      </c>
      <c r="U164" s="264">
        <f>IFERROR(AVERAGE(U154:U156),1)</f>
        <v>1</v>
      </c>
      <c r="V164" s="264">
        <f>IFERROR(AVERAGE(V154:V155),1)</f>
        <v>1</v>
      </c>
      <c r="W164" s="264">
        <f>IFERROR(AVERAGE(W154:W154),1)</f>
        <v>1</v>
      </c>
      <c r="X164" s="264">
        <v>1</v>
      </c>
      <c r="Y164" s="262" t="s">
        <v>52</v>
      </c>
      <c r="Z164" s="263"/>
      <c r="AA164" s="264">
        <f>IFERROR(AVERAGE(AA160:AA162),1)</f>
        <v>1</v>
      </c>
      <c r="AB164" s="264">
        <f>IFERROR(AVERAGE(AB159:AB161),1)</f>
        <v>1</v>
      </c>
      <c r="AC164" s="264">
        <f>IFERROR(AVERAGE(AC158:AC160),1)</f>
        <v>1</v>
      </c>
      <c r="AD164" s="264">
        <f>IFERROR(AVERAGE(AD157:AD159),1)</f>
        <v>1</v>
      </c>
      <c r="AE164" s="264">
        <f>IFERROR(AVERAGE(AE156:AE158),1)</f>
        <v>1</v>
      </c>
      <c r="AF164" s="264">
        <f>IFERROR(AVERAGE(AF155:AF157),1)</f>
        <v>1</v>
      </c>
      <c r="AG164" s="264">
        <f>IFERROR(AVERAGE(AG154:AG156),1)</f>
        <v>1</v>
      </c>
      <c r="AH164" s="264">
        <f>IFERROR(AVERAGE(AH154:AH155),1)</f>
        <v>1</v>
      </c>
      <c r="AI164" s="264">
        <f>IFERROR(AVERAGE(AI154:AI154),1)</f>
        <v>1</v>
      </c>
      <c r="AJ164" s="264">
        <v>1</v>
      </c>
      <c r="AK164" s="262" t="s">
        <v>52</v>
      </c>
      <c r="AL164" s="263"/>
      <c r="AM164" s="264">
        <f>IFERROR(AVERAGE(AM160:AM162),1)</f>
        <v>1</v>
      </c>
      <c r="AN164" s="264">
        <f>IFERROR(AVERAGE(AN159:AN161),1)</f>
        <v>1</v>
      </c>
      <c r="AO164" s="264">
        <f>IFERROR(AVERAGE(AO158:AO160),1)</f>
        <v>1</v>
      </c>
      <c r="AP164" s="264">
        <f>IFERROR(AVERAGE(AP157:AP159),1)</f>
        <v>1</v>
      </c>
      <c r="AQ164" s="264">
        <f>IFERROR(AVERAGE(AQ156:AQ158),1)</f>
        <v>1</v>
      </c>
      <c r="AR164" s="264">
        <f>IFERROR(AVERAGE(AR155:AR157),1)</f>
        <v>1</v>
      </c>
      <c r="AS164" s="264">
        <f>IFERROR(AVERAGE(AS154:AS156),1)</f>
        <v>1</v>
      </c>
      <c r="AT164" s="264">
        <f>IFERROR(AVERAGE(AT154:AT155),1)</f>
        <v>1</v>
      </c>
      <c r="AU164" s="264">
        <f>IFERROR(AVERAGE(AU154:AU154),1)</f>
        <v>1</v>
      </c>
      <c r="AV164" s="264">
        <v>1</v>
      </c>
      <c r="AW164" s="262" t="s">
        <v>52</v>
      </c>
      <c r="AX164" s="263"/>
      <c r="AY164" s="264">
        <f>IFERROR(AVERAGE(AY160:AY162),1)</f>
        <v>1</v>
      </c>
      <c r="AZ164" s="264">
        <f>IFERROR(AVERAGE(AZ159:AZ161),1)</f>
        <v>1</v>
      </c>
      <c r="BA164" s="264">
        <f>IFERROR(AVERAGE(BA158:BA160),1)</f>
        <v>1</v>
      </c>
      <c r="BB164" s="264">
        <f>IFERROR(AVERAGE(BB157:BB159),1)</f>
        <v>1</v>
      </c>
      <c r="BC164" s="264">
        <f>IFERROR(AVERAGE(BC156:BC158),1)</f>
        <v>1</v>
      </c>
      <c r="BD164" s="264">
        <f>IFERROR(AVERAGE(BD155:BD157),1)</f>
        <v>1</v>
      </c>
      <c r="BE164" s="264">
        <f>IFERROR(AVERAGE(BE154:BE156),1)</f>
        <v>1</v>
      </c>
      <c r="BF164" s="264">
        <f>IFERROR(AVERAGE(BF154:BF155),1)</f>
        <v>1</v>
      </c>
      <c r="BG164" s="264">
        <f>IFERROR(AVERAGE(BG154:BG154),1)</f>
        <v>1</v>
      </c>
      <c r="BH164" s="264">
        <v>1</v>
      </c>
      <c r="BI164" s="262" t="s">
        <v>52</v>
      </c>
      <c r="BJ164" s="263"/>
      <c r="BK164" s="264">
        <f>IFERROR(AVERAGE(BK160:BK162),1)</f>
        <v>1</v>
      </c>
      <c r="BL164" s="264">
        <f>IFERROR(AVERAGE(BL159:BL161),1)</f>
        <v>1</v>
      </c>
      <c r="BM164" s="264">
        <f>IFERROR(AVERAGE(BM158:BM160),1)</f>
        <v>1</v>
      </c>
      <c r="BN164" s="264">
        <f>IFERROR(AVERAGE(BN157:BN159),1)</f>
        <v>1</v>
      </c>
      <c r="BO164" s="264">
        <f>IFERROR(AVERAGE(BO156:BO158),1)</f>
        <v>1</v>
      </c>
      <c r="BP164" s="264">
        <f>IFERROR(AVERAGE(BP155:BP157),1)</f>
        <v>1</v>
      </c>
      <c r="BQ164" s="264">
        <f>IFERROR(AVERAGE(BQ154:BQ156),1)</f>
        <v>1</v>
      </c>
      <c r="BR164" s="264">
        <f>IFERROR(AVERAGE(BR154:BR155),1)</f>
        <v>1</v>
      </c>
      <c r="BS164" s="264">
        <f>IFERROR(AVERAGE(BS154:BS154),1)</f>
        <v>1</v>
      </c>
      <c r="BT164" s="264">
        <v>1</v>
      </c>
      <c r="BU164" s="262" t="s">
        <v>52</v>
      </c>
      <c r="BV164" s="263"/>
      <c r="BW164" s="264">
        <f>IFERROR(AVERAGE(BW160:BW162),1)</f>
        <v>1</v>
      </c>
      <c r="BX164" s="264">
        <f>IFERROR(AVERAGE(BX159:BX161),1)</f>
        <v>1</v>
      </c>
      <c r="BY164" s="264">
        <f>IFERROR(AVERAGE(BY158:BY160),1)</f>
        <v>1</v>
      </c>
      <c r="BZ164" s="264">
        <f>IFERROR(AVERAGE(BZ157:BZ159),1)</f>
        <v>1</v>
      </c>
      <c r="CA164" s="264">
        <f>IFERROR(AVERAGE(CA156:CA158),1)</f>
        <v>1</v>
      </c>
      <c r="CB164" s="264">
        <f>IFERROR(AVERAGE(CB155:CB157),1)</f>
        <v>1</v>
      </c>
      <c r="CC164" s="264">
        <f>IFERROR(AVERAGE(CC154:CC156),1)</f>
        <v>1</v>
      </c>
      <c r="CD164" s="264">
        <f>IFERROR(AVERAGE(CD154:CD155),1)</f>
        <v>1</v>
      </c>
      <c r="CE164" s="264">
        <f>IFERROR(AVERAGE(CE154:CE154),1)</f>
        <v>1</v>
      </c>
      <c r="CF164" s="264">
        <v>1</v>
      </c>
      <c r="CG164" s="262" t="s">
        <v>52</v>
      </c>
      <c r="CH164" s="263"/>
      <c r="CI164" s="264">
        <f>IFERROR(AVERAGE(CI160:CI162),1)</f>
        <v>1</v>
      </c>
      <c r="CJ164" s="264">
        <f>IFERROR(AVERAGE(CJ159:CJ161),1)</f>
        <v>1</v>
      </c>
      <c r="CK164" s="264">
        <f>IFERROR(AVERAGE(CK158:CK160),1)</f>
        <v>1</v>
      </c>
      <c r="CL164" s="264">
        <f>IFERROR(AVERAGE(CL157:CL159),1)</f>
        <v>1</v>
      </c>
      <c r="CM164" s="264">
        <f>IFERROR(AVERAGE(CM156:CM158),1)</f>
        <v>1</v>
      </c>
      <c r="CN164" s="264">
        <f>IFERROR(AVERAGE(CN155:CN157),1)</f>
        <v>1</v>
      </c>
      <c r="CO164" s="264">
        <f>IFERROR(AVERAGE(CO154:CO156),1)</f>
        <v>1</v>
      </c>
      <c r="CP164" s="264">
        <f>IFERROR(AVERAGE(CP154:CP155),1)</f>
        <v>1</v>
      </c>
      <c r="CQ164" s="264">
        <f>IFERROR(AVERAGE(CQ154:CQ154),1)</f>
        <v>1</v>
      </c>
      <c r="CR164" s="264">
        <v>1</v>
      </c>
      <c r="CS164" s="262" t="s">
        <v>52</v>
      </c>
      <c r="CT164" s="263"/>
      <c r="CU164" s="264">
        <f>IFERROR(AVERAGE(CU160:CU162),1)</f>
        <v>1</v>
      </c>
      <c r="CV164" s="264">
        <f>IFERROR(AVERAGE(CV159:CV161),1)</f>
        <v>1</v>
      </c>
      <c r="CW164" s="264">
        <f>IFERROR(AVERAGE(CW158:CW160),1)</f>
        <v>1</v>
      </c>
      <c r="CX164" s="264">
        <f>IFERROR(AVERAGE(CX157:CX159),1)</f>
        <v>1</v>
      </c>
      <c r="CY164" s="264">
        <f>IFERROR(AVERAGE(CY156:CY158),1)</f>
        <v>1</v>
      </c>
      <c r="CZ164" s="264">
        <f>IFERROR(AVERAGE(CZ155:CZ157),1)</f>
        <v>1</v>
      </c>
      <c r="DA164" s="264">
        <f>IFERROR(AVERAGE(DA154:DA156),1)</f>
        <v>1</v>
      </c>
      <c r="DB164" s="264">
        <f>IFERROR(AVERAGE(DB154:DB155),1)</f>
        <v>1</v>
      </c>
      <c r="DC164" s="264">
        <f>IFERROR(AVERAGE(DC154:DC154),1)</f>
        <v>1</v>
      </c>
      <c r="DD164" s="264">
        <v>1</v>
      </c>
      <c r="DE164" s="262" t="s">
        <v>52</v>
      </c>
      <c r="DF164" s="263"/>
      <c r="DG164" s="264">
        <f>IFERROR(AVERAGE(DG160:DG162),1)</f>
        <v>1</v>
      </c>
      <c r="DH164" s="264">
        <f>IFERROR(AVERAGE(DH159:DH161),1)</f>
        <v>1</v>
      </c>
      <c r="DI164" s="264">
        <f>IFERROR(AVERAGE(DI158:DI160),1)</f>
        <v>1</v>
      </c>
      <c r="DJ164" s="264">
        <f>IFERROR(AVERAGE(DJ157:DJ159),1)</f>
        <v>1</v>
      </c>
      <c r="DK164" s="264">
        <f>IFERROR(AVERAGE(DK156:DK158),1)</f>
        <v>1</v>
      </c>
      <c r="DL164" s="264">
        <f>IFERROR(AVERAGE(DL155:DL157),1)</f>
        <v>1</v>
      </c>
      <c r="DM164" s="264">
        <f>IFERROR(AVERAGE(DM154:DM156),1)</f>
        <v>1</v>
      </c>
      <c r="DN164" s="264">
        <f>IFERROR(AVERAGE(DN154:DN155),1)</f>
        <v>1</v>
      </c>
      <c r="DO164" s="264">
        <f>IFERROR(AVERAGE(DO154:DO154),1)</f>
        <v>1</v>
      </c>
      <c r="DP164" s="264">
        <v>1</v>
      </c>
    </row>
    <row r="165" spans="1:120" x14ac:dyDescent="0.25">
      <c r="A165" s="11" t="s">
        <v>40</v>
      </c>
      <c r="B165" s="105"/>
      <c r="C165" s="93">
        <f t="shared" ref="C165:K165" si="361">IF(C164=0,1,C164)</f>
        <v>2.108536021513848</v>
      </c>
      <c r="D165" s="93">
        <f t="shared" si="361"/>
        <v>1.805818101994153</v>
      </c>
      <c r="E165" s="93">
        <f t="shared" si="361"/>
        <v>1.3537180940322793</v>
      </c>
      <c r="F165" s="93">
        <f t="shared" si="361"/>
        <v>1.1360768436759372</v>
      </c>
      <c r="G165" s="93">
        <f t="shared" si="361"/>
        <v>1.0711245791274899</v>
      </c>
      <c r="H165" s="93">
        <f t="shared" si="361"/>
        <v>1.043129497613539</v>
      </c>
      <c r="I165" s="93">
        <f t="shared" si="361"/>
        <v>1.0371695959038669</v>
      </c>
      <c r="J165" s="93">
        <f t="shared" si="361"/>
        <v>1.0319407727470618</v>
      </c>
      <c r="K165" s="93">
        <f t="shared" si="361"/>
        <v>1.0134542463391851</v>
      </c>
      <c r="L165" s="93">
        <f>IF(L164=0,1,L164)</f>
        <v>1</v>
      </c>
      <c r="M165" s="285" t="s">
        <v>40</v>
      </c>
      <c r="N165" s="105"/>
      <c r="O165" s="93">
        <f t="shared" ref="O165:W165" si="362">IF(O164=0,1,O164)</f>
        <v>1</v>
      </c>
      <c r="P165" s="93">
        <f t="shared" si="362"/>
        <v>1</v>
      </c>
      <c r="Q165" s="93">
        <f t="shared" si="362"/>
        <v>1</v>
      </c>
      <c r="R165" s="93">
        <f t="shared" si="362"/>
        <v>1</v>
      </c>
      <c r="S165" s="93">
        <f t="shared" si="362"/>
        <v>1</v>
      </c>
      <c r="T165" s="93">
        <f t="shared" si="362"/>
        <v>1</v>
      </c>
      <c r="U165" s="93">
        <f t="shared" si="362"/>
        <v>1</v>
      </c>
      <c r="V165" s="93">
        <f t="shared" si="362"/>
        <v>1</v>
      </c>
      <c r="W165" s="93">
        <f t="shared" si="362"/>
        <v>1</v>
      </c>
      <c r="X165" s="93">
        <f>IF(X164=0,1,X164)</f>
        <v>1</v>
      </c>
      <c r="Y165" s="285" t="s">
        <v>40</v>
      </c>
      <c r="Z165" s="105"/>
      <c r="AA165" s="93">
        <f t="shared" ref="AA165:AI165" si="363">IF(AA164=0,1,AA164)</f>
        <v>1</v>
      </c>
      <c r="AB165" s="93">
        <f t="shared" si="363"/>
        <v>1</v>
      </c>
      <c r="AC165" s="93">
        <f t="shared" si="363"/>
        <v>1</v>
      </c>
      <c r="AD165" s="93">
        <f t="shared" si="363"/>
        <v>1</v>
      </c>
      <c r="AE165" s="93">
        <f t="shared" si="363"/>
        <v>1</v>
      </c>
      <c r="AF165" s="93">
        <f t="shared" si="363"/>
        <v>1</v>
      </c>
      <c r="AG165" s="93">
        <f t="shared" si="363"/>
        <v>1</v>
      </c>
      <c r="AH165" s="93">
        <f t="shared" si="363"/>
        <v>1</v>
      </c>
      <c r="AI165" s="93">
        <f t="shared" si="363"/>
        <v>1</v>
      </c>
      <c r="AJ165" s="93">
        <f>IF(AJ164=0,1,AJ164)</f>
        <v>1</v>
      </c>
      <c r="AK165" s="285" t="s">
        <v>40</v>
      </c>
      <c r="AL165" s="105"/>
      <c r="AM165" s="93">
        <f t="shared" ref="AM165:AU165" si="364">IF(AM164=0,1,AM164)</f>
        <v>1</v>
      </c>
      <c r="AN165" s="93">
        <f t="shared" si="364"/>
        <v>1</v>
      </c>
      <c r="AO165" s="93">
        <f t="shared" si="364"/>
        <v>1</v>
      </c>
      <c r="AP165" s="93">
        <f t="shared" si="364"/>
        <v>1</v>
      </c>
      <c r="AQ165" s="93">
        <f t="shared" si="364"/>
        <v>1</v>
      </c>
      <c r="AR165" s="93">
        <f t="shared" si="364"/>
        <v>1</v>
      </c>
      <c r="AS165" s="93">
        <f t="shared" si="364"/>
        <v>1</v>
      </c>
      <c r="AT165" s="93">
        <f t="shared" si="364"/>
        <v>1</v>
      </c>
      <c r="AU165" s="93">
        <f t="shared" si="364"/>
        <v>1</v>
      </c>
      <c r="AV165" s="93">
        <f>IF(AV164=0,1,AV164)</f>
        <v>1</v>
      </c>
      <c r="AW165" s="285" t="s">
        <v>40</v>
      </c>
      <c r="AX165" s="105"/>
      <c r="AY165" s="93">
        <f t="shared" ref="AY165:BG165" si="365">IF(AY164=0,1,AY164)</f>
        <v>1</v>
      </c>
      <c r="AZ165" s="93">
        <f t="shared" si="365"/>
        <v>1</v>
      </c>
      <c r="BA165" s="93">
        <f t="shared" si="365"/>
        <v>1</v>
      </c>
      <c r="BB165" s="93">
        <f t="shared" si="365"/>
        <v>1</v>
      </c>
      <c r="BC165" s="93">
        <f t="shared" si="365"/>
        <v>1</v>
      </c>
      <c r="BD165" s="93">
        <f t="shared" si="365"/>
        <v>1</v>
      </c>
      <c r="BE165" s="93">
        <f t="shared" si="365"/>
        <v>1</v>
      </c>
      <c r="BF165" s="93">
        <f t="shared" si="365"/>
        <v>1</v>
      </c>
      <c r="BG165" s="93">
        <f t="shared" si="365"/>
        <v>1</v>
      </c>
      <c r="BH165" s="93">
        <f>IF(BH164=0,1,BH164)</f>
        <v>1</v>
      </c>
      <c r="BI165" s="285" t="s">
        <v>40</v>
      </c>
      <c r="BJ165" s="105"/>
      <c r="BK165" s="93">
        <f t="shared" ref="BK165:BS165" si="366">IF(BK164=0,1,BK164)</f>
        <v>1</v>
      </c>
      <c r="BL165" s="93">
        <f t="shared" si="366"/>
        <v>1</v>
      </c>
      <c r="BM165" s="93">
        <f t="shared" si="366"/>
        <v>1</v>
      </c>
      <c r="BN165" s="93">
        <f t="shared" si="366"/>
        <v>1</v>
      </c>
      <c r="BO165" s="93">
        <f t="shared" si="366"/>
        <v>1</v>
      </c>
      <c r="BP165" s="93">
        <f t="shared" si="366"/>
        <v>1</v>
      </c>
      <c r="BQ165" s="93">
        <f t="shared" si="366"/>
        <v>1</v>
      </c>
      <c r="BR165" s="93">
        <f t="shared" si="366"/>
        <v>1</v>
      </c>
      <c r="BS165" s="93">
        <f t="shared" si="366"/>
        <v>1</v>
      </c>
      <c r="BT165" s="93">
        <f>IF(BT164=0,1,BT164)</f>
        <v>1</v>
      </c>
      <c r="BU165" s="285" t="s">
        <v>40</v>
      </c>
      <c r="BV165" s="105"/>
      <c r="BW165" s="93">
        <f t="shared" ref="BW165:CE165" si="367">IF(BW164=0,1,BW164)</f>
        <v>1</v>
      </c>
      <c r="BX165" s="93">
        <f t="shared" si="367"/>
        <v>1</v>
      </c>
      <c r="BY165" s="93">
        <f t="shared" si="367"/>
        <v>1</v>
      </c>
      <c r="BZ165" s="93">
        <f t="shared" si="367"/>
        <v>1</v>
      </c>
      <c r="CA165" s="93">
        <f t="shared" si="367"/>
        <v>1</v>
      </c>
      <c r="CB165" s="93">
        <f t="shared" si="367"/>
        <v>1</v>
      </c>
      <c r="CC165" s="93">
        <f t="shared" si="367"/>
        <v>1</v>
      </c>
      <c r="CD165" s="93">
        <f t="shared" si="367"/>
        <v>1</v>
      </c>
      <c r="CE165" s="93">
        <f t="shared" si="367"/>
        <v>1</v>
      </c>
      <c r="CF165" s="93">
        <f>IF(CF164=0,1,CF164)</f>
        <v>1</v>
      </c>
      <c r="CG165" s="285" t="s">
        <v>40</v>
      </c>
      <c r="CH165" s="105"/>
      <c r="CI165" s="93">
        <f t="shared" ref="CI165:CQ165" si="368">IF(CI164=0,1,CI164)</f>
        <v>1</v>
      </c>
      <c r="CJ165" s="93">
        <f t="shared" si="368"/>
        <v>1</v>
      </c>
      <c r="CK165" s="93">
        <f t="shared" si="368"/>
        <v>1</v>
      </c>
      <c r="CL165" s="93">
        <f t="shared" si="368"/>
        <v>1</v>
      </c>
      <c r="CM165" s="93">
        <f t="shared" si="368"/>
        <v>1</v>
      </c>
      <c r="CN165" s="93">
        <f t="shared" si="368"/>
        <v>1</v>
      </c>
      <c r="CO165" s="93">
        <f t="shared" si="368"/>
        <v>1</v>
      </c>
      <c r="CP165" s="93">
        <f t="shared" si="368"/>
        <v>1</v>
      </c>
      <c r="CQ165" s="93">
        <f t="shared" si="368"/>
        <v>1</v>
      </c>
      <c r="CR165" s="93">
        <f>IF(CR164=0,1,CR164)</f>
        <v>1</v>
      </c>
      <c r="CS165" s="285" t="s">
        <v>40</v>
      </c>
      <c r="CT165" s="105"/>
      <c r="CU165" s="93">
        <f t="shared" ref="CU165:DC165" si="369">IF(CU164=0,1,CU164)</f>
        <v>1</v>
      </c>
      <c r="CV165" s="93">
        <f t="shared" si="369"/>
        <v>1</v>
      </c>
      <c r="CW165" s="93">
        <f t="shared" si="369"/>
        <v>1</v>
      </c>
      <c r="CX165" s="93">
        <f t="shared" si="369"/>
        <v>1</v>
      </c>
      <c r="CY165" s="93">
        <f t="shared" si="369"/>
        <v>1</v>
      </c>
      <c r="CZ165" s="93">
        <f t="shared" si="369"/>
        <v>1</v>
      </c>
      <c r="DA165" s="93">
        <f t="shared" si="369"/>
        <v>1</v>
      </c>
      <c r="DB165" s="93">
        <f t="shared" si="369"/>
        <v>1</v>
      </c>
      <c r="DC165" s="93">
        <f t="shared" si="369"/>
        <v>1</v>
      </c>
      <c r="DD165" s="93">
        <f>IF(DD164=0,1,DD164)</f>
        <v>1</v>
      </c>
      <c r="DE165" s="285" t="s">
        <v>40</v>
      </c>
      <c r="DF165" s="105"/>
      <c r="DG165" s="93">
        <f t="shared" ref="DG165:DO165" si="370">IF(DG164=0,1,DG164)</f>
        <v>1</v>
      </c>
      <c r="DH165" s="93">
        <f t="shared" si="370"/>
        <v>1</v>
      </c>
      <c r="DI165" s="93">
        <f t="shared" si="370"/>
        <v>1</v>
      </c>
      <c r="DJ165" s="93">
        <f t="shared" si="370"/>
        <v>1</v>
      </c>
      <c r="DK165" s="93">
        <f t="shared" si="370"/>
        <v>1</v>
      </c>
      <c r="DL165" s="93">
        <f t="shared" si="370"/>
        <v>1</v>
      </c>
      <c r="DM165" s="93">
        <f t="shared" si="370"/>
        <v>1</v>
      </c>
      <c r="DN165" s="93">
        <f t="shared" si="370"/>
        <v>1</v>
      </c>
      <c r="DO165" s="93">
        <f t="shared" si="370"/>
        <v>1</v>
      </c>
      <c r="DP165" s="93">
        <f>IF(DP164=0,1,DP164)</f>
        <v>1</v>
      </c>
    </row>
    <row r="166" spans="1:120" x14ac:dyDescent="0.25">
      <c r="A166" s="95" t="s">
        <v>39</v>
      </c>
      <c r="B166" s="105"/>
      <c r="C166" s="93">
        <f>PRODUCT(C165:L165)</f>
        <v>7.0970501857629023</v>
      </c>
      <c r="D166" s="93">
        <f>PRODUCT(D165:L165)</f>
        <v>3.3658662282029654</v>
      </c>
      <c r="E166" s="93">
        <f>PRODUCT(E165:L165)</f>
        <v>1.8639010343766413</v>
      </c>
      <c r="F166" s="93">
        <f>PRODUCT(F165:L165)</f>
        <v>1.3768753203443531</v>
      </c>
      <c r="G166" s="93">
        <f>PRODUCT(G165:L165)</f>
        <v>1.2119561524458839</v>
      </c>
      <c r="H166" s="93">
        <f>PRODUCT(H165:L165)</f>
        <v>1.1314801061078366</v>
      </c>
      <c r="I166" s="93">
        <f>PRODUCT(I165:L165)</f>
        <v>1.084697641756297</v>
      </c>
      <c r="J166" s="93">
        <f>PRODUCT(J165:L165)</f>
        <v>1.0458247581110498</v>
      </c>
      <c r="K166" s="93">
        <f>PRODUCT(K165:L165)</f>
        <v>1.0134542463391851</v>
      </c>
      <c r="L166" s="93">
        <f>PRODUCT(L165:L165)</f>
        <v>1</v>
      </c>
      <c r="M166" s="95" t="s">
        <v>39</v>
      </c>
      <c r="N166" s="105"/>
      <c r="O166" s="93">
        <f>PRODUCT(O165:X165)</f>
        <v>1</v>
      </c>
      <c r="P166" s="93">
        <f>PRODUCT(P165:X165)</f>
        <v>1</v>
      </c>
      <c r="Q166" s="93">
        <f>PRODUCT(Q165:X165)</f>
        <v>1</v>
      </c>
      <c r="R166" s="93">
        <f>PRODUCT(R165:X165)</f>
        <v>1</v>
      </c>
      <c r="S166" s="93">
        <f>PRODUCT(S165:X165)</f>
        <v>1</v>
      </c>
      <c r="T166" s="93">
        <f>PRODUCT(T165:X165)</f>
        <v>1</v>
      </c>
      <c r="U166" s="93">
        <f>PRODUCT(U165:X165)</f>
        <v>1</v>
      </c>
      <c r="V166" s="93">
        <f>PRODUCT(V165:X165)</f>
        <v>1</v>
      </c>
      <c r="W166" s="93">
        <f>PRODUCT(W165:X165)</f>
        <v>1</v>
      </c>
      <c r="X166" s="93">
        <f>PRODUCT(X165:X165)</f>
        <v>1</v>
      </c>
      <c r="Y166" s="95" t="s">
        <v>39</v>
      </c>
      <c r="Z166" s="105"/>
      <c r="AA166" s="93">
        <f>PRODUCT(AA165:AJ165)</f>
        <v>1</v>
      </c>
      <c r="AB166" s="93">
        <f>PRODUCT(AB165:AJ165)</f>
        <v>1</v>
      </c>
      <c r="AC166" s="93">
        <f>PRODUCT(AC165:AJ165)</f>
        <v>1</v>
      </c>
      <c r="AD166" s="93">
        <f>PRODUCT(AD165:AJ165)</f>
        <v>1</v>
      </c>
      <c r="AE166" s="93">
        <f>PRODUCT(AE165:AJ165)</f>
        <v>1</v>
      </c>
      <c r="AF166" s="93">
        <f>PRODUCT(AF165:AJ165)</f>
        <v>1</v>
      </c>
      <c r="AG166" s="93">
        <f>PRODUCT(AG165:AJ165)</f>
        <v>1</v>
      </c>
      <c r="AH166" s="93">
        <f>PRODUCT(AH165:AJ165)</f>
        <v>1</v>
      </c>
      <c r="AI166" s="93">
        <f>PRODUCT(AI165:AJ165)</f>
        <v>1</v>
      </c>
      <c r="AJ166" s="93">
        <f>PRODUCT(AJ165:AJ165)</f>
        <v>1</v>
      </c>
      <c r="AK166" s="95" t="s">
        <v>39</v>
      </c>
      <c r="AL166" s="105"/>
      <c r="AM166" s="93">
        <f>PRODUCT(AM165:AV165)</f>
        <v>1</v>
      </c>
      <c r="AN166" s="93">
        <f>PRODUCT(AN165:AV165)</f>
        <v>1</v>
      </c>
      <c r="AO166" s="93">
        <f>PRODUCT(AO165:AV165)</f>
        <v>1</v>
      </c>
      <c r="AP166" s="93">
        <f>PRODUCT(AP165:AV165)</f>
        <v>1</v>
      </c>
      <c r="AQ166" s="93">
        <f>PRODUCT(AQ165:AV165)</f>
        <v>1</v>
      </c>
      <c r="AR166" s="93">
        <f>PRODUCT(AR165:AV165)</f>
        <v>1</v>
      </c>
      <c r="AS166" s="93">
        <f>PRODUCT(AS165:AV165)</f>
        <v>1</v>
      </c>
      <c r="AT166" s="93">
        <f>PRODUCT(AT165:AV165)</f>
        <v>1</v>
      </c>
      <c r="AU166" s="93">
        <f>PRODUCT(AU165:AV165)</f>
        <v>1</v>
      </c>
      <c r="AV166" s="93">
        <f>PRODUCT(AV165:AV165)</f>
        <v>1</v>
      </c>
      <c r="AW166" s="95" t="s">
        <v>39</v>
      </c>
      <c r="AX166" s="105"/>
      <c r="AY166" s="93">
        <f>PRODUCT(AY165:BH165)</f>
        <v>1</v>
      </c>
      <c r="AZ166" s="93">
        <f>PRODUCT(AZ165:BH165)</f>
        <v>1</v>
      </c>
      <c r="BA166" s="93">
        <f>PRODUCT(BA165:BH165)</f>
        <v>1</v>
      </c>
      <c r="BB166" s="93">
        <f>PRODUCT(BB165:BH165)</f>
        <v>1</v>
      </c>
      <c r="BC166" s="93">
        <f>PRODUCT(BC165:BH165)</f>
        <v>1</v>
      </c>
      <c r="BD166" s="93">
        <f>PRODUCT(BD165:BH165)</f>
        <v>1</v>
      </c>
      <c r="BE166" s="93">
        <f>PRODUCT(BE165:BH165)</f>
        <v>1</v>
      </c>
      <c r="BF166" s="93">
        <f>PRODUCT(BF165:BH165)</f>
        <v>1</v>
      </c>
      <c r="BG166" s="93">
        <f>PRODUCT(BG165:BH165)</f>
        <v>1</v>
      </c>
      <c r="BH166" s="93">
        <f>PRODUCT(BH165:BH165)</f>
        <v>1</v>
      </c>
      <c r="BI166" s="95" t="s">
        <v>39</v>
      </c>
      <c r="BJ166" s="105"/>
      <c r="BK166" s="93">
        <f>PRODUCT(BK165:BT165)</f>
        <v>1</v>
      </c>
      <c r="BL166" s="93">
        <f>PRODUCT(BL165:BT165)</f>
        <v>1</v>
      </c>
      <c r="BM166" s="93">
        <f>PRODUCT(BM165:BT165)</f>
        <v>1</v>
      </c>
      <c r="BN166" s="93">
        <f>PRODUCT(BN165:BT165)</f>
        <v>1</v>
      </c>
      <c r="BO166" s="93">
        <f>PRODUCT(BO165:BT165)</f>
        <v>1</v>
      </c>
      <c r="BP166" s="93">
        <f>PRODUCT(BP165:BT165)</f>
        <v>1</v>
      </c>
      <c r="BQ166" s="93">
        <f>PRODUCT(BQ165:BT165)</f>
        <v>1</v>
      </c>
      <c r="BR166" s="93">
        <f>PRODUCT(BR165:BT165)</f>
        <v>1</v>
      </c>
      <c r="BS166" s="93">
        <f>PRODUCT(BS165:BT165)</f>
        <v>1</v>
      </c>
      <c r="BT166" s="93">
        <f>PRODUCT(BT165:BT165)</f>
        <v>1</v>
      </c>
      <c r="BU166" s="95" t="s">
        <v>39</v>
      </c>
      <c r="BV166" s="105"/>
      <c r="BW166" s="93">
        <f>PRODUCT(BW165:CF165)</f>
        <v>1</v>
      </c>
      <c r="BX166" s="93">
        <f>PRODUCT(BX165:CF165)</f>
        <v>1</v>
      </c>
      <c r="BY166" s="93">
        <f>PRODUCT(BY165:CF165)</f>
        <v>1</v>
      </c>
      <c r="BZ166" s="93">
        <f>PRODUCT(BZ165:CF165)</f>
        <v>1</v>
      </c>
      <c r="CA166" s="93">
        <f>PRODUCT(CA165:CF165)</f>
        <v>1</v>
      </c>
      <c r="CB166" s="93">
        <f>PRODUCT(CB165:CF165)</f>
        <v>1</v>
      </c>
      <c r="CC166" s="93">
        <f>PRODUCT(CC165:CF165)</f>
        <v>1</v>
      </c>
      <c r="CD166" s="93">
        <f>PRODUCT(CD165:CF165)</f>
        <v>1</v>
      </c>
      <c r="CE166" s="93">
        <f>PRODUCT(CE165:CF165)</f>
        <v>1</v>
      </c>
      <c r="CF166" s="93">
        <f>PRODUCT(CF165:CF165)</f>
        <v>1</v>
      </c>
      <c r="CG166" s="95" t="s">
        <v>39</v>
      </c>
      <c r="CH166" s="105"/>
      <c r="CI166" s="93">
        <f>PRODUCT(CI165:CR165)</f>
        <v>1</v>
      </c>
      <c r="CJ166" s="93">
        <f>PRODUCT(CJ165:CR165)</f>
        <v>1</v>
      </c>
      <c r="CK166" s="93">
        <f>PRODUCT(CK165:CR165)</f>
        <v>1</v>
      </c>
      <c r="CL166" s="93">
        <f>PRODUCT(CL165:CR165)</f>
        <v>1</v>
      </c>
      <c r="CM166" s="93">
        <f>PRODUCT(CM165:CR165)</f>
        <v>1</v>
      </c>
      <c r="CN166" s="93">
        <f>PRODUCT(CN165:CR165)</f>
        <v>1</v>
      </c>
      <c r="CO166" s="93">
        <f>PRODUCT(CO165:CR165)</f>
        <v>1</v>
      </c>
      <c r="CP166" s="93">
        <f>PRODUCT(CP165:CR165)</f>
        <v>1</v>
      </c>
      <c r="CQ166" s="93">
        <f>PRODUCT(CQ165:CR165)</f>
        <v>1</v>
      </c>
      <c r="CR166" s="93">
        <f>PRODUCT(CR165:CR165)</f>
        <v>1</v>
      </c>
      <c r="CS166" s="95" t="s">
        <v>39</v>
      </c>
      <c r="CT166" s="105"/>
      <c r="CU166" s="93">
        <f>PRODUCT(CU165:DD165)</f>
        <v>1</v>
      </c>
      <c r="CV166" s="93">
        <f>PRODUCT(CV165:DD165)</f>
        <v>1</v>
      </c>
      <c r="CW166" s="93">
        <f>PRODUCT(CW165:DD165)</f>
        <v>1</v>
      </c>
      <c r="CX166" s="93">
        <f>PRODUCT(CX165:DD165)</f>
        <v>1</v>
      </c>
      <c r="CY166" s="93">
        <f>PRODUCT(CY165:DD165)</f>
        <v>1</v>
      </c>
      <c r="CZ166" s="93">
        <f>PRODUCT(CZ165:DD165)</f>
        <v>1</v>
      </c>
      <c r="DA166" s="93">
        <f>PRODUCT(DA165:DD165)</f>
        <v>1</v>
      </c>
      <c r="DB166" s="93">
        <f>PRODUCT(DB165:DD165)</f>
        <v>1</v>
      </c>
      <c r="DC166" s="93">
        <f>PRODUCT(DC165:DD165)</f>
        <v>1</v>
      </c>
      <c r="DD166" s="93">
        <f>PRODUCT(DD165:DD165)</f>
        <v>1</v>
      </c>
      <c r="DE166" s="95" t="s">
        <v>39</v>
      </c>
      <c r="DF166" s="105"/>
      <c r="DG166" s="93">
        <f>PRODUCT(DG165:DP165)</f>
        <v>1</v>
      </c>
      <c r="DH166" s="93">
        <f>PRODUCT(DH165:DP165)</f>
        <v>1</v>
      </c>
      <c r="DI166" s="93">
        <f>PRODUCT(DI165:DP165)</f>
        <v>1</v>
      </c>
      <c r="DJ166" s="93">
        <f>PRODUCT(DJ165:DP165)</f>
        <v>1</v>
      </c>
      <c r="DK166" s="93">
        <f>PRODUCT(DK165:DP165)</f>
        <v>1</v>
      </c>
      <c r="DL166" s="93">
        <f>PRODUCT(DL165:DP165)</f>
        <v>1</v>
      </c>
      <c r="DM166" s="93">
        <f>PRODUCT(DM165:DP165)</f>
        <v>1</v>
      </c>
      <c r="DN166" s="93">
        <f>PRODUCT(DN165:DP165)</f>
        <v>1</v>
      </c>
      <c r="DO166" s="93">
        <f>PRODUCT(DO165:DP165)</f>
        <v>1</v>
      </c>
      <c r="DP166" s="93">
        <f>PRODUCT(DP165:DP165)</f>
        <v>1</v>
      </c>
    </row>
    <row r="167" spans="1:120" x14ac:dyDescent="0.25">
      <c r="A167" s="95" t="s">
        <v>58</v>
      </c>
      <c r="B167" s="105"/>
      <c r="C167" s="101">
        <f>IFERROR(C166*C150,"")</f>
        <v>0.10836199817715784</v>
      </c>
      <c r="D167" s="101">
        <f>IFERROR(D166*D149,"")</f>
        <v>0.12233377471152927</v>
      </c>
      <c r="E167" s="101">
        <f>IFERROR(E166*E148,"")</f>
        <v>0.10603129442564714</v>
      </c>
      <c r="F167" s="101">
        <f>IFERROR(F166*F147,"")</f>
        <v>0.10308282516575575</v>
      </c>
      <c r="G167" s="101">
        <f>IFERROR(G166*G146,"")</f>
        <v>0.11747159735800425</v>
      </c>
      <c r="H167" s="101">
        <f>IFERROR(H166*H145,"")</f>
        <v>0.11082385329847931</v>
      </c>
      <c r="I167" s="101">
        <f>IFERROR(I166*I144,"")</f>
        <v>0.10579308122624587</v>
      </c>
      <c r="J167" s="101">
        <f>IFERROR(J166*J143,"")</f>
        <v>0.13441274060158206</v>
      </c>
      <c r="K167" s="101">
        <f>IFERROR(K166*K142,"")</f>
        <v>0.1180320647266961</v>
      </c>
      <c r="L167" s="101">
        <f>IFERROR(L166*L141,"")</f>
        <v>0.11450585368489261</v>
      </c>
      <c r="M167" s="95" t="s">
        <v>58</v>
      </c>
      <c r="N167" s="105"/>
      <c r="O167" s="101" t="str">
        <f>IFERROR(O166*O150,"")</f>
        <v/>
      </c>
      <c r="P167" s="101" t="str">
        <f>IFERROR(P166*P149,"")</f>
        <v/>
      </c>
      <c r="Q167" s="101" t="str">
        <f>IFERROR(Q166*Q148,"")</f>
        <v/>
      </c>
      <c r="R167" s="101" t="str">
        <f>IFERROR(R166*R147,"")</f>
        <v/>
      </c>
      <c r="S167" s="101" t="str">
        <f>IFERROR(S166*S146,"")</f>
        <v/>
      </c>
      <c r="T167" s="101" t="str">
        <f>IFERROR(T166*T145,"")</f>
        <v/>
      </c>
      <c r="U167" s="101" t="str">
        <f>IFERROR(U166*U144,"")</f>
        <v/>
      </c>
      <c r="V167" s="101" t="str">
        <f>IFERROR(V166*V143,"")</f>
        <v/>
      </c>
      <c r="W167" s="101" t="str">
        <f>IFERROR(W166*W142,"")</f>
        <v/>
      </c>
      <c r="X167" s="101" t="str">
        <f>IFERROR(X166*X141,"")</f>
        <v/>
      </c>
      <c r="Y167" s="95" t="s">
        <v>58</v>
      </c>
      <c r="Z167" s="105"/>
      <c r="AA167" s="101" t="str">
        <f>IFERROR(AA166*AA150,"")</f>
        <v/>
      </c>
      <c r="AB167" s="101" t="str">
        <f>IFERROR(AB166*AB149,"")</f>
        <v/>
      </c>
      <c r="AC167" s="101" t="str">
        <f>IFERROR(AC166*AC148,"")</f>
        <v/>
      </c>
      <c r="AD167" s="101" t="str">
        <f>IFERROR(AD166*AD147,"")</f>
        <v/>
      </c>
      <c r="AE167" s="101" t="str">
        <f>IFERROR(AE166*AE146,"")</f>
        <v/>
      </c>
      <c r="AF167" s="101" t="str">
        <f>IFERROR(AF166*AF145,"")</f>
        <v/>
      </c>
      <c r="AG167" s="101" t="str">
        <f>IFERROR(AG166*AG144,"")</f>
        <v/>
      </c>
      <c r="AH167" s="101" t="str">
        <f>IFERROR(AH166*AH143,"")</f>
        <v/>
      </c>
      <c r="AI167" s="101" t="str">
        <f>IFERROR(AI166*AI142,"")</f>
        <v/>
      </c>
      <c r="AJ167" s="101" t="str">
        <f>IFERROR(AJ166*AJ141,"")</f>
        <v/>
      </c>
      <c r="AK167" s="95" t="s">
        <v>58</v>
      </c>
      <c r="AL167" s="105"/>
      <c r="AM167" s="101" t="str">
        <f>IFERROR(AM166*AM150,"")</f>
        <v/>
      </c>
      <c r="AN167" s="101" t="str">
        <f>IFERROR(AN166*AN149,"")</f>
        <v/>
      </c>
      <c r="AO167" s="101" t="str">
        <f>IFERROR(AO166*AO148,"")</f>
        <v/>
      </c>
      <c r="AP167" s="101" t="str">
        <f>IFERROR(AP166*AP147,"")</f>
        <v/>
      </c>
      <c r="AQ167" s="101" t="str">
        <f>IFERROR(AQ166*AQ146,"")</f>
        <v/>
      </c>
      <c r="AR167" s="101" t="str">
        <f>IFERROR(AR166*AR145,"")</f>
        <v/>
      </c>
      <c r="AS167" s="101" t="str">
        <f>IFERROR(AS166*AS144,"")</f>
        <v/>
      </c>
      <c r="AT167" s="101" t="str">
        <f>IFERROR(AT166*AT143,"")</f>
        <v/>
      </c>
      <c r="AU167" s="101" t="str">
        <f>IFERROR(AU166*AU142,"")</f>
        <v/>
      </c>
      <c r="AV167" s="101" t="str">
        <f>IFERROR(AV166*AV141,"")</f>
        <v/>
      </c>
      <c r="AW167" s="95" t="s">
        <v>58</v>
      </c>
      <c r="AX167" s="105"/>
      <c r="AY167" s="101" t="str">
        <f>IFERROR(AY166*AY150,"")</f>
        <v/>
      </c>
      <c r="AZ167" s="101" t="str">
        <f>IFERROR(AZ166*AZ149,"")</f>
        <v/>
      </c>
      <c r="BA167" s="101" t="str">
        <f>IFERROR(BA166*BA148,"")</f>
        <v/>
      </c>
      <c r="BB167" s="101" t="str">
        <f>IFERROR(BB166*BB147,"")</f>
        <v/>
      </c>
      <c r="BC167" s="101" t="str">
        <f>IFERROR(BC166*BC146,"")</f>
        <v/>
      </c>
      <c r="BD167" s="101" t="str">
        <f>IFERROR(BD166*BD145,"")</f>
        <v/>
      </c>
      <c r="BE167" s="101" t="str">
        <f>IFERROR(BE166*BE144,"")</f>
        <v/>
      </c>
      <c r="BF167" s="101" t="str">
        <f>IFERROR(BF166*BF143,"")</f>
        <v/>
      </c>
      <c r="BG167" s="101" t="str">
        <f>IFERROR(BG166*BG142,"")</f>
        <v/>
      </c>
      <c r="BH167" s="101" t="str">
        <f>IFERROR(BH166*BH141,"")</f>
        <v/>
      </c>
      <c r="BI167" s="95" t="s">
        <v>58</v>
      </c>
      <c r="BJ167" s="105"/>
      <c r="BK167" s="101" t="str">
        <f>IFERROR(BK166*BK150,"")</f>
        <v/>
      </c>
      <c r="BL167" s="101" t="str">
        <f>IFERROR(BL166*BL149,"")</f>
        <v/>
      </c>
      <c r="BM167" s="101" t="str">
        <f>IFERROR(BM166*BM148,"")</f>
        <v/>
      </c>
      <c r="BN167" s="101" t="str">
        <f>IFERROR(BN166*BN147,"")</f>
        <v/>
      </c>
      <c r="BO167" s="101" t="str">
        <f>IFERROR(BO166*BO146,"")</f>
        <v/>
      </c>
      <c r="BP167" s="101" t="str">
        <f>IFERROR(BP166*BP145,"")</f>
        <v/>
      </c>
      <c r="BQ167" s="101" t="str">
        <f>IFERROR(BQ166*BQ144,"")</f>
        <v/>
      </c>
      <c r="BR167" s="101" t="str">
        <f>IFERROR(BR166*BR143,"")</f>
        <v/>
      </c>
      <c r="BS167" s="101" t="str">
        <f>IFERROR(BS166*BS142,"")</f>
        <v/>
      </c>
      <c r="BT167" s="101" t="str">
        <f>IFERROR(BT166*BT141,"")</f>
        <v/>
      </c>
      <c r="BU167" s="95" t="s">
        <v>58</v>
      </c>
      <c r="BV167" s="105"/>
      <c r="BW167" s="101" t="str">
        <f>IFERROR(BW166*BW150,"")</f>
        <v/>
      </c>
      <c r="BX167" s="101" t="str">
        <f>IFERROR(BX166*BX149,"")</f>
        <v/>
      </c>
      <c r="BY167" s="101" t="str">
        <f>IFERROR(BY166*BY148,"")</f>
        <v/>
      </c>
      <c r="BZ167" s="101" t="str">
        <f>IFERROR(BZ166*BZ147,"")</f>
        <v/>
      </c>
      <c r="CA167" s="101" t="str">
        <f>IFERROR(CA166*CA146,"")</f>
        <v/>
      </c>
      <c r="CB167" s="101" t="str">
        <f>IFERROR(CB166*CB145,"")</f>
        <v/>
      </c>
      <c r="CC167" s="101" t="str">
        <f>IFERROR(CC166*CC144,"")</f>
        <v/>
      </c>
      <c r="CD167" s="101" t="str">
        <f>IFERROR(CD166*CD143,"")</f>
        <v/>
      </c>
      <c r="CE167" s="101" t="str">
        <f>IFERROR(CE166*CE142,"")</f>
        <v/>
      </c>
      <c r="CF167" s="101" t="str">
        <f>IFERROR(CF166*CF141,"")</f>
        <v/>
      </c>
      <c r="CG167" s="95" t="s">
        <v>58</v>
      </c>
      <c r="CH167" s="105"/>
      <c r="CI167" s="101" t="str">
        <f>IFERROR(CI166*CI150,"")</f>
        <v/>
      </c>
      <c r="CJ167" s="101" t="str">
        <f>IFERROR(CJ166*CJ149,"")</f>
        <v/>
      </c>
      <c r="CK167" s="101" t="str">
        <f>IFERROR(CK166*CK148,"")</f>
        <v/>
      </c>
      <c r="CL167" s="101" t="str">
        <f>IFERROR(CL166*CL147,"")</f>
        <v/>
      </c>
      <c r="CM167" s="101" t="str">
        <f>IFERROR(CM166*CM146,"")</f>
        <v/>
      </c>
      <c r="CN167" s="101" t="str">
        <f>IFERROR(CN166*CN145,"")</f>
        <v/>
      </c>
      <c r="CO167" s="101" t="str">
        <f>IFERROR(CO166*CO144,"")</f>
        <v/>
      </c>
      <c r="CP167" s="101" t="str">
        <f>IFERROR(CP166*CP143,"")</f>
        <v/>
      </c>
      <c r="CQ167" s="101" t="str">
        <f>IFERROR(CQ166*CQ142,"")</f>
        <v/>
      </c>
      <c r="CR167" s="101" t="str">
        <f>IFERROR(CR166*CR141,"")</f>
        <v/>
      </c>
      <c r="CS167" s="95" t="s">
        <v>58</v>
      </c>
      <c r="CT167" s="105"/>
      <c r="CU167" s="101" t="str">
        <f>IFERROR(CU166*CU150,"")</f>
        <v/>
      </c>
      <c r="CV167" s="101" t="str">
        <f>IFERROR(CV166*CV149,"")</f>
        <v/>
      </c>
      <c r="CW167" s="101" t="str">
        <f>IFERROR(CW166*CW148,"")</f>
        <v/>
      </c>
      <c r="CX167" s="101" t="str">
        <f>IFERROR(CX166*CX147,"")</f>
        <v/>
      </c>
      <c r="CY167" s="101" t="str">
        <f>IFERROR(CY166*CY146,"")</f>
        <v/>
      </c>
      <c r="CZ167" s="101" t="str">
        <f>IFERROR(CZ166*CZ145,"")</f>
        <v/>
      </c>
      <c r="DA167" s="101" t="str">
        <f>IFERROR(DA166*DA144,"")</f>
        <v/>
      </c>
      <c r="DB167" s="101" t="str">
        <f>IFERROR(DB166*DB143,"")</f>
        <v/>
      </c>
      <c r="DC167" s="101" t="str">
        <f>IFERROR(DC166*DC142,"")</f>
        <v/>
      </c>
      <c r="DD167" s="101" t="str">
        <f>IFERROR(DD166*DD141,"")</f>
        <v/>
      </c>
      <c r="DE167" s="95" t="s">
        <v>58</v>
      </c>
      <c r="DF167" s="105"/>
      <c r="DG167" s="101" t="str">
        <f>IFERROR(DG166*DG150,"")</f>
        <v/>
      </c>
      <c r="DH167" s="101" t="str">
        <f>IFERROR(DH166*DH149,"")</f>
        <v/>
      </c>
      <c r="DI167" s="101" t="str">
        <f>IFERROR(DI166*DI148,"")</f>
        <v/>
      </c>
      <c r="DJ167" s="101" t="str">
        <f>IFERROR(DJ166*DJ147,"")</f>
        <v/>
      </c>
      <c r="DK167" s="101" t="str">
        <f>IFERROR(DK166*DK146,"")</f>
        <v/>
      </c>
      <c r="DL167" s="101" t="str">
        <f>IFERROR(DL166*DL145,"")</f>
        <v/>
      </c>
      <c r="DM167" s="101" t="str">
        <f>IFERROR(DM166*DM144,"")</f>
        <v/>
      </c>
      <c r="DN167" s="101" t="str">
        <f>IFERROR(DN166*DN143,"")</f>
        <v/>
      </c>
      <c r="DO167" s="101" t="str">
        <f>IFERROR(DO166*DO142,"")</f>
        <v/>
      </c>
      <c r="DP167" s="101" t="str">
        <f>IFERROR(DP166*DP141,"")</f>
        <v/>
      </c>
    </row>
    <row r="168" spans="1:120" x14ac:dyDescent="0.25">
      <c r="A168" s="140" t="s">
        <v>215</v>
      </c>
      <c r="B168" s="105"/>
      <c r="C168" s="141">
        <f>IF(OR(D7="Paid - Loss &amp; DCCE",D7="Incurred - Loss &amp; DCCE"),"N/A",IF(D7="Paid - Pure Loss", C97, IF(D7="Incurred - Pure Loss", C240, 0)))</f>
        <v>108505646.99555196</v>
      </c>
      <c r="D168" s="141">
        <f>IF(OR(D7="Paid - Loss &amp; DCCE",D7="Incurred - Loss &amp; DCCE"),"N/A",IF(D7="Paid - Pure Loss", D97, IF(D7="Incurred - Pure Loss", D240, 0)))</f>
        <v>93539877.889635563</v>
      </c>
      <c r="E168" s="141">
        <f>IF(OR(D7="Paid - Loss &amp; DCCE",D7="Incurred - Loss &amp; DCCE"),"N/A",IF(D7="Paid - Pure Loss", E97, IF(D7="Incurred - Pure Loss", E240, 0)))</f>
        <v>87951745.652846664</v>
      </c>
      <c r="F168" s="141">
        <f>IF(OR(D7="Paid - Loss &amp; DCCE",D7="Incurred - Loss &amp; DCCE"),"N/A",IF(D7="Paid - Pure Loss", F97, IF(D7="Incurred - Pure Loss", F240, 0)))</f>
        <v>91802602.512395576</v>
      </c>
      <c r="G168" s="141">
        <f>IF(OR(D7="Paid - Loss &amp; DCCE",D7="Incurred - Loss &amp; DCCE"),"N/A",IF(D7="Paid - Pure Loss", G97, IF(D7="Incurred - Pure Loss", G240, 0)))</f>
        <v>75596362.607096598</v>
      </c>
      <c r="H168" s="141">
        <f>IF(OR(D7="Paid - Loss &amp; DCCE",D7="Incurred - Loss &amp; DCCE"),"N/A",IF(D7="Paid - Pure Loss", H97, IF(D7="Incurred - Pure Loss", H240, 0)))</f>
        <v>98177956.524754599</v>
      </c>
      <c r="I168" s="141">
        <f>IF(OR(D7="Paid - Loss &amp; DCCE",D7="Incurred - Loss &amp; DCCE"),"N/A",IF(D7="Paid - Pure Loss", I97, IF(D7="Incurred - Pure Loss", I240, 0)))</f>
        <v>84407898.638094425</v>
      </c>
      <c r="J168" s="141">
        <f>IF(OR(D7="Paid - Loss &amp; DCCE",D7="Incurred - Loss &amp; DCCE"),"N/A",IF(D7="Paid - Pure Loss", J97, IF(D7="Incurred - Pure Loss", J240, 0)))</f>
        <v>81166665.40276368</v>
      </c>
      <c r="K168" s="141">
        <f>IF(OR(D7="Paid - Loss &amp; DCCE",D7="Incurred - Loss &amp; DCCE"),"N/A",IF(D7="Paid - Pure Loss", K97, IF(D7="Incurred - Pure Loss", K240, 0)))</f>
        <v>73113592.024011627</v>
      </c>
      <c r="L168" s="141">
        <f>IF(OR(D7="Paid - Loss &amp; DCCE",D7="Incurred - Loss &amp; DCCE"),"N/A",IF(D7="Paid - Pure Loss", L97, IF(D7="Incurred - Pure Loss", L240, 0)))</f>
        <v>71521463.010000005</v>
      </c>
      <c r="M168" s="140" t="s">
        <v>215</v>
      </c>
      <c r="N168" s="105"/>
      <c r="O168" s="141">
        <f>IF(OR(P7="Paid - Loss &amp; DCCE",P7="Incurred - Loss &amp; DCCE"),"N/A",IF(P7="Paid - Pure Loss", O97, IF(P7="Incurred - Pure Loss", O240, 0)))</f>
        <v>0</v>
      </c>
      <c r="P168" s="141">
        <f>IF(OR(P7="Paid - Loss &amp; DCCE",P7="Incurred - Loss &amp; DCCE"),"N/A",IF(P7="Paid - Pure Loss", P97, IF(P7="Incurred - Pure Loss", P240, 0)))</f>
        <v>0</v>
      </c>
      <c r="Q168" s="141">
        <f>IF(OR(P7="Paid - Loss &amp; DCCE",P7="Incurred - Loss &amp; DCCE"),"N/A",IF(P7="Paid - Pure Loss", Q97, IF(P7="Incurred - Pure Loss", Q240, 0)))</f>
        <v>0</v>
      </c>
      <c r="R168" s="141">
        <f>IF(OR(P7="Paid - Loss &amp; DCCE",P7="Incurred - Loss &amp; DCCE"),"N/A",IF(P7="Paid - Pure Loss", R97, IF(P7="Incurred - Pure Loss", R240, 0)))</f>
        <v>0</v>
      </c>
      <c r="S168" s="141">
        <f>IF(OR(P7="Paid - Loss &amp; DCCE",P7="Incurred - Loss &amp; DCCE"),"N/A",IF(P7="Paid - Pure Loss", S97, IF(P7="Incurred - Pure Loss", S240, 0)))</f>
        <v>0</v>
      </c>
      <c r="T168" s="141">
        <f>IF(OR(P7="Paid - Loss &amp; DCCE",P7="Incurred - Loss &amp; DCCE"),"N/A",IF(P7="Paid - Pure Loss", T97, IF(P7="Incurred - Pure Loss", T240, 0)))</f>
        <v>0</v>
      </c>
      <c r="U168" s="141">
        <f>IF(OR(P7="Paid - Loss &amp; DCCE",P7="Incurred - Loss &amp; DCCE"),"N/A",IF(P7="Paid - Pure Loss", U97, IF(P7="Incurred - Pure Loss", U240, 0)))</f>
        <v>0</v>
      </c>
      <c r="V168" s="141">
        <f>IF(OR(P7="Paid - Loss &amp; DCCE",P7="Incurred - Loss &amp; DCCE"),"N/A",IF(P7="Paid - Pure Loss", V97, IF(P7="Incurred - Pure Loss", V240, 0)))</f>
        <v>0</v>
      </c>
      <c r="W168" s="141">
        <f>IF(OR(P7="Paid - Loss &amp; DCCE",P7="Incurred - Loss &amp; DCCE"),"N/A",IF(P7="Paid - Pure Loss", W97, IF(P7="Incurred - Pure Loss", W240, 0)))</f>
        <v>0</v>
      </c>
      <c r="X168" s="141">
        <f>IF(OR(P7="Paid - Loss &amp; DCCE",P7="Incurred - Loss &amp; DCCE"),"N/A",IF(P7="Paid - Pure Loss", X97, IF(P7="Incurred - Pure Loss", X240, 0)))</f>
        <v>0</v>
      </c>
      <c r="Y168" s="140" t="s">
        <v>215</v>
      </c>
      <c r="Z168" s="105"/>
      <c r="AA168" s="141">
        <f>IF(OR(AB7="Paid - Loss &amp; DCCE",AB7="Incurred - Loss &amp; DCCE"),"N/A",IF(AB7="Paid - Pure Loss", AA97, IF(AB7="Incurred - Pure Loss", AA240, 0)))</f>
        <v>0</v>
      </c>
      <c r="AB168" s="141">
        <f>IF(OR(AB7="Paid - Loss &amp; DCCE",AB7="Incurred - Loss &amp; DCCE"),"N/A",IF(AB7="Paid - Pure Loss", AB97, IF(AB7="Incurred - Pure Loss", AB240, 0)))</f>
        <v>0</v>
      </c>
      <c r="AC168" s="141">
        <f>IF(OR(AB7="Paid - Loss &amp; DCCE",AB7="Incurred - Loss &amp; DCCE"),"N/A",IF(AB7="Paid - Pure Loss", AC97, IF(AB7="Incurred - Pure Loss", AC240, 0)))</f>
        <v>0</v>
      </c>
      <c r="AD168" s="141">
        <f>IF(OR(AB7="Paid - Loss &amp; DCCE",AB7="Incurred - Loss &amp; DCCE"),"N/A",IF(AB7="Paid - Pure Loss", AD97, IF(AB7="Incurred - Pure Loss", AD240, 0)))</f>
        <v>0</v>
      </c>
      <c r="AE168" s="141">
        <f>IF(OR(AB7="Paid - Loss &amp; DCCE",AB7="Incurred - Loss &amp; DCCE"),"N/A",IF(AB7="Paid - Pure Loss", AE97, IF(AB7="Incurred - Pure Loss", AE240, 0)))</f>
        <v>0</v>
      </c>
      <c r="AF168" s="141">
        <f>IF(OR(AB7="Paid - Loss &amp; DCCE",AB7="Incurred - Loss &amp; DCCE"),"N/A",IF(AB7="Paid - Pure Loss", AF97, IF(AB7="Incurred - Pure Loss", AF240, 0)))</f>
        <v>0</v>
      </c>
      <c r="AG168" s="141">
        <f>IF(OR(AB7="Paid - Loss &amp; DCCE",AB7="Incurred - Loss &amp; DCCE"),"N/A",IF(AB7="Paid - Pure Loss", AG97, IF(AB7="Incurred - Pure Loss", AG240, 0)))</f>
        <v>0</v>
      </c>
      <c r="AH168" s="141">
        <f>IF(OR(AB7="Paid - Loss &amp; DCCE",AB7="Incurred - Loss &amp; DCCE"),"N/A",IF(AB7="Paid - Pure Loss", AH97, IF(AB7="Incurred - Pure Loss", AH240, 0)))</f>
        <v>0</v>
      </c>
      <c r="AI168" s="141">
        <f>IF(OR(AB7="Paid - Loss &amp; DCCE",AB7="Incurred - Loss &amp; DCCE"),"N/A",IF(AB7="Paid - Pure Loss", AI97, IF(AB7="Incurred - Pure Loss", AI240, 0)))</f>
        <v>0</v>
      </c>
      <c r="AJ168" s="141">
        <f>IF(OR(AB7="Paid - Loss &amp; DCCE",AB7="Incurred - Loss &amp; DCCE"),"N/A",IF(AB7="Paid - Pure Loss", AJ97, IF(AB7="Incurred - Pure Loss", AJ240, 0)))</f>
        <v>0</v>
      </c>
      <c r="AK168" s="140" t="s">
        <v>215</v>
      </c>
      <c r="AL168" s="105"/>
      <c r="AM168" s="141">
        <f>IF(OR(AN7="Paid - Loss &amp; DCCE",AN7="Incurred - Loss &amp; DCCE"),"N/A",IF(AN7="Paid - Pure Loss", AM97, IF(AN7="Incurred - Pure Loss", AM240, 0)))</f>
        <v>0</v>
      </c>
      <c r="AN168" s="141">
        <f>IF(OR(AN7="Paid - Loss &amp; DCCE",AN7="Incurred - Loss &amp; DCCE"),"N/A",IF(AN7="Paid - Pure Loss", AN97, IF(AN7="Incurred - Pure Loss", AN240, 0)))</f>
        <v>0</v>
      </c>
      <c r="AO168" s="141">
        <f>IF(OR(AN7="Paid - Loss &amp; DCCE",AN7="Incurred - Loss &amp; DCCE"),"N/A",IF(AN7="Paid - Pure Loss", AO97, IF(AN7="Incurred - Pure Loss", AO240, 0)))</f>
        <v>0</v>
      </c>
      <c r="AP168" s="141">
        <f>IF(OR(AN7="Paid - Loss &amp; DCCE",AN7="Incurred - Loss &amp; DCCE"),"N/A",IF(AN7="Paid - Pure Loss", AP97, IF(AN7="Incurred - Pure Loss", AP240, 0)))</f>
        <v>0</v>
      </c>
      <c r="AQ168" s="141">
        <f>IF(OR(AN7="Paid - Loss &amp; DCCE",AN7="Incurred - Loss &amp; DCCE"),"N/A",IF(AN7="Paid - Pure Loss", AQ97, IF(AN7="Incurred - Pure Loss", AQ240, 0)))</f>
        <v>0</v>
      </c>
      <c r="AR168" s="141">
        <f>IF(OR(AN7="Paid - Loss &amp; DCCE",AN7="Incurred - Loss &amp; DCCE"),"N/A",IF(AN7="Paid - Pure Loss", AR97, IF(AN7="Incurred - Pure Loss", AR240, 0)))</f>
        <v>0</v>
      </c>
      <c r="AS168" s="141">
        <f>IF(OR(AN7="Paid - Loss &amp; DCCE",AN7="Incurred - Loss &amp; DCCE"),"N/A",IF(AN7="Paid - Pure Loss", AS97, IF(AN7="Incurred - Pure Loss", AS240, 0)))</f>
        <v>0</v>
      </c>
      <c r="AT168" s="141">
        <f>IF(OR(AN7="Paid - Loss &amp; DCCE",AN7="Incurred - Loss &amp; DCCE"),"N/A",IF(AN7="Paid - Pure Loss", AT97, IF(AN7="Incurred - Pure Loss", AT240, 0)))</f>
        <v>0</v>
      </c>
      <c r="AU168" s="141">
        <f>IF(OR(AN7="Paid - Loss &amp; DCCE",AN7="Incurred - Loss &amp; DCCE"),"N/A",IF(AN7="Paid - Pure Loss", AU97, IF(AN7="Incurred - Pure Loss", AU240, 0)))</f>
        <v>0</v>
      </c>
      <c r="AV168" s="141">
        <f>IF(OR(AN7="Paid - Loss &amp; DCCE",AN7="Incurred - Loss &amp; DCCE"),"N/A",IF(AN7="Paid - Pure Loss", AV97, IF(AN7="Incurred - Pure Loss", AV240, 0)))</f>
        <v>0</v>
      </c>
      <c r="AW168" s="140" t="s">
        <v>215</v>
      </c>
      <c r="AX168" s="105"/>
      <c r="AY168" s="141">
        <f>IF(OR(AZ7="Paid - Loss &amp; DCCE",AZ7="Incurred - Loss &amp; DCCE"),"N/A",IF(AZ7="Paid - Pure Loss", AY97, IF(AZ7="Incurred - Pure Loss", AY240, 0)))</f>
        <v>0</v>
      </c>
      <c r="AZ168" s="141">
        <f>IF(OR(AZ7="Paid - Loss &amp; DCCE",AZ7="Incurred - Loss &amp; DCCE"),"N/A",IF(AZ7="Paid - Pure Loss", AZ97, IF(AZ7="Incurred - Pure Loss", AZ240, 0)))</f>
        <v>0</v>
      </c>
      <c r="BA168" s="141">
        <f>IF(OR(AZ7="Paid - Loss &amp; DCCE",AZ7="Incurred - Loss &amp; DCCE"),"N/A",IF(AZ7="Paid - Pure Loss", BA97, IF(AZ7="Incurred - Pure Loss", BA240, 0)))</f>
        <v>0</v>
      </c>
      <c r="BB168" s="141">
        <f>IF(OR(AZ7="Paid - Loss &amp; DCCE",AZ7="Incurred - Loss &amp; DCCE"),"N/A",IF(AZ7="Paid - Pure Loss", BB97, IF(AZ7="Incurred - Pure Loss", BB240, 0)))</f>
        <v>0</v>
      </c>
      <c r="BC168" s="141">
        <f>IF(OR(AZ7="Paid - Loss &amp; DCCE",AZ7="Incurred - Loss &amp; DCCE"),"N/A",IF(AZ7="Paid - Pure Loss", BC97, IF(AZ7="Incurred - Pure Loss", BC240, 0)))</f>
        <v>0</v>
      </c>
      <c r="BD168" s="141">
        <f>IF(OR(AZ7="Paid - Loss &amp; DCCE",AZ7="Incurred - Loss &amp; DCCE"),"N/A",IF(AZ7="Paid - Pure Loss", BD97, IF(AZ7="Incurred - Pure Loss", BD240, 0)))</f>
        <v>0</v>
      </c>
      <c r="BE168" s="141">
        <f>IF(OR(AZ7="Paid - Loss &amp; DCCE",AZ7="Incurred - Loss &amp; DCCE"),"N/A",IF(AZ7="Paid - Pure Loss", BE97, IF(AZ7="Incurred - Pure Loss", BE240, 0)))</f>
        <v>0</v>
      </c>
      <c r="BF168" s="141">
        <f>IF(OR(AZ7="Paid - Loss &amp; DCCE",AZ7="Incurred - Loss &amp; DCCE"),"N/A",IF(AZ7="Paid - Pure Loss", BF97, IF(AZ7="Incurred - Pure Loss", BF240, 0)))</f>
        <v>0</v>
      </c>
      <c r="BG168" s="141">
        <f>IF(OR(AZ7="Paid - Loss &amp; DCCE",AZ7="Incurred - Loss &amp; DCCE"),"N/A",IF(AZ7="Paid - Pure Loss", BG97, IF(AZ7="Incurred - Pure Loss", BG240, 0)))</f>
        <v>0</v>
      </c>
      <c r="BH168" s="141">
        <f>IF(OR(AZ7="Paid - Loss &amp; DCCE",AZ7="Incurred - Loss &amp; DCCE"),"N/A",IF(AZ7="Paid - Pure Loss", BH97, IF(AZ7="Incurred - Pure Loss", BH240, 0)))</f>
        <v>0</v>
      </c>
      <c r="BI168" s="140" t="s">
        <v>215</v>
      </c>
      <c r="BJ168" s="105"/>
      <c r="BK168" s="141">
        <f>IF(OR(BL7="Paid - Loss &amp; DCCE",BL7="Incurred - Loss &amp; DCCE"),"N/A",IF(BL7="Paid - Pure Loss", BK97, IF(BL7="Incurred - Pure Loss", BK240, 0)))</f>
        <v>0</v>
      </c>
      <c r="BL168" s="141">
        <f>IF(OR(BL7="Paid - Loss &amp; DCCE",BL7="Incurred - Loss &amp; DCCE"),"N/A",IF(BL7="Paid - Pure Loss", BL97, IF(BL7="Incurred - Pure Loss", BL240, 0)))</f>
        <v>0</v>
      </c>
      <c r="BM168" s="141">
        <f>IF(OR(BL7="Paid - Loss &amp; DCCE",BL7="Incurred - Loss &amp; DCCE"),"N/A",IF(BL7="Paid - Pure Loss", BM97, IF(BL7="Incurred - Pure Loss", BM240, 0)))</f>
        <v>0</v>
      </c>
      <c r="BN168" s="141">
        <f>IF(OR(BL7="Paid - Loss &amp; DCCE",BL7="Incurred - Loss &amp; DCCE"),"N/A",IF(BL7="Paid - Pure Loss", BN97, IF(BL7="Incurred - Pure Loss", BN240, 0)))</f>
        <v>0</v>
      </c>
      <c r="BO168" s="141">
        <f>IF(OR(BL7="Paid - Loss &amp; DCCE",BL7="Incurred - Loss &amp; DCCE"),"N/A",IF(BL7="Paid - Pure Loss", BO97, IF(BL7="Incurred - Pure Loss", BO240, 0)))</f>
        <v>0</v>
      </c>
      <c r="BP168" s="141">
        <f>IF(OR(BL7="Paid - Loss &amp; DCCE",BL7="Incurred - Loss &amp; DCCE"),"N/A",IF(BL7="Paid - Pure Loss", BP97, IF(BL7="Incurred - Pure Loss", BP240, 0)))</f>
        <v>0</v>
      </c>
      <c r="BQ168" s="141">
        <f>IF(OR(BL7="Paid - Loss &amp; DCCE",BL7="Incurred - Loss &amp; DCCE"),"N/A",IF(BL7="Paid - Pure Loss", BQ97, IF(BL7="Incurred - Pure Loss", BQ240, 0)))</f>
        <v>0</v>
      </c>
      <c r="BR168" s="141">
        <f>IF(OR(BL7="Paid - Loss &amp; DCCE",BL7="Incurred - Loss &amp; DCCE"),"N/A",IF(BL7="Paid - Pure Loss", BR97, IF(BL7="Incurred - Pure Loss", BR240, 0)))</f>
        <v>0</v>
      </c>
      <c r="BS168" s="141">
        <f>IF(OR(BL7="Paid - Loss &amp; DCCE",BL7="Incurred - Loss &amp; DCCE"),"N/A",IF(BL7="Paid - Pure Loss", BS97, IF(BL7="Incurred - Pure Loss", BS240, 0)))</f>
        <v>0</v>
      </c>
      <c r="BT168" s="141">
        <f>IF(OR(BL7="Paid - Loss &amp; DCCE",BL7="Incurred - Loss &amp; DCCE"),"N/A",IF(BL7="Paid - Pure Loss", BT97, IF(BL7="Incurred - Pure Loss", BT240, 0)))</f>
        <v>0</v>
      </c>
      <c r="BU168" s="140" t="s">
        <v>215</v>
      </c>
      <c r="BV168" s="105"/>
      <c r="BW168" s="141">
        <f>IF(OR(BX7="Paid - Loss &amp; DCCE",BX7="Incurred - Loss &amp; DCCE"),"N/A",IF(BX7="Paid - Pure Loss", BW97, IF(BX7="Incurred - Pure Loss", BW240, 0)))</f>
        <v>0</v>
      </c>
      <c r="BX168" s="141">
        <f>IF(OR(BX7="Paid - Loss &amp; DCCE",BX7="Incurred - Loss &amp; DCCE"),"N/A",IF(BX7="Paid - Pure Loss", BX97, IF(BX7="Incurred - Pure Loss", BX240, 0)))</f>
        <v>0</v>
      </c>
      <c r="BY168" s="141">
        <f>IF(OR(BX7="Paid - Loss &amp; DCCE",BX7="Incurred - Loss &amp; DCCE"),"N/A",IF(BX7="Paid - Pure Loss", BY97, IF(BX7="Incurred - Pure Loss", BY240, 0)))</f>
        <v>0</v>
      </c>
      <c r="BZ168" s="141">
        <f>IF(OR(BX7="Paid - Loss &amp; DCCE",BX7="Incurred - Loss &amp; DCCE"),"N/A",IF(BX7="Paid - Pure Loss", BZ97, IF(BX7="Incurred - Pure Loss", BZ240, 0)))</f>
        <v>0</v>
      </c>
      <c r="CA168" s="141">
        <f>IF(OR(BX7="Paid - Loss &amp; DCCE",BX7="Incurred - Loss &amp; DCCE"),"N/A",IF(BX7="Paid - Pure Loss", CA97, IF(BX7="Incurred - Pure Loss", CA240, 0)))</f>
        <v>0</v>
      </c>
      <c r="CB168" s="141">
        <f>IF(OR(BX7="Paid - Loss &amp; DCCE",BX7="Incurred - Loss &amp; DCCE"),"N/A",IF(BX7="Paid - Pure Loss", CB97, IF(BX7="Incurred - Pure Loss", CB240, 0)))</f>
        <v>0</v>
      </c>
      <c r="CC168" s="141">
        <f>IF(OR(BX7="Paid - Loss &amp; DCCE",BX7="Incurred - Loss &amp; DCCE"),"N/A",IF(BX7="Paid - Pure Loss", CC97, IF(BX7="Incurred - Pure Loss", CC240, 0)))</f>
        <v>0</v>
      </c>
      <c r="CD168" s="141">
        <f>IF(OR(BX7="Paid - Loss &amp; DCCE",BX7="Incurred - Loss &amp; DCCE"),"N/A",IF(BX7="Paid - Pure Loss", CD97, IF(BX7="Incurred - Pure Loss", CD240, 0)))</f>
        <v>0</v>
      </c>
      <c r="CE168" s="141">
        <f>IF(OR(BX7="Paid - Loss &amp; DCCE",BX7="Incurred - Loss &amp; DCCE"),"N/A",IF(BX7="Paid - Pure Loss", CE97, IF(BX7="Incurred - Pure Loss", CE240, 0)))</f>
        <v>0</v>
      </c>
      <c r="CF168" s="141">
        <f>IF(OR(BX7="Paid - Loss &amp; DCCE",BX7="Incurred - Loss &amp; DCCE"),"N/A",IF(BX7="Paid - Pure Loss", CF97, IF(BX7="Incurred - Pure Loss", CF240, 0)))</f>
        <v>0</v>
      </c>
      <c r="CG168" s="140" t="s">
        <v>215</v>
      </c>
      <c r="CH168" s="105"/>
      <c r="CI168" s="141">
        <f>IF(OR(CJ7="Paid - Loss &amp; DCCE",CJ7="Incurred - Loss &amp; DCCE"),"N/A",IF(CJ7="Paid - Pure Loss", CI97, IF(CJ7="Incurred - Pure Loss", CI240, 0)))</f>
        <v>0</v>
      </c>
      <c r="CJ168" s="141">
        <f>IF(OR(CJ7="Paid - Loss &amp; DCCE",CJ7="Incurred - Loss &amp; DCCE"),"N/A",IF(CJ7="Paid - Pure Loss", CJ97, IF(CJ7="Incurred - Pure Loss", CJ240, 0)))</f>
        <v>0</v>
      </c>
      <c r="CK168" s="141">
        <f>IF(OR(CJ7="Paid - Loss &amp; DCCE",CJ7="Incurred - Loss &amp; DCCE"),"N/A",IF(CJ7="Paid - Pure Loss", CK97, IF(CJ7="Incurred - Pure Loss", CK240, 0)))</f>
        <v>0</v>
      </c>
      <c r="CL168" s="141">
        <f>IF(OR(CJ7="Paid - Loss &amp; DCCE",CJ7="Incurred - Loss &amp; DCCE"),"N/A",IF(CJ7="Paid - Pure Loss", CL97, IF(CJ7="Incurred - Pure Loss", CL240, 0)))</f>
        <v>0</v>
      </c>
      <c r="CM168" s="141">
        <f>IF(OR(CJ7="Paid - Loss &amp; DCCE",CJ7="Incurred - Loss &amp; DCCE"),"N/A",IF(CJ7="Paid - Pure Loss", CM97, IF(CJ7="Incurred - Pure Loss", CM240, 0)))</f>
        <v>0</v>
      </c>
      <c r="CN168" s="141">
        <f>IF(OR(CJ7="Paid - Loss &amp; DCCE",CJ7="Incurred - Loss &amp; DCCE"),"N/A",IF(CJ7="Paid - Pure Loss", CN97, IF(CJ7="Incurred - Pure Loss", CN240, 0)))</f>
        <v>0</v>
      </c>
      <c r="CO168" s="141">
        <f>IF(OR(CJ7="Paid - Loss &amp; DCCE",CJ7="Incurred - Loss &amp; DCCE"),"N/A",IF(CJ7="Paid - Pure Loss", CO97, IF(CJ7="Incurred - Pure Loss", CO240, 0)))</f>
        <v>0</v>
      </c>
      <c r="CP168" s="141">
        <f>IF(OR(CJ7="Paid - Loss &amp; DCCE",CJ7="Incurred - Loss &amp; DCCE"),"N/A",IF(CJ7="Paid - Pure Loss", CP97, IF(CJ7="Incurred - Pure Loss", CP240, 0)))</f>
        <v>0</v>
      </c>
      <c r="CQ168" s="141">
        <f>IF(OR(CJ7="Paid - Loss &amp; DCCE",CJ7="Incurred - Loss &amp; DCCE"),"N/A",IF(CJ7="Paid - Pure Loss", CQ97, IF(CJ7="Incurred - Pure Loss", CQ240, 0)))</f>
        <v>0</v>
      </c>
      <c r="CR168" s="141">
        <f>IF(OR(CJ7="Paid - Loss &amp; DCCE",CJ7="Incurred - Loss &amp; DCCE"),"N/A",IF(CJ7="Paid - Pure Loss", CR97, IF(CJ7="Incurred - Pure Loss", CR240, 0)))</f>
        <v>0</v>
      </c>
      <c r="CS168" s="140" t="s">
        <v>215</v>
      </c>
      <c r="CT168" s="105"/>
      <c r="CU168" s="141">
        <f>IF(OR(CV7="Paid - Loss &amp; DCCE",CV7="Incurred - Loss &amp; DCCE"),"N/A",IF(CV7="Paid - Pure Loss", CU97, IF(CV7="Incurred - Pure Loss", CU240, 0)))</f>
        <v>0</v>
      </c>
      <c r="CV168" s="141">
        <f>IF(OR(CV7="Paid - Loss &amp; DCCE",CV7="Incurred - Loss &amp; DCCE"),"N/A",IF(CV7="Paid - Pure Loss", CV97, IF(CV7="Incurred - Pure Loss", CV240, 0)))</f>
        <v>0</v>
      </c>
      <c r="CW168" s="141">
        <f>IF(OR(CV7="Paid - Loss &amp; DCCE",CV7="Incurred - Loss &amp; DCCE"),"N/A",IF(CV7="Paid - Pure Loss", CW97, IF(CV7="Incurred - Pure Loss", CW240, 0)))</f>
        <v>0</v>
      </c>
      <c r="CX168" s="141">
        <f>IF(OR(CV7="Paid - Loss &amp; DCCE",CV7="Incurred - Loss &amp; DCCE"),"N/A",IF(CV7="Paid - Pure Loss", CX97, IF(CV7="Incurred - Pure Loss", CX240, 0)))</f>
        <v>0</v>
      </c>
      <c r="CY168" s="141">
        <f>IF(OR(CV7="Paid - Loss &amp; DCCE",CV7="Incurred - Loss &amp; DCCE"),"N/A",IF(CV7="Paid - Pure Loss", CY97, IF(CV7="Incurred - Pure Loss", CY240, 0)))</f>
        <v>0</v>
      </c>
      <c r="CZ168" s="141">
        <f>IF(OR(CV7="Paid - Loss &amp; DCCE",CV7="Incurred - Loss &amp; DCCE"),"N/A",IF(CV7="Paid - Pure Loss", CZ97, IF(CV7="Incurred - Pure Loss", CZ240, 0)))</f>
        <v>0</v>
      </c>
      <c r="DA168" s="141">
        <f>IF(OR(CV7="Paid - Loss &amp; DCCE",CV7="Incurred - Loss &amp; DCCE"),"N/A",IF(CV7="Paid - Pure Loss", DA97, IF(CV7="Incurred - Pure Loss", DA240, 0)))</f>
        <v>0</v>
      </c>
      <c r="DB168" s="141">
        <f>IF(OR(CV7="Paid - Loss &amp; DCCE",CV7="Incurred - Loss &amp; DCCE"),"N/A",IF(CV7="Paid - Pure Loss", DB97, IF(CV7="Incurred - Pure Loss", DB240, 0)))</f>
        <v>0</v>
      </c>
      <c r="DC168" s="141">
        <f>IF(OR(CV7="Paid - Loss &amp; DCCE",CV7="Incurred - Loss &amp; DCCE"),"N/A",IF(CV7="Paid - Pure Loss", DC97, IF(CV7="Incurred - Pure Loss", DC240, 0)))</f>
        <v>0</v>
      </c>
      <c r="DD168" s="141">
        <f>IF(OR(CV7="Paid - Loss &amp; DCCE",CV7="Incurred - Loss &amp; DCCE"),"N/A",IF(CV7="Paid - Pure Loss", DD97, IF(CV7="Incurred - Pure Loss", DD240, 0)))</f>
        <v>0</v>
      </c>
      <c r="DE168" s="140" t="s">
        <v>215</v>
      </c>
      <c r="DF168" s="105"/>
      <c r="DG168" s="141">
        <f>IF(OR(DH7="Paid - Loss &amp; DCCE",DH7="Incurred - Loss &amp; DCCE"),"N/A",IF(DH7="Paid - Pure Loss", DG97, IF(DH7="Incurred - Pure Loss", DG240, 0)))</f>
        <v>0</v>
      </c>
      <c r="DH168" s="141">
        <f>IF(OR(DH7="Paid - Loss &amp; DCCE",DH7="Incurred - Loss &amp; DCCE"),"N/A",IF(DH7="Paid - Pure Loss", DH97, IF(DH7="Incurred - Pure Loss", DH240, 0)))</f>
        <v>0</v>
      </c>
      <c r="DI168" s="141">
        <f>IF(OR(DH7="Paid - Loss &amp; DCCE",DH7="Incurred - Loss &amp; DCCE"),"N/A",IF(DH7="Paid - Pure Loss", DI97, IF(DH7="Incurred - Pure Loss", DI240, 0)))</f>
        <v>0</v>
      </c>
      <c r="DJ168" s="141">
        <f>IF(OR(DH7="Paid - Loss &amp; DCCE",DH7="Incurred - Loss &amp; DCCE"),"N/A",IF(DH7="Paid - Pure Loss", DJ97, IF(DH7="Incurred - Pure Loss", DJ240, 0)))</f>
        <v>0</v>
      </c>
      <c r="DK168" s="141">
        <f>IF(OR(DH7="Paid - Loss &amp; DCCE",DH7="Incurred - Loss &amp; DCCE"),"N/A",IF(DH7="Paid - Pure Loss", DK97, IF(DH7="Incurred - Pure Loss", DK240, 0)))</f>
        <v>0</v>
      </c>
      <c r="DL168" s="141">
        <f>IF(OR(DH7="Paid - Loss &amp; DCCE",DH7="Incurred - Loss &amp; DCCE"),"N/A",IF(DH7="Paid - Pure Loss", DL97, IF(DH7="Incurred - Pure Loss", DL240, 0)))</f>
        <v>0</v>
      </c>
      <c r="DM168" s="141">
        <f>IF(OR(DH7="Paid - Loss &amp; DCCE",DH7="Incurred - Loss &amp; DCCE"),"N/A",IF(DH7="Paid - Pure Loss", DM97, IF(DH7="Incurred - Pure Loss", DM240, 0)))</f>
        <v>0</v>
      </c>
      <c r="DN168" s="141">
        <f>IF(OR(DH7="Paid - Loss &amp; DCCE",DH7="Incurred - Loss &amp; DCCE"),"N/A",IF(DH7="Paid - Pure Loss", DN97, IF(DH7="Incurred - Pure Loss", DN240, 0)))</f>
        <v>0</v>
      </c>
      <c r="DO168" s="141">
        <f>IF(OR(DH7="Paid - Loss &amp; DCCE",DH7="Incurred - Loss &amp; DCCE"),"N/A",IF(DH7="Paid - Pure Loss", DO97, IF(DH7="Incurred - Pure Loss", DO240, 0)))</f>
        <v>0</v>
      </c>
      <c r="DP168" s="141">
        <f>IF(OR(DH7="Paid - Loss &amp; DCCE",DH7="Incurred - Loss &amp; DCCE"),"N/A",IF(DH7="Paid - Pure Loss", DP97, IF(DH7="Incurred - Pure Loss", DP240, 0)))</f>
        <v>0</v>
      </c>
    </row>
    <row r="169" spans="1:120" ht="15.75" thickBot="1" x14ac:dyDescent="0.3">
      <c r="A169" s="95" t="s">
        <v>42</v>
      </c>
      <c r="B169" s="105"/>
      <c r="C169" s="110">
        <f>IF(OR(D7="Paid - Loss &amp; DCCE",D7="Incurred - Loss &amp; DCCE"),"N/A",IFERROR(C167*C168,0))</f>
        <v>11757888.721943334</v>
      </c>
      <c r="D169" s="110">
        <f>IF(OR(D7="Paid - Loss &amp; DCCE",D7="Incurred - Loss &amp; DCCE"),"N/A",IFERROR(D167*D168,0))</f>
        <v>11443086.348294634</v>
      </c>
      <c r="E169" s="110">
        <f>IF(OR(D7="Paid - Loss &amp; DCCE",D7="Incurred - Loss &amp; DCCE"),"N/A",IFERROR(E167*E168,0))</f>
        <v>9325637.4385666158</v>
      </c>
      <c r="F169" s="110">
        <f>IF(OR(D7="Paid - Loss &amp; DCCE",D7="Incurred - Loss &amp; DCCE"),"N/A",IFERROR(F167*F168,0))</f>
        <v>9463271.6245466415</v>
      </c>
      <c r="G169" s="110">
        <f>IF(OR(D7="Paid - Loss &amp; DCCE",D7="Incurred - Loss &amp; DCCE"),"N/A",IFERROR(G167*G168,0))</f>
        <v>8880425.4699105397</v>
      </c>
      <c r="H169" s="110">
        <f>IF(OR(D7="Paid - Loss &amp; DCCE",D7="Incurred - Loss &amp; DCCE"),"N/A",IFERROR(H167*H168,0))</f>
        <v>10880459.451043883</v>
      </c>
      <c r="I169" s="110">
        <f>IF(OR(D7="Paid - Loss &amp; DCCE",D7="Incurred - Loss &amp; DCCE"),"N/A",IFERROR(I167*I168,0))</f>
        <v>8929771.6767566521</v>
      </c>
      <c r="J169" s="110">
        <f>IF(OR(D7="Paid - Loss &amp; DCCE",D7="Incurred - Loss &amp; DCCE"),"N/A",IFERROR(J167*J168,0))</f>
        <v>10909833.942277079</v>
      </c>
      <c r="K169" s="110">
        <f>IF(OR(D7="Paid - Loss &amp; DCCE",D7="Incurred - Loss &amp; DCCE"),"N/A",IFERROR(K167*K168,0))</f>
        <v>8629748.2261793911</v>
      </c>
      <c r="L169" s="110">
        <f>IF(OR(D7="Paid - Loss &amp; DCCE",D7="Incurred - Loss &amp; DCCE"),"N/A",IFERROR(L167*L168,0))</f>
        <v>8189626.1787525192</v>
      </c>
      <c r="M169" s="95" t="s">
        <v>42</v>
      </c>
      <c r="N169" s="105"/>
      <c r="O169" s="110">
        <f>IF(OR(P7="Paid - Loss &amp; DCCE",P7="Incurred - Loss &amp; DCCE"),"N/A",IFERROR(O167*O168,0))</f>
        <v>0</v>
      </c>
      <c r="P169" s="110">
        <f>IF(OR(P7="Paid - Loss &amp; DCCE",P7="Incurred - Loss &amp; DCCE"),"N/A",IFERROR(P167*P168,0))</f>
        <v>0</v>
      </c>
      <c r="Q169" s="110">
        <f>IF(OR(P7="Paid - Loss &amp; DCCE",P7="Incurred - Loss &amp; DCCE"),"N/A",IFERROR(Q167*Q168,0))</f>
        <v>0</v>
      </c>
      <c r="R169" s="110">
        <f>IF(OR(P7="Paid - Loss &amp; DCCE",P7="Incurred - Loss &amp; DCCE"),"N/A",IFERROR(R167*R168,0))</f>
        <v>0</v>
      </c>
      <c r="S169" s="110">
        <f>IF(OR(P7="Paid - Loss &amp; DCCE",P7="Incurred - Loss &amp; DCCE"),"N/A",IFERROR(S167*S168,0))</f>
        <v>0</v>
      </c>
      <c r="T169" s="110">
        <f>IF(OR(P7="Paid - Loss &amp; DCCE",P7="Incurred - Loss &amp; DCCE"),"N/A",IFERROR(T167*T168,0))</f>
        <v>0</v>
      </c>
      <c r="U169" s="110">
        <f>IF(OR(P7="Paid - Loss &amp; DCCE",P7="Incurred - Loss &amp; DCCE"),"N/A",IFERROR(U167*U168,0))</f>
        <v>0</v>
      </c>
      <c r="V169" s="110">
        <f>IF(OR(P7="Paid - Loss &amp; DCCE",P7="Incurred - Loss &amp; DCCE"),"N/A",IFERROR(V167*V168,0))</f>
        <v>0</v>
      </c>
      <c r="W169" s="110">
        <f>IF(OR(P7="Paid - Loss &amp; DCCE",P7="Incurred - Loss &amp; DCCE"),"N/A",IFERROR(W167*W168,0))</f>
        <v>0</v>
      </c>
      <c r="X169" s="110">
        <f>IF(OR(P7="Paid - Loss &amp; DCCE",P7="Incurred - Loss &amp; DCCE"),"N/A",IFERROR(X167*X168,0))</f>
        <v>0</v>
      </c>
      <c r="Y169" s="95" t="s">
        <v>42</v>
      </c>
      <c r="Z169" s="105"/>
      <c r="AA169" s="110">
        <f>IF(OR(AB7="Paid - Loss &amp; DCCE",AB7="Incurred - Loss &amp; DCCE"),"N/A",IFERROR(AA167*AA168,0))</f>
        <v>0</v>
      </c>
      <c r="AB169" s="110">
        <f>IF(OR(AB7="Paid - Loss &amp; DCCE",AB7="Incurred - Loss &amp; DCCE"),"N/A",IFERROR(AB167*AB168,0))</f>
        <v>0</v>
      </c>
      <c r="AC169" s="110">
        <f>IF(OR(AB7="Paid - Loss &amp; DCCE",AB7="Incurred - Loss &amp; DCCE"),"N/A",IFERROR(AC167*AC168,0))</f>
        <v>0</v>
      </c>
      <c r="AD169" s="110">
        <f>IF(OR(AB7="Paid - Loss &amp; DCCE",AB7="Incurred - Loss &amp; DCCE"),"N/A",IFERROR(AD167*AD168,0))</f>
        <v>0</v>
      </c>
      <c r="AE169" s="110">
        <f>IF(OR(AB7="Paid - Loss &amp; DCCE",AB7="Incurred - Loss &amp; DCCE"),"N/A",IFERROR(AE167*AE168,0))</f>
        <v>0</v>
      </c>
      <c r="AF169" s="110">
        <f>IF(OR(AB7="Paid - Loss &amp; DCCE",AB7="Incurred - Loss &amp; DCCE"),"N/A",IFERROR(AF167*AF168,0))</f>
        <v>0</v>
      </c>
      <c r="AG169" s="110">
        <f>IF(OR(AB7="Paid - Loss &amp; DCCE",AB7="Incurred - Loss &amp; DCCE"),"N/A",IFERROR(AG167*AG168,0))</f>
        <v>0</v>
      </c>
      <c r="AH169" s="110">
        <f>IF(OR(AB7="Paid - Loss &amp; DCCE",AB7="Incurred - Loss &amp; DCCE"),"N/A",IFERROR(AH167*AH168,0))</f>
        <v>0</v>
      </c>
      <c r="AI169" s="110">
        <f>IF(OR(AB7="Paid - Loss &amp; DCCE",AB7="Incurred - Loss &amp; DCCE"),"N/A",IFERROR(AI167*AI168,0))</f>
        <v>0</v>
      </c>
      <c r="AJ169" s="110">
        <f>IF(OR(AB7="Paid - Loss &amp; DCCE",AB7="Incurred - Loss &amp; DCCE"),"N/A",IFERROR(AJ167*AJ168,0))</f>
        <v>0</v>
      </c>
      <c r="AK169" s="95" t="s">
        <v>42</v>
      </c>
      <c r="AL169" s="105"/>
      <c r="AM169" s="110">
        <f>IF(OR(AN7="Paid - Loss &amp; DCCE",AN7="Incurred - Loss &amp; DCCE"),"N/A",IFERROR(AM167*AM168,0))</f>
        <v>0</v>
      </c>
      <c r="AN169" s="110">
        <f>IF(OR(AN7="Paid - Loss &amp; DCCE",AN7="Incurred - Loss &amp; DCCE"),"N/A",IFERROR(AN167*AN168,0))</f>
        <v>0</v>
      </c>
      <c r="AO169" s="110">
        <f>IF(OR(AN7="Paid - Loss &amp; DCCE",AN7="Incurred - Loss &amp; DCCE"),"N/A",IFERROR(AO167*AO168,0))</f>
        <v>0</v>
      </c>
      <c r="AP169" s="110">
        <f>IF(OR(AN7="Paid - Loss &amp; DCCE",AN7="Incurred - Loss &amp; DCCE"),"N/A",IFERROR(AP167*AP168,0))</f>
        <v>0</v>
      </c>
      <c r="AQ169" s="110">
        <f>IF(OR(AN7="Paid - Loss &amp; DCCE",AN7="Incurred - Loss &amp; DCCE"),"N/A",IFERROR(AQ167*AQ168,0))</f>
        <v>0</v>
      </c>
      <c r="AR169" s="110">
        <f>IF(OR(AN7="Paid - Loss &amp; DCCE",AN7="Incurred - Loss &amp; DCCE"),"N/A",IFERROR(AR167*AR168,0))</f>
        <v>0</v>
      </c>
      <c r="AS169" s="110">
        <f>IF(OR(AN7="Paid - Loss &amp; DCCE",AN7="Incurred - Loss &amp; DCCE"),"N/A",IFERROR(AS167*AS168,0))</f>
        <v>0</v>
      </c>
      <c r="AT169" s="110">
        <f>IF(OR(AN7="Paid - Loss &amp; DCCE",AN7="Incurred - Loss &amp; DCCE"),"N/A",IFERROR(AT167*AT168,0))</f>
        <v>0</v>
      </c>
      <c r="AU169" s="110">
        <f>IF(OR(AN7="Paid - Loss &amp; DCCE",AN7="Incurred - Loss &amp; DCCE"),"N/A",IFERROR(AU167*AU168,0))</f>
        <v>0</v>
      </c>
      <c r="AV169" s="110">
        <f>IF(OR(AN7="Paid - Loss &amp; DCCE",AN7="Incurred - Loss &amp; DCCE"),"N/A",IFERROR(AV167*AV168,0))</f>
        <v>0</v>
      </c>
      <c r="AW169" s="95" t="s">
        <v>42</v>
      </c>
      <c r="AX169" s="105"/>
      <c r="AY169" s="110">
        <f>IF(OR(AZ7="Paid - Loss &amp; DCCE",AZ7="Incurred - Loss &amp; DCCE"),"N/A",IFERROR(AY167*AY168,0))</f>
        <v>0</v>
      </c>
      <c r="AZ169" s="110">
        <f>IF(OR(AZ7="Paid - Loss &amp; DCCE",AZ7="Incurred - Loss &amp; DCCE"),"N/A",IFERROR(AZ167*AZ168,0))</f>
        <v>0</v>
      </c>
      <c r="BA169" s="110">
        <f>IF(OR(AZ7="Paid - Loss &amp; DCCE",AZ7="Incurred - Loss &amp; DCCE"),"N/A",IFERROR(BA167*BA168,0))</f>
        <v>0</v>
      </c>
      <c r="BB169" s="110">
        <f>IF(OR(AZ7="Paid - Loss &amp; DCCE",AZ7="Incurred - Loss &amp; DCCE"),"N/A",IFERROR(BB167*BB168,0))</f>
        <v>0</v>
      </c>
      <c r="BC169" s="110">
        <f>IF(OR(AZ7="Paid - Loss &amp; DCCE",AZ7="Incurred - Loss &amp; DCCE"),"N/A",IFERROR(BC167*BC168,0))</f>
        <v>0</v>
      </c>
      <c r="BD169" s="110">
        <f>IF(OR(AZ7="Paid - Loss &amp; DCCE",AZ7="Incurred - Loss &amp; DCCE"),"N/A",IFERROR(BD167*BD168,0))</f>
        <v>0</v>
      </c>
      <c r="BE169" s="110">
        <f>IF(OR(AZ7="Paid - Loss &amp; DCCE",AZ7="Incurred - Loss &amp; DCCE"),"N/A",IFERROR(BE167*BE168,0))</f>
        <v>0</v>
      </c>
      <c r="BF169" s="110">
        <f>IF(OR(AZ7="Paid - Loss &amp; DCCE",AZ7="Incurred - Loss &amp; DCCE"),"N/A",IFERROR(BF167*BF168,0))</f>
        <v>0</v>
      </c>
      <c r="BG169" s="110">
        <f>IF(OR(AZ7="Paid - Loss &amp; DCCE",AZ7="Incurred - Loss &amp; DCCE"),"N/A",IFERROR(BG167*BG168,0))</f>
        <v>0</v>
      </c>
      <c r="BH169" s="110">
        <f>IF(OR(AZ7="Paid - Loss &amp; DCCE",AZ7="Incurred - Loss &amp; DCCE"),"N/A",IFERROR(BH167*BH168,0))</f>
        <v>0</v>
      </c>
      <c r="BI169" s="95" t="s">
        <v>42</v>
      </c>
      <c r="BJ169" s="105"/>
      <c r="BK169" s="110">
        <f>IF(OR(BL7="Paid - Loss &amp; DCCE",BL7="Incurred - Loss &amp; DCCE"),"N/A",IFERROR(BK167*BK168,0))</f>
        <v>0</v>
      </c>
      <c r="BL169" s="110">
        <f>IF(OR(BL7="Paid - Loss &amp; DCCE",BL7="Incurred - Loss &amp; DCCE"),"N/A",IFERROR(BL167*BL168,0))</f>
        <v>0</v>
      </c>
      <c r="BM169" s="110">
        <f>IF(OR(BL7="Paid - Loss &amp; DCCE",BL7="Incurred - Loss &amp; DCCE"),"N/A",IFERROR(BM167*BM168,0))</f>
        <v>0</v>
      </c>
      <c r="BN169" s="110">
        <f>IF(OR(BL7="Paid - Loss &amp; DCCE",BL7="Incurred - Loss &amp; DCCE"),"N/A",IFERROR(BN167*BN168,0))</f>
        <v>0</v>
      </c>
      <c r="BO169" s="110">
        <f>IF(OR(BL7="Paid - Loss &amp; DCCE",BL7="Incurred - Loss &amp; DCCE"),"N/A",IFERROR(BO167*BO168,0))</f>
        <v>0</v>
      </c>
      <c r="BP169" s="110">
        <f>IF(OR(BL7="Paid - Loss &amp; DCCE",BL7="Incurred - Loss &amp; DCCE"),"N/A",IFERROR(BP167*BP168,0))</f>
        <v>0</v>
      </c>
      <c r="BQ169" s="110">
        <f>IF(OR(BL7="Paid - Loss &amp; DCCE",BL7="Incurred - Loss &amp; DCCE"),"N/A",IFERROR(BQ167*BQ168,0))</f>
        <v>0</v>
      </c>
      <c r="BR169" s="110">
        <f>IF(OR(BL7="Paid - Loss &amp; DCCE",BL7="Incurred - Loss &amp; DCCE"),"N/A",IFERROR(BR167*BR168,0))</f>
        <v>0</v>
      </c>
      <c r="BS169" s="110">
        <f>IF(OR(BL7="Paid - Loss &amp; DCCE",BL7="Incurred - Loss &amp; DCCE"),"N/A",IFERROR(BS167*BS168,0))</f>
        <v>0</v>
      </c>
      <c r="BT169" s="110">
        <f>IF(OR(BL7="Paid - Loss &amp; DCCE",BL7="Incurred - Loss &amp; DCCE"),"N/A",IFERROR(BT167*BT168,0))</f>
        <v>0</v>
      </c>
      <c r="BU169" s="95" t="s">
        <v>42</v>
      </c>
      <c r="BV169" s="105"/>
      <c r="BW169" s="110">
        <f>IF(OR(BX7="Paid - Loss &amp; DCCE",BX7="Incurred - Loss &amp; DCCE"),"N/A",IFERROR(BW167*BW168,0))</f>
        <v>0</v>
      </c>
      <c r="BX169" s="110">
        <f>IF(OR(BX7="Paid - Loss &amp; DCCE",BX7="Incurred - Loss &amp; DCCE"),"N/A",IFERROR(BX167*BX168,0))</f>
        <v>0</v>
      </c>
      <c r="BY169" s="110">
        <f>IF(OR(BX7="Paid - Loss &amp; DCCE",BX7="Incurred - Loss &amp; DCCE"),"N/A",IFERROR(BY167*BY168,0))</f>
        <v>0</v>
      </c>
      <c r="BZ169" s="110">
        <f>IF(OR(BX7="Paid - Loss &amp; DCCE",BX7="Incurred - Loss &amp; DCCE"),"N/A",IFERROR(BZ167*BZ168,0))</f>
        <v>0</v>
      </c>
      <c r="CA169" s="110">
        <f>IF(OR(BX7="Paid - Loss &amp; DCCE",BX7="Incurred - Loss &amp; DCCE"),"N/A",IFERROR(CA167*CA168,0))</f>
        <v>0</v>
      </c>
      <c r="CB169" s="110">
        <f>IF(OR(BX7="Paid - Loss &amp; DCCE",BX7="Incurred - Loss &amp; DCCE"),"N/A",IFERROR(CB167*CB168,0))</f>
        <v>0</v>
      </c>
      <c r="CC169" s="110">
        <f>IF(OR(BX7="Paid - Loss &amp; DCCE",BX7="Incurred - Loss &amp; DCCE"),"N/A",IFERROR(CC167*CC168,0))</f>
        <v>0</v>
      </c>
      <c r="CD169" s="110">
        <f>IF(OR(BX7="Paid - Loss &amp; DCCE",BX7="Incurred - Loss &amp; DCCE"),"N/A",IFERROR(CD167*CD168,0))</f>
        <v>0</v>
      </c>
      <c r="CE169" s="110">
        <f>IF(OR(BX7="Paid - Loss &amp; DCCE",BX7="Incurred - Loss &amp; DCCE"),"N/A",IFERROR(CE167*CE168,0))</f>
        <v>0</v>
      </c>
      <c r="CF169" s="110">
        <f>IF(OR(BX7="Paid - Loss &amp; DCCE",BX7="Incurred - Loss &amp; DCCE"),"N/A",IFERROR(CF167*CF168,0))</f>
        <v>0</v>
      </c>
      <c r="CG169" s="95" t="s">
        <v>42</v>
      </c>
      <c r="CH169" s="105"/>
      <c r="CI169" s="110">
        <f>IF(OR(CJ7="Paid - Loss &amp; DCCE",CJ7="Incurred - Loss &amp; DCCE"),"N/A",IFERROR(CI167*CI168,0))</f>
        <v>0</v>
      </c>
      <c r="CJ169" s="110">
        <f>IF(OR(CJ7="Paid - Loss &amp; DCCE",CJ7="Incurred - Loss &amp; DCCE"),"N/A",IFERROR(CJ167*CJ168,0))</f>
        <v>0</v>
      </c>
      <c r="CK169" s="110">
        <f>IF(OR(CJ7="Paid - Loss &amp; DCCE",CJ7="Incurred - Loss &amp; DCCE"),"N/A",IFERROR(CK167*CK168,0))</f>
        <v>0</v>
      </c>
      <c r="CL169" s="110">
        <f>IF(OR(CJ7="Paid - Loss &amp; DCCE",CJ7="Incurred - Loss &amp; DCCE"),"N/A",IFERROR(CL167*CL168,0))</f>
        <v>0</v>
      </c>
      <c r="CM169" s="110">
        <f>IF(OR(CJ7="Paid - Loss &amp; DCCE",CJ7="Incurred - Loss &amp; DCCE"),"N/A",IFERROR(CM167*CM168,0))</f>
        <v>0</v>
      </c>
      <c r="CN169" s="110">
        <f>IF(OR(CJ7="Paid - Loss &amp; DCCE",CJ7="Incurred - Loss &amp; DCCE"),"N/A",IFERROR(CN167*CN168,0))</f>
        <v>0</v>
      </c>
      <c r="CO169" s="110">
        <f>IF(OR(CJ7="Paid - Loss &amp; DCCE",CJ7="Incurred - Loss &amp; DCCE"),"N/A",IFERROR(CO167*CO168,0))</f>
        <v>0</v>
      </c>
      <c r="CP169" s="110">
        <f>IF(OR(CJ7="Paid - Loss &amp; DCCE",CJ7="Incurred - Loss &amp; DCCE"),"N/A",IFERROR(CP167*CP168,0))</f>
        <v>0</v>
      </c>
      <c r="CQ169" s="110">
        <f>IF(OR(CJ7="Paid - Loss &amp; DCCE",CJ7="Incurred - Loss &amp; DCCE"),"N/A",IFERROR(CQ167*CQ168,0))</f>
        <v>0</v>
      </c>
      <c r="CR169" s="110">
        <f>IF(OR(CJ7="Paid - Loss &amp; DCCE",CJ7="Incurred - Loss &amp; DCCE"),"N/A",IFERROR(CR167*CR168,0))</f>
        <v>0</v>
      </c>
      <c r="CS169" s="95" t="s">
        <v>42</v>
      </c>
      <c r="CT169" s="105"/>
      <c r="CU169" s="110">
        <f>IF(OR(CV7="Paid - Loss &amp; DCCE",CV7="Incurred - Loss &amp; DCCE"),"N/A",IFERROR(CU167*CU168,0))</f>
        <v>0</v>
      </c>
      <c r="CV169" s="110">
        <f>IF(OR(CV7="Paid - Loss &amp; DCCE",CV7="Incurred - Loss &amp; DCCE"),"N/A",IFERROR(CV167*CV168,0))</f>
        <v>0</v>
      </c>
      <c r="CW169" s="110">
        <f>IF(OR(CV7="Paid - Loss &amp; DCCE",CV7="Incurred - Loss &amp; DCCE"),"N/A",IFERROR(CW167*CW168,0))</f>
        <v>0</v>
      </c>
      <c r="CX169" s="110">
        <f>IF(OR(CV7="Paid - Loss &amp; DCCE",CV7="Incurred - Loss &amp; DCCE"),"N/A",IFERROR(CX167*CX168,0))</f>
        <v>0</v>
      </c>
      <c r="CY169" s="110">
        <f>IF(OR(CV7="Paid - Loss &amp; DCCE",CV7="Incurred - Loss &amp; DCCE"),"N/A",IFERROR(CY167*CY168,0))</f>
        <v>0</v>
      </c>
      <c r="CZ169" s="110">
        <f>IF(OR(CV7="Paid - Loss &amp; DCCE",CV7="Incurred - Loss &amp; DCCE"),"N/A",IFERROR(CZ167*CZ168,0))</f>
        <v>0</v>
      </c>
      <c r="DA169" s="110">
        <f>IF(OR(CV7="Paid - Loss &amp; DCCE",CV7="Incurred - Loss &amp; DCCE"),"N/A",IFERROR(DA167*DA168,0))</f>
        <v>0</v>
      </c>
      <c r="DB169" s="110">
        <f>IF(OR(CV7="Paid - Loss &amp; DCCE",CV7="Incurred - Loss &amp; DCCE"),"N/A",IFERROR(DB167*DB168,0))</f>
        <v>0</v>
      </c>
      <c r="DC169" s="110">
        <f>IF(OR(CV7="Paid - Loss &amp; DCCE",CV7="Incurred - Loss &amp; DCCE"),"N/A",IFERROR(DC167*DC168,0))</f>
        <v>0</v>
      </c>
      <c r="DD169" s="110">
        <f>IF(OR(CV7="Paid - Loss &amp; DCCE",CV7="Incurred - Loss &amp; DCCE"),"N/A",IFERROR(DD167*DD168,0))</f>
        <v>0</v>
      </c>
      <c r="DE169" s="95" t="s">
        <v>42</v>
      </c>
      <c r="DF169" s="105"/>
      <c r="DG169" s="110">
        <f>IF(OR(DH7="Paid - Loss &amp; DCCE",DH7="Incurred - Loss &amp; DCCE"),"N/A",IFERROR(DG167*DG168,0))</f>
        <v>0</v>
      </c>
      <c r="DH169" s="110">
        <f>IF(OR(DH7="Paid - Loss &amp; DCCE",DH7="Incurred - Loss &amp; DCCE"),"N/A",IFERROR(DH167*DH168,0))</f>
        <v>0</v>
      </c>
      <c r="DI169" s="110">
        <f>IF(OR(DH7="Paid - Loss &amp; DCCE",DH7="Incurred - Loss &amp; DCCE"),"N/A",IFERROR(DI167*DI168,0))</f>
        <v>0</v>
      </c>
      <c r="DJ169" s="110">
        <f>IF(OR(DH7="Paid - Loss &amp; DCCE",DH7="Incurred - Loss &amp; DCCE"),"N/A",IFERROR(DJ167*DJ168,0))</f>
        <v>0</v>
      </c>
      <c r="DK169" s="110">
        <f>IF(OR(DH7="Paid - Loss &amp; DCCE",DH7="Incurred - Loss &amp; DCCE"),"N/A",IFERROR(DK167*DK168,0))</f>
        <v>0</v>
      </c>
      <c r="DL169" s="110">
        <f>IF(OR(DH7="Paid - Loss &amp; DCCE",DH7="Incurred - Loss &amp; DCCE"),"N/A",IFERROR(DL167*DL168,0))</f>
        <v>0</v>
      </c>
      <c r="DM169" s="110">
        <f>IF(OR(DH7="Paid - Loss &amp; DCCE",DH7="Incurred - Loss &amp; DCCE"),"N/A",IFERROR(DM167*DM168,0))</f>
        <v>0</v>
      </c>
      <c r="DN169" s="110">
        <f>IF(OR(DH7="Paid - Loss &amp; DCCE",DH7="Incurred - Loss &amp; DCCE"),"N/A",IFERROR(DN167*DN168,0))</f>
        <v>0</v>
      </c>
      <c r="DO169" s="110">
        <f>IF(OR(DH7="Paid - Loss &amp; DCCE",DH7="Incurred - Loss &amp; DCCE"),"N/A",IFERROR(DO167*DO168,0))</f>
        <v>0</v>
      </c>
      <c r="DP169" s="110">
        <f>IF(OR(DH7="Paid - Loss &amp; DCCE",DH7="Incurred - Loss &amp; DCCE"),"N/A",IFERROR(DP167*DP168,0))</f>
        <v>0</v>
      </c>
    </row>
    <row r="170" spans="1:120" ht="15.75" thickBot="1" x14ac:dyDescent="0.3">
      <c r="A170" s="111" t="s">
        <v>43</v>
      </c>
      <c r="B170" s="112"/>
      <c r="C170" s="113">
        <f>IF(OR(D7="Paid - Loss &amp; DCCE",D7="Incurred - Loss &amp; DCCE"),"N/A",IFERROR(C169/C115,1))</f>
        <v>11.830415081601089</v>
      </c>
      <c r="D170" s="113">
        <f>IF(OR(D7="Paid - Loss &amp; DCCE",D7="Incurred - Loss &amp; DCCE"),"N/A",IFERROR(D169/D114,1))</f>
        <v>4.1275750594364284</v>
      </c>
      <c r="E170" s="113">
        <f>IF(OR(D7="Paid - Loss &amp; DCCE",D7="Incurred - Loss &amp; DCCE"),"N/A",IFERROR(E169/E113,1))</f>
        <v>2.1485015220606951</v>
      </c>
      <c r="F170" s="113">
        <f>IF(OR(D7="Paid - Loss &amp; DCCE",D7="Incurred - Loss &amp; DCCE"),"N/A",IFERROR(F169/F112,1))</f>
        <v>1.5130079953880662</v>
      </c>
      <c r="G170" s="113">
        <f>IF(OR(D7="Paid - Loss &amp; DCCE",D7="Incurred - Loss &amp; DCCE"),"N/A",IFERROR(G169/G111,1))</f>
        <v>1.2951583934488771</v>
      </c>
      <c r="H170" s="113">
        <f>IF(OR(D7="Paid - Loss &amp; DCCE",D7="Incurred - Loss &amp; DCCE"),"N/A",IFERROR(H169/H110,1))</f>
        <v>1.1810920355071339</v>
      </c>
      <c r="I170" s="113">
        <f>IF(OR(D7="Paid - Loss &amp; DCCE",D7="Incurred - Loss &amp; DCCE"),"N/A",IFERROR(I169/I109,1))</f>
        <v>1.1138381911553483</v>
      </c>
      <c r="J170" s="113">
        <f>IF(OR(D7="Paid - Loss &amp; DCCE",D7="Incurred - Loss &amp; DCCE"),"N/A",IFERROR(J169/J108,1))</f>
        <v>1.069079218282265</v>
      </c>
      <c r="K170" s="113">
        <f>IF(OR(D7="Paid - Loss &amp; DCCE",D7="Incurred - Loss &amp; DCCE"),"N/A",IFERROR(K169/K107,1))</f>
        <v>1.0331814893567286</v>
      </c>
      <c r="L170" s="113">
        <f>IF(OR(D7="Paid - Loss &amp; DCCE",D7="Incurred - Loss &amp; DCCE"),"N/A",IFERROR(L169/L106,1))</f>
        <v>1.0004307275340363</v>
      </c>
      <c r="M170" s="111" t="s">
        <v>43</v>
      </c>
      <c r="N170" s="112"/>
      <c r="O170" s="113">
        <f>IF(OR(P7="Paid - Loss &amp; DCCE",P7="Incurred - Loss &amp; DCCE"),"N/A",IFERROR(O169/O115,1))</f>
        <v>1</v>
      </c>
      <c r="P170" s="113">
        <f>IF(OR(P7="Paid - Loss &amp; DCCE",P7="Incurred - Loss &amp; DCCE"),"N/A",IFERROR(P169/P114,1))</f>
        <v>1</v>
      </c>
      <c r="Q170" s="113">
        <f>IF(OR(P7="Paid - Loss &amp; DCCE",P7="Incurred - Loss &amp; DCCE"),"N/A",IFERROR(Q169/Q113,1))</f>
        <v>1</v>
      </c>
      <c r="R170" s="113">
        <f>IF(OR(P7="Paid - Loss &amp; DCCE",P7="Incurred - Loss &amp; DCCE"),"N/A",IFERROR(R169/R112,1))</f>
        <v>1</v>
      </c>
      <c r="S170" s="113">
        <f>IF(OR(P7="Paid - Loss &amp; DCCE",P7="Incurred - Loss &amp; DCCE"),"N/A",IFERROR(S169/S111,1))</f>
        <v>1</v>
      </c>
      <c r="T170" s="113">
        <f>IF(OR(P7="Paid - Loss &amp; DCCE",P7="Incurred - Loss &amp; DCCE"),"N/A",IFERROR(T169/T110,1))</f>
        <v>1</v>
      </c>
      <c r="U170" s="113">
        <f>IF(OR(P7="Paid - Loss &amp; DCCE",P7="Incurred - Loss &amp; DCCE"),"N/A",IFERROR(U169/U109,1))</f>
        <v>1</v>
      </c>
      <c r="V170" s="113">
        <f>IF(OR(P7="Paid - Loss &amp; DCCE",P7="Incurred - Loss &amp; DCCE"),"N/A",IFERROR(V169/V108,1))</f>
        <v>1</v>
      </c>
      <c r="W170" s="113">
        <f>IF(OR(P7="Paid - Loss &amp; DCCE",P7="Incurred - Loss &amp; DCCE"),"N/A",IFERROR(W169/W107,1))</f>
        <v>1</v>
      </c>
      <c r="X170" s="113">
        <f>IF(OR(P7="Paid - Loss &amp; DCCE",P7="Incurred - Loss &amp; DCCE"),"N/A",IFERROR(X169/X106,1))</f>
        <v>1</v>
      </c>
      <c r="Y170" s="111" t="s">
        <v>43</v>
      </c>
      <c r="Z170" s="112"/>
      <c r="AA170" s="113">
        <f>IF(OR(AB7="Paid - Loss &amp; DCCE",AB7="Incurred - Loss &amp; DCCE"),"N/A",IFERROR(AA169/AA115,1))</f>
        <v>1</v>
      </c>
      <c r="AB170" s="113">
        <f>IF(OR(AB7="Paid - Loss &amp; DCCE",AB7="Incurred - Loss &amp; DCCE"),"N/A",IFERROR(AB169/AB114,1))</f>
        <v>1</v>
      </c>
      <c r="AC170" s="113">
        <f>IF(OR(AB7="Paid - Loss &amp; DCCE",AB7="Incurred - Loss &amp; DCCE"),"N/A",IFERROR(AC169/AC113,1))</f>
        <v>1</v>
      </c>
      <c r="AD170" s="113">
        <f>IF(OR(AB7="Paid - Loss &amp; DCCE",AB7="Incurred - Loss &amp; DCCE"),"N/A",IFERROR(AD169/AD112,1))</f>
        <v>1</v>
      </c>
      <c r="AE170" s="113">
        <f>IF(OR(AB7="Paid - Loss &amp; DCCE",AB7="Incurred - Loss &amp; DCCE"),"N/A",IFERROR(AE169/AE111,1))</f>
        <v>1</v>
      </c>
      <c r="AF170" s="113">
        <f>IF(OR(AB7="Paid - Loss &amp; DCCE",AB7="Incurred - Loss &amp; DCCE"),"N/A",IFERROR(AF169/AF110,1))</f>
        <v>1</v>
      </c>
      <c r="AG170" s="113">
        <f>IF(OR(AB7="Paid - Loss &amp; DCCE",AB7="Incurred - Loss &amp; DCCE"),"N/A",IFERROR(AG169/AG109,1))</f>
        <v>1</v>
      </c>
      <c r="AH170" s="113">
        <f>IF(OR(AB7="Paid - Loss &amp; DCCE",AB7="Incurred - Loss &amp; DCCE"),"N/A",IFERROR(AH169/AH108,1))</f>
        <v>1</v>
      </c>
      <c r="AI170" s="113">
        <f>IF(OR(AB7="Paid - Loss &amp; DCCE",AB7="Incurred - Loss &amp; DCCE"),"N/A",IFERROR(AI169/AI107,1))</f>
        <v>1</v>
      </c>
      <c r="AJ170" s="113">
        <f>IF(OR(AB7="Paid - Loss &amp; DCCE",AB7="Incurred - Loss &amp; DCCE"),"N/A",IFERROR(AJ169/AJ106,1))</f>
        <v>1</v>
      </c>
      <c r="AK170" s="111" t="s">
        <v>43</v>
      </c>
      <c r="AL170" s="112"/>
      <c r="AM170" s="113">
        <f>IF(OR(AN7="Paid - Loss &amp; DCCE",AN7="Incurred - Loss &amp; DCCE"),"N/A",IFERROR(AM169/AM115,1))</f>
        <v>1</v>
      </c>
      <c r="AN170" s="113">
        <f>IF(OR(AN7="Paid - Loss &amp; DCCE",AN7="Incurred - Loss &amp; DCCE"),"N/A",IFERROR(AN169/AN114,1))</f>
        <v>1</v>
      </c>
      <c r="AO170" s="113">
        <f>IF(OR(AN7="Paid - Loss &amp; DCCE",AN7="Incurred - Loss &amp; DCCE"),"N/A",IFERROR(AO169/AO113,1))</f>
        <v>1</v>
      </c>
      <c r="AP170" s="113">
        <f>IF(OR(AN7="Paid - Loss &amp; DCCE",AN7="Incurred - Loss &amp; DCCE"),"N/A",IFERROR(AP169/AP112,1))</f>
        <v>1</v>
      </c>
      <c r="AQ170" s="113">
        <f>IF(OR(AN7="Paid - Loss &amp; DCCE",AN7="Incurred - Loss &amp; DCCE"),"N/A",IFERROR(AQ169/AQ111,1))</f>
        <v>1</v>
      </c>
      <c r="AR170" s="113">
        <f>IF(OR(AN7="Paid - Loss &amp; DCCE",AN7="Incurred - Loss &amp; DCCE"),"N/A",IFERROR(AR169/AR110,1))</f>
        <v>1</v>
      </c>
      <c r="AS170" s="113">
        <f>IF(OR(AN7="Paid - Loss &amp; DCCE",AN7="Incurred - Loss &amp; DCCE"),"N/A",IFERROR(AS169/AS109,1))</f>
        <v>1</v>
      </c>
      <c r="AT170" s="113">
        <f>IF(OR(AN7="Paid - Loss &amp; DCCE",AN7="Incurred - Loss &amp; DCCE"),"N/A",IFERROR(AT169/AT108,1))</f>
        <v>1</v>
      </c>
      <c r="AU170" s="113">
        <f>IF(OR(AN7="Paid - Loss &amp; DCCE",AN7="Incurred - Loss &amp; DCCE"),"N/A",IFERROR(AU169/AU107,1))</f>
        <v>1</v>
      </c>
      <c r="AV170" s="113">
        <f>IF(OR(AN7="Paid - Loss &amp; DCCE",AN7="Incurred - Loss &amp; DCCE"),"N/A",IFERROR(AV169/AV106,1))</f>
        <v>1</v>
      </c>
      <c r="AW170" s="111" t="s">
        <v>43</v>
      </c>
      <c r="AX170" s="112"/>
      <c r="AY170" s="113">
        <f>IF(OR(AZ7="Paid - Loss &amp; DCCE",AZ7="Incurred - Loss &amp; DCCE"),"N/A",IFERROR(AY169/AY115,1))</f>
        <v>1</v>
      </c>
      <c r="AZ170" s="113">
        <f>IF(OR(AZ7="Paid - Loss &amp; DCCE",AZ7="Incurred - Loss &amp; DCCE"),"N/A",IFERROR(AZ169/AZ114,1))</f>
        <v>1</v>
      </c>
      <c r="BA170" s="113">
        <f>IF(OR(AZ7="Paid - Loss &amp; DCCE",AZ7="Incurred - Loss &amp; DCCE"),"N/A",IFERROR(BA169/BA113,1))</f>
        <v>1</v>
      </c>
      <c r="BB170" s="113">
        <f>IF(OR(AZ7="Paid - Loss &amp; DCCE",AZ7="Incurred - Loss &amp; DCCE"),"N/A",IFERROR(BB169/BB112,1))</f>
        <v>1</v>
      </c>
      <c r="BC170" s="113">
        <f>IF(OR(AZ7="Paid - Loss &amp; DCCE",AZ7="Incurred - Loss &amp; DCCE"),"N/A",IFERROR(BC169/BC111,1))</f>
        <v>1</v>
      </c>
      <c r="BD170" s="113">
        <f>IF(OR(AZ7="Paid - Loss &amp; DCCE",AZ7="Incurred - Loss &amp; DCCE"),"N/A",IFERROR(BD169/BD110,1))</f>
        <v>1</v>
      </c>
      <c r="BE170" s="113">
        <f>IF(OR(AZ7="Paid - Loss &amp; DCCE",AZ7="Incurred - Loss &amp; DCCE"),"N/A",IFERROR(BE169/BE109,1))</f>
        <v>1</v>
      </c>
      <c r="BF170" s="113">
        <f>IF(OR(AZ7="Paid - Loss &amp; DCCE",AZ7="Incurred - Loss &amp; DCCE"),"N/A",IFERROR(BF169/BF108,1))</f>
        <v>1</v>
      </c>
      <c r="BG170" s="113">
        <f>IF(OR(AZ7="Paid - Loss &amp; DCCE",AZ7="Incurred - Loss &amp; DCCE"),"N/A",IFERROR(BG169/BG107,1))</f>
        <v>1</v>
      </c>
      <c r="BH170" s="113">
        <f>IF(OR(AZ7="Paid - Loss &amp; DCCE",AZ7="Incurred - Loss &amp; DCCE"),"N/A",IFERROR(BH169/BH106,1))</f>
        <v>1</v>
      </c>
      <c r="BI170" s="111" t="s">
        <v>43</v>
      </c>
      <c r="BJ170" s="112"/>
      <c r="BK170" s="113">
        <f>IF(OR(BL7="Paid - Loss &amp; DCCE",BL7="Incurred - Loss &amp; DCCE"),"N/A",IFERROR(BK169/BK115,1))</f>
        <v>1</v>
      </c>
      <c r="BL170" s="113">
        <f>IF(OR(BL7="Paid - Loss &amp; DCCE",BL7="Incurred - Loss &amp; DCCE"),"N/A",IFERROR(BL169/BL114,1))</f>
        <v>1</v>
      </c>
      <c r="BM170" s="113">
        <f>IF(OR(BL7="Paid - Loss &amp; DCCE",BL7="Incurred - Loss &amp; DCCE"),"N/A",IFERROR(BM169/BM113,1))</f>
        <v>1</v>
      </c>
      <c r="BN170" s="113">
        <f>IF(OR(BL7="Paid - Loss &amp; DCCE",BL7="Incurred - Loss &amp; DCCE"),"N/A",IFERROR(BN169/BN112,1))</f>
        <v>1</v>
      </c>
      <c r="BO170" s="113">
        <f>IF(OR(BL7="Paid - Loss &amp; DCCE",BL7="Incurred - Loss &amp; DCCE"),"N/A",IFERROR(BO169/BO111,1))</f>
        <v>1</v>
      </c>
      <c r="BP170" s="113">
        <f>IF(OR(BL7="Paid - Loss &amp; DCCE",BL7="Incurred - Loss &amp; DCCE"),"N/A",IFERROR(BP169/BP110,1))</f>
        <v>1</v>
      </c>
      <c r="BQ170" s="113">
        <f>IF(OR(BL7="Paid - Loss &amp; DCCE",BL7="Incurred - Loss &amp; DCCE"),"N/A",IFERROR(BQ169/BQ109,1))</f>
        <v>1</v>
      </c>
      <c r="BR170" s="113">
        <f>IF(OR(BL7="Paid - Loss &amp; DCCE",BL7="Incurred - Loss &amp; DCCE"),"N/A",IFERROR(BR169/BR108,1))</f>
        <v>1</v>
      </c>
      <c r="BS170" s="113">
        <f>IF(OR(BL7="Paid - Loss &amp; DCCE",BL7="Incurred - Loss &amp; DCCE"),"N/A",IFERROR(BS169/BS107,1))</f>
        <v>1</v>
      </c>
      <c r="BT170" s="113">
        <f>IF(OR(BL7="Paid - Loss &amp; DCCE",BL7="Incurred - Loss &amp; DCCE"),"N/A",IFERROR(BT169/BT106,1))</f>
        <v>1</v>
      </c>
      <c r="BU170" s="111" t="s">
        <v>43</v>
      </c>
      <c r="BV170" s="112"/>
      <c r="BW170" s="113">
        <f>IF(OR(BX7="Paid - Loss &amp; DCCE",BX7="Incurred - Loss &amp; DCCE"),"N/A",IFERROR(BW169/BW115,1))</f>
        <v>1</v>
      </c>
      <c r="BX170" s="113">
        <f>IF(OR(BX7="Paid - Loss &amp; DCCE",BX7="Incurred - Loss &amp; DCCE"),"N/A",IFERROR(BX169/BX114,1))</f>
        <v>1</v>
      </c>
      <c r="BY170" s="113">
        <f>IF(OR(BX7="Paid - Loss &amp; DCCE",BX7="Incurred - Loss &amp; DCCE"),"N/A",IFERROR(BY169/BY113,1))</f>
        <v>1</v>
      </c>
      <c r="BZ170" s="113">
        <f>IF(OR(BX7="Paid - Loss &amp; DCCE",BX7="Incurred - Loss &amp; DCCE"),"N/A",IFERROR(BZ169/BZ112,1))</f>
        <v>1</v>
      </c>
      <c r="CA170" s="113">
        <f>IF(OR(BX7="Paid - Loss &amp; DCCE",BX7="Incurred - Loss &amp; DCCE"),"N/A",IFERROR(CA169/CA111,1))</f>
        <v>1</v>
      </c>
      <c r="CB170" s="113">
        <f>IF(OR(BX7="Paid - Loss &amp; DCCE",BX7="Incurred - Loss &amp; DCCE"),"N/A",IFERROR(CB169/CB110,1))</f>
        <v>1</v>
      </c>
      <c r="CC170" s="113">
        <f>IF(OR(BX7="Paid - Loss &amp; DCCE",BX7="Incurred - Loss &amp; DCCE"),"N/A",IFERROR(CC169/CC109,1))</f>
        <v>1</v>
      </c>
      <c r="CD170" s="113">
        <f>IF(OR(BX7="Paid - Loss &amp; DCCE",BX7="Incurred - Loss &amp; DCCE"),"N/A",IFERROR(CD169/CD108,1))</f>
        <v>1</v>
      </c>
      <c r="CE170" s="113">
        <f>IF(OR(BX7="Paid - Loss &amp; DCCE",BX7="Incurred - Loss &amp; DCCE"),"N/A",IFERROR(CE169/CE107,1))</f>
        <v>1</v>
      </c>
      <c r="CF170" s="113">
        <f>IF(OR(BX7="Paid - Loss &amp; DCCE",BX7="Incurred - Loss &amp; DCCE"),"N/A",IFERROR(CF169/CF106,1))</f>
        <v>1</v>
      </c>
      <c r="CG170" s="111" t="s">
        <v>43</v>
      </c>
      <c r="CH170" s="112"/>
      <c r="CI170" s="113">
        <f>IF(OR(CJ7="Paid - Loss &amp; DCCE",CJ7="Incurred - Loss &amp; DCCE"),"N/A",IFERROR(CI169/CI115,1))</f>
        <v>1</v>
      </c>
      <c r="CJ170" s="113">
        <f>IF(OR(CJ7="Paid - Loss &amp; DCCE",CJ7="Incurred - Loss &amp; DCCE"),"N/A",IFERROR(CJ169/CJ114,1))</f>
        <v>1</v>
      </c>
      <c r="CK170" s="113">
        <f>IF(OR(CJ7="Paid - Loss &amp; DCCE",CJ7="Incurred - Loss &amp; DCCE"),"N/A",IFERROR(CK169/CK113,1))</f>
        <v>1</v>
      </c>
      <c r="CL170" s="113">
        <f>IF(OR(CJ7="Paid - Loss &amp; DCCE",CJ7="Incurred - Loss &amp; DCCE"),"N/A",IFERROR(CL169/CL112,1))</f>
        <v>1</v>
      </c>
      <c r="CM170" s="113">
        <f>IF(OR(CJ7="Paid - Loss &amp; DCCE",CJ7="Incurred - Loss &amp; DCCE"),"N/A",IFERROR(CM169/CM111,1))</f>
        <v>1</v>
      </c>
      <c r="CN170" s="113">
        <f>IF(OR(CJ7="Paid - Loss &amp; DCCE",CJ7="Incurred - Loss &amp; DCCE"),"N/A",IFERROR(CN169/CN110,1))</f>
        <v>1</v>
      </c>
      <c r="CO170" s="113">
        <f>IF(OR(CJ7="Paid - Loss &amp; DCCE",CJ7="Incurred - Loss &amp; DCCE"),"N/A",IFERROR(CO169/CO109,1))</f>
        <v>1</v>
      </c>
      <c r="CP170" s="113">
        <f>IF(OR(CJ7="Paid - Loss &amp; DCCE",CJ7="Incurred - Loss &amp; DCCE"),"N/A",IFERROR(CP169/CP108,1))</f>
        <v>1</v>
      </c>
      <c r="CQ170" s="113">
        <f>IF(OR(CJ7="Paid - Loss &amp; DCCE",CJ7="Incurred - Loss &amp; DCCE"),"N/A",IFERROR(CQ169/CQ107,1))</f>
        <v>1</v>
      </c>
      <c r="CR170" s="113">
        <f>IF(OR(CJ7="Paid - Loss &amp; DCCE",CJ7="Incurred - Loss &amp; DCCE"),"N/A",IFERROR(CR169/CR106,1))</f>
        <v>1</v>
      </c>
      <c r="CS170" s="111" t="s">
        <v>43</v>
      </c>
      <c r="CT170" s="112"/>
      <c r="CU170" s="113">
        <f>IF(OR(CV7="Paid - Loss &amp; DCCE",CV7="Incurred - Loss &amp; DCCE"),"N/A",IFERROR(CU169/CU115,1))</f>
        <v>1</v>
      </c>
      <c r="CV170" s="113">
        <f>IF(OR(CV7="Paid - Loss &amp; DCCE",CV7="Incurred - Loss &amp; DCCE"),"N/A",IFERROR(CV169/CV114,1))</f>
        <v>1</v>
      </c>
      <c r="CW170" s="113">
        <f>IF(OR(CV7="Paid - Loss &amp; DCCE",CV7="Incurred - Loss &amp; DCCE"),"N/A",IFERROR(CW169/CW113,1))</f>
        <v>1</v>
      </c>
      <c r="CX170" s="113">
        <f>IF(OR(CV7="Paid - Loss &amp; DCCE",CV7="Incurred - Loss &amp; DCCE"),"N/A",IFERROR(CX169/CX112,1))</f>
        <v>1</v>
      </c>
      <c r="CY170" s="113">
        <f>IF(OR(CV7="Paid - Loss &amp; DCCE",CV7="Incurred - Loss &amp; DCCE"),"N/A",IFERROR(CY169/CY111,1))</f>
        <v>1</v>
      </c>
      <c r="CZ170" s="113">
        <f>IF(OR(CV7="Paid - Loss &amp; DCCE",CV7="Incurred - Loss &amp; DCCE"),"N/A",IFERROR(CZ169/CZ110,1))</f>
        <v>1</v>
      </c>
      <c r="DA170" s="113">
        <f>IF(OR(CV7="Paid - Loss &amp; DCCE",CV7="Incurred - Loss &amp; DCCE"),"N/A",IFERROR(DA169/DA109,1))</f>
        <v>1</v>
      </c>
      <c r="DB170" s="113">
        <f>IF(OR(CV7="Paid - Loss &amp; DCCE",CV7="Incurred - Loss &amp; DCCE"),"N/A",IFERROR(DB169/DB108,1))</f>
        <v>1</v>
      </c>
      <c r="DC170" s="113">
        <f>IF(OR(CV7="Paid - Loss &amp; DCCE",CV7="Incurred - Loss &amp; DCCE"),"N/A",IFERROR(DC169/DC107,1))</f>
        <v>1</v>
      </c>
      <c r="DD170" s="113">
        <f>IF(OR(CV7="Paid - Loss &amp; DCCE",CV7="Incurred - Loss &amp; DCCE"),"N/A",IFERROR(DD169/DD106,1))</f>
        <v>1</v>
      </c>
      <c r="DE170" s="111" t="s">
        <v>43</v>
      </c>
      <c r="DF170" s="112"/>
      <c r="DG170" s="113">
        <f>IF(OR(DH7="Paid - Loss &amp; DCCE",DH7="Incurred - Loss &amp; DCCE"),"N/A",IFERROR(DG169/DG115,1))</f>
        <v>1</v>
      </c>
      <c r="DH170" s="113">
        <f>IF(OR(DH7="Paid - Loss &amp; DCCE",DH7="Incurred - Loss &amp; DCCE"),"N/A",IFERROR(DH169/DH114,1))</f>
        <v>1</v>
      </c>
      <c r="DI170" s="113">
        <f>IF(OR(DH7="Paid - Loss &amp; DCCE",DH7="Incurred - Loss &amp; DCCE"),"N/A",IFERROR(DI169/DI113,1))</f>
        <v>1</v>
      </c>
      <c r="DJ170" s="113">
        <f>IF(OR(DH7="Paid - Loss &amp; DCCE",DH7="Incurred - Loss &amp; DCCE"),"N/A",IFERROR(DJ169/DJ112,1))</f>
        <v>1</v>
      </c>
      <c r="DK170" s="113">
        <f>IF(OR(DH7="Paid - Loss &amp; DCCE",DH7="Incurred - Loss &amp; DCCE"),"N/A",IFERROR(DK169/DK111,1))</f>
        <v>1</v>
      </c>
      <c r="DL170" s="113">
        <f>IF(OR(DH7="Paid - Loss &amp; DCCE",DH7="Incurred - Loss &amp; DCCE"),"N/A",IFERROR(DL169/DL110,1))</f>
        <v>1</v>
      </c>
      <c r="DM170" s="113">
        <f>IF(OR(DH7="Paid - Loss &amp; DCCE",DH7="Incurred - Loss &amp; DCCE"),"N/A",IFERROR(DM169/DM109,1))</f>
        <v>1</v>
      </c>
      <c r="DN170" s="113">
        <f>IF(OR(DH7="Paid - Loss &amp; DCCE",DH7="Incurred - Loss &amp; DCCE"),"N/A",IFERROR(DN169/DN108,1))</f>
        <v>1</v>
      </c>
      <c r="DO170" s="113">
        <f>IF(OR(DH7="Paid - Loss &amp; DCCE",DH7="Incurred - Loss &amp; DCCE"),"N/A",IFERROR(DO169/DO107,1))</f>
        <v>1</v>
      </c>
      <c r="DP170" s="113">
        <f>IF(OR(DH7="Paid - Loss &amp; DCCE",DH7="Incurred - Loss &amp; DCCE"),"N/A",IFERROR(DP169/DP106,1))</f>
        <v>1</v>
      </c>
    </row>
    <row r="171" spans="1:120" ht="21" customHeight="1" x14ac:dyDescent="0.35">
      <c r="A171" s="137" t="str">
        <f>Co_Name</f>
        <v>State Farm General Insurance Company</v>
      </c>
      <c r="B171" s="68"/>
      <c r="C171" s="40"/>
      <c r="D171" s="18"/>
      <c r="E171" s="18"/>
      <c r="F171" s="18"/>
      <c r="G171" s="18"/>
      <c r="H171" s="18"/>
      <c r="I171" s="18"/>
      <c r="J171" s="18"/>
      <c r="K171" s="18"/>
      <c r="L171" s="18"/>
      <c r="M171" s="137" t="str">
        <f>Co_Name</f>
        <v>State Farm General Insurance Company</v>
      </c>
      <c r="N171" s="68"/>
      <c r="O171" s="40"/>
      <c r="P171" s="18"/>
      <c r="Q171" s="18"/>
      <c r="R171" s="18"/>
      <c r="S171" s="18"/>
      <c r="T171" s="18"/>
      <c r="U171" s="18"/>
      <c r="V171" s="18"/>
      <c r="W171" s="18"/>
      <c r="X171" s="18"/>
      <c r="Y171" s="137" t="str">
        <f>Co_Name</f>
        <v>State Farm General Insurance Company</v>
      </c>
      <c r="Z171" s="68"/>
      <c r="AA171" s="40"/>
      <c r="AB171" s="18"/>
      <c r="AC171" s="18"/>
      <c r="AD171" s="18"/>
      <c r="AE171" s="18"/>
      <c r="AF171" s="18"/>
      <c r="AG171" s="18"/>
      <c r="AH171" s="18"/>
      <c r="AI171" s="18"/>
      <c r="AJ171" s="18"/>
      <c r="AK171" s="137" t="str">
        <f>Co_Name</f>
        <v>State Farm General Insurance Company</v>
      </c>
      <c r="AL171" s="68"/>
      <c r="AM171" s="40"/>
      <c r="AN171" s="18"/>
      <c r="AO171" s="18"/>
      <c r="AP171" s="18"/>
      <c r="AQ171" s="18"/>
      <c r="AR171" s="18"/>
      <c r="AS171" s="18"/>
      <c r="AT171" s="18"/>
      <c r="AU171" s="18"/>
      <c r="AV171" s="18"/>
      <c r="AW171" s="137" t="str">
        <f>Co_Name</f>
        <v>State Farm General Insurance Company</v>
      </c>
      <c r="AX171" s="68"/>
      <c r="AY171" s="40"/>
      <c r="AZ171" s="18"/>
      <c r="BA171" s="18"/>
      <c r="BB171" s="18"/>
      <c r="BC171" s="18"/>
      <c r="BD171" s="18"/>
      <c r="BE171" s="18"/>
      <c r="BF171" s="18"/>
      <c r="BG171" s="18"/>
      <c r="BH171" s="18"/>
      <c r="BI171" s="137" t="str">
        <f>Co_Name</f>
        <v>State Farm General Insurance Company</v>
      </c>
      <c r="BJ171" s="68"/>
      <c r="BK171" s="40"/>
      <c r="BL171" s="18"/>
      <c r="BM171" s="18"/>
      <c r="BN171" s="18"/>
      <c r="BO171" s="18"/>
      <c r="BP171" s="18"/>
      <c r="BQ171" s="18"/>
      <c r="BR171" s="18"/>
      <c r="BS171" s="18"/>
      <c r="BT171" s="18"/>
      <c r="BU171" s="137" t="str">
        <f>Co_Name</f>
        <v>State Farm General Insurance Company</v>
      </c>
      <c r="BV171" s="68"/>
      <c r="BW171" s="40"/>
      <c r="BX171" s="18"/>
      <c r="BY171" s="18"/>
      <c r="BZ171" s="18"/>
      <c r="CA171" s="18"/>
      <c r="CB171" s="18"/>
      <c r="CC171" s="18"/>
      <c r="CD171" s="18"/>
      <c r="CE171" s="18"/>
      <c r="CF171" s="18"/>
      <c r="CG171" s="137" t="str">
        <f>Co_Name</f>
        <v>State Farm General Insurance Company</v>
      </c>
      <c r="CH171" s="68"/>
      <c r="CI171" s="40"/>
      <c r="CJ171" s="18"/>
      <c r="CK171" s="18"/>
      <c r="CL171" s="18"/>
      <c r="CM171" s="18"/>
      <c r="CN171" s="18"/>
      <c r="CO171" s="18"/>
      <c r="CP171" s="18"/>
      <c r="CQ171" s="18"/>
      <c r="CR171" s="18"/>
      <c r="CS171" s="137" t="str">
        <f>Co_Name</f>
        <v>State Farm General Insurance Company</v>
      </c>
      <c r="CT171" s="68"/>
      <c r="CU171" s="40"/>
      <c r="CV171" s="18"/>
      <c r="CW171" s="18"/>
      <c r="CX171" s="18"/>
      <c r="CY171" s="18"/>
      <c r="CZ171" s="18"/>
      <c r="DA171" s="18"/>
      <c r="DB171" s="18"/>
      <c r="DC171" s="18"/>
      <c r="DD171" s="18"/>
      <c r="DE171" s="137" t="str">
        <f>Co_Name</f>
        <v>State Farm General Insurance Company</v>
      </c>
      <c r="DF171" s="68"/>
      <c r="DG171" s="40"/>
      <c r="DH171" s="18"/>
      <c r="DI171" s="18"/>
      <c r="DJ171" s="18"/>
      <c r="DK171" s="18"/>
      <c r="DL171" s="18"/>
      <c r="DM171" s="18"/>
      <c r="DN171" s="18"/>
      <c r="DO171" s="18"/>
      <c r="DP171" s="18"/>
    </row>
    <row r="172" spans="1:120" ht="21" customHeight="1" x14ac:dyDescent="0.35">
      <c r="A172" s="137" t="str">
        <f>A$2</f>
        <v>Homeowners Multiple Peril</v>
      </c>
      <c r="B172" s="68"/>
      <c r="C172" s="40"/>
      <c r="D172" s="18"/>
      <c r="E172" s="18"/>
      <c r="F172" s="18"/>
      <c r="G172" s="18"/>
      <c r="H172" s="18"/>
      <c r="I172" s="18"/>
      <c r="J172" s="18"/>
      <c r="K172" s="18"/>
      <c r="L172" s="18"/>
      <c r="M172" s="137" t="str">
        <f>M$2</f>
        <v/>
      </c>
      <c r="N172" s="68"/>
      <c r="O172" s="40"/>
      <c r="P172" s="18"/>
      <c r="Q172" s="18"/>
      <c r="R172" s="18"/>
      <c r="S172" s="18"/>
      <c r="T172" s="18"/>
      <c r="U172" s="18"/>
      <c r="V172" s="18"/>
      <c r="W172" s="18"/>
      <c r="X172" s="18"/>
      <c r="Y172" s="137" t="str">
        <f>Y$2</f>
        <v/>
      </c>
      <c r="Z172" s="68"/>
      <c r="AA172" s="40"/>
      <c r="AB172" s="18"/>
      <c r="AC172" s="18"/>
      <c r="AD172" s="18"/>
      <c r="AE172" s="18"/>
      <c r="AF172" s="18"/>
      <c r="AG172" s="18"/>
      <c r="AH172" s="18"/>
      <c r="AI172" s="18"/>
      <c r="AJ172" s="18"/>
      <c r="AK172" s="137" t="str">
        <f>AK$2</f>
        <v/>
      </c>
      <c r="AL172" s="68"/>
      <c r="AM172" s="40"/>
      <c r="AN172" s="18"/>
      <c r="AO172" s="18"/>
      <c r="AP172" s="18"/>
      <c r="AQ172" s="18"/>
      <c r="AR172" s="18"/>
      <c r="AS172" s="18"/>
      <c r="AT172" s="18"/>
      <c r="AU172" s="18"/>
      <c r="AV172" s="18"/>
      <c r="AW172" s="137" t="str">
        <f>AW$2</f>
        <v/>
      </c>
      <c r="AX172" s="68"/>
      <c r="AY172" s="40"/>
      <c r="AZ172" s="18"/>
      <c r="BA172" s="18"/>
      <c r="BB172" s="18"/>
      <c r="BC172" s="18"/>
      <c r="BD172" s="18"/>
      <c r="BE172" s="18"/>
      <c r="BF172" s="18"/>
      <c r="BG172" s="18"/>
      <c r="BH172" s="18"/>
      <c r="BI172" s="137" t="str">
        <f>BI$2</f>
        <v/>
      </c>
      <c r="BJ172" s="68"/>
      <c r="BK172" s="40"/>
      <c r="BL172" s="18"/>
      <c r="BM172" s="18"/>
      <c r="BN172" s="18"/>
      <c r="BO172" s="18"/>
      <c r="BP172" s="18"/>
      <c r="BQ172" s="18"/>
      <c r="BR172" s="18"/>
      <c r="BS172" s="18"/>
      <c r="BT172" s="18"/>
      <c r="BU172" s="137" t="str">
        <f>BU$2</f>
        <v/>
      </c>
      <c r="BV172" s="68"/>
      <c r="BW172" s="40"/>
      <c r="BX172" s="18"/>
      <c r="BY172" s="18"/>
      <c r="BZ172" s="18"/>
      <c r="CA172" s="18"/>
      <c r="CB172" s="18"/>
      <c r="CC172" s="18"/>
      <c r="CD172" s="18"/>
      <c r="CE172" s="18"/>
      <c r="CF172" s="18"/>
      <c r="CG172" s="137" t="str">
        <f>CG$2</f>
        <v/>
      </c>
      <c r="CH172" s="68"/>
      <c r="CI172" s="40"/>
      <c r="CJ172" s="18"/>
      <c r="CK172" s="18"/>
      <c r="CL172" s="18"/>
      <c r="CM172" s="18"/>
      <c r="CN172" s="18"/>
      <c r="CO172" s="18"/>
      <c r="CP172" s="18"/>
      <c r="CQ172" s="18"/>
      <c r="CR172" s="18"/>
      <c r="CS172" s="137" t="str">
        <f>CS$2</f>
        <v/>
      </c>
      <c r="CT172" s="68"/>
      <c r="CU172" s="40"/>
      <c r="CV172" s="18"/>
      <c r="CW172" s="18"/>
      <c r="CX172" s="18"/>
      <c r="CY172" s="18"/>
      <c r="CZ172" s="18"/>
      <c r="DA172" s="18"/>
      <c r="DB172" s="18"/>
      <c r="DC172" s="18"/>
      <c r="DD172" s="18"/>
      <c r="DE172" s="137" t="str">
        <f>DE$2</f>
        <v/>
      </c>
      <c r="DF172" s="68"/>
      <c r="DG172" s="40"/>
      <c r="DH172" s="18"/>
      <c r="DI172" s="18"/>
      <c r="DJ172" s="18"/>
      <c r="DK172" s="18"/>
      <c r="DL172" s="18"/>
      <c r="DM172" s="18"/>
      <c r="DN172" s="18"/>
      <c r="DO172" s="18"/>
      <c r="DP172" s="18"/>
    </row>
    <row r="173" spans="1:120" ht="21" customHeight="1" x14ac:dyDescent="0.35">
      <c r="A173" s="137"/>
      <c r="B173" s="68"/>
      <c r="C173" s="40"/>
      <c r="D173" s="18"/>
      <c r="E173" s="18"/>
      <c r="F173" s="18"/>
      <c r="G173" s="18"/>
      <c r="H173" s="18"/>
      <c r="I173" s="18"/>
      <c r="J173" s="18"/>
      <c r="K173" s="18"/>
      <c r="L173" s="18"/>
      <c r="M173" s="137"/>
      <c r="N173" s="68"/>
      <c r="O173" s="40"/>
      <c r="P173" s="18"/>
      <c r="Q173" s="18"/>
      <c r="R173" s="18"/>
      <c r="S173" s="18"/>
      <c r="T173" s="18"/>
      <c r="U173" s="18"/>
      <c r="V173" s="18"/>
      <c r="W173" s="18"/>
      <c r="X173" s="18"/>
      <c r="Y173" s="137"/>
      <c r="Z173" s="68"/>
      <c r="AA173" s="40"/>
      <c r="AB173" s="18"/>
      <c r="AC173" s="18"/>
      <c r="AD173" s="18"/>
      <c r="AE173" s="18"/>
      <c r="AF173" s="18"/>
      <c r="AG173" s="18"/>
      <c r="AH173" s="18"/>
      <c r="AI173" s="18"/>
      <c r="AJ173" s="18"/>
      <c r="AK173" s="137"/>
      <c r="AL173" s="68"/>
      <c r="AM173" s="40"/>
      <c r="AN173" s="18"/>
      <c r="AO173" s="18"/>
      <c r="AP173" s="18"/>
      <c r="AQ173" s="18"/>
      <c r="AR173" s="18"/>
      <c r="AS173" s="18"/>
      <c r="AT173" s="18"/>
      <c r="AU173" s="18"/>
      <c r="AV173" s="18"/>
      <c r="AW173" s="137"/>
      <c r="AX173" s="68"/>
      <c r="AY173" s="40"/>
      <c r="AZ173" s="18"/>
      <c r="BA173" s="18"/>
      <c r="BB173" s="18"/>
      <c r="BC173" s="18"/>
      <c r="BD173" s="18"/>
      <c r="BE173" s="18"/>
      <c r="BF173" s="18"/>
      <c r="BG173" s="18"/>
      <c r="BH173" s="18"/>
      <c r="BI173" s="137"/>
      <c r="BJ173" s="68"/>
      <c r="BK173" s="40"/>
      <c r="BL173" s="18"/>
      <c r="BM173" s="18"/>
      <c r="BN173" s="18"/>
      <c r="BO173" s="18"/>
      <c r="BP173" s="18"/>
      <c r="BQ173" s="18"/>
      <c r="BR173" s="18"/>
      <c r="BS173" s="18"/>
      <c r="BT173" s="18"/>
      <c r="BU173" s="137"/>
      <c r="BV173" s="68"/>
      <c r="BW173" s="40"/>
      <c r="BX173" s="18"/>
      <c r="BY173" s="18"/>
      <c r="BZ173" s="18"/>
      <c r="CA173" s="18"/>
      <c r="CB173" s="18"/>
      <c r="CC173" s="18"/>
      <c r="CD173" s="18"/>
      <c r="CE173" s="18"/>
      <c r="CF173" s="18"/>
      <c r="CG173" s="137"/>
      <c r="CH173" s="68"/>
      <c r="CI173" s="40"/>
      <c r="CJ173" s="18"/>
      <c r="CK173" s="18"/>
      <c r="CL173" s="18"/>
      <c r="CM173" s="18"/>
      <c r="CN173" s="18"/>
      <c r="CO173" s="18"/>
      <c r="CP173" s="18"/>
      <c r="CQ173" s="18"/>
      <c r="CR173" s="18"/>
      <c r="CS173" s="137"/>
      <c r="CT173" s="68"/>
      <c r="CU173" s="40"/>
      <c r="CV173" s="18"/>
      <c r="CW173" s="18"/>
      <c r="CX173" s="18"/>
      <c r="CY173" s="18"/>
      <c r="CZ173" s="18"/>
      <c r="DA173" s="18"/>
      <c r="DB173" s="18"/>
      <c r="DC173" s="18"/>
      <c r="DD173" s="18"/>
      <c r="DE173" s="137"/>
      <c r="DF173" s="68"/>
      <c r="DG173" s="40"/>
      <c r="DH173" s="18"/>
      <c r="DI173" s="18"/>
      <c r="DJ173" s="18"/>
      <c r="DK173" s="18"/>
      <c r="DL173" s="18"/>
      <c r="DM173" s="18"/>
      <c r="DN173" s="18"/>
      <c r="DO173" s="18"/>
      <c r="DP173" s="18"/>
    </row>
    <row r="174" spans="1:120" ht="21" x14ac:dyDescent="0.25">
      <c r="A174" s="48" t="s">
        <v>193</v>
      </c>
      <c r="B174" s="48"/>
      <c r="C174" s="18"/>
      <c r="D174" s="18"/>
      <c r="E174" s="18"/>
      <c r="F174" s="18"/>
      <c r="G174" s="18"/>
      <c r="H174" s="18"/>
      <c r="I174" s="18"/>
      <c r="J174" s="18"/>
      <c r="K174" s="18"/>
      <c r="L174" s="18"/>
      <c r="M174" s="48" t="s">
        <v>193</v>
      </c>
      <c r="N174" s="48"/>
      <c r="O174" s="18"/>
      <c r="P174" s="18"/>
      <c r="Q174" s="18"/>
      <c r="R174" s="18"/>
      <c r="S174" s="18"/>
      <c r="T174" s="18"/>
      <c r="U174" s="18"/>
      <c r="V174" s="18"/>
      <c r="W174" s="18"/>
      <c r="X174" s="18"/>
      <c r="Y174" s="48" t="s">
        <v>193</v>
      </c>
      <c r="Z174" s="48"/>
      <c r="AA174" s="18"/>
      <c r="AB174" s="18"/>
      <c r="AC174" s="18"/>
      <c r="AD174" s="18"/>
      <c r="AE174" s="18"/>
      <c r="AF174" s="18"/>
      <c r="AG174" s="18"/>
      <c r="AH174" s="18"/>
      <c r="AI174" s="18"/>
      <c r="AJ174" s="18"/>
      <c r="AK174" s="48" t="s">
        <v>193</v>
      </c>
      <c r="AL174" s="48"/>
      <c r="AM174" s="18"/>
      <c r="AN174" s="18"/>
      <c r="AO174" s="18"/>
      <c r="AP174" s="18"/>
      <c r="AQ174" s="18"/>
      <c r="AR174" s="18"/>
      <c r="AS174" s="18"/>
      <c r="AT174" s="18"/>
      <c r="AU174" s="18"/>
      <c r="AV174" s="18"/>
      <c r="AW174" s="48" t="s">
        <v>193</v>
      </c>
      <c r="AX174" s="48"/>
      <c r="AY174" s="18"/>
      <c r="AZ174" s="18"/>
      <c r="BA174" s="18"/>
      <c r="BB174" s="18"/>
      <c r="BC174" s="18"/>
      <c r="BD174" s="18"/>
      <c r="BE174" s="18"/>
      <c r="BF174" s="18"/>
      <c r="BG174" s="18"/>
      <c r="BH174" s="18"/>
      <c r="BI174" s="48" t="s">
        <v>193</v>
      </c>
      <c r="BJ174" s="48"/>
      <c r="BK174" s="18"/>
      <c r="BL174" s="18"/>
      <c r="BM174" s="18"/>
      <c r="BN174" s="18"/>
      <c r="BO174" s="18"/>
      <c r="BP174" s="18"/>
      <c r="BQ174" s="18"/>
      <c r="BR174" s="18"/>
      <c r="BS174" s="18"/>
      <c r="BT174" s="18"/>
      <c r="BU174" s="48" t="s">
        <v>193</v>
      </c>
      <c r="BV174" s="48"/>
      <c r="BW174" s="18"/>
      <c r="BX174" s="18"/>
      <c r="BY174" s="18"/>
      <c r="BZ174" s="18"/>
      <c r="CA174" s="18"/>
      <c r="CB174" s="18"/>
      <c r="CC174" s="18"/>
      <c r="CD174" s="18"/>
      <c r="CE174" s="18"/>
      <c r="CF174" s="18"/>
      <c r="CG174" s="48" t="s">
        <v>193</v>
      </c>
      <c r="CH174" s="48"/>
      <c r="CI174" s="18"/>
      <c r="CJ174" s="18"/>
      <c r="CK174" s="18"/>
      <c r="CL174" s="18"/>
      <c r="CM174" s="18"/>
      <c r="CN174" s="18"/>
      <c r="CO174" s="18"/>
      <c r="CP174" s="18"/>
      <c r="CQ174" s="18"/>
      <c r="CR174" s="18"/>
      <c r="CS174" s="48" t="s">
        <v>193</v>
      </c>
      <c r="CT174" s="48"/>
      <c r="CU174" s="18"/>
      <c r="CV174" s="18"/>
      <c r="CW174" s="18"/>
      <c r="CX174" s="18"/>
      <c r="CY174" s="18"/>
      <c r="CZ174" s="18"/>
      <c r="DA174" s="18"/>
      <c r="DB174" s="18"/>
      <c r="DC174" s="18"/>
      <c r="DD174" s="18"/>
      <c r="DE174" s="48" t="s">
        <v>193</v>
      </c>
      <c r="DF174" s="48"/>
      <c r="DG174" s="18"/>
      <c r="DH174" s="18"/>
      <c r="DI174" s="18"/>
      <c r="DJ174" s="18"/>
      <c r="DK174" s="18"/>
      <c r="DL174" s="18"/>
      <c r="DM174" s="18"/>
      <c r="DN174" s="18"/>
      <c r="DO174" s="18"/>
      <c r="DP174" s="18"/>
    </row>
    <row r="175" spans="1:120" x14ac:dyDescent="0.25">
      <c r="A175" s="138" t="str">
        <f>A$5</f>
        <v>Rental Dwelling</v>
      </c>
      <c r="B175" s="69"/>
      <c r="C175" s="18"/>
      <c r="D175" s="18"/>
      <c r="E175" s="18"/>
      <c r="F175" s="18"/>
      <c r="G175" s="18"/>
      <c r="H175" s="18"/>
      <c r="I175" s="18"/>
      <c r="J175" s="18"/>
      <c r="K175" s="18"/>
      <c r="L175" s="18"/>
      <c r="M175" s="138">
        <f>M$5</f>
        <v>0</v>
      </c>
      <c r="N175" s="69"/>
      <c r="O175" s="18"/>
      <c r="P175" s="18"/>
      <c r="Q175" s="18"/>
      <c r="R175" s="18"/>
      <c r="S175" s="18"/>
      <c r="T175" s="18"/>
      <c r="U175" s="18"/>
      <c r="V175" s="18"/>
      <c r="W175" s="18"/>
      <c r="X175" s="18"/>
      <c r="Y175" s="138">
        <f>Y$5</f>
        <v>0</v>
      </c>
      <c r="Z175" s="69"/>
      <c r="AA175" s="18"/>
      <c r="AB175" s="18"/>
      <c r="AC175" s="18"/>
      <c r="AD175" s="18"/>
      <c r="AE175" s="18"/>
      <c r="AF175" s="18"/>
      <c r="AG175" s="18"/>
      <c r="AH175" s="18"/>
      <c r="AI175" s="18"/>
      <c r="AJ175" s="18"/>
      <c r="AK175" s="138">
        <f>AK$5</f>
        <v>0</v>
      </c>
      <c r="AL175" s="69"/>
      <c r="AM175" s="18"/>
      <c r="AN175" s="18"/>
      <c r="AO175" s="18"/>
      <c r="AP175" s="18"/>
      <c r="AQ175" s="18"/>
      <c r="AR175" s="18"/>
      <c r="AS175" s="18"/>
      <c r="AT175" s="18"/>
      <c r="AU175" s="18"/>
      <c r="AV175" s="18"/>
      <c r="AW175" s="138">
        <f>AW$5</f>
        <v>0</v>
      </c>
      <c r="AX175" s="69"/>
      <c r="AY175" s="18"/>
      <c r="AZ175" s="18"/>
      <c r="BA175" s="18"/>
      <c r="BB175" s="18"/>
      <c r="BC175" s="18"/>
      <c r="BD175" s="18"/>
      <c r="BE175" s="18"/>
      <c r="BF175" s="18"/>
      <c r="BG175" s="18"/>
      <c r="BH175" s="18"/>
      <c r="BI175" s="138">
        <f>BI$5</f>
        <v>0</v>
      </c>
      <c r="BJ175" s="69"/>
      <c r="BK175" s="18"/>
      <c r="BL175" s="18"/>
      <c r="BM175" s="18"/>
      <c r="BN175" s="18"/>
      <c r="BO175" s="18"/>
      <c r="BP175" s="18"/>
      <c r="BQ175" s="18"/>
      <c r="BR175" s="18"/>
      <c r="BS175" s="18"/>
      <c r="BT175" s="18"/>
      <c r="BU175" s="138">
        <f>BU$5</f>
        <v>0</v>
      </c>
      <c r="BV175" s="69"/>
      <c r="BW175" s="18"/>
      <c r="BX175" s="18"/>
      <c r="BY175" s="18"/>
      <c r="BZ175" s="18"/>
      <c r="CA175" s="18"/>
      <c r="CB175" s="18"/>
      <c r="CC175" s="18"/>
      <c r="CD175" s="18"/>
      <c r="CE175" s="18"/>
      <c r="CF175" s="18"/>
      <c r="CG175" s="138">
        <f>CG$5</f>
        <v>0</v>
      </c>
      <c r="CH175" s="69"/>
      <c r="CI175" s="18"/>
      <c r="CJ175" s="18"/>
      <c r="CK175" s="18"/>
      <c r="CL175" s="18"/>
      <c r="CM175" s="18"/>
      <c r="CN175" s="18"/>
      <c r="CO175" s="18"/>
      <c r="CP175" s="18"/>
      <c r="CQ175" s="18"/>
      <c r="CR175" s="18"/>
      <c r="CS175" s="138">
        <f>CS$5</f>
        <v>0</v>
      </c>
      <c r="CT175" s="69"/>
      <c r="CU175" s="18"/>
      <c r="CV175" s="18"/>
      <c r="CW175" s="18"/>
      <c r="CX175" s="18"/>
      <c r="CY175" s="18"/>
      <c r="CZ175" s="18"/>
      <c r="DA175" s="18"/>
      <c r="DB175" s="18"/>
      <c r="DC175" s="18"/>
      <c r="DD175" s="18"/>
      <c r="DE175" s="138">
        <f>DE$5</f>
        <v>0</v>
      </c>
      <c r="DF175" s="69"/>
      <c r="DG175" s="18"/>
      <c r="DH175" s="18"/>
      <c r="DI175" s="18"/>
      <c r="DJ175" s="18"/>
      <c r="DK175" s="18"/>
      <c r="DL175" s="18"/>
      <c r="DM175" s="18"/>
      <c r="DN175" s="18"/>
      <c r="DO175" s="18"/>
      <c r="DP175" s="18"/>
    </row>
    <row r="176" spans="1:120" ht="15" customHeight="1" x14ac:dyDescent="0.25">
      <c r="A176" s="3"/>
      <c r="B176" s="3"/>
      <c r="C176" s="18"/>
      <c r="D176" s="18"/>
      <c r="E176" s="18"/>
      <c r="F176" s="18"/>
      <c r="G176" s="18"/>
      <c r="H176" s="18"/>
      <c r="I176" s="18"/>
      <c r="J176" s="18"/>
      <c r="K176" s="18"/>
      <c r="L176" s="18"/>
      <c r="M176" s="3"/>
      <c r="N176" s="3"/>
      <c r="O176" s="18"/>
      <c r="P176" s="18"/>
      <c r="Q176" s="18"/>
      <c r="R176" s="18"/>
      <c r="S176" s="18"/>
      <c r="T176" s="18"/>
      <c r="U176" s="18"/>
      <c r="V176" s="18"/>
      <c r="W176" s="18"/>
      <c r="X176" s="18"/>
      <c r="Y176" s="3"/>
      <c r="Z176" s="3"/>
      <c r="AA176" s="18"/>
      <c r="AB176" s="18"/>
      <c r="AC176" s="18"/>
      <c r="AD176" s="18"/>
      <c r="AE176" s="18"/>
      <c r="AF176" s="18"/>
      <c r="AG176" s="18"/>
      <c r="AH176" s="18"/>
      <c r="AI176" s="18"/>
      <c r="AJ176" s="18"/>
      <c r="AK176" s="3"/>
      <c r="AL176" s="3"/>
      <c r="AM176" s="18"/>
      <c r="AN176" s="18"/>
      <c r="AO176" s="18"/>
      <c r="AP176" s="18"/>
      <c r="AQ176" s="18"/>
      <c r="AR176" s="18"/>
      <c r="AS176" s="18"/>
      <c r="AT176" s="18"/>
      <c r="AU176" s="18"/>
      <c r="AV176" s="18"/>
      <c r="AW176" s="3"/>
      <c r="AX176" s="3"/>
      <c r="AY176" s="18"/>
      <c r="AZ176" s="18"/>
      <c r="BA176" s="18"/>
      <c r="BB176" s="18"/>
      <c r="BC176" s="18"/>
      <c r="BD176" s="18"/>
      <c r="BE176" s="18"/>
      <c r="BF176" s="18"/>
      <c r="BG176" s="18"/>
      <c r="BH176" s="18"/>
      <c r="BI176" s="3"/>
      <c r="BJ176" s="3"/>
      <c r="BK176" s="18"/>
      <c r="BL176" s="18"/>
      <c r="BM176" s="18"/>
      <c r="BN176" s="18"/>
      <c r="BO176" s="18"/>
      <c r="BP176" s="18"/>
      <c r="BQ176" s="18"/>
      <c r="BR176" s="18"/>
      <c r="BS176" s="18"/>
      <c r="BT176" s="18"/>
      <c r="BU176" s="3"/>
      <c r="BV176" s="3"/>
      <c r="BW176" s="18"/>
      <c r="BX176" s="18"/>
      <c r="BY176" s="18"/>
      <c r="BZ176" s="18"/>
      <c r="CA176" s="18"/>
      <c r="CB176" s="18"/>
      <c r="CC176" s="18"/>
      <c r="CD176" s="18"/>
      <c r="CE176" s="18"/>
      <c r="CF176" s="18"/>
      <c r="CG176" s="3"/>
      <c r="CH176" s="3"/>
      <c r="CI176" s="18"/>
      <c r="CJ176" s="18"/>
      <c r="CK176" s="18"/>
      <c r="CL176" s="18"/>
      <c r="CM176" s="18"/>
      <c r="CN176" s="18"/>
      <c r="CO176" s="18"/>
      <c r="CP176" s="18"/>
      <c r="CQ176" s="18"/>
      <c r="CR176" s="18"/>
      <c r="CS176" s="3"/>
      <c r="CT176" s="3"/>
      <c r="CU176" s="18"/>
      <c r="CV176" s="18"/>
      <c r="CW176" s="18"/>
      <c r="CX176" s="18"/>
      <c r="CY176" s="18"/>
      <c r="CZ176" s="18"/>
      <c r="DA176" s="18"/>
      <c r="DB176" s="18"/>
      <c r="DC176" s="18"/>
      <c r="DD176" s="18"/>
      <c r="DE176" s="3"/>
      <c r="DF176" s="3"/>
      <c r="DG176" s="18"/>
      <c r="DH176" s="18"/>
      <c r="DI176" s="18"/>
      <c r="DJ176" s="18"/>
      <c r="DK176" s="18"/>
      <c r="DL176" s="18"/>
      <c r="DM176" s="18"/>
      <c r="DN176" s="18"/>
      <c r="DO176" s="18"/>
      <c r="DP176" s="18"/>
    </row>
    <row r="177" spans="1:120" x14ac:dyDescent="0.25">
      <c r="A177" s="102"/>
      <c r="B177" s="129"/>
      <c r="C177" s="129" t="s">
        <v>4</v>
      </c>
      <c r="D177" s="103"/>
      <c r="E177" s="103"/>
      <c r="F177" s="103"/>
      <c r="G177" s="103"/>
      <c r="H177" s="103"/>
      <c r="I177" s="103"/>
      <c r="J177" s="103"/>
      <c r="K177" s="103"/>
      <c r="L177" s="103"/>
      <c r="M177" s="102"/>
      <c r="N177" s="129"/>
      <c r="O177" s="129" t="s">
        <v>4</v>
      </c>
      <c r="P177" s="103"/>
      <c r="Q177" s="103"/>
      <c r="R177" s="103"/>
      <c r="S177" s="103"/>
      <c r="T177" s="103"/>
      <c r="U177" s="103"/>
      <c r="V177" s="103"/>
      <c r="W177" s="103"/>
      <c r="X177" s="103"/>
      <c r="Y177" s="102"/>
      <c r="Z177" s="129"/>
      <c r="AA177" s="129" t="s">
        <v>4</v>
      </c>
      <c r="AB177" s="103"/>
      <c r="AC177" s="103"/>
      <c r="AD177" s="103"/>
      <c r="AE177" s="103"/>
      <c r="AF177" s="103"/>
      <c r="AG177" s="103"/>
      <c r="AH177" s="103"/>
      <c r="AI177" s="103"/>
      <c r="AJ177" s="103"/>
      <c r="AK177" s="102"/>
      <c r="AL177" s="129"/>
      <c r="AM177" s="129" t="s">
        <v>4</v>
      </c>
      <c r="AN177" s="103"/>
      <c r="AO177" s="103"/>
      <c r="AP177" s="103"/>
      <c r="AQ177" s="103"/>
      <c r="AR177" s="103"/>
      <c r="AS177" s="103"/>
      <c r="AT177" s="103"/>
      <c r="AU177" s="103"/>
      <c r="AV177" s="103"/>
      <c r="AW177" s="102"/>
      <c r="AX177" s="129"/>
      <c r="AY177" s="129" t="s">
        <v>4</v>
      </c>
      <c r="AZ177" s="103"/>
      <c r="BA177" s="103"/>
      <c r="BB177" s="103"/>
      <c r="BC177" s="103"/>
      <c r="BD177" s="103"/>
      <c r="BE177" s="103"/>
      <c r="BF177" s="103"/>
      <c r="BG177" s="103"/>
      <c r="BH177" s="103"/>
      <c r="BI177" s="102"/>
      <c r="BJ177" s="129"/>
      <c r="BK177" s="129" t="s">
        <v>4</v>
      </c>
      <c r="BL177" s="103"/>
      <c r="BM177" s="103"/>
      <c r="BN177" s="103"/>
      <c r="BO177" s="103"/>
      <c r="BP177" s="103"/>
      <c r="BQ177" s="103"/>
      <c r="BR177" s="103"/>
      <c r="BS177" s="103"/>
      <c r="BT177" s="103"/>
      <c r="BU177" s="102"/>
      <c r="BV177" s="129"/>
      <c r="BW177" s="129" t="s">
        <v>4</v>
      </c>
      <c r="BX177" s="103"/>
      <c r="BY177" s="103"/>
      <c r="BZ177" s="103"/>
      <c r="CA177" s="103"/>
      <c r="CB177" s="103"/>
      <c r="CC177" s="103"/>
      <c r="CD177" s="103"/>
      <c r="CE177" s="103"/>
      <c r="CF177" s="103"/>
      <c r="CG177" s="102"/>
      <c r="CH177" s="129"/>
      <c r="CI177" s="129" t="s">
        <v>4</v>
      </c>
      <c r="CJ177" s="103"/>
      <c r="CK177" s="103"/>
      <c r="CL177" s="103"/>
      <c r="CM177" s="103"/>
      <c r="CN177" s="103"/>
      <c r="CO177" s="103"/>
      <c r="CP177" s="103"/>
      <c r="CQ177" s="103"/>
      <c r="CR177" s="103"/>
      <c r="CS177" s="102"/>
      <c r="CT177" s="129"/>
      <c r="CU177" s="129" t="s">
        <v>4</v>
      </c>
      <c r="CV177" s="103"/>
      <c r="CW177" s="103"/>
      <c r="CX177" s="103"/>
      <c r="CY177" s="103"/>
      <c r="CZ177" s="103"/>
      <c r="DA177" s="103"/>
      <c r="DB177" s="103"/>
      <c r="DC177" s="103"/>
      <c r="DD177" s="103"/>
      <c r="DE177" s="102"/>
      <c r="DF177" s="129"/>
      <c r="DG177" s="129" t="s">
        <v>4</v>
      </c>
      <c r="DH177" s="103"/>
      <c r="DI177" s="103"/>
      <c r="DJ177" s="103"/>
      <c r="DK177" s="103"/>
      <c r="DL177" s="103"/>
      <c r="DM177" s="103"/>
      <c r="DN177" s="103"/>
      <c r="DO177" s="103"/>
      <c r="DP177" s="103"/>
    </row>
    <row r="178" spans="1:120" ht="30" x14ac:dyDescent="0.25">
      <c r="A178" s="210" t="str">
        <f>$A$35</f>
        <v>Fiscal Accident Year Data Ending</v>
      </c>
      <c r="B178" s="98">
        <f>$B$35</f>
        <v>0</v>
      </c>
      <c r="C178" s="209" t="str">
        <f>$C$35</f>
        <v>12</v>
      </c>
      <c r="D178" s="20">
        <f>$D$35</f>
        <v>24</v>
      </c>
      <c r="E178" s="20">
        <f>$E$35</f>
        <v>36</v>
      </c>
      <c r="F178" s="20">
        <f>$F$35</f>
        <v>48</v>
      </c>
      <c r="G178" s="20">
        <f>$G$35</f>
        <v>60</v>
      </c>
      <c r="H178" s="20">
        <f>$H$35</f>
        <v>72</v>
      </c>
      <c r="I178" s="20">
        <f>$I$35</f>
        <v>84</v>
      </c>
      <c r="J178" s="20">
        <f>$J$35</f>
        <v>96</v>
      </c>
      <c r="K178" s="20">
        <f>$K$35</f>
        <v>108</v>
      </c>
      <c r="L178" s="20">
        <f>$L$35</f>
        <v>120</v>
      </c>
      <c r="M178" s="210" t="str">
        <f>$A$35</f>
        <v>Fiscal Accident Year Data Ending</v>
      </c>
      <c r="N178" s="98">
        <f>$B$35</f>
        <v>0</v>
      </c>
      <c r="O178" s="209" t="str">
        <f>$C$35</f>
        <v>12</v>
      </c>
      <c r="P178" s="20">
        <f>$D$35</f>
        <v>24</v>
      </c>
      <c r="Q178" s="20">
        <f>$E$35</f>
        <v>36</v>
      </c>
      <c r="R178" s="20">
        <f>$F$35</f>
        <v>48</v>
      </c>
      <c r="S178" s="20">
        <f>$G$35</f>
        <v>60</v>
      </c>
      <c r="T178" s="20">
        <f>$H$35</f>
        <v>72</v>
      </c>
      <c r="U178" s="20">
        <f>$I$35</f>
        <v>84</v>
      </c>
      <c r="V178" s="20">
        <f>$J$35</f>
        <v>96</v>
      </c>
      <c r="W178" s="20">
        <f>$K$35</f>
        <v>108</v>
      </c>
      <c r="X178" s="20">
        <f>$L$35</f>
        <v>120</v>
      </c>
      <c r="Y178" s="210" t="str">
        <f>$A$35</f>
        <v>Fiscal Accident Year Data Ending</v>
      </c>
      <c r="Z178" s="98">
        <f>$B$35</f>
        <v>0</v>
      </c>
      <c r="AA178" s="209" t="str">
        <f>$C$35</f>
        <v>12</v>
      </c>
      <c r="AB178" s="20">
        <f>$D$35</f>
        <v>24</v>
      </c>
      <c r="AC178" s="20">
        <f>$E$35</f>
        <v>36</v>
      </c>
      <c r="AD178" s="20">
        <f>$F$35</f>
        <v>48</v>
      </c>
      <c r="AE178" s="20">
        <f>$G$35</f>
        <v>60</v>
      </c>
      <c r="AF178" s="20">
        <f>$H$35</f>
        <v>72</v>
      </c>
      <c r="AG178" s="20">
        <f>$I$35</f>
        <v>84</v>
      </c>
      <c r="AH178" s="20">
        <f>$J$35</f>
        <v>96</v>
      </c>
      <c r="AI178" s="20">
        <f>$K$35</f>
        <v>108</v>
      </c>
      <c r="AJ178" s="20">
        <f>$L$35</f>
        <v>120</v>
      </c>
      <c r="AK178" s="210" t="str">
        <f>$A$35</f>
        <v>Fiscal Accident Year Data Ending</v>
      </c>
      <c r="AL178" s="98">
        <f>$B$35</f>
        <v>0</v>
      </c>
      <c r="AM178" s="209" t="str">
        <f>$C$35</f>
        <v>12</v>
      </c>
      <c r="AN178" s="20">
        <f>$D$35</f>
        <v>24</v>
      </c>
      <c r="AO178" s="20">
        <f>$E$35</f>
        <v>36</v>
      </c>
      <c r="AP178" s="20">
        <f>$F$35</f>
        <v>48</v>
      </c>
      <c r="AQ178" s="20">
        <f>$G$35</f>
        <v>60</v>
      </c>
      <c r="AR178" s="20">
        <f>$H$35</f>
        <v>72</v>
      </c>
      <c r="AS178" s="20">
        <f>$I$35</f>
        <v>84</v>
      </c>
      <c r="AT178" s="20">
        <f>$J$35</f>
        <v>96</v>
      </c>
      <c r="AU178" s="20">
        <f>$K$35</f>
        <v>108</v>
      </c>
      <c r="AV178" s="20">
        <f>$L$35</f>
        <v>120</v>
      </c>
      <c r="AW178" s="210" t="str">
        <f>$A$35</f>
        <v>Fiscal Accident Year Data Ending</v>
      </c>
      <c r="AX178" s="98">
        <f>$B$35</f>
        <v>0</v>
      </c>
      <c r="AY178" s="209" t="str">
        <f>$C$35</f>
        <v>12</v>
      </c>
      <c r="AZ178" s="20">
        <f>$D$35</f>
        <v>24</v>
      </c>
      <c r="BA178" s="20">
        <f>$E$35</f>
        <v>36</v>
      </c>
      <c r="BB178" s="20">
        <f>$F$35</f>
        <v>48</v>
      </c>
      <c r="BC178" s="20">
        <f>$G$35</f>
        <v>60</v>
      </c>
      <c r="BD178" s="20">
        <f>$H$35</f>
        <v>72</v>
      </c>
      <c r="BE178" s="20">
        <f>$I$35</f>
        <v>84</v>
      </c>
      <c r="BF178" s="20">
        <f>$J$35</f>
        <v>96</v>
      </c>
      <c r="BG178" s="20">
        <f>$K$35</f>
        <v>108</v>
      </c>
      <c r="BH178" s="20">
        <f>$L$35</f>
        <v>120</v>
      </c>
      <c r="BI178" s="210" t="str">
        <f>$A$35</f>
        <v>Fiscal Accident Year Data Ending</v>
      </c>
      <c r="BJ178" s="98">
        <f>$B$35</f>
        <v>0</v>
      </c>
      <c r="BK178" s="209" t="str">
        <f>$C$35</f>
        <v>12</v>
      </c>
      <c r="BL178" s="20">
        <f>$D$35</f>
        <v>24</v>
      </c>
      <c r="BM178" s="20">
        <f>$E$35</f>
        <v>36</v>
      </c>
      <c r="BN178" s="20">
        <f>$F$35</f>
        <v>48</v>
      </c>
      <c r="BO178" s="20">
        <f>$G$35</f>
        <v>60</v>
      </c>
      <c r="BP178" s="20">
        <f>$H$35</f>
        <v>72</v>
      </c>
      <c r="BQ178" s="20">
        <f>$I$35</f>
        <v>84</v>
      </c>
      <c r="BR178" s="20">
        <f>$J$35</f>
        <v>96</v>
      </c>
      <c r="BS178" s="20">
        <f>$K$35</f>
        <v>108</v>
      </c>
      <c r="BT178" s="20">
        <f>$L$35</f>
        <v>120</v>
      </c>
      <c r="BU178" s="210" t="str">
        <f>$A$35</f>
        <v>Fiscal Accident Year Data Ending</v>
      </c>
      <c r="BV178" s="98">
        <f>$B$35</f>
        <v>0</v>
      </c>
      <c r="BW178" s="209" t="str">
        <f>$C$35</f>
        <v>12</v>
      </c>
      <c r="BX178" s="20">
        <f>$D$35</f>
        <v>24</v>
      </c>
      <c r="BY178" s="20">
        <f>$E$35</f>
        <v>36</v>
      </c>
      <c r="BZ178" s="20">
        <f>$F$35</f>
        <v>48</v>
      </c>
      <c r="CA178" s="20">
        <f>$G$35</f>
        <v>60</v>
      </c>
      <c r="CB178" s="20">
        <f>$H$35</f>
        <v>72</v>
      </c>
      <c r="CC178" s="20">
        <f>$I$35</f>
        <v>84</v>
      </c>
      <c r="CD178" s="20">
        <f>$J$35</f>
        <v>96</v>
      </c>
      <c r="CE178" s="20">
        <f>$K$35</f>
        <v>108</v>
      </c>
      <c r="CF178" s="20">
        <f>$L$35</f>
        <v>120</v>
      </c>
      <c r="CG178" s="210" t="str">
        <f>$A$35</f>
        <v>Fiscal Accident Year Data Ending</v>
      </c>
      <c r="CH178" s="98">
        <f>$B$35</f>
        <v>0</v>
      </c>
      <c r="CI178" s="209" t="str">
        <f>$C$35</f>
        <v>12</v>
      </c>
      <c r="CJ178" s="20">
        <f>$D$35</f>
        <v>24</v>
      </c>
      <c r="CK178" s="20">
        <f>$E$35</f>
        <v>36</v>
      </c>
      <c r="CL178" s="20">
        <f>$F$35</f>
        <v>48</v>
      </c>
      <c r="CM178" s="20">
        <f>$G$35</f>
        <v>60</v>
      </c>
      <c r="CN178" s="20">
        <f>$H$35</f>
        <v>72</v>
      </c>
      <c r="CO178" s="20">
        <f>$I$35</f>
        <v>84</v>
      </c>
      <c r="CP178" s="20">
        <f>$J$35</f>
        <v>96</v>
      </c>
      <c r="CQ178" s="20">
        <f>$K$35</f>
        <v>108</v>
      </c>
      <c r="CR178" s="20">
        <f>$L$35</f>
        <v>120</v>
      </c>
      <c r="CS178" s="210" t="str">
        <f>$A$35</f>
        <v>Fiscal Accident Year Data Ending</v>
      </c>
      <c r="CT178" s="98">
        <f>$B$35</f>
        <v>0</v>
      </c>
      <c r="CU178" s="209" t="str">
        <f>$C$35</f>
        <v>12</v>
      </c>
      <c r="CV178" s="20">
        <f>$D$35</f>
        <v>24</v>
      </c>
      <c r="CW178" s="20">
        <f>$E$35</f>
        <v>36</v>
      </c>
      <c r="CX178" s="20">
        <f>$F$35</f>
        <v>48</v>
      </c>
      <c r="CY178" s="20">
        <f>$G$35</f>
        <v>60</v>
      </c>
      <c r="CZ178" s="20">
        <f>$H$35</f>
        <v>72</v>
      </c>
      <c r="DA178" s="20">
        <f>$I$35</f>
        <v>84</v>
      </c>
      <c r="DB178" s="20">
        <f>$J$35</f>
        <v>96</v>
      </c>
      <c r="DC178" s="20">
        <f>$K$35</f>
        <v>108</v>
      </c>
      <c r="DD178" s="20">
        <f>$L$35</f>
        <v>120</v>
      </c>
      <c r="DE178" s="210" t="str">
        <f>$A$35</f>
        <v>Fiscal Accident Year Data Ending</v>
      </c>
      <c r="DF178" s="98">
        <f>$B$35</f>
        <v>0</v>
      </c>
      <c r="DG178" s="209" t="str">
        <f>$C$35</f>
        <v>12</v>
      </c>
      <c r="DH178" s="20">
        <f>$D$35</f>
        <v>24</v>
      </c>
      <c r="DI178" s="20">
        <f>$E$35</f>
        <v>36</v>
      </c>
      <c r="DJ178" s="20">
        <f>$F$35</f>
        <v>48</v>
      </c>
      <c r="DK178" s="20">
        <f>$G$35</f>
        <v>60</v>
      </c>
      <c r="DL178" s="20">
        <f>$H$35</f>
        <v>72</v>
      </c>
      <c r="DM178" s="20">
        <f>$I$35</f>
        <v>84</v>
      </c>
      <c r="DN178" s="20">
        <f>$J$35</f>
        <v>96</v>
      </c>
      <c r="DO178" s="20">
        <f>$K$35</f>
        <v>108</v>
      </c>
      <c r="DP178" s="20">
        <f>$L$35</f>
        <v>120</v>
      </c>
    </row>
    <row r="179" spans="1:120" ht="15" customHeight="1" x14ac:dyDescent="0.25">
      <c r="A179" s="31">
        <f>$A$36</f>
        <v>20132</v>
      </c>
      <c r="B179" s="21"/>
      <c r="C179" s="21">
        <v>66064708.420000002</v>
      </c>
      <c r="D179" s="21">
        <v>71874101.290000007</v>
      </c>
      <c r="E179" s="21">
        <v>75561036.349999994</v>
      </c>
      <c r="F179" s="21">
        <v>77109936.120000005</v>
      </c>
      <c r="G179" s="21">
        <v>77838125.160000011</v>
      </c>
      <c r="H179" s="21">
        <v>78380533.219999999</v>
      </c>
      <c r="I179" s="21">
        <v>78838632.449999988</v>
      </c>
      <c r="J179" s="21">
        <v>79244819.99000001</v>
      </c>
      <c r="K179" s="21">
        <v>79377580.420000002</v>
      </c>
      <c r="L179" s="21">
        <v>79707563.210000008</v>
      </c>
      <c r="M179" s="31">
        <f>$A$36</f>
        <v>20132</v>
      </c>
      <c r="N179" s="21"/>
      <c r="O179" s="21"/>
      <c r="P179" s="21"/>
      <c r="Q179" s="21"/>
      <c r="R179" s="21"/>
      <c r="S179" s="21"/>
      <c r="T179" s="21"/>
      <c r="U179" s="21"/>
      <c r="V179" s="21"/>
      <c r="W179" s="21"/>
      <c r="X179" s="21"/>
      <c r="Y179" s="31">
        <f>$A$36</f>
        <v>20132</v>
      </c>
      <c r="Z179" s="21"/>
      <c r="AA179" s="21"/>
      <c r="AB179" s="21"/>
      <c r="AC179" s="21"/>
      <c r="AD179" s="21"/>
      <c r="AE179" s="21"/>
      <c r="AF179" s="21"/>
      <c r="AG179" s="21"/>
      <c r="AH179" s="21"/>
      <c r="AI179" s="21"/>
      <c r="AJ179" s="21"/>
      <c r="AK179" s="31">
        <f>$A$36</f>
        <v>20132</v>
      </c>
      <c r="AL179" s="21"/>
      <c r="AM179" s="21"/>
      <c r="AN179" s="21"/>
      <c r="AO179" s="21"/>
      <c r="AP179" s="21"/>
      <c r="AQ179" s="21"/>
      <c r="AR179" s="21"/>
      <c r="AS179" s="21"/>
      <c r="AT179" s="21"/>
      <c r="AU179" s="21"/>
      <c r="AV179" s="21"/>
      <c r="AW179" s="31">
        <f>$A$36</f>
        <v>20132</v>
      </c>
      <c r="AX179" s="21"/>
      <c r="AY179" s="21"/>
      <c r="AZ179" s="21"/>
      <c r="BA179" s="21"/>
      <c r="BB179" s="21"/>
      <c r="BC179" s="21"/>
      <c r="BD179" s="21"/>
      <c r="BE179" s="21"/>
      <c r="BF179" s="21"/>
      <c r="BG179" s="21"/>
      <c r="BH179" s="21"/>
      <c r="BI179" s="31">
        <f>$A$36</f>
        <v>20132</v>
      </c>
      <c r="BJ179" s="21"/>
      <c r="BK179" s="21"/>
      <c r="BL179" s="21"/>
      <c r="BM179" s="21"/>
      <c r="BN179" s="21"/>
      <c r="BO179" s="21"/>
      <c r="BP179" s="21"/>
      <c r="BQ179" s="21"/>
      <c r="BR179" s="21"/>
      <c r="BS179" s="21"/>
      <c r="BT179" s="21"/>
      <c r="BU179" s="31">
        <f>$A$36</f>
        <v>20132</v>
      </c>
      <c r="BV179" s="21"/>
      <c r="BW179" s="21"/>
      <c r="BX179" s="21"/>
      <c r="BY179" s="21"/>
      <c r="BZ179" s="21"/>
      <c r="CA179" s="21"/>
      <c r="CB179" s="21"/>
      <c r="CC179" s="21"/>
      <c r="CD179" s="21"/>
      <c r="CE179" s="21"/>
      <c r="CF179" s="21"/>
      <c r="CG179" s="31">
        <f>$A$36</f>
        <v>20132</v>
      </c>
      <c r="CH179" s="21"/>
      <c r="CI179" s="21"/>
      <c r="CJ179" s="21"/>
      <c r="CK179" s="21"/>
      <c r="CL179" s="21"/>
      <c r="CM179" s="21"/>
      <c r="CN179" s="21"/>
      <c r="CO179" s="21"/>
      <c r="CP179" s="21"/>
      <c r="CQ179" s="21"/>
      <c r="CR179" s="21"/>
      <c r="CS179" s="31">
        <f>$A$36</f>
        <v>20132</v>
      </c>
      <c r="CT179" s="21"/>
      <c r="CU179" s="21"/>
      <c r="CV179" s="21"/>
      <c r="CW179" s="21"/>
      <c r="CX179" s="21"/>
      <c r="CY179" s="21"/>
      <c r="CZ179" s="21"/>
      <c r="DA179" s="21"/>
      <c r="DB179" s="21"/>
      <c r="DC179" s="21"/>
      <c r="DD179" s="21"/>
      <c r="DE179" s="31">
        <f>$A$36</f>
        <v>20132</v>
      </c>
      <c r="DF179" s="21"/>
      <c r="DG179" s="21"/>
      <c r="DH179" s="21"/>
      <c r="DI179" s="21"/>
      <c r="DJ179" s="21"/>
      <c r="DK179" s="21"/>
      <c r="DL179" s="21"/>
      <c r="DM179" s="21"/>
      <c r="DN179" s="21"/>
      <c r="DO179" s="21"/>
      <c r="DP179" s="21"/>
    </row>
    <row r="180" spans="1:120" ht="15" customHeight="1" x14ac:dyDescent="0.25">
      <c r="A180" s="31">
        <f>$A$37</f>
        <v>20142</v>
      </c>
      <c r="B180" s="21"/>
      <c r="C180" s="21">
        <v>65092899.289999999</v>
      </c>
      <c r="D180" s="21">
        <v>70210560.989999995</v>
      </c>
      <c r="E180" s="21">
        <v>74458003.460000008</v>
      </c>
      <c r="F180" s="21">
        <v>75445060.870000005</v>
      </c>
      <c r="G180" s="21">
        <v>76589720.450000003</v>
      </c>
      <c r="H180" s="21">
        <v>77371088.030000001</v>
      </c>
      <c r="I180" s="21">
        <v>78052879.910000011</v>
      </c>
      <c r="J180" s="21">
        <v>79991698.810000002</v>
      </c>
      <c r="K180" s="21">
        <v>81273094.679999992</v>
      </c>
      <c r="L180" s="134"/>
      <c r="M180" s="31">
        <f>$A$37</f>
        <v>20142</v>
      </c>
      <c r="N180" s="21"/>
      <c r="O180" s="21"/>
      <c r="P180" s="21"/>
      <c r="Q180" s="21"/>
      <c r="R180" s="21"/>
      <c r="S180" s="21"/>
      <c r="T180" s="21"/>
      <c r="U180" s="21"/>
      <c r="V180" s="21"/>
      <c r="W180" s="21"/>
      <c r="X180" s="134"/>
      <c r="Y180" s="31">
        <f>$A$37</f>
        <v>20142</v>
      </c>
      <c r="Z180" s="21"/>
      <c r="AA180" s="21"/>
      <c r="AB180" s="21"/>
      <c r="AC180" s="21"/>
      <c r="AD180" s="21"/>
      <c r="AE180" s="21"/>
      <c r="AF180" s="21"/>
      <c r="AG180" s="21"/>
      <c r="AH180" s="21"/>
      <c r="AI180" s="21"/>
      <c r="AJ180" s="134"/>
      <c r="AK180" s="31">
        <f>$A$37</f>
        <v>20142</v>
      </c>
      <c r="AL180" s="21"/>
      <c r="AM180" s="21"/>
      <c r="AN180" s="21"/>
      <c r="AO180" s="21"/>
      <c r="AP180" s="21"/>
      <c r="AQ180" s="21"/>
      <c r="AR180" s="21"/>
      <c r="AS180" s="21"/>
      <c r="AT180" s="21"/>
      <c r="AU180" s="21"/>
      <c r="AV180" s="134"/>
      <c r="AW180" s="31">
        <f>$A$37</f>
        <v>20142</v>
      </c>
      <c r="AX180" s="21"/>
      <c r="AY180" s="21"/>
      <c r="AZ180" s="21"/>
      <c r="BA180" s="21"/>
      <c r="BB180" s="21"/>
      <c r="BC180" s="21"/>
      <c r="BD180" s="21"/>
      <c r="BE180" s="21"/>
      <c r="BF180" s="21"/>
      <c r="BG180" s="21"/>
      <c r="BH180" s="134"/>
      <c r="BI180" s="31">
        <f>$A$37</f>
        <v>20142</v>
      </c>
      <c r="BJ180" s="21"/>
      <c r="BK180" s="21"/>
      <c r="BL180" s="21"/>
      <c r="BM180" s="21"/>
      <c r="BN180" s="21"/>
      <c r="BO180" s="21"/>
      <c r="BP180" s="21"/>
      <c r="BQ180" s="21"/>
      <c r="BR180" s="21"/>
      <c r="BS180" s="21"/>
      <c r="BT180" s="134"/>
      <c r="BU180" s="31">
        <f>$A$37</f>
        <v>20142</v>
      </c>
      <c r="BV180" s="21"/>
      <c r="BW180" s="21"/>
      <c r="BX180" s="21"/>
      <c r="BY180" s="21"/>
      <c r="BZ180" s="21"/>
      <c r="CA180" s="21"/>
      <c r="CB180" s="21"/>
      <c r="CC180" s="21"/>
      <c r="CD180" s="21"/>
      <c r="CE180" s="21"/>
      <c r="CF180" s="134"/>
      <c r="CG180" s="31">
        <f>$A$37</f>
        <v>20142</v>
      </c>
      <c r="CH180" s="21"/>
      <c r="CI180" s="21"/>
      <c r="CJ180" s="21"/>
      <c r="CK180" s="21"/>
      <c r="CL180" s="21"/>
      <c r="CM180" s="21"/>
      <c r="CN180" s="21"/>
      <c r="CO180" s="21"/>
      <c r="CP180" s="21"/>
      <c r="CQ180" s="21"/>
      <c r="CR180" s="134"/>
      <c r="CS180" s="31">
        <f>$A$37</f>
        <v>20142</v>
      </c>
      <c r="CT180" s="21"/>
      <c r="CU180" s="21"/>
      <c r="CV180" s="21"/>
      <c r="CW180" s="21"/>
      <c r="CX180" s="21"/>
      <c r="CY180" s="21"/>
      <c r="CZ180" s="21"/>
      <c r="DA180" s="21"/>
      <c r="DB180" s="21"/>
      <c r="DC180" s="21"/>
      <c r="DD180" s="134"/>
      <c r="DE180" s="31">
        <f>$A$37</f>
        <v>20142</v>
      </c>
      <c r="DF180" s="21"/>
      <c r="DG180" s="21"/>
      <c r="DH180" s="21"/>
      <c r="DI180" s="21"/>
      <c r="DJ180" s="21"/>
      <c r="DK180" s="21"/>
      <c r="DL180" s="21"/>
      <c r="DM180" s="21"/>
      <c r="DN180" s="21"/>
      <c r="DO180" s="21"/>
      <c r="DP180" s="134"/>
    </row>
    <row r="181" spans="1:120" ht="15" customHeight="1" x14ac:dyDescent="0.25">
      <c r="A181" s="31">
        <f>$A$38</f>
        <v>20152</v>
      </c>
      <c r="B181" s="21"/>
      <c r="C181" s="21">
        <v>66883719.189999998</v>
      </c>
      <c r="D181" s="21">
        <v>73562915.060000002</v>
      </c>
      <c r="E181" s="21">
        <v>78085182.620000005</v>
      </c>
      <c r="F181" s="21">
        <v>82253244.280000001</v>
      </c>
      <c r="G181" s="21">
        <v>84513927.760000005</v>
      </c>
      <c r="H181" s="21">
        <v>86467485.540000007</v>
      </c>
      <c r="I181" s="21">
        <v>88106327.939999998</v>
      </c>
      <c r="J181" s="21">
        <v>90670381.799999997</v>
      </c>
      <c r="K181" s="134"/>
      <c r="L181" s="134"/>
      <c r="M181" s="31">
        <f>$A$38</f>
        <v>20152</v>
      </c>
      <c r="N181" s="21"/>
      <c r="O181" s="21"/>
      <c r="P181" s="21"/>
      <c r="Q181" s="21"/>
      <c r="R181" s="21"/>
      <c r="S181" s="21"/>
      <c r="T181" s="21"/>
      <c r="U181" s="21"/>
      <c r="V181" s="21"/>
      <c r="W181" s="134"/>
      <c r="X181" s="134"/>
      <c r="Y181" s="31">
        <f>$A$38</f>
        <v>20152</v>
      </c>
      <c r="Z181" s="21"/>
      <c r="AA181" s="21"/>
      <c r="AB181" s="21"/>
      <c r="AC181" s="21"/>
      <c r="AD181" s="21"/>
      <c r="AE181" s="21"/>
      <c r="AF181" s="21"/>
      <c r="AG181" s="21"/>
      <c r="AH181" s="21"/>
      <c r="AI181" s="134"/>
      <c r="AJ181" s="134"/>
      <c r="AK181" s="31">
        <f>$A$38</f>
        <v>20152</v>
      </c>
      <c r="AL181" s="21"/>
      <c r="AM181" s="21"/>
      <c r="AN181" s="21"/>
      <c r="AO181" s="21"/>
      <c r="AP181" s="21"/>
      <c r="AQ181" s="21"/>
      <c r="AR181" s="21"/>
      <c r="AS181" s="21"/>
      <c r="AT181" s="21"/>
      <c r="AU181" s="134"/>
      <c r="AV181" s="134"/>
      <c r="AW181" s="31">
        <f>$A$38</f>
        <v>20152</v>
      </c>
      <c r="AX181" s="21"/>
      <c r="AY181" s="21"/>
      <c r="AZ181" s="21"/>
      <c r="BA181" s="21"/>
      <c r="BB181" s="21"/>
      <c r="BC181" s="21"/>
      <c r="BD181" s="21"/>
      <c r="BE181" s="21"/>
      <c r="BF181" s="21"/>
      <c r="BG181" s="134"/>
      <c r="BH181" s="134"/>
      <c r="BI181" s="31">
        <f>$A$38</f>
        <v>20152</v>
      </c>
      <c r="BJ181" s="21"/>
      <c r="BK181" s="21"/>
      <c r="BL181" s="21"/>
      <c r="BM181" s="21"/>
      <c r="BN181" s="21"/>
      <c r="BO181" s="21"/>
      <c r="BP181" s="21"/>
      <c r="BQ181" s="21"/>
      <c r="BR181" s="21"/>
      <c r="BS181" s="134"/>
      <c r="BT181" s="134"/>
      <c r="BU181" s="31">
        <f>$A$38</f>
        <v>20152</v>
      </c>
      <c r="BV181" s="21"/>
      <c r="BW181" s="21"/>
      <c r="BX181" s="21"/>
      <c r="BY181" s="21"/>
      <c r="BZ181" s="21"/>
      <c r="CA181" s="21"/>
      <c r="CB181" s="21"/>
      <c r="CC181" s="21"/>
      <c r="CD181" s="21"/>
      <c r="CE181" s="134"/>
      <c r="CF181" s="134"/>
      <c r="CG181" s="31">
        <f>$A$38</f>
        <v>20152</v>
      </c>
      <c r="CH181" s="21"/>
      <c r="CI181" s="21"/>
      <c r="CJ181" s="21"/>
      <c r="CK181" s="21"/>
      <c r="CL181" s="21"/>
      <c r="CM181" s="21"/>
      <c r="CN181" s="21"/>
      <c r="CO181" s="21"/>
      <c r="CP181" s="21"/>
      <c r="CQ181" s="134"/>
      <c r="CR181" s="134"/>
      <c r="CS181" s="31">
        <f>$A$38</f>
        <v>20152</v>
      </c>
      <c r="CT181" s="21"/>
      <c r="CU181" s="21"/>
      <c r="CV181" s="21"/>
      <c r="CW181" s="21"/>
      <c r="CX181" s="21"/>
      <c r="CY181" s="21"/>
      <c r="CZ181" s="21"/>
      <c r="DA181" s="21"/>
      <c r="DB181" s="21"/>
      <c r="DC181" s="134"/>
      <c r="DD181" s="134"/>
      <c r="DE181" s="31">
        <f>$A$38</f>
        <v>20152</v>
      </c>
      <c r="DF181" s="21"/>
      <c r="DG181" s="21"/>
      <c r="DH181" s="21"/>
      <c r="DI181" s="21"/>
      <c r="DJ181" s="21"/>
      <c r="DK181" s="21"/>
      <c r="DL181" s="21"/>
      <c r="DM181" s="21"/>
      <c r="DN181" s="21"/>
      <c r="DO181" s="134"/>
      <c r="DP181" s="134"/>
    </row>
    <row r="182" spans="1:120" ht="15" customHeight="1" x14ac:dyDescent="0.25">
      <c r="A182" s="31">
        <f>$A$39</f>
        <v>20162</v>
      </c>
      <c r="B182" s="21"/>
      <c r="C182" s="21">
        <v>71849111.789999992</v>
      </c>
      <c r="D182" s="21">
        <v>77790668.430000007</v>
      </c>
      <c r="E182" s="21">
        <v>82650050.74000001</v>
      </c>
      <c r="F182" s="21">
        <v>86829318.070000008</v>
      </c>
      <c r="G182" s="21">
        <v>88450648.960000008</v>
      </c>
      <c r="H182" s="21">
        <v>89631609.989999995</v>
      </c>
      <c r="I182" s="21">
        <v>90358437.86999999</v>
      </c>
      <c r="J182" s="134"/>
      <c r="K182" s="134"/>
      <c r="L182" s="134"/>
      <c r="M182" s="31">
        <f>$A$39</f>
        <v>20162</v>
      </c>
      <c r="N182" s="21"/>
      <c r="O182" s="21"/>
      <c r="P182" s="21"/>
      <c r="Q182" s="21"/>
      <c r="R182" s="21"/>
      <c r="S182" s="21"/>
      <c r="T182" s="21"/>
      <c r="U182" s="21"/>
      <c r="V182" s="134"/>
      <c r="W182" s="134"/>
      <c r="X182" s="134"/>
      <c r="Y182" s="31">
        <f>$A$39</f>
        <v>20162</v>
      </c>
      <c r="Z182" s="21"/>
      <c r="AA182" s="21"/>
      <c r="AB182" s="21"/>
      <c r="AC182" s="21"/>
      <c r="AD182" s="21"/>
      <c r="AE182" s="21"/>
      <c r="AF182" s="21"/>
      <c r="AG182" s="21"/>
      <c r="AH182" s="134"/>
      <c r="AI182" s="134"/>
      <c r="AJ182" s="134"/>
      <c r="AK182" s="31">
        <f>$A$39</f>
        <v>20162</v>
      </c>
      <c r="AL182" s="21"/>
      <c r="AM182" s="21"/>
      <c r="AN182" s="21"/>
      <c r="AO182" s="21"/>
      <c r="AP182" s="21"/>
      <c r="AQ182" s="21"/>
      <c r="AR182" s="21"/>
      <c r="AS182" s="21"/>
      <c r="AT182" s="134"/>
      <c r="AU182" s="134"/>
      <c r="AV182" s="134"/>
      <c r="AW182" s="31">
        <f>$A$39</f>
        <v>20162</v>
      </c>
      <c r="AX182" s="21"/>
      <c r="AY182" s="21"/>
      <c r="AZ182" s="21"/>
      <c r="BA182" s="21"/>
      <c r="BB182" s="21"/>
      <c r="BC182" s="21"/>
      <c r="BD182" s="21"/>
      <c r="BE182" s="21"/>
      <c r="BF182" s="134"/>
      <c r="BG182" s="134"/>
      <c r="BH182" s="134"/>
      <c r="BI182" s="31">
        <f>$A$39</f>
        <v>20162</v>
      </c>
      <c r="BJ182" s="21"/>
      <c r="BK182" s="21"/>
      <c r="BL182" s="21"/>
      <c r="BM182" s="21"/>
      <c r="BN182" s="21"/>
      <c r="BO182" s="21"/>
      <c r="BP182" s="21"/>
      <c r="BQ182" s="21"/>
      <c r="BR182" s="134"/>
      <c r="BS182" s="134"/>
      <c r="BT182" s="134"/>
      <c r="BU182" s="31">
        <f>$A$39</f>
        <v>20162</v>
      </c>
      <c r="BV182" s="21"/>
      <c r="BW182" s="21"/>
      <c r="BX182" s="21"/>
      <c r="BY182" s="21"/>
      <c r="BZ182" s="21"/>
      <c r="CA182" s="21"/>
      <c r="CB182" s="21"/>
      <c r="CC182" s="21"/>
      <c r="CD182" s="134"/>
      <c r="CE182" s="134"/>
      <c r="CF182" s="134"/>
      <c r="CG182" s="31">
        <f>$A$39</f>
        <v>20162</v>
      </c>
      <c r="CH182" s="21"/>
      <c r="CI182" s="21"/>
      <c r="CJ182" s="21"/>
      <c r="CK182" s="21"/>
      <c r="CL182" s="21"/>
      <c r="CM182" s="21"/>
      <c r="CN182" s="21"/>
      <c r="CO182" s="21"/>
      <c r="CP182" s="134"/>
      <c r="CQ182" s="134"/>
      <c r="CR182" s="134"/>
      <c r="CS182" s="31">
        <f>$A$39</f>
        <v>20162</v>
      </c>
      <c r="CT182" s="21"/>
      <c r="CU182" s="21"/>
      <c r="CV182" s="21"/>
      <c r="CW182" s="21"/>
      <c r="CX182" s="21"/>
      <c r="CY182" s="21"/>
      <c r="CZ182" s="21"/>
      <c r="DA182" s="21"/>
      <c r="DB182" s="134"/>
      <c r="DC182" s="134"/>
      <c r="DD182" s="134"/>
      <c r="DE182" s="31">
        <f>$A$39</f>
        <v>20162</v>
      </c>
      <c r="DF182" s="21"/>
      <c r="DG182" s="21"/>
      <c r="DH182" s="21"/>
      <c r="DI182" s="21"/>
      <c r="DJ182" s="21"/>
      <c r="DK182" s="21"/>
      <c r="DL182" s="21"/>
      <c r="DM182" s="21"/>
      <c r="DN182" s="134"/>
      <c r="DO182" s="134"/>
      <c r="DP182" s="134"/>
    </row>
    <row r="183" spans="1:120" ht="15" customHeight="1" x14ac:dyDescent="0.25">
      <c r="A183" s="31">
        <f>$A$40</f>
        <v>20172</v>
      </c>
      <c r="B183" s="21"/>
      <c r="C183" s="21">
        <v>80104064.180000007</v>
      </c>
      <c r="D183" s="21">
        <v>90407604.570000008</v>
      </c>
      <c r="E183" s="21">
        <v>95473992.049999997</v>
      </c>
      <c r="F183" s="21">
        <v>99204801.599999994</v>
      </c>
      <c r="G183" s="21">
        <v>101557859.01000001</v>
      </c>
      <c r="H183" s="21">
        <v>104247707.17</v>
      </c>
      <c r="I183" s="134"/>
      <c r="J183" s="134"/>
      <c r="K183" s="134"/>
      <c r="L183" s="134"/>
      <c r="M183" s="31">
        <f>$A$40</f>
        <v>20172</v>
      </c>
      <c r="N183" s="21"/>
      <c r="O183" s="21"/>
      <c r="P183" s="21"/>
      <c r="Q183" s="21"/>
      <c r="R183" s="21"/>
      <c r="S183" s="21"/>
      <c r="T183" s="21"/>
      <c r="U183" s="134"/>
      <c r="V183" s="134"/>
      <c r="W183" s="134"/>
      <c r="X183" s="134"/>
      <c r="Y183" s="31">
        <f>$A$40</f>
        <v>20172</v>
      </c>
      <c r="Z183" s="21"/>
      <c r="AA183" s="21"/>
      <c r="AB183" s="21"/>
      <c r="AC183" s="21"/>
      <c r="AD183" s="21"/>
      <c r="AE183" s="21"/>
      <c r="AF183" s="21"/>
      <c r="AG183" s="134"/>
      <c r="AH183" s="134"/>
      <c r="AI183" s="134"/>
      <c r="AJ183" s="134"/>
      <c r="AK183" s="31">
        <f>$A$40</f>
        <v>20172</v>
      </c>
      <c r="AL183" s="21"/>
      <c r="AM183" s="21"/>
      <c r="AN183" s="21"/>
      <c r="AO183" s="21"/>
      <c r="AP183" s="21"/>
      <c r="AQ183" s="21"/>
      <c r="AR183" s="21"/>
      <c r="AS183" s="134"/>
      <c r="AT183" s="134"/>
      <c r="AU183" s="134"/>
      <c r="AV183" s="134"/>
      <c r="AW183" s="31">
        <f>$A$40</f>
        <v>20172</v>
      </c>
      <c r="AX183" s="21"/>
      <c r="AY183" s="21"/>
      <c r="AZ183" s="21"/>
      <c r="BA183" s="21"/>
      <c r="BB183" s="21"/>
      <c r="BC183" s="21"/>
      <c r="BD183" s="21"/>
      <c r="BE183" s="134"/>
      <c r="BF183" s="134"/>
      <c r="BG183" s="134"/>
      <c r="BH183" s="134"/>
      <c r="BI183" s="31">
        <f>$A$40</f>
        <v>20172</v>
      </c>
      <c r="BJ183" s="21"/>
      <c r="BK183" s="21"/>
      <c r="BL183" s="21"/>
      <c r="BM183" s="21"/>
      <c r="BN183" s="21"/>
      <c r="BO183" s="21"/>
      <c r="BP183" s="21"/>
      <c r="BQ183" s="134"/>
      <c r="BR183" s="134"/>
      <c r="BS183" s="134"/>
      <c r="BT183" s="134"/>
      <c r="BU183" s="31">
        <f>$A$40</f>
        <v>20172</v>
      </c>
      <c r="BV183" s="21"/>
      <c r="BW183" s="21"/>
      <c r="BX183" s="21"/>
      <c r="BY183" s="21"/>
      <c r="BZ183" s="21"/>
      <c r="CA183" s="21"/>
      <c r="CB183" s="21"/>
      <c r="CC183" s="134"/>
      <c r="CD183" s="134"/>
      <c r="CE183" s="134"/>
      <c r="CF183" s="134"/>
      <c r="CG183" s="31">
        <f>$A$40</f>
        <v>20172</v>
      </c>
      <c r="CH183" s="21"/>
      <c r="CI183" s="21"/>
      <c r="CJ183" s="21"/>
      <c r="CK183" s="21"/>
      <c r="CL183" s="21"/>
      <c r="CM183" s="21"/>
      <c r="CN183" s="21"/>
      <c r="CO183" s="134"/>
      <c r="CP183" s="134"/>
      <c r="CQ183" s="134"/>
      <c r="CR183" s="134"/>
      <c r="CS183" s="31">
        <f>$A$40</f>
        <v>20172</v>
      </c>
      <c r="CT183" s="21"/>
      <c r="CU183" s="21"/>
      <c r="CV183" s="21"/>
      <c r="CW183" s="21"/>
      <c r="CX183" s="21"/>
      <c r="CY183" s="21"/>
      <c r="CZ183" s="21"/>
      <c r="DA183" s="134"/>
      <c r="DB183" s="134"/>
      <c r="DC183" s="134"/>
      <c r="DD183" s="134"/>
      <c r="DE183" s="31">
        <f>$A$40</f>
        <v>20172</v>
      </c>
      <c r="DF183" s="21"/>
      <c r="DG183" s="21"/>
      <c r="DH183" s="21"/>
      <c r="DI183" s="21"/>
      <c r="DJ183" s="21"/>
      <c r="DK183" s="21"/>
      <c r="DL183" s="21"/>
      <c r="DM183" s="134"/>
      <c r="DN183" s="134"/>
      <c r="DO183" s="134"/>
      <c r="DP183" s="134"/>
    </row>
    <row r="184" spans="1:120" ht="15" customHeight="1" x14ac:dyDescent="0.25">
      <c r="A184" s="31">
        <f>$A$41</f>
        <v>20182</v>
      </c>
      <c r="B184" s="21"/>
      <c r="C184" s="21">
        <v>58801948.560000002</v>
      </c>
      <c r="D184" s="21">
        <v>68168763.439999998</v>
      </c>
      <c r="E184" s="21">
        <v>71949083.920000002</v>
      </c>
      <c r="F184" s="21">
        <v>76098612.150000006</v>
      </c>
      <c r="G184" s="21">
        <v>78965562.150000006</v>
      </c>
      <c r="H184" s="134"/>
      <c r="I184" s="134"/>
      <c r="J184" s="134"/>
      <c r="K184" s="134"/>
      <c r="L184" s="134"/>
      <c r="M184" s="31">
        <f>$A$41</f>
        <v>20182</v>
      </c>
      <c r="N184" s="21"/>
      <c r="O184" s="21"/>
      <c r="P184" s="21"/>
      <c r="Q184" s="21"/>
      <c r="R184" s="21"/>
      <c r="S184" s="21"/>
      <c r="T184" s="134"/>
      <c r="U184" s="134"/>
      <c r="V184" s="134"/>
      <c r="W184" s="134"/>
      <c r="X184" s="134"/>
      <c r="Y184" s="31">
        <f>$A$41</f>
        <v>20182</v>
      </c>
      <c r="Z184" s="21"/>
      <c r="AA184" s="21"/>
      <c r="AB184" s="21"/>
      <c r="AC184" s="21"/>
      <c r="AD184" s="21"/>
      <c r="AE184" s="21"/>
      <c r="AF184" s="134"/>
      <c r="AG184" s="134"/>
      <c r="AH184" s="134"/>
      <c r="AI184" s="134"/>
      <c r="AJ184" s="134"/>
      <c r="AK184" s="31">
        <f>$A$41</f>
        <v>20182</v>
      </c>
      <c r="AL184" s="21"/>
      <c r="AM184" s="21"/>
      <c r="AN184" s="21"/>
      <c r="AO184" s="21"/>
      <c r="AP184" s="21"/>
      <c r="AQ184" s="21"/>
      <c r="AR184" s="134"/>
      <c r="AS184" s="134"/>
      <c r="AT184" s="134"/>
      <c r="AU184" s="134"/>
      <c r="AV184" s="134"/>
      <c r="AW184" s="31">
        <f>$A$41</f>
        <v>20182</v>
      </c>
      <c r="AX184" s="21"/>
      <c r="AY184" s="21"/>
      <c r="AZ184" s="21"/>
      <c r="BA184" s="21"/>
      <c r="BB184" s="21"/>
      <c r="BC184" s="21"/>
      <c r="BD184" s="134"/>
      <c r="BE184" s="134"/>
      <c r="BF184" s="134"/>
      <c r="BG184" s="134"/>
      <c r="BH184" s="134"/>
      <c r="BI184" s="31">
        <f>$A$41</f>
        <v>20182</v>
      </c>
      <c r="BJ184" s="21"/>
      <c r="BK184" s="21"/>
      <c r="BL184" s="21"/>
      <c r="BM184" s="21"/>
      <c r="BN184" s="21"/>
      <c r="BO184" s="21"/>
      <c r="BP184" s="134"/>
      <c r="BQ184" s="134"/>
      <c r="BR184" s="134"/>
      <c r="BS184" s="134"/>
      <c r="BT184" s="134"/>
      <c r="BU184" s="31">
        <f>$A$41</f>
        <v>20182</v>
      </c>
      <c r="BV184" s="21"/>
      <c r="BW184" s="21"/>
      <c r="BX184" s="21"/>
      <c r="BY184" s="21"/>
      <c r="BZ184" s="21"/>
      <c r="CA184" s="21"/>
      <c r="CB184" s="134"/>
      <c r="CC184" s="134"/>
      <c r="CD184" s="134"/>
      <c r="CE184" s="134"/>
      <c r="CF184" s="134"/>
      <c r="CG184" s="31">
        <f>$A$41</f>
        <v>20182</v>
      </c>
      <c r="CH184" s="21"/>
      <c r="CI184" s="21"/>
      <c r="CJ184" s="21"/>
      <c r="CK184" s="21"/>
      <c r="CL184" s="21"/>
      <c r="CM184" s="21"/>
      <c r="CN184" s="134"/>
      <c r="CO184" s="134"/>
      <c r="CP184" s="134"/>
      <c r="CQ184" s="134"/>
      <c r="CR184" s="134"/>
      <c r="CS184" s="31">
        <f>$A$41</f>
        <v>20182</v>
      </c>
      <c r="CT184" s="21"/>
      <c r="CU184" s="21"/>
      <c r="CV184" s="21"/>
      <c r="CW184" s="21"/>
      <c r="CX184" s="21"/>
      <c r="CY184" s="21"/>
      <c r="CZ184" s="134"/>
      <c r="DA184" s="134"/>
      <c r="DB184" s="134"/>
      <c r="DC184" s="134"/>
      <c r="DD184" s="134"/>
      <c r="DE184" s="31">
        <f>$A$41</f>
        <v>20182</v>
      </c>
      <c r="DF184" s="21"/>
      <c r="DG184" s="21"/>
      <c r="DH184" s="21"/>
      <c r="DI184" s="21"/>
      <c r="DJ184" s="21"/>
      <c r="DK184" s="21"/>
      <c r="DL184" s="134"/>
      <c r="DM184" s="134"/>
      <c r="DN184" s="134"/>
      <c r="DO184" s="134"/>
      <c r="DP184" s="134"/>
    </row>
    <row r="185" spans="1:120" ht="15" customHeight="1" x14ac:dyDescent="0.25">
      <c r="A185" s="31">
        <f>$A$42</f>
        <v>20192</v>
      </c>
      <c r="B185" s="21"/>
      <c r="C185" s="21">
        <v>67938255.909999996</v>
      </c>
      <c r="D185" s="21">
        <v>79475030.350000009</v>
      </c>
      <c r="E185" s="21">
        <v>86755371.910000011</v>
      </c>
      <c r="F185" s="21">
        <v>92485888.469999999</v>
      </c>
      <c r="G185" s="134"/>
      <c r="H185" s="134"/>
      <c r="I185" s="134"/>
      <c r="J185" s="134"/>
      <c r="K185" s="134"/>
      <c r="L185" s="134"/>
      <c r="M185" s="31">
        <f>$A$42</f>
        <v>20192</v>
      </c>
      <c r="N185" s="21"/>
      <c r="O185" s="21"/>
      <c r="P185" s="21"/>
      <c r="Q185" s="21"/>
      <c r="R185" s="21"/>
      <c r="S185" s="134"/>
      <c r="T185" s="134"/>
      <c r="U185" s="134"/>
      <c r="V185" s="134"/>
      <c r="W185" s="134"/>
      <c r="X185" s="134"/>
      <c r="Y185" s="31">
        <f>$A$42</f>
        <v>20192</v>
      </c>
      <c r="Z185" s="21"/>
      <c r="AA185" s="21"/>
      <c r="AB185" s="21"/>
      <c r="AC185" s="21"/>
      <c r="AD185" s="21"/>
      <c r="AE185" s="134"/>
      <c r="AF185" s="134"/>
      <c r="AG185" s="134"/>
      <c r="AH185" s="134"/>
      <c r="AI185" s="134"/>
      <c r="AJ185" s="134"/>
      <c r="AK185" s="31">
        <f>$A$42</f>
        <v>20192</v>
      </c>
      <c r="AL185" s="21"/>
      <c r="AM185" s="21"/>
      <c r="AN185" s="21"/>
      <c r="AO185" s="21"/>
      <c r="AP185" s="21"/>
      <c r="AQ185" s="134"/>
      <c r="AR185" s="134"/>
      <c r="AS185" s="134"/>
      <c r="AT185" s="134"/>
      <c r="AU185" s="134"/>
      <c r="AV185" s="134"/>
      <c r="AW185" s="31">
        <f>$A$42</f>
        <v>20192</v>
      </c>
      <c r="AX185" s="21"/>
      <c r="AY185" s="21"/>
      <c r="AZ185" s="21"/>
      <c r="BA185" s="21"/>
      <c r="BB185" s="21"/>
      <c r="BC185" s="134"/>
      <c r="BD185" s="134"/>
      <c r="BE185" s="134"/>
      <c r="BF185" s="134"/>
      <c r="BG185" s="134"/>
      <c r="BH185" s="134"/>
      <c r="BI185" s="31">
        <f>$A$42</f>
        <v>20192</v>
      </c>
      <c r="BJ185" s="21"/>
      <c r="BK185" s="21"/>
      <c r="BL185" s="21"/>
      <c r="BM185" s="21"/>
      <c r="BN185" s="21"/>
      <c r="BO185" s="134"/>
      <c r="BP185" s="134"/>
      <c r="BQ185" s="134"/>
      <c r="BR185" s="134"/>
      <c r="BS185" s="134"/>
      <c r="BT185" s="134"/>
      <c r="BU185" s="31">
        <f>$A$42</f>
        <v>20192</v>
      </c>
      <c r="BV185" s="21"/>
      <c r="BW185" s="21"/>
      <c r="BX185" s="21"/>
      <c r="BY185" s="21"/>
      <c r="BZ185" s="21"/>
      <c r="CA185" s="134"/>
      <c r="CB185" s="134"/>
      <c r="CC185" s="134"/>
      <c r="CD185" s="134"/>
      <c r="CE185" s="134"/>
      <c r="CF185" s="134"/>
      <c r="CG185" s="31">
        <f>$A$42</f>
        <v>20192</v>
      </c>
      <c r="CH185" s="21"/>
      <c r="CI185" s="21"/>
      <c r="CJ185" s="21"/>
      <c r="CK185" s="21"/>
      <c r="CL185" s="21"/>
      <c r="CM185" s="134"/>
      <c r="CN185" s="134"/>
      <c r="CO185" s="134"/>
      <c r="CP185" s="134"/>
      <c r="CQ185" s="134"/>
      <c r="CR185" s="134"/>
      <c r="CS185" s="31">
        <f>$A$42</f>
        <v>20192</v>
      </c>
      <c r="CT185" s="21"/>
      <c r="CU185" s="21"/>
      <c r="CV185" s="21"/>
      <c r="CW185" s="21"/>
      <c r="CX185" s="21"/>
      <c r="CY185" s="134"/>
      <c r="CZ185" s="134"/>
      <c r="DA185" s="134"/>
      <c r="DB185" s="134"/>
      <c r="DC185" s="134"/>
      <c r="DD185" s="134"/>
      <c r="DE185" s="31">
        <f>$A$42</f>
        <v>20192</v>
      </c>
      <c r="DF185" s="21"/>
      <c r="DG185" s="21"/>
      <c r="DH185" s="21"/>
      <c r="DI185" s="21"/>
      <c r="DJ185" s="21"/>
      <c r="DK185" s="134"/>
      <c r="DL185" s="134"/>
      <c r="DM185" s="134"/>
      <c r="DN185" s="134"/>
      <c r="DO185" s="134"/>
      <c r="DP185" s="134"/>
    </row>
    <row r="186" spans="1:120" ht="15" customHeight="1" x14ac:dyDescent="0.25">
      <c r="A186" s="31">
        <f>$A$43</f>
        <v>20202</v>
      </c>
      <c r="B186" s="21"/>
      <c r="C186" s="21">
        <v>65700294.269999996</v>
      </c>
      <c r="D186" s="21">
        <v>75994698.799999997</v>
      </c>
      <c r="E186" s="21">
        <v>84262312.030000001</v>
      </c>
      <c r="F186" s="134"/>
      <c r="G186" s="134"/>
      <c r="H186" s="134"/>
      <c r="I186" s="134"/>
      <c r="J186" s="134"/>
      <c r="K186" s="134"/>
      <c r="L186" s="134"/>
      <c r="M186" s="31">
        <f>$A$43</f>
        <v>20202</v>
      </c>
      <c r="N186" s="21"/>
      <c r="O186" s="21"/>
      <c r="P186" s="21"/>
      <c r="Q186" s="21"/>
      <c r="R186" s="134"/>
      <c r="S186" s="134"/>
      <c r="T186" s="134"/>
      <c r="U186" s="134"/>
      <c r="V186" s="134"/>
      <c r="W186" s="134"/>
      <c r="X186" s="134"/>
      <c r="Y186" s="31">
        <f>$A$43</f>
        <v>20202</v>
      </c>
      <c r="Z186" s="21"/>
      <c r="AA186" s="21"/>
      <c r="AB186" s="21"/>
      <c r="AC186" s="21"/>
      <c r="AD186" s="134"/>
      <c r="AE186" s="134"/>
      <c r="AF186" s="134"/>
      <c r="AG186" s="134"/>
      <c r="AH186" s="134"/>
      <c r="AI186" s="134"/>
      <c r="AJ186" s="134"/>
      <c r="AK186" s="31">
        <f>$A$43</f>
        <v>20202</v>
      </c>
      <c r="AL186" s="21"/>
      <c r="AM186" s="21"/>
      <c r="AN186" s="21"/>
      <c r="AO186" s="21"/>
      <c r="AP186" s="134"/>
      <c r="AQ186" s="134"/>
      <c r="AR186" s="134"/>
      <c r="AS186" s="134"/>
      <c r="AT186" s="134"/>
      <c r="AU186" s="134"/>
      <c r="AV186" s="134"/>
      <c r="AW186" s="31">
        <f>$A$43</f>
        <v>20202</v>
      </c>
      <c r="AX186" s="21"/>
      <c r="AY186" s="21"/>
      <c r="AZ186" s="21"/>
      <c r="BA186" s="21"/>
      <c r="BB186" s="134"/>
      <c r="BC186" s="134"/>
      <c r="BD186" s="134"/>
      <c r="BE186" s="134"/>
      <c r="BF186" s="134"/>
      <c r="BG186" s="134"/>
      <c r="BH186" s="134"/>
      <c r="BI186" s="31">
        <f>$A$43</f>
        <v>20202</v>
      </c>
      <c r="BJ186" s="21"/>
      <c r="BK186" s="21"/>
      <c r="BL186" s="21"/>
      <c r="BM186" s="21"/>
      <c r="BN186" s="134"/>
      <c r="BO186" s="134"/>
      <c r="BP186" s="134"/>
      <c r="BQ186" s="134"/>
      <c r="BR186" s="134"/>
      <c r="BS186" s="134"/>
      <c r="BT186" s="134"/>
      <c r="BU186" s="31">
        <f>$A$43</f>
        <v>20202</v>
      </c>
      <c r="BV186" s="21"/>
      <c r="BW186" s="21"/>
      <c r="BX186" s="21"/>
      <c r="BY186" s="21"/>
      <c r="BZ186" s="134"/>
      <c r="CA186" s="134"/>
      <c r="CB186" s="134"/>
      <c r="CC186" s="134"/>
      <c r="CD186" s="134"/>
      <c r="CE186" s="134"/>
      <c r="CF186" s="134"/>
      <c r="CG186" s="31">
        <f>$A$43</f>
        <v>20202</v>
      </c>
      <c r="CH186" s="21"/>
      <c r="CI186" s="21"/>
      <c r="CJ186" s="21"/>
      <c r="CK186" s="21"/>
      <c r="CL186" s="134"/>
      <c r="CM186" s="134"/>
      <c r="CN186" s="134"/>
      <c r="CO186" s="134"/>
      <c r="CP186" s="134"/>
      <c r="CQ186" s="134"/>
      <c r="CR186" s="134"/>
      <c r="CS186" s="31">
        <f>$A$43</f>
        <v>20202</v>
      </c>
      <c r="CT186" s="21"/>
      <c r="CU186" s="21"/>
      <c r="CV186" s="21"/>
      <c r="CW186" s="21"/>
      <c r="CX186" s="134"/>
      <c r="CY186" s="134"/>
      <c r="CZ186" s="134"/>
      <c r="DA186" s="134"/>
      <c r="DB186" s="134"/>
      <c r="DC186" s="134"/>
      <c r="DD186" s="134"/>
      <c r="DE186" s="31">
        <f>$A$43</f>
        <v>20202</v>
      </c>
      <c r="DF186" s="21"/>
      <c r="DG186" s="21"/>
      <c r="DH186" s="21"/>
      <c r="DI186" s="21"/>
      <c r="DJ186" s="134"/>
      <c r="DK186" s="134"/>
      <c r="DL186" s="134"/>
      <c r="DM186" s="134"/>
      <c r="DN186" s="134"/>
      <c r="DO186" s="134"/>
      <c r="DP186" s="134"/>
    </row>
    <row r="187" spans="1:120" ht="15" customHeight="1" x14ac:dyDescent="0.25">
      <c r="A187" s="31">
        <f>$A$44</f>
        <v>20212</v>
      </c>
      <c r="B187" s="21"/>
      <c r="C187" s="21">
        <v>67884758.680000007</v>
      </c>
      <c r="D187" s="21">
        <v>82843044.789999992</v>
      </c>
      <c r="E187" s="134"/>
      <c r="F187" s="134"/>
      <c r="G187" s="134"/>
      <c r="H187" s="134"/>
      <c r="I187" s="134"/>
      <c r="J187" s="134"/>
      <c r="K187" s="134"/>
      <c r="L187" s="134"/>
      <c r="M187" s="31">
        <f>$A$44</f>
        <v>20212</v>
      </c>
      <c r="N187" s="21"/>
      <c r="O187" s="21"/>
      <c r="P187" s="21"/>
      <c r="Q187" s="134"/>
      <c r="R187" s="134"/>
      <c r="S187" s="134"/>
      <c r="T187" s="134"/>
      <c r="U187" s="134"/>
      <c r="V187" s="134"/>
      <c r="W187" s="134"/>
      <c r="X187" s="134"/>
      <c r="Y187" s="31">
        <f>$A$44</f>
        <v>20212</v>
      </c>
      <c r="Z187" s="21"/>
      <c r="AA187" s="21"/>
      <c r="AB187" s="21"/>
      <c r="AC187" s="134"/>
      <c r="AD187" s="134"/>
      <c r="AE187" s="134"/>
      <c r="AF187" s="134"/>
      <c r="AG187" s="134"/>
      <c r="AH187" s="134"/>
      <c r="AI187" s="134"/>
      <c r="AJ187" s="134"/>
      <c r="AK187" s="31">
        <f>$A$44</f>
        <v>20212</v>
      </c>
      <c r="AL187" s="21"/>
      <c r="AM187" s="21"/>
      <c r="AN187" s="21"/>
      <c r="AO187" s="134"/>
      <c r="AP187" s="134"/>
      <c r="AQ187" s="134"/>
      <c r="AR187" s="134"/>
      <c r="AS187" s="134"/>
      <c r="AT187" s="134"/>
      <c r="AU187" s="134"/>
      <c r="AV187" s="134"/>
      <c r="AW187" s="31">
        <f>$A$44</f>
        <v>20212</v>
      </c>
      <c r="AX187" s="21"/>
      <c r="AY187" s="21"/>
      <c r="AZ187" s="21"/>
      <c r="BA187" s="134"/>
      <c r="BB187" s="134"/>
      <c r="BC187" s="134"/>
      <c r="BD187" s="134"/>
      <c r="BE187" s="134"/>
      <c r="BF187" s="134"/>
      <c r="BG187" s="134"/>
      <c r="BH187" s="134"/>
      <c r="BI187" s="31">
        <f>$A$44</f>
        <v>20212</v>
      </c>
      <c r="BJ187" s="21"/>
      <c r="BK187" s="21"/>
      <c r="BL187" s="21"/>
      <c r="BM187" s="134"/>
      <c r="BN187" s="134"/>
      <c r="BO187" s="134"/>
      <c r="BP187" s="134"/>
      <c r="BQ187" s="134"/>
      <c r="BR187" s="134"/>
      <c r="BS187" s="134"/>
      <c r="BT187" s="134"/>
      <c r="BU187" s="31">
        <f>$A$44</f>
        <v>20212</v>
      </c>
      <c r="BV187" s="21"/>
      <c r="BW187" s="21"/>
      <c r="BX187" s="21"/>
      <c r="BY187" s="134"/>
      <c r="BZ187" s="134"/>
      <c r="CA187" s="134"/>
      <c r="CB187" s="134"/>
      <c r="CC187" s="134"/>
      <c r="CD187" s="134"/>
      <c r="CE187" s="134"/>
      <c r="CF187" s="134"/>
      <c r="CG187" s="31">
        <f>$A$44</f>
        <v>20212</v>
      </c>
      <c r="CH187" s="21"/>
      <c r="CI187" s="21"/>
      <c r="CJ187" s="21"/>
      <c r="CK187" s="134"/>
      <c r="CL187" s="134"/>
      <c r="CM187" s="134"/>
      <c r="CN187" s="134"/>
      <c r="CO187" s="134"/>
      <c r="CP187" s="134"/>
      <c r="CQ187" s="134"/>
      <c r="CR187" s="134"/>
      <c r="CS187" s="31">
        <f>$A$44</f>
        <v>20212</v>
      </c>
      <c r="CT187" s="21"/>
      <c r="CU187" s="21"/>
      <c r="CV187" s="21"/>
      <c r="CW187" s="134"/>
      <c r="CX187" s="134"/>
      <c r="CY187" s="134"/>
      <c r="CZ187" s="134"/>
      <c r="DA187" s="134"/>
      <c r="DB187" s="134"/>
      <c r="DC187" s="134"/>
      <c r="DD187" s="134"/>
      <c r="DE187" s="31">
        <f>$A$44</f>
        <v>20212</v>
      </c>
      <c r="DF187" s="21"/>
      <c r="DG187" s="21"/>
      <c r="DH187" s="21"/>
      <c r="DI187" s="134"/>
      <c r="DJ187" s="134"/>
      <c r="DK187" s="134"/>
      <c r="DL187" s="134"/>
      <c r="DM187" s="134"/>
      <c r="DN187" s="134"/>
      <c r="DO187" s="134"/>
      <c r="DP187" s="134"/>
    </row>
    <row r="188" spans="1:120" ht="15" customHeight="1" x14ac:dyDescent="0.25">
      <c r="A188" s="31">
        <f>$A$45</f>
        <v>20222</v>
      </c>
      <c r="B188" s="21"/>
      <c r="C188" s="21">
        <v>80925957.019999996</v>
      </c>
      <c r="D188" s="134"/>
      <c r="E188" s="134"/>
      <c r="F188" s="134"/>
      <c r="G188" s="134"/>
      <c r="H188" s="134"/>
      <c r="I188" s="134"/>
      <c r="J188" s="134"/>
      <c r="K188" s="134"/>
      <c r="L188" s="134"/>
      <c r="M188" s="31">
        <f>$A$45</f>
        <v>20222</v>
      </c>
      <c r="N188" s="21"/>
      <c r="O188" s="21"/>
      <c r="P188" s="134"/>
      <c r="Q188" s="134"/>
      <c r="R188" s="134"/>
      <c r="S188" s="134"/>
      <c r="T188" s="134"/>
      <c r="U188" s="134"/>
      <c r="V188" s="134"/>
      <c r="W188" s="134"/>
      <c r="X188" s="134"/>
      <c r="Y188" s="31">
        <f>$A$45</f>
        <v>20222</v>
      </c>
      <c r="Z188" s="21"/>
      <c r="AA188" s="21"/>
      <c r="AB188" s="134"/>
      <c r="AC188" s="134"/>
      <c r="AD188" s="134"/>
      <c r="AE188" s="134"/>
      <c r="AF188" s="134"/>
      <c r="AG188" s="134"/>
      <c r="AH188" s="134"/>
      <c r="AI188" s="134"/>
      <c r="AJ188" s="134"/>
      <c r="AK188" s="31">
        <f>$A$45</f>
        <v>20222</v>
      </c>
      <c r="AL188" s="21"/>
      <c r="AM188" s="21"/>
      <c r="AN188" s="134"/>
      <c r="AO188" s="134"/>
      <c r="AP188" s="134"/>
      <c r="AQ188" s="134"/>
      <c r="AR188" s="134"/>
      <c r="AS188" s="134"/>
      <c r="AT188" s="134"/>
      <c r="AU188" s="134"/>
      <c r="AV188" s="134"/>
      <c r="AW188" s="31">
        <f>$A$45</f>
        <v>20222</v>
      </c>
      <c r="AX188" s="21"/>
      <c r="AY188" s="21"/>
      <c r="AZ188" s="134"/>
      <c r="BA188" s="134"/>
      <c r="BB188" s="134"/>
      <c r="BC188" s="134"/>
      <c r="BD188" s="134"/>
      <c r="BE188" s="134"/>
      <c r="BF188" s="134"/>
      <c r="BG188" s="134"/>
      <c r="BH188" s="134"/>
      <c r="BI188" s="31">
        <f>$A$45</f>
        <v>20222</v>
      </c>
      <c r="BJ188" s="21"/>
      <c r="BK188" s="21"/>
      <c r="BL188" s="134"/>
      <c r="BM188" s="134"/>
      <c r="BN188" s="134"/>
      <c r="BO188" s="134"/>
      <c r="BP188" s="134"/>
      <c r="BQ188" s="134"/>
      <c r="BR188" s="134"/>
      <c r="BS188" s="134"/>
      <c r="BT188" s="134"/>
      <c r="BU188" s="31">
        <f>$A$45</f>
        <v>20222</v>
      </c>
      <c r="BV188" s="21"/>
      <c r="BW188" s="21"/>
      <c r="BX188" s="134"/>
      <c r="BY188" s="134"/>
      <c r="BZ188" s="134"/>
      <c r="CA188" s="134"/>
      <c r="CB188" s="134"/>
      <c r="CC188" s="134"/>
      <c r="CD188" s="134"/>
      <c r="CE188" s="134"/>
      <c r="CF188" s="134"/>
      <c r="CG188" s="31">
        <f>$A$45</f>
        <v>20222</v>
      </c>
      <c r="CH188" s="21"/>
      <c r="CI188" s="21"/>
      <c r="CJ188" s="134"/>
      <c r="CK188" s="134"/>
      <c r="CL188" s="134"/>
      <c r="CM188" s="134"/>
      <c r="CN188" s="134"/>
      <c r="CO188" s="134"/>
      <c r="CP188" s="134"/>
      <c r="CQ188" s="134"/>
      <c r="CR188" s="134"/>
      <c r="CS188" s="31">
        <f>$A$45</f>
        <v>20222</v>
      </c>
      <c r="CT188" s="21"/>
      <c r="CU188" s="21"/>
      <c r="CV188" s="134"/>
      <c r="CW188" s="134"/>
      <c r="CX188" s="134"/>
      <c r="CY188" s="134"/>
      <c r="CZ188" s="134"/>
      <c r="DA188" s="134"/>
      <c r="DB188" s="134"/>
      <c r="DC188" s="134"/>
      <c r="DD188" s="134"/>
      <c r="DE188" s="31">
        <f>$A$45</f>
        <v>20222</v>
      </c>
      <c r="DF188" s="21"/>
      <c r="DG188" s="21"/>
      <c r="DH188" s="134"/>
      <c r="DI188" s="134"/>
      <c r="DJ188" s="134"/>
      <c r="DK188" s="134"/>
      <c r="DL188" s="134"/>
      <c r="DM188" s="134"/>
      <c r="DN188" s="134"/>
      <c r="DO188" s="134"/>
      <c r="DP188" s="134"/>
    </row>
    <row r="189" spans="1:120" ht="15" customHeight="1" x14ac:dyDescent="0.25">
      <c r="F189" s="310" t="str">
        <f>IF(AND(ISNUMBER(K192),K192&gt;=1.01),"Reminder: If more than ten years of development is deemed to be required, insurers can provide this data in a supplemental exhibit.","")</f>
        <v/>
      </c>
      <c r="R189" s="310" t="str">
        <f>IF(AND(ISNUMBER(W192),W192&gt;=1.01),"Reminder: If more than ten years of development is deemed to be required, insurers can provide this data in a supplemental exhibit.","")</f>
        <v/>
      </c>
      <c r="AD189" s="310" t="str">
        <f>IF(AND(ISNUMBER(AI192),AI192&gt;=1.01),"Reminder: If more than ten years of development is deemed to be required, insurers can provide this data in a supplemental exhibit.","")</f>
        <v/>
      </c>
      <c r="AP189" s="309" t="str">
        <f>IF(AND(ISNUMBER(AU192),AU192&gt;=1.01),"Reminder: If more than ten years of development is deemed to be required, insurers can provide this data in a supplemental exhibit.","")</f>
        <v/>
      </c>
      <c r="BB189" s="310" t="str">
        <f>IF(AND(ISNUMBER(BG192),BG192&gt;=1.01),"Reminder: If more than ten years of development is deemed to be required, insurers can provide this data in a supplemental exhibit.","")</f>
        <v/>
      </c>
      <c r="BN189" s="310" t="str">
        <f>IF(AND(ISNUMBER(BS192),BS192&gt;=1.01),"Reminder: If more than ten years of development is deemed to be required, insurers can provide this data in a supplemental exhibit.","")</f>
        <v/>
      </c>
      <c r="BZ189" s="310" t="str">
        <f>IF(AND(ISNUMBER(CE192),CE192&gt;=1.01),"Reminder: If more than ten years of development is deemed to be required, insurers can provide this data in a supplemental exhibit.","")</f>
        <v/>
      </c>
      <c r="CL189" s="310" t="str">
        <f>IF(AND(ISNUMBER(CQ192),CQ192&gt;=1.01),"Reminder: If more than ten years of development is deemed to be required, insurers can provide this data in a supplemental exhibit.","")</f>
        <v/>
      </c>
      <c r="CX189" s="310" t="str">
        <f>IF(AND(ISNUMBER(DC192),DC192&gt;=1.01),"Reminder: If more than ten years of development is deemed to be required, insurers can provide this data in a supplemental exhibit.","")</f>
        <v/>
      </c>
      <c r="DJ189" s="310" t="str">
        <f>IF(AND(ISNUMBER(DO192),DO192&gt;=1.01),"Reminder: If more than ten years of development is deemed to be required, insurers can provide this data in a supplemental exhibit.","")</f>
        <v/>
      </c>
    </row>
    <row r="190" spans="1:120" x14ac:dyDescent="0.25">
      <c r="A190" s="130"/>
      <c r="B190" s="131"/>
      <c r="C190" s="131" t="s">
        <v>36</v>
      </c>
      <c r="D190" s="132"/>
      <c r="E190" s="132"/>
      <c r="F190" s="132"/>
      <c r="G190" s="132"/>
      <c r="H190" s="132"/>
      <c r="I190" s="132"/>
      <c r="J190" s="132"/>
      <c r="K190" s="132"/>
      <c r="L190" s="132"/>
      <c r="M190" s="130"/>
      <c r="N190" s="131"/>
      <c r="O190" s="131" t="s">
        <v>36</v>
      </c>
      <c r="P190" s="132"/>
      <c r="Q190" s="132"/>
      <c r="R190" s="132"/>
      <c r="S190" s="132"/>
      <c r="T190" s="132"/>
      <c r="U190" s="132"/>
      <c r="V190" s="132"/>
      <c r="W190" s="132"/>
      <c r="X190" s="132"/>
      <c r="Y190" s="130"/>
      <c r="Z190" s="131"/>
      <c r="AA190" s="131" t="s">
        <v>36</v>
      </c>
      <c r="AB190" s="132"/>
      <c r="AC190" s="132"/>
      <c r="AD190" s="132"/>
      <c r="AE190" s="132"/>
      <c r="AF190" s="132"/>
      <c r="AG190" s="132"/>
      <c r="AH190" s="132"/>
      <c r="AI190" s="132"/>
      <c r="AJ190" s="132"/>
      <c r="AK190" s="130"/>
      <c r="AL190" s="131"/>
      <c r="AM190" s="131" t="s">
        <v>36</v>
      </c>
      <c r="AN190" s="132"/>
      <c r="AO190" s="132"/>
      <c r="AP190" s="132"/>
      <c r="AQ190" s="132"/>
      <c r="AR190" s="132"/>
      <c r="AS190" s="132"/>
      <c r="AT190" s="132"/>
      <c r="AU190" s="132"/>
      <c r="AV190" s="132"/>
      <c r="AW190" s="130"/>
      <c r="AX190" s="131"/>
      <c r="AY190" s="131" t="s">
        <v>36</v>
      </c>
      <c r="AZ190" s="132"/>
      <c r="BA190" s="132"/>
      <c r="BB190" s="132"/>
      <c r="BC190" s="132"/>
      <c r="BD190" s="132"/>
      <c r="BE190" s="132"/>
      <c r="BF190" s="132"/>
      <c r="BG190" s="132"/>
      <c r="BH190" s="132"/>
      <c r="BI190" s="130"/>
      <c r="BJ190" s="131"/>
      <c r="BK190" s="131" t="s">
        <v>36</v>
      </c>
      <c r="BL190" s="132"/>
      <c r="BM190" s="132"/>
      <c r="BN190" s="132"/>
      <c r="BO190" s="132"/>
      <c r="BP190" s="132"/>
      <c r="BQ190" s="132"/>
      <c r="BR190" s="132"/>
      <c r="BS190" s="132"/>
      <c r="BT190" s="132"/>
      <c r="BU190" s="130"/>
      <c r="BV190" s="131"/>
      <c r="BW190" s="131" t="s">
        <v>36</v>
      </c>
      <c r="BX190" s="132"/>
      <c r="BY190" s="132"/>
      <c r="BZ190" s="132"/>
      <c r="CA190" s="132"/>
      <c r="CB190" s="132"/>
      <c r="CC190" s="132"/>
      <c r="CD190" s="132"/>
      <c r="CE190" s="132"/>
      <c r="CF190" s="132"/>
      <c r="CG190" s="130"/>
      <c r="CH190" s="131"/>
      <c r="CI190" s="131" t="s">
        <v>36</v>
      </c>
      <c r="CJ190" s="132"/>
      <c r="CK190" s="132"/>
      <c r="CL190" s="132"/>
      <c r="CM190" s="132"/>
      <c r="CN190" s="132"/>
      <c r="CO190" s="132"/>
      <c r="CP190" s="132"/>
      <c r="CQ190" s="132"/>
      <c r="CR190" s="132"/>
      <c r="CS190" s="130"/>
      <c r="CT190" s="131"/>
      <c r="CU190" s="131" t="s">
        <v>36</v>
      </c>
      <c r="CV190" s="132"/>
      <c r="CW190" s="132"/>
      <c r="CX190" s="132"/>
      <c r="CY190" s="132"/>
      <c r="CZ190" s="132"/>
      <c r="DA190" s="132"/>
      <c r="DB190" s="132"/>
      <c r="DC190" s="132"/>
      <c r="DD190" s="132"/>
      <c r="DE190" s="130"/>
      <c r="DF190" s="131"/>
      <c r="DG190" s="131" t="s">
        <v>36</v>
      </c>
      <c r="DH190" s="132"/>
      <c r="DI190" s="132"/>
      <c r="DJ190" s="132"/>
      <c r="DK190" s="132"/>
      <c r="DL190" s="132"/>
      <c r="DM190" s="132"/>
      <c r="DN190" s="132"/>
      <c r="DO190" s="132"/>
      <c r="DP190" s="132"/>
    </row>
    <row r="191" spans="1:120" ht="30" x14ac:dyDescent="0.25">
      <c r="A191" s="92" t="str">
        <f>$A$35</f>
        <v>Fiscal Accident Year Data Ending</v>
      </c>
      <c r="B191" s="92"/>
      <c r="C191" s="100" t="str">
        <f>$C$35&amp;"-"&amp;$D$35</f>
        <v>12-24</v>
      </c>
      <c r="D191" s="100" t="str">
        <f>$D$35&amp;"-"&amp;$E$35</f>
        <v>24-36</v>
      </c>
      <c r="E191" s="100" t="str">
        <f>$E$35&amp;"-"&amp;$F$35</f>
        <v>36-48</v>
      </c>
      <c r="F191" s="100" t="str">
        <f>$F$35&amp;"-"&amp;$G$35</f>
        <v>48-60</v>
      </c>
      <c r="G191" s="100" t="str">
        <f>$G$35&amp;"-"&amp;$H$35</f>
        <v>60-72</v>
      </c>
      <c r="H191" s="100" t="str">
        <f>$H$35&amp;"-"&amp;$I$35</f>
        <v>72-84</v>
      </c>
      <c r="I191" s="100" t="str">
        <f>$I$35&amp;"-"&amp;$J$35</f>
        <v>84-96</v>
      </c>
      <c r="J191" s="100" t="str">
        <f>$J$35&amp;"-"&amp;$K$35</f>
        <v>96-108</v>
      </c>
      <c r="K191" s="100" t="str">
        <f>$K$35&amp;"-"&amp;$L$35</f>
        <v>108-120</v>
      </c>
      <c r="L191" s="100" t="str">
        <f>$L$35&amp;"-Ult"</f>
        <v>120-Ult</v>
      </c>
      <c r="M191" s="92" t="str">
        <f>$A$35</f>
        <v>Fiscal Accident Year Data Ending</v>
      </c>
      <c r="N191" s="92"/>
      <c r="O191" s="100" t="str">
        <f>$C$35&amp;"-"&amp;$D$35</f>
        <v>12-24</v>
      </c>
      <c r="P191" s="100" t="str">
        <f>$D$35&amp;"-"&amp;$E$35</f>
        <v>24-36</v>
      </c>
      <c r="Q191" s="100" t="str">
        <f>$E$35&amp;"-"&amp;$F$35</f>
        <v>36-48</v>
      </c>
      <c r="R191" s="100" t="str">
        <f>$F$35&amp;"-"&amp;$G$35</f>
        <v>48-60</v>
      </c>
      <c r="S191" s="100" t="str">
        <f>$G$35&amp;"-"&amp;$H$35</f>
        <v>60-72</v>
      </c>
      <c r="T191" s="100" t="str">
        <f>$H$35&amp;"-"&amp;$I$35</f>
        <v>72-84</v>
      </c>
      <c r="U191" s="100" t="str">
        <f>$I$35&amp;"-"&amp;$J$35</f>
        <v>84-96</v>
      </c>
      <c r="V191" s="100" t="str">
        <f>$J$35&amp;"-"&amp;$K$35</f>
        <v>96-108</v>
      </c>
      <c r="W191" s="100" t="str">
        <f>$K$35&amp;"-"&amp;$L$35</f>
        <v>108-120</v>
      </c>
      <c r="X191" s="100" t="str">
        <f>$L$35&amp;"-Ult"</f>
        <v>120-Ult</v>
      </c>
      <c r="Y191" s="92" t="str">
        <f>$A$35</f>
        <v>Fiscal Accident Year Data Ending</v>
      </c>
      <c r="Z191" s="92"/>
      <c r="AA191" s="100" t="str">
        <f>$C$35&amp;"-"&amp;$D$35</f>
        <v>12-24</v>
      </c>
      <c r="AB191" s="100" t="str">
        <f>$D$35&amp;"-"&amp;$E$35</f>
        <v>24-36</v>
      </c>
      <c r="AC191" s="100" t="str">
        <f>$E$35&amp;"-"&amp;$F$35</f>
        <v>36-48</v>
      </c>
      <c r="AD191" s="100" t="str">
        <f>$F$35&amp;"-"&amp;$G$35</f>
        <v>48-60</v>
      </c>
      <c r="AE191" s="100" t="str">
        <f>$G$35&amp;"-"&amp;$H$35</f>
        <v>60-72</v>
      </c>
      <c r="AF191" s="100" t="str">
        <f>$H$35&amp;"-"&amp;$I$35</f>
        <v>72-84</v>
      </c>
      <c r="AG191" s="100" t="str">
        <f>$I$35&amp;"-"&amp;$J$35</f>
        <v>84-96</v>
      </c>
      <c r="AH191" s="100" t="str">
        <f>$J$35&amp;"-"&amp;$K$35</f>
        <v>96-108</v>
      </c>
      <c r="AI191" s="100" t="str">
        <f>$K$35&amp;"-"&amp;$L$35</f>
        <v>108-120</v>
      </c>
      <c r="AJ191" s="100" t="str">
        <f>$L$35&amp;"-Ult"</f>
        <v>120-Ult</v>
      </c>
      <c r="AK191" s="92" t="str">
        <f>$A$35</f>
        <v>Fiscal Accident Year Data Ending</v>
      </c>
      <c r="AL191" s="92"/>
      <c r="AM191" s="100" t="str">
        <f>$C$35&amp;"-"&amp;$D$35</f>
        <v>12-24</v>
      </c>
      <c r="AN191" s="100" t="str">
        <f>$D$35&amp;"-"&amp;$E$35</f>
        <v>24-36</v>
      </c>
      <c r="AO191" s="100" t="str">
        <f>$E$35&amp;"-"&amp;$F$35</f>
        <v>36-48</v>
      </c>
      <c r="AP191" s="100" t="str">
        <f>$F$35&amp;"-"&amp;$G$35</f>
        <v>48-60</v>
      </c>
      <c r="AQ191" s="100" t="str">
        <f>$G$35&amp;"-"&amp;$H$35</f>
        <v>60-72</v>
      </c>
      <c r="AR191" s="100" t="str">
        <f>$H$35&amp;"-"&amp;$I$35</f>
        <v>72-84</v>
      </c>
      <c r="AS191" s="100" t="str">
        <f>$I$35&amp;"-"&amp;$J$35</f>
        <v>84-96</v>
      </c>
      <c r="AT191" s="100" t="str">
        <f>$J$35&amp;"-"&amp;$K$35</f>
        <v>96-108</v>
      </c>
      <c r="AU191" s="100" t="str">
        <f>$K$35&amp;"-"&amp;$L$35</f>
        <v>108-120</v>
      </c>
      <c r="AV191" s="100" t="str">
        <f>$L$35&amp;"-Ult"</f>
        <v>120-Ult</v>
      </c>
      <c r="AW191" s="92" t="str">
        <f>$A$35</f>
        <v>Fiscal Accident Year Data Ending</v>
      </c>
      <c r="AX191" s="92"/>
      <c r="AY191" s="100" t="str">
        <f>$C$35&amp;"-"&amp;$D$35</f>
        <v>12-24</v>
      </c>
      <c r="AZ191" s="100" t="str">
        <f>$D$35&amp;"-"&amp;$E$35</f>
        <v>24-36</v>
      </c>
      <c r="BA191" s="100" t="str">
        <f>$E$35&amp;"-"&amp;$F$35</f>
        <v>36-48</v>
      </c>
      <c r="BB191" s="100" t="str">
        <f>$F$35&amp;"-"&amp;$G$35</f>
        <v>48-60</v>
      </c>
      <c r="BC191" s="100" t="str">
        <f>$G$35&amp;"-"&amp;$H$35</f>
        <v>60-72</v>
      </c>
      <c r="BD191" s="100" t="str">
        <f>$H$35&amp;"-"&amp;$I$35</f>
        <v>72-84</v>
      </c>
      <c r="BE191" s="100" t="str">
        <f>$I$35&amp;"-"&amp;$J$35</f>
        <v>84-96</v>
      </c>
      <c r="BF191" s="100" t="str">
        <f>$J$35&amp;"-"&amp;$K$35</f>
        <v>96-108</v>
      </c>
      <c r="BG191" s="100" t="str">
        <f>$K$35&amp;"-"&amp;$L$35</f>
        <v>108-120</v>
      </c>
      <c r="BH191" s="100" t="str">
        <f>$L$35&amp;"-Ult"</f>
        <v>120-Ult</v>
      </c>
      <c r="BI191" s="92" t="str">
        <f>$A$35</f>
        <v>Fiscal Accident Year Data Ending</v>
      </c>
      <c r="BJ191" s="92"/>
      <c r="BK191" s="100" t="str">
        <f>$C$35&amp;"-"&amp;$D$35</f>
        <v>12-24</v>
      </c>
      <c r="BL191" s="100" t="str">
        <f>$D$35&amp;"-"&amp;$E$35</f>
        <v>24-36</v>
      </c>
      <c r="BM191" s="100" t="str">
        <f>$E$35&amp;"-"&amp;$F$35</f>
        <v>36-48</v>
      </c>
      <c r="BN191" s="100" t="str">
        <f>$F$35&amp;"-"&amp;$G$35</f>
        <v>48-60</v>
      </c>
      <c r="BO191" s="100" t="str">
        <f>$G$35&amp;"-"&amp;$H$35</f>
        <v>60-72</v>
      </c>
      <c r="BP191" s="100" t="str">
        <f>$H$35&amp;"-"&amp;$I$35</f>
        <v>72-84</v>
      </c>
      <c r="BQ191" s="100" t="str">
        <f>$I$35&amp;"-"&amp;$J$35</f>
        <v>84-96</v>
      </c>
      <c r="BR191" s="100" t="str">
        <f>$J$35&amp;"-"&amp;$K$35</f>
        <v>96-108</v>
      </c>
      <c r="BS191" s="100" t="str">
        <f>$K$35&amp;"-"&amp;$L$35</f>
        <v>108-120</v>
      </c>
      <c r="BT191" s="100" t="str">
        <f>$L$35&amp;"-Ult"</f>
        <v>120-Ult</v>
      </c>
      <c r="BU191" s="92" t="str">
        <f>$A$35</f>
        <v>Fiscal Accident Year Data Ending</v>
      </c>
      <c r="BV191" s="92"/>
      <c r="BW191" s="100" t="str">
        <f>$C$35&amp;"-"&amp;$D$35</f>
        <v>12-24</v>
      </c>
      <c r="BX191" s="100" t="str">
        <f>$D$35&amp;"-"&amp;$E$35</f>
        <v>24-36</v>
      </c>
      <c r="BY191" s="100" t="str">
        <f>$E$35&amp;"-"&amp;$F$35</f>
        <v>36-48</v>
      </c>
      <c r="BZ191" s="100" t="str">
        <f>$F$35&amp;"-"&amp;$G$35</f>
        <v>48-60</v>
      </c>
      <c r="CA191" s="100" t="str">
        <f>$G$35&amp;"-"&amp;$H$35</f>
        <v>60-72</v>
      </c>
      <c r="CB191" s="100" t="str">
        <f>$H$35&amp;"-"&amp;$I$35</f>
        <v>72-84</v>
      </c>
      <c r="CC191" s="100" t="str">
        <f>$I$35&amp;"-"&amp;$J$35</f>
        <v>84-96</v>
      </c>
      <c r="CD191" s="100" t="str">
        <f>$J$35&amp;"-"&amp;$K$35</f>
        <v>96-108</v>
      </c>
      <c r="CE191" s="100" t="str">
        <f>$K$35&amp;"-"&amp;$L$35</f>
        <v>108-120</v>
      </c>
      <c r="CF191" s="100" t="str">
        <f>$L$35&amp;"-Ult"</f>
        <v>120-Ult</v>
      </c>
      <c r="CG191" s="92" t="str">
        <f>$A$35</f>
        <v>Fiscal Accident Year Data Ending</v>
      </c>
      <c r="CH191" s="92"/>
      <c r="CI191" s="100" t="str">
        <f>$C$35&amp;"-"&amp;$D$35</f>
        <v>12-24</v>
      </c>
      <c r="CJ191" s="100" t="str">
        <f>$D$35&amp;"-"&amp;$E$35</f>
        <v>24-36</v>
      </c>
      <c r="CK191" s="100" t="str">
        <f>$E$35&amp;"-"&amp;$F$35</f>
        <v>36-48</v>
      </c>
      <c r="CL191" s="100" t="str">
        <f>$F$35&amp;"-"&amp;$G$35</f>
        <v>48-60</v>
      </c>
      <c r="CM191" s="100" t="str">
        <f>$G$35&amp;"-"&amp;$H$35</f>
        <v>60-72</v>
      </c>
      <c r="CN191" s="100" t="str">
        <f>$H$35&amp;"-"&amp;$I$35</f>
        <v>72-84</v>
      </c>
      <c r="CO191" s="100" t="str">
        <f>$I$35&amp;"-"&amp;$J$35</f>
        <v>84-96</v>
      </c>
      <c r="CP191" s="100" t="str">
        <f>$J$35&amp;"-"&amp;$K$35</f>
        <v>96-108</v>
      </c>
      <c r="CQ191" s="100" t="str">
        <f>$K$35&amp;"-"&amp;$L$35</f>
        <v>108-120</v>
      </c>
      <c r="CR191" s="100" t="str">
        <f>$L$35&amp;"-Ult"</f>
        <v>120-Ult</v>
      </c>
      <c r="CS191" s="92" t="str">
        <f>$A$35</f>
        <v>Fiscal Accident Year Data Ending</v>
      </c>
      <c r="CT191" s="92"/>
      <c r="CU191" s="100" t="str">
        <f>$C$35&amp;"-"&amp;$D$35</f>
        <v>12-24</v>
      </c>
      <c r="CV191" s="100" t="str">
        <f>$D$35&amp;"-"&amp;$E$35</f>
        <v>24-36</v>
      </c>
      <c r="CW191" s="100" t="str">
        <f>$E$35&amp;"-"&amp;$F$35</f>
        <v>36-48</v>
      </c>
      <c r="CX191" s="100" t="str">
        <f>$F$35&amp;"-"&amp;$G$35</f>
        <v>48-60</v>
      </c>
      <c r="CY191" s="100" t="str">
        <f>$G$35&amp;"-"&amp;$H$35</f>
        <v>60-72</v>
      </c>
      <c r="CZ191" s="100" t="str">
        <f>$H$35&amp;"-"&amp;$I$35</f>
        <v>72-84</v>
      </c>
      <c r="DA191" s="100" t="str">
        <f>$I$35&amp;"-"&amp;$J$35</f>
        <v>84-96</v>
      </c>
      <c r="DB191" s="100" t="str">
        <f>$J$35&amp;"-"&amp;$K$35</f>
        <v>96-108</v>
      </c>
      <c r="DC191" s="100" t="str">
        <f>$K$35&amp;"-"&amp;$L$35</f>
        <v>108-120</v>
      </c>
      <c r="DD191" s="100" t="str">
        <f>$L$35&amp;"-Ult"</f>
        <v>120-Ult</v>
      </c>
      <c r="DE191" s="92" t="str">
        <f>$A$35</f>
        <v>Fiscal Accident Year Data Ending</v>
      </c>
      <c r="DF191" s="92"/>
      <c r="DG191" s="100" t="str">
        <f>$C$35&amp;"-"&amp;$D$35</f>
        <v>12-24</v>
      </c>
      <c r="DH191" s="100" t="str">
        <f>$D$35&amp;"-"&amp;$E$35</f>
        <v>24-36</v>
      </c>
      <c r="DI191" s="100" t="str">
        <f>$E$35&amp;"-"&amp;$F$35</f>
        <v>36-48</v>
      </c>
      <c r="DJ191" s="100" t="str">
        <f>$F$35&amp;"-"&amp;$G$35</f>
        <v>48-60</v>
      </c>
      <c r="DK191" s="100" t="str">
        <f>$G$35&amp;"-"&amp;$H$35</f>
        <v>60-72</v>
      </c>
      <c r="DL191" s="100" t="str">
        <f>$H$35&amp;"-"&amp;$I$35</f>
        <v>72-84</v>
      </c>
      <c r="DM191" s="100" t="str">
        <f>$I$35&amp;"-"&amp;$J$35</f>
        <v>84-96</v>
      </c>
      <c r="DN191" s="100" t="str">
        <f>$J$35&amp;"-"&amp;$K$35</f>
        <v>96-108</v>
      </c>
      <c r="DO191" s="100" t="str">
        <f>$K$35&amp;"-"&amp;$L$35</f>
        <v>108-120</v>
      </c>
      <c r="DP191" s="100" t="str">
        <f>$L$35&amp;"-Ult"</f>
        <v>120-Ult</v>
      </c>
    </row>
    <row r="192" spans="1:120" x14ac:dyDescent="0.25">
      <c r="A192" s="91">
        <f>$A$36</f>
        <v>20132</v>
      </c>
      <c r="B192" s="105"/>
      <c r="C192" s="90">
        <f>IFERROR(D179/C179,"")</f>
        <v>1.0879348900333798</v>
      </c>
      <c r="D192" s="90">
        <f t="shared" ref="D192:K192" si="371">IFERROR(E179/D179,"")</f>
        <v>1.0512971291999023</v>
      </c>
      <c r="E192" s="90">
        <f t="shared" si="371"/>
        <v>1.0204986570436314</v>
      </c>
      <c r="F192" s="90">
        <f t="shared" si="371"/>
        <v>1.0094435176144716</v>
      </c>
      <c r="G192" s="90">
        <f t="shared" si="371"/>
        <v>1.0069684111595063</v>
      </c>
      <c r="H192" s="90">
        <f t="shared" si="371"/>
        <v>1.0058445536306087</v>
      </c>
      <c r="I192" s="90">
        <f t="shared" si="371"/>
        <v>1.0051521383283459</v>
      </c>
      <c r="J192" s="90">
        <f t="shared" si="371"/>
        <v>1.0016753199769619</v>
      </c>
      <c r="K192" s="90">
        <f t="shared" si="371"/>
        <v>1.0041571283510282</v>
      </c>
      <c r="L192" s="22"/>
      <c r="M192" s="91">
        <f>$A$36</f>
        <v>20132</v>
      </c>
      <c r="N192" s="105"/>
      <c r="O192" s="90" t="str">
        <f>IFERROR(P179/O179,"")</f>
        <v/>
      </c>
      <c r="P192" s="90" t="str">
        <f t="shared" ref="P192:W192" si="372">IFERROR(Q179/P179,"")</f>
        <v/>
      </c>
      <c r="Q192" s="90" t="str">
        <f t="shared" si="372"/>
        <v/>
      </c>
      <c r="R192" s="90" t="str">
        <f t="shared" si="372"/>
        <v/>
      </c>
      <c r="S192" s="90" t="str">
        <f t="shared" si="372"/>
        <v/>
      </c>
      <c r="T192" s="90" t="str">
        <f t="shared" si="372"/>
        <v/>
      </c>
      <c r="U192" s="90" t="str">
        <f t="shared" si="372"/>
        <v/>
      </c>
      <c r="V192" s="90" t="str">
        <f t="shared" si="372"/>
        <v/>
      </c>
      <c r="W192" s="90" t="str">
        <f t="shared" si="372"/>
        <v/>
      </c>
      <c r="X192" s="22"/>
      <c r="Y192" s="91">
        <f>$A$36</f>
        <v>20132</v>
      </c>
      <c r="Z192" s="105"/>
      <c r="AA192" s="90" t="str">
        <f>IFERROR(AB179/AA179,"")</f>
        <v/>
      </c>
      <c r="AB192" s="90" t="str">
        <f t="shared" ref="AB192:AI192" si="373">IFERROR(AC179/AB179,"")</f>
        <v/>
      </c>
      <c r="AC192" s="90" t="str">
        <f t="shared" si="373"/>
        <v/>
      </c>
      <c r="AD192" s="90" t="str">
        <f t="shared" si="373"/>
        <v/>
      </c>
      <c r="AE192" s="90" t="str">
        <f t="shared" si="373"/>
        <v/>
      </c>
      <c r="AF192" s="90" t="str">
        <f t="shared" si="373"/>
        <v/>
      </c>
      <c r="AG192" s="90" t="str">
        <f t="shared" si="373"/>
        <v/>
      </c>
      <c r="AH192" s="90" t="str">
        <f t="shared" si="373"/>
        <v/>
      </c>
      <c r="AI192" s="90" t="str">
        <f t="shared" si="373"/>
        <v/>
      </c>
      <c r="AJ192" s="22"/>
      <c r="AK192" s="91">
        <f>$A$36</f>
        <v>20132</v>
      </c>
      <c r="AL192" s="105"/>
      <c r="AM192" s="90" t="str">
        <f>IFERROR(AN179/AM179,"")</f>
        <v/>
      </c>
      <c r="AN192" s="90" t="str">
        <f t="shared" ref="AN192:AU192" si="374">IFERROR(AO179/AN179,"")</f>
        <v/>
      </c>
      <c r="AO192" s="90" t="str">
        <f t="shared" si="374"/>
        <v/>
      </c>
      <c r="AP192" s="90" t="str">
        <f t="shared" si="374"/>
        <v/>
      </c>
      <c r="AQ192" s="90" t="str">
        <f t="shared" si="374"/>
        <v/>
      </c>
      <c r="AR192" s="90" t="str">
        <f t="shared" si="374"/>
        <v/>
      </c>
      <c r="AS192" s="90" t="str">
        <f t="shared" si="374"/>
        <v/>
      </c>
      <c r="AT192" s="90" t="str">
        <f t="shared" si="374"/>
        <v/>
      </c>
      <c r="AU192" s="90" t="str">
        <f t="shared" si="374"/>
        <v/>
      </c>
      <c r="AV192" s="22"/>
      <c r="AW192" s="91">
        <f>$A$36</f>
        <v>20132</v>
      </c>
      <c r="AX192" s="105"/>
      <c r="AY192" s="90" t="str">
        <f>IFERROR(AZ179/AY179,"")</f>
        <v/>
      </c>
      <c r="AZ192" s="90" t="str">
        <f t="shared" ref="AZ192:BG192" si="375">IFERROR(BA179/AZ179,"")</f>
        <v/>
      </c>
      <c r="BA192" s="90" t="str">
        <f t="shared" si="375"/>
        <v/>
      </c>
      <c r="BB192" s="90" t="str">
        <f t="shared" si="375"/>
        <v/>
      </c>
      <c r="BC192" s="90" t="str">
        <f t="shared" si="375"/>
        <v/>
      </c>
      <c r="BD192" s="90" t="str">
        <f t="shared" si="375"/>
        <v/>
      </c>
      <c r="BE192" s="90" t="str">
        <f t="shared" si="375"/>
        <v/>
      </c>
      <c r="BF192" s="90" t="str">
        <f t="shared" si="375"/>
        <v/>
      </c>
      <c r="BG192" s="90" t="str">
        <f t="shared" si="375"/>
        <v/>
      </c>
      <c r="BH192" s="22"/>
      <c r="BI192" s="91">
        <f>$A$36</f>
        <v>20132</v>
      </c>
      <c r="BJ192" s="105"/>
      <c r="BK192" s="90" t="str">
        <f>IFERROR(BL179/BK179,"")</f>
        <v/>
      </c>
      <c r="BL192" s="90" t="str">
        <f t="shared" ref="BL192:BS192" si="376">IFERROR(BM179/BL179,"")</f>
        <v/>
      </c>
      <c r="BM192" s="90" t="str">
        <f t="shared" si="376"/>
        <v/>
      </c>
      <c r="BN192" s="90" t="str">
        <f t="shared" si="376"/>
        <v/>
      </c>
      <c r="BO192" s="90" t="str">
        <f t="shared" si="376"/>
        <v/>
      </c>
      <c r="BP192" s="90" t="str">
        <f t="shared" si="376"/>
        <v/>
      </c>
      <c r="BQ192" s="90" t="str">
        <f t="shared" si="376"/>
        <v/>
      </c>
      <c r="BR192" s="90" t="str">
        <f t="shared" si="376"/>
        <v/>
      </c>
      <c r="BS192" s="90" t="str">
        <f t="shared" si="376"/>
        <v/>
      </c>
      <c r="BT192" s="22"/>
      <c r="BU192" s="91">
        <f>$A$36</f>
        <v>20132</v>
      </c>
      <c r="BV192" s="105"/>
      <c r="BW192" s="90" t="str">
        <f>IFERROR(BX179/BW179,"")</f>
        <v/>
      </c>
      <c r="BX192" s="90" t="str">
        <f t="shared" ref="BX192:CE192" si="377">IFERROR(BY179/BX179,"")</f>
        <v/>
      </c>
      <c r="BY192" s="90" t="str">
        <f t="shared" si="377"/>
        <v/>
      </c>
      <c r="BZ192" s="90" t="str">
        <f t="shared" si="377"/>
        <v/>
      </c>
      <c r="CA192" s="90" t="str">
        <f t="shared" si="377"/>
        <v/>
      </c>
      <c r="CB192" s="90" t="str">
        <f t="shared" si="377"/>
        <v/>
      </c>
      <c r="CC192" s="90" t="str">
        <f t="shared" si="377"/>
        <v/>
      </c>
      <c r="CD192" s="90" t="str">
        <f t="shared" si="377"/>
        <v/>
      </c>
      <c r="CE192" s="90" t="str">
        <f t="shared" si="377"/>
        <v/>
      </c>
      <c r="CF192" s="22"/>
      <c r="CG192" s="91">
        <f>$A$36</f>
        <v>20132</v>
      </c>
      <c r="CH192" s="105"/>
      <c r="CI192" s="90" t="str">
        <f>IFERROR(CJ179/CI179,"")</f>
        <v/>
      </c>
      <c r="CJ192" s="90" t="str">
        <f t="shared" ref="CJ192:CQ192" si="378">IFERROR(CK179/CJ179,"")</f>
        <v/>
      </c>
      <c r="CK192" s="90" t="str">
        <f t="shared" si="378"/>
        <v/>
      </c>
      <c r="CL192" s="90" t="str">
        <f t="shared" si="378"/>
        <v/>
      </c>
      <c r="CM192" s="90" t="str">
        <f t="shared" si="378"/>
        <v/>
      </c>
      <c r="CN192" s="90" t="str">
        <f t="shared" si="378"/>
        <v/>
      </c>
      <c r="CO192" s="90" t="str">
        <f t="shared" si="378"/>
        <v/>
      </c>
      <c r="CP192" s="90" t="str">
        <f t="shared" si="378"/>
        <v/>
      </c>
      <c r="CQ192" s="90" t="str">
        <f t="shared" si="378"/>
        <v/>
      </c>
      <c r="CR192" s="22"/>
      <c r="CS192" s="91">
        <f>$A$36</f>
        <v>20132</v>
      </c>
      <c r="CT192" s="105"/>
      <c r="CU192" s="90" t="str">
        <f>IFERROR(CV179/CU179,"")</f>
        <v/>
      </c>
      <c r="CV192" s="90" t="str">
        <f t="shared" ref="CV192:DC192" si="379">IFERROR(CW179/CV179,"")</f>
        <v/>
      </c>
      <c r="CW192" s="90" t="str">
        <f t="shared" si="379"/>
        <v/>
      </c>
      <c r="CX192" s="90" t="str">
        <f t="shared" si="379"/>
        <v/>
      </c>
      <c r="CY192" s="90" t="str">
        <f t="shared" si="379"/>
        <v/>
      </c>
      <c r="CZ192" s="90" t="str">
        <f t="shared" si="379"/>
        <v/>
      </c>
      <c r="DA192" s="90" t="str">
        <f t="shared" si="379"/>
        <v/>
      </c>
      <c r="DB192" s="90" t="str">
        <f t="shared" si="379"/>
        <v/>
      </c>
      <c r="DC192" s="90" t="str">
        <f t="shared" si="379"/>
        <v/>
      </c>
      <c r="DD192" s="22"/>
      <c r="DE192" s="91">
        <f>$A$36</f>
        <v>20132</v>
      </c>
      <c r="DF192" s="105"/>
      <c r="DG192" s="90" t="str">
        <f>IFERROR(DH179/DG179,"")</f>
        <v/>
      </c>
      <c r="DH192" s="90" t="str">
        <f t="shared" ref="DH192:DO192" si="380">IFERROR(DI179/DH179,"")</f>
        <v/>
      </c>
      <c r="DI192" s="90" t="str">
        <f t="shared" si="380"/>
        <v/>
      </c>
      <c r="DJ192" s="90" t="str">
        <f t="shared" si="380"/>
        <v/>
      </c>
      <c r="DK192" s="90" t="str">
        <f t="shared" si="380"/>
        <v/>
      </c>
      <c r="DL192" s="90" t="str">
        <f t="shared" si="380"/>
        <v/>
      </c>
      <c r="DM192" s="90" t="str">
        <f t="shared" si="380"/>
        <v/>
      </c>
      <c r="DN192" s="90" t="str">
        <f t="shared" si="380"/>
        <v/>
      </c>
      <c r="DO192" s="90" t="str">
        <f t="shared" si="380"/>
        <v/>
      </c>
      <c r="DP192" s="22"/>
    </row>
    <row r="193" spans="1:120" x14ac:dyDescent="0.25">
      <c r="A193" s="91">
        <f>$A$37</f>
        <v>20142</v>
      </c>
      <c r="B193" s="105"/>
      <c r="C193" s="90">
        <f t="shared" ref="C193:J200" si="381">IFERROR(D180/C180,"")</f>
        <v>1.0786208903862147</v>
      </c>
      <c r="D193" s="90">
        <f t="shared" si="381"/>
        <v>1.0604957774173742</v>
      </c>
      <c r="E193" s="90">
        <f t="shared" si="381"/>
        <v>1.0132565656360939</v>
      </c>
      <c r="F193" s="90">
        <f t="shared" si="381"/>
        <v>1.0151720943266567</v>
      </c>
      <c r="G193" s="90">
        <f t="shared" si="381"/>
        <v>1.0102019902332728</v>
      </c>
      <c r="H193" s="90">
        <f t="shared" si="381"/>
        <v>1.008811972241306</v>
      </c>
      <c r="I193" s="90">
        <f t="shared" si="381"/>
        <v>1.024839812473743</v>
      </c>
      <c r="J193" s="90">
        <f t="shared" si="381"/>
        <v>1.0160191105960086</v>
      </c>
      <c r="K193" s="22"/>
      <c r="L193" s="22"/>
      <c r="M193" s="91">
        <f>$A$37</f>
        <v>20142</v>
      </c>
      <c r="N193" s="105"/>
      <c r="O193" s="90" t="str">
        <f t="shared" ref="O193:V200" si="382">IFERROR(P180/O180,"")</f>
        <v/>
      </c>
      <c r="P193" s="90" t="str">
        <f t="shared" si="382"/>
        <v/>
      </c>
      <c r="Q193" s="90" t="str">
        <f t="shared" si="382"/>
        <v/>
      </c>
      <c r="R193" s="90" t="str">
        <f t="shared" si="382"/>
        <v/>
      </c>
      <c r="S193" s="90" t="str">
        <f t="shared" si="382"/>
        <v/>
      </c>
      <c r="T193" s="90" t="str">
        <f t="shared" si="382"/>
        <v/>
      </c>
      <c r="U193" s="90" t="str">
        <f t="shared" si="382"/>
        <v/>
      </c>
      <c r="V193" s="90" t="str">
        <f t="shared" si="382"/>
        <v/>
      </c>
      <c r="W193" s="22"/>
      <c r="X193" s="22"/>
      <c r="Y193" s="91">
        <f>$A$37</f>
        <v>20142</v>
      </c>
      <c r="Z193" s="105"/>
      <c r="AA193" s="90" t="str">
        <f t="shared" ref="AA193:AH200" si="383">IFERROR(AB180/AA180,"")</f>
        <v/>
      </c>
      <c r="AB193" s="90" t="str">
        <f t="shared" si="383"/>
        <v/>
      </c>
      <c r="AC193" s="90" t="str">
        <f t="shared" si="383"/>
        <v/>
      </c>
      <c r="AD193" s="90" t="str">
        <f t="shared" si="383"/>
        <v/>
      </c>
      <c r="AE193" s="90" t="str">
        <f t="shared" si="383"/>
        <v/>
      </c>
      <c r="AF193" s="90" t="str">
        <f t="shared" si="383"/>
        <v/>
      </c>
      <c r="AG193" s="90" t="str">
        <f t="shared" si="383"/>
        <v/>
      </c>
      <c r="AH193" s="90" t="str">
        <f t="shared" si="383"/>
        <v/>
      </c>
      <c r="AI193" s="22"/>
      <c r="AJ193" s="22"/>
      <c r="AK193" s="91">
        <f>$A$37</f>
        <v>20142</v>
      </c>
      <c r="AL193" s="105"/>
      <c r="AM193" s="90" t="str">
        <f t="shared" ref="AM193:AT200" si="384">IFERROR(AN180/AM180,"")</f>
        <v/>
      </c>
      <c r="AN193" s="90" t="str">
        <f t="shared" si="384"/>
        <v/>
      </c>
      <c r="AO193" s="90" t="str">
        <f t="shared" si="384"/>
        <v/>
      </c>
      <c r="AP193" s="90" t="str">
        <f t="shared" si="384"/>
        <v/>
      </c>
      <c r="AQ193" s="90" t="str">
        <f t="shared" si="384"/>
        <v/>
      </c>
      <c r="AR193" s="90" t="str">
        <f t="shared" si="384"/>
        <v/>
      </c>
      <c r="AS193" s="90" t="str">
        <f t="shared" si="384"/>
        <v/>
      </c>
      <c r="AT193" s="90" t="str">
        <f t="shared" si="384"/>
        <v/>
      </c>
      <c r="AU193" s="22"/>
      <c r="AV193" s="22"/>
      <c r="AW193" s="91">
        <f>$A$37</f>
        <v>20142</v>
      </c>
      <c r="AX193" s="105"/>
      <c r="AY193" s="90" t="str">
        <f t="shared" ref="AY193:BF200" si="385">IFERROR(AZ180/AY180,"")</f>
        <v/>
      </c>
      <c r="AZ193" s="90" t="str">
        <f t="shared" si="385"/>
        <v/>
      </c>
      <c r="BA193" s="90" t="str">
        <f t="shared" si="385"/>
        <v/>
      </c>
      <c r="BB193" s="90" t="str">
        <f t="shared" si="385"/>
        <v/>
      </c>
      <c r="BC193" s="90" t="str">
        <f t="shared" si="385"/>
        <v/>
      </c>
      <c r="BD193" s="90" t="str">
        <f t="shared" si="385"/>
        <v/>
      </c>
      <c r="BE193" s="90" t="str">
        <f t="shared" si="385"/>
        <v/>
      </c>
      <c r="BF193" s="90" t="str">
        <f t="shared" si="385"/>
        <v/>
      </c>
      <c r="BG193" s="22"/>
      <c r="BH193" s="22"/>
      <c r="BI193" s="91">
        <f>$A$37</f>
        <v>20142</v>
      </c>
      <c r="BJ193" s="105"/>
      <c r="BK193" s="90" t="str">
        <f t="shared" ref="BK193:BR200" si="386">IFERROR(BL180/BK180,"")</f>
        <v/>
      </c>
      <c r="BL193" s="90" t="str">
        <f t="shared" si="386"/>
        <v/>
      </c>
      <c r="BM193" s="90" t="str">
        <f t="shared" si="386"/>
        <v/>
      </c>
      <c r="BN193" s="90" t="str">
        <f t="shared" si="386"/>
        <v/>
      </c>
      <c r="BO193" s="90" t="str">
        <f t="shared" si="386"/>
        <v/>
      </c>
      <c r="BP193" s="90" t="str">
        <f t="shared" si="386"/>
        <v/>
      </c>
      <c r="BQ193" s="90" t="str">
        <f t="shared" si="386"/>
        <v/>
      </c>
      <c r="BR193" s="90" t="str">
        <f t="shared" si="386"/>
        <v/>
      </c>
      <c r="BS193" s="22"/>
      <c r="BT193" s="22"/>
      <c r="BU193" s="91">
        <f>$A$37</f>
        <v>20142</v>
      </c>
      <c r="BV193" s="105"/>
      <c r="BW193" s="90" t="str">
        <f t="shared" ref="BW193:CD200" si="387">IFERROR(BX180/BW180,"")</f>
        <v/>
      </c>
      <c r="BX193" s="90" t="str">
        <f t="shared" si="387"/>
        <v/>
      </c>
      <c r="BY193" s="90" t="str">
        <f t="shared" si="387"/>
        <v/>
      </c>
      <c r="BZ193" s="90" t="str">
        <f t="shared" si="387"/>
        <v/>
      </c>
      <c r="CA193" s="90" t="str">
        <f t="shared" si="387"/>
        <v/>
      </c>
      <c r="CB193" s="90" t="str">
        <f t="shared" si="387"/>
        <v/>
      </c>
      <c r="CC193" s="90" t="str">
        <f t="shared" si="387"/>
        <v/>
      </c>
      <c r="CD193" s="90" t="str">
        <f t="shared" si="387"/>
        <v/>
      </c>
      <c r="CE193" s="22"/>
      <c r="CF193" s="22"/>
      <c r="CG193" s="91">
        <f>$A$37</f>
        <v>20142</v>
      </c>
      <c r="CH193" s="105"/>
      <c r="CI193" s="90" t="str">
        <f t="shared" ref="CI193:CP200" si="388">IFERROR(CJ180/CI180,"")</f>
        <v/>
      </c>
      <c r="CJ193" s="90" t="str">
        <f t="shared" si="388"/>
        <v/>
      </c>
      <c r="CK193" s="90" t="str">
        <f t="shared" si="388"/>
        <v/>
      </c>
      <c r="CL193" s="90" t="str">
        <f t="shared" si="388"/>
        <v/>
      </c>
      <c r="CM193" s="90" t="str">
        <f t="shared" si="388"/>
        <v/>
      </c>
      <c r="CN193" s="90" t="str">
        <f t="shared" si="388"/>
        <v/>
      </c>
      <c r="CO193" s="90" t="str">
        <f t="shared" si="388"/>
        <v/>
      </c>
      <c r="CP193" s="90" t="str">
        <f t="shared" si="388"/>
        <v/>
      </c>
      <c r="CQ193" s="22"/>
      <c r="CR193" s="22"/>
      <c r="CS193" s="91">
        <f>$A$37</f>
        <v>20142</v>
      </c>
      <c r="CT193" s="105"/>
      <c r="CU193" s="90" t="str">
        <f t="shared" ref="CU193:DB200" si="389">IFERROR(CV180/CU180,"")</f>
        <v/>
      </c>
      <c r="CV193" s="90" t="str">
        <f t="shared" si="389"/>
        <v/>
      </c>
      <c r="CW193" s="90" t="str">
        <f t="shared" si="389"/>
        <v/>
      </c>
      <c r="CX193" s="90" t="str">
        <f t="shared" si="389"/>
        <v/>
      </c>
      <c r="CY193" s="90" t="str">
        <f t="shared" si="389"/>
        <v/>
      </c>
      <c r="CZ193" s="90" t="str">
        <f t="shared" si="389"/>
        <v/>
      </c>
      <c r="DA193" s="90" t="str">
        <f t="shared" si="389"/>
        <v/>
      </c>
      <c r="DB193" s="90" t="str">
        <f t="shared" si="389"/>
        <v/>
      </c>
      <c r="DC193" s="22"/>
      <c r="DD193" s="22"/>
      <c r="DE193" s="91">
        <f>$A$37</f>
        <v>20142</v>
      </c>
      <c r="DF193" s="105"/>
      <c r="DG193" s="90" t="str">
        <f t="shared" ref="DG193:DN200" si="390">IFERROR(DH180/DG180,"")</f>
        <v/>
      </c>
      <c r="DH193" s="90" t="str">
        <f t="shared" si="390"/>
        <v/>
      </c>
      <c r="DI193" s="90" t="str">
        <f t="shared" si="390"/>
        <v/>
      </c>
      <c r="DJ193" s="90" t="str">
        <f t="shared" si="390"/>
        <v/>
      </c>
      <c r="DK193" s="90" t="str">
        <f t="shared" si="390"/>
        <v/>
      </c>
      <c r="DL193" s="90" t="str">
        <f t="shared" si="390"/>
        <v/>
      </c>
      <c r="DM193" s="90" t="str">
        <f t="shared" si="390"/>
        <v/>
      </c>
      <c r="DN193" s="90" t="str">
        <f t="shared" si="390"/>
        <v/>
      </c>
      <c r="DO193" s="22"/>
      <c r="DP193" s="22"/>
    </row>
    <row r="194" spans="1:120" x14ac:dyDescent="0.25">
      <c r="A194" s="91">
        <f>$A$38</f>
        <v>20152</v>
      </c>
      <c r="B194" s="105"/>
      <c r="C194" s="90">
        <f t="shared" si="381"/>
        <v>1.0998628059397546</v>
      </c>
      <c r="D194" s="90">
        <f t="shared" si="381"/>
        <v>1.0614748281292485</v>
      </c>
      <c r="E194" s="90">
        <f t="shared" si="381"/>
        <v>1.0533783942119184</v>
      </c>
      <c r="F194" s="90">
        <f t="shared" si="381"/>
        <v>1.0274844293351442</v>
      </c>
      <c r="G194" s="90">
        <f t="shared" si="381"/>
        <v>1.0231152170036122</v>
      </c>
      <c r="H194" s="90">
        <f t="shared" si="381"/>
        <v>1.0189532792559564</v>
      </c>
      <c r="I194" s="90">
        <f t="shared" si="381"/>
        <v>1.02910181277497</v>
      </c>
      <c r="J194" s="22"/>
      <c r="K194" s="22"/>
      <c r="L194" s="22"/>
      <c r="M194" s="91">
        <f>$A$38</f>
        <v>20152</v>
      </c>
      <c r="N194" s="105"/>
      <c r="O194" s="90" t="str">
        <f t="shared" si="382"/>
        <v/>
      </c>
      <c r="P194" s="90" t="str">
        <f t="shared" si="382"/>
        <v/>
      </c>
      <c r="Q194" s="90" t="str">
        <f t="shared" si="382"/>
        <v/>
      </c>
      <c r="R194" s="90" t="str">
        <f t="shared" si="382"/>
        <v/>
      </c>
      <c r="S194" s="90" t="str">
        <f t="shared" si="382"/>
        <v/>
      </c>
      <c r="T194" s="90" t="str">
        <f t="shared" si="382"/>
        <v/>
      </c>
      <c r="U194" s="90" t="str">
        <f t="shared" si="382"/>
        <v/>
      </c>
      <c r="V194" s="22"/>
      <c r="W194" s="22"/>
      <c r="X194" s="22"/>
      <c r="Y194" s="91">
        <f>$A$38</f>
        <v>20152</v>
      </c>
      <c r="Z194" s="105"/>
      <c r="AA194" s="90" t="str">
        <f t="shared" si="383"/>
        <v/>
      </c>
      <c r="AB194" s="90" t="str">
        <f t="shared" si="383"/>
        <v/>
      </c>
      <c r="AC194" s="90" t="str">
        <f t="shared" si="383"/>
        <v/>
      </c>
      <c r="AD194" s="90" t="str">
        <f t="shared" si="383"/>
        <v/>
      </c>
      <c r="AE194" s="90" t="str">
        <f t="shared" si="383"/>
        <v/>
      </c>
      <c r="AF194" s="90" t="str">
        <f t="shared" si="383"/>
        <v/>
      </c>
      <c r="AG194" s="90" t="str">
        <f t="shared" si="383"/>
        <v/>
      </c>
      <c r="AH194" s="22"/>
      <c r="AI194" s="22"/>
      <c r="AJ194" s="22"/>
      <c r="AK194" s="91">
        <f>$A$38</f>
        <v>20152</v>
      </c>
      <c r="AL194" s="105"/>
      <c r="AM194" s="90" t="str">
        <f t="shared" si="384"/>
        <v/>
      </c>
      <c r="AN194" s="90" t="str">
        <f t="shared" si="384"/>
        <v/>
      </c>
      <c r="AO194" s="90" t="str">
        <f t="shared" si="384"/>
        <v/>
      </c>
      <c r="AP194" s="90" t="str">
        <f t="shared" si="384"/>
        <v/>
      </c>
      <c r="AQ194" s="90" t="str">
        <f t="shared" si="384"/>
        <v/>
      </c>
      <c r="AR194" s="90" t="str">
        <f t="shared" si="384"/>
        <v/>
      </c>
      <c r="AS194" s="90" t="str">
        <f t="shared" si="384"/>
        <v/>
      </c>
      <c r="AT194" s="22"/>
      <c r="AU194" s="22"/>
      <c r="AV194" s="22"/>
      <c r="AW194" s="91">
        <f>$A$38</f>
        <v>20152</v>
      </c>
      <c r="AX194" s="105"/>
      <c r="AY194" s="90" t="str">
        <f t="shared" si="385"/>
        <v/>
      </c>
      <c r="AZ194" s="90" t="str">
        <f t="shared" si="385"/>
        <v/>
      </c>
      <c r="BA194" s="90" t="str">
        <f t="shared" si="385"/>
        <v/>
      </c>
      <c r="BB194" s="90" t="str">
        <f t="shared" si="385"/>
        <v/>
      </c>
      <c r="BC194" s="90" t="str">
        <f t="shared" si="385"/>
        <v/>
      </c>
      <c r="BD194" s="90" t="str">
        <f t="shared" si="385"/>
        <v/>
      </c>
      <c r="BE194" s="90" t="str">
        <f t="shared" si="385"/>
        <v/>
      </c>
      <c r="BF194" s="22"/>
      <c r="BG194" s="22"/>
      <c r="BH194" s="22"/>
      <c r="BI194" s="91">
        <f>$A$38</f>
        <v>20152</v>
      </c>
      <c r="BJ194" s="105"/>
      <c r="BK194" s="90" t="str">
        <f t="shared" si="386"/>
        <v/>
      </c>
      <c r="BL194" s="90" t="str">
        <f t="shared" si="386"/>
        <v/>
      </c>
      <c r="BM194" s="90" t="str">
        <f t="shared" si="386"/>
        <v/>
      </c>
      <c r="BN194" s="90" t="str">
        <f t="shared" si="386"/>
        <v/>
      </c>
      <c r="BO194" s="90" t="str">
        <f t="shared" si="386"/>
        <v/>
      </c>
      <c r="BP194" s="90" t="str">
        <f t="shared" si="386"/>
        <v/>
      </c>
      <c r="BQ194" s="90" t="str">
        <f t="shared" si="386"/>
        <v/>
      </c>
      <c r="BR194" s="22"/>
      <c r="BS194" s="22"/>
      <c r="BT194" s="22"/>
      <c r="BU194" s="91">
        <f>$A$38</f>
        <v>20152</v>
      </c>
      <c r="BV194" s="105"/>
      <c r="BW194" s="90" t="str">
        <f t="shared" si="387"/>
        <v/>
      </c>
      <c r="BX194" s="90" t="str">
        <f t="shared" si="387"/>
        <v/>
      </c>
      <c r="BY194" s="90" t="str">
        <f t="shared" si="387"/>
        <v/>
      </c>
      <c r="BZ194" s="90" t="str">
        <f t="shared" si="387"/>
        <v/>
      </c>
      <c r="CA194" s="90" t="str">
        <f t="shared" si="387"/>
        <v/>
      </c>
      <c r="CB194" s="90" t="str">
        <f t="shared" si="387"/>
        <v/>
      </c>
      <c r="CC194" s="90" t="str">
        <f t="shared" si="387"/>
        <v/>
      </c>
      <c r="CD194" s="22"/>
      <c r="CE194" s="22"/>
      <c r="CF194" s="22"/>
      <c r="CG194" s="91">
        <f>$A$38</f>
        <v>20152</v>
      </c>
      <c r="CH194" s="105"/>
      <c r="CI194" s="90" t="str">
        <f t="shared" si="388"/>
        <v/>
      </c>
      <c r="CJ194" s="90" t="str">
        <f t="shared" si="388"/>
        <v/>
      </c>
      <c r="CK194" s="90" t="str">
        <f t="shared" si="388"/>
        <v/>
      </c>
      <c r="CL194" s="90" t="str">
        <f t="shared" si="388"/>
        <v/>
      </c>
      <c r="CM194" s="90" t="str">
        <f t="shared" si="388"/>
        <v/>
      </c>
      <c r="CN194" s="90" t="str">
        <f t="shared" si="388"/>
        <v/>
      </c>
      <c r="CO194" s="90" t="str">
        <f t="shared" si="388"/>
        <v/>
      </c>
      <c r="CP194" s="22"/>
      <c r="CQ194" s="22"/>
      <c r="CR194" s="22"/>
      <c r="CS194" s="91">
        <f>$A$38</f>
        <v>20152</v>
      </c>
      <c r="CT194" s="105"/>
      <c r="CU194" s="90" t="str">
        <f t="shared" si="389"/>
        <v/>
      </c>
      <c r="CV194" s="90" t="str">
        <f t="shared" si="389"/>
        <v/>
      </c>
      <c r="CW194" s="90" t="str">
        <f t="shared" si="389"/>
        <v/>
      </c>
      <c r="CX194" s="90" t="str">
        <f t="shared" si="389"/>
        <v/>
      </c>
      <c r="CY194" s="90" t="str">
        <f t="shared" si="389"/>
        <v/>
      </c>
      <c r="CZ194" s="90" t="str">
        <f t="shared" si="389"/>
        <v/>
      </c>
      <c r="DA194" s="90" t="str">
        <f t="shared" si="389"/>
        <v/>
      </c>
      <c r="DB194" s="22"/>
      <c r="DC194" s="22"/>
      <c r="DD194" s="22"/>
      <c r="DE194" s="91">
        <f>$A$38</f>
        <v>20152</v>
      </c>
      <c r="DF194" s="105"/>
      <c r="DG194" s="90" t="str">
        <f t="shared" si="390"/>
        <v/>
      </c>
      <c r="DH194" s="90" t="str">
        <f t="shared" si="390"/>
        <v/>
      </c>
      <c r="DI194" s="90" t="str">
        <f t="shared" si="390"/>
        <v/>
      </c>
      <c r="DJ194" s="90" t="str">
        <f t="shared" si="390"/>
        <v/>
      </c>
      <c r="DK194" s="90" t="str">
        <f t="shared" si="390"/>
        <v/>
      </c>
      <c r="DL194" s="90" t="str">
        <f t="shared" si="390"/>
        <v/>
      </c>
      <c r="DM194" s="90" t="str">
        <f t="shared" si="390"/>
        <v/>
      </c>
      <c r="DN194" s="22"/>
      <c r="DO194" s="22"/>
      <c r="DP194" s="22"/>
    </row>
    <row r="195" spans="1:120" x14ac:dyDescent="0.25">
      <c r="A195" s="91">
        <f>$A$39</f>
        <v>20162</v>
      </c>
      <c r="B195" s="105"/>
      <c r="C195" s="90">
        <f t="shared" si="381"/>
        <v>1.0826949212311203</v>
      </c>
      <c r="D195" s="90">
        <f t="shared" si="381"/>
        <v>1.0624674193971315</v>
      </c>
      <c r="E195" s="90">
        <f t="shared" si="381"/>
        <v>1.050565816869818</v>
      </c>
      <c r="F195" s="90">
        <f t="shared" si="381"/>
        <v>1.0186726203319127</v>
      </c>
      <c r="G195" s="90">
        <f t="shared" si="381"/>
        <v>1.0133516378216065</v>
      </c>
      <c r="H195" s="90">
        <f t="shared" si="381"/>
        <v>1.0081090575086298</v>
      </c>
      <c r="I195" s="22"/>
      <c r="J195" s="22"/>
      <c r="K195" s="22"/>
      <c r="L195" s="22"/>
      <c r="M195" s="91">
        <f>$A$39</f>
        <v>20162</v>
      </c>
      <c r="N195" s="105"/>
      <c r="O195" s="90" t="str">
        <f t="shared" si="382"/>
        <v/>
      </c>
      <c r="P195" s="90" t="str">
        <f t="shared" si="382"/>
        <v/>
      </c>
      <c r="Q195" s="90" t="str">
        <f t="shared" si="382"/>
        <v/>
      </c>
      <c r="R195" s="90" t="str">
        <f t="shared" si="382"/>
        <v/>
      </c>
      <c r="S195" s="90" t="str">
        <f t="shared" si="382"/>
        <v/>
      </c>
      <c r="T195" s="90" t="str">
        <f t="shared" si="382"/>
        <v/>
      </c>
      <c r="U195" s="22"/>
      <c r="V195" s="22"/>
      <c r="W195" s="22"/>
      <c r="X195" s="22"/>
      <c r="Y195" s="91">
        <f>$A$39</f>
        <v>20162</v>
      </c>
      <c r="Z195" s="105"/>
      <c r="AA195" s="90" t="str">
        <f t="shared" si="383"/>
        <v/>
      </c>
      <c r="AB195" s="90" t="str">
        <f t="shared" si="383"/>
        <v/>
      </c>
      <c r="AC195" s="90" t="str">
        <f t="shared" si="383"/>
        <v/>
      </c>
      <c r="AD195" s="90" t="str">
        <f t="shared" si="383"/>
        <v/>
      </c>
      <c r="AE195" s="90" t="str">
        <f t="shared" si="383"/>
        <v/>
      </c>
      <c r="AF195" s="90" t="str">
        <f t="shared" si="383"/>
        <v/>
      </c>
      <c r="AG195" s="22"/>
      <c r="AH195" s="22"/>
      <c r="AI195" s="22"/>
      <c r="AJ195" s="22"/>
      <c r="AK195" s="91">
        <f>$A$39</f>
        <v>20162</v>
      </c>
      <c r="AL195" s="105"/>
      <c r="AM195" s="90" t="str">
        <f t="shared" si="384"/>
        <v/>
      </c>
      <c r="AN195" s="90" t="str">
        <f t="shared" si="384"/>
        <v/>
      </c>
      <c r="AO195" s="90" t="str">
        <f t="shared" si="384"/>
        <v/>
      </c>
      <c r="AP195" s="90" t="str">
        <f t="shared" si="384"/>
        <v/>
      </c>
      <c r="AQ195" s="90" t="str">
        <f t="shared" si="384"/>
        <v/>
      </c>
      <c r="AR195" s="90" t="str">
        <f t="shared" si="384"/>
        <v/>
      </c>
      <c r="AS195" s="22"/>
      <c r="AT195" s="22"/>
      <c r="AU195" s="22"/>
      <c r="AV195" s="22"/>
      <c r="AW195" s="91">
        <f>$A$39</f>
        <v>20162</v>
      </c>
      <c r="AX195" s="105"/>
      <c r="AY195" s="90" t="str">
        <f t="shared" si="385"/>
        <v/>
      </c>
      <c r="AZ195" s="90" t="str">
        <f t="shared" si="385"/>
        <v/>
      </c>
      <c r="BA195" s="90" t="str">
        <f t="shared" si="385"/>
        <v/>
      </c>
      <c r="BB195" s="90" t="str">
        <f t="shared" si="385"/>
        <v/>
      </c>
      <c r="BC195" s="90" t="str">
        <f t="shared" si="385"/>
        <v/>
      </c>
      <c r="BD195" s="90" t="str">
        <f t="shared" si="385"/>
        <v/>
      </c>
      <c r="BE195" s="22"/>
      <c r="BF195" s="22"/>
      <c r="BG195" s="22"/>
      <c r="BH195" s="22"/>
      <c r="BI195" s="91">
        <f>$A$39</f>
        <v>20162</v>
      </c>
      <c r="BJ195" s="105"/>
      <c r="BK195" s="90" t="str">
        <f t="shared" si="386"/>
        <v/>
      </c>
      <c r="BL195" s="90" t="str">
        <f t="shared" si="386"/>
        <v/>
      </c>
      <c r="BM195" s="90" t="str">
        <f t="shared" si="386"/>
        <v/>
      </c>
      <c r="BN195" s="90" t="str">
        <f t="shared" si="386"/>
        <v/>
      </c>
      <c r="BO195" s="90" t="str">
        <f t="shared" si="386"/>
        <v/>
      </c>
      <c r="BP195" s="90" t="str">
        <f t="shared" si="386"/>
        <v/>
      </c>
      <c r="BQ195" s="22"/>
      <c r="BR195" s="22"/>
      <c r="BS195" s="22"/>
      <c r="BT195" s="22"/>
      <c r="BU195" s="91">
        <f>$A$39</f>
        <v>20162</v>
      </c>
      <c r="BV195" s="105"/>
      <c r="BW195" s="90" t="str">
        <f t="shared" si="387"/>
        <v/>
      </c>
      <c r="BX195" s="90" t="str">
        <f t="shared" si="387"/>
        <v/>
      </c>
      <c r="BY195" s="90" t="str">
        <f t="shared" si="387"/>
        <v/>
      </c>
      <c r="BZ195" s="90" t="str">
        <f t="shared" si="387"/>
        <v/>
      </c>
      <c r="CA195" s="90" t="str">
        <f t="shared" si="387"/>
        <v/>
      </c>
      <c r="CB195" s="90" t="str">
        <f t="shared" si="387"/>
        <v/>
      </c>
      <c r="CC195" s="22"/>
      <c r="CD195" s="22"/>
      <c r="CE195" s="22"/>
      <c r="CF195" s="22"/>
      <c r="CG195" s="91">
        <f>$A$39</f>
        <v>20162</v>
      </c>
      <c r="CH195" s="105"/>
      <c r="CI195" s="90" t="str">
        <f t="shared" si="388"/>
        <v/>
      </c>
      <c r="CJ195" s="90" t="str">
        <f t="shared" si="388"/>
        <v/>
      </c>
      <c r="CK195" s="90" t="str">
        <f t="shared" si="388"/>
        <v/>
      </c>
      <c r="CL195" s="90" t="str">
        <f t="shared" si="388"/>
        <v/>
      </c>
      <c r="CM195" s="90" t="str">
        <f t="shared" si="388"/>
        <v/>
      </c>
      <c r="CN195" s="90" t="str">
        <f t="shared" si="388"/>
        <v/>
      </c>
      <c r="CO195" s="22"/>
      <c r="CP195" s="22"/>
      <c r="CQ195" s="22"/>
      <c r="CR195" s="22"/>
      <c r="CS195" s="91">
        <f>$A$39</f>
        <v>20162</v>
      </c>
      <c r="CT195" s="105"/>
      <c r="CU195" s="90" t="str">
        <f t="shared" si="389"/>
        <v/>
      </c>
      <c r="CV195" s="90" t="str">
        <f t="shared" si="389"/>
        <v/>
      </c>
      <c r="CW195" s="90" t="str">
        <f t="shared" si="389"/>
        <v/>
      </c>
      <c r="CX195" s="90" t="str">
        <f t="shared" si="389"/>
        <v/>
      </c>
      <c r="CY195" s="90" t="str">
        <f t="shared" si="389"/>
        <v/>
      </c>
      <c r="CZ195" s="90" t="str">
        <f t="shared" si="389"/>
        <v/>
      </c>
      <c r="DA195" s="22"/>
      <c r="DB195" s="22"/>
      <c r="DC195" s="22"/>
      <c r="DD195" s="22"/>
      <c r="DE195" s="91">
        <f>$A$39</f>
        <v>20162</v>
      </c>
      <c r="DF195" s="105"/>
      <c r="DG195" s="90" t="str">
        <f t="shared" si="390"/>
        <v/>
      </c>
      <c r="DH195" s="90" t="str">
        <f t="shared" si="390"/>
        <v/>
      </c>
      <c r="DI195" s="90" t="str">
        <f t="shared" si="390"/>
        <v/>
      </c>
      <c r="DJ195" s="90" t="str">
        <f t="shared" si="390"/>
        <v/>
      </c>
      <c r="DK195" s="90" t="str">
        <f t="shared" si="390"/>
        <v/>
      </c>
      <c r="DL195" s="90" t="str">
        <f t="shared" si="390"/>
        <v/>
      </c>
      <c r="DM195" s="22"/>
      <c r="DN195" s="22"/>
      <c r="DO195" s="22"/>
      <c r="DP195" s="22"/>
    </row>
    <row r="196" spans="1:120" x14ac:dyDescent="0.25">
      <c r="A196" s="91">
        <f>$A$40</f>
        <v>20172</v>
      </c>
      <c r="B196" s="105"/>
      <c r="C196" s="90">
        <f t="shared" si="381"/>
        <v>1.1286269366663737</v>
      </c>
      <c r="D196" s="90">
        <f t="shared" si="381"/>
        <v>1.0560393951824842</v>
      </c>
      <c r="E196" s="90">
        <f t="shared" si="381"/>
        <v>1.0390767105249581</v>
      </c>
      <c r="F196" s="90">
        <f t="shared" si="381"/>
        <v>1.0237191887091079</v>
      </c>
      <c r="G196" s="90">
        <f t="shared" si="381"/>
        <v>1.0264858691018204</v>
      </c>
      <c r="H196" s="22"/>
      <c r="I196" s="22"/>
      <c r="J196" s="22"/>
      <c r="K196" s="22"/>
      <c r="L196" s="22"/>
      <c r="M196" s="91">
        <f>$A$40</f>
        <v>20172</v>
      </c>
      <c r="N196" s="105"/>
      <c r="O196" s="90" t="str">
        <f t="shared" si="382"/>
        <v/>
      </c>
      <c r="P196" s="90" t="str">
        <f t="shared" si="382"/>
        <v/>
      </c>
      <c r="Q196" s="90" t="str">
        <f t="shared" si="382"/>
        <v/>
      </c>
      <c r="R196" s="90" t="str">
        <f t="shared" si="382"/>
        <v/>
      </c>
      <c r="S196" s="90" t="str">
        <f t="shared" si="382"/>
        <v/>
      </c>
      <c r="T196" s="22"/>
      <c r="U196" s="22"/>
      <c r="V196" s="22"/>
      <c r="W196" s="22"/>
      <c r="X196" s="22"/>
      <c r="Y196" s="91">
        <f>$A$40</f>
        <v>20172</v>
      </c>
      <c r="Z196" s="105"/>
      <c r="AA196" s="90" t="str">
        <f t="shared" si="383"/>
        <v/>
      </c>
      <c r="AB196" s="90" t="str">
        <f t="shared" si="383"/>
        <v/>
      </c>
      <c r="AC196" s="90" t="str">
        <f t="shared" si="383"/>
        <v/>
      </c>
      <c r="AD196" s="90" t="str">
        <f t="shared" si="383"/>
        <v/>
      </c>
      <c r="AE196" s="90" t="str">
        <f t="shared" si="383"/>
        <v/>
      </c>
      <c r="AF196" s="22"/>
      <c r="AG196" s="22"/>
      <c r="AH196" s="22"/>
      <c r="AI196" s="22"/>
      <c r="AJ196" s="22"/>
      <c r="AK196" s="91">
        <f>$A$40</f>
        <v>20172</v>
      </c>
      <c r="AL196" s="105"/>
      <c r="AM196" s="90" t="str">
        <f t="shared" si="384"/>
        <v/>
      </c>
      <c r="AN196" s="90" t="str">
        <f t="shared" si="384"/>
        <v/>
      </c>
      <c r="AO196" s="90" t="str">
        <f t="shared" si="384"/>
        <v/>
      </c>
      <c r="AP196" s="90" t="str">
        <f t="shared" si="384"/>
        <v/>
      </c>
      <c r="AQ196" s="90" t="str">
        <f t="shared" si="384"/>
        <v/>
      </c>
      <c r="AR196" s="22"/>
      <c r="AS196" s="22"/>
      <c r="AT196" s="22"/>
      <c r="AU196" s="22"/>
      <c r="AV196" s="22"/>
      <c r="AW196" s="91">
        <f>$A$40</f>
        <v>20172</v>
      </c>
      <c r="AX196" s="105"/>
      <c r="AY196" s="90" t="str">
        <f t="shared" si="385"/>
        <v/>
      </c>
      <c r="AZ196" s="90" t="str">
        <f t="shared" si="385"/>
        <v/>
      </c>
      <c r="BA196" s="90" t="str">
        <f t="shared" si="385"/>
        <v/>
      </c>
      <c r="BB196" s="90" t="str">
        <f t="shared" si="385"/>
        <v/>
      </c>
      <c r="BC196" s="90" t="str">
        <f t="shared" si="385"/>
        <v/>
      </c>
      <c r="BD196" s="22"/>
      <c r="BE196" s="22"/>
      <c r="BF196" s="22"/>
      <c r="BG196" s="22"/>
      <c r="BH196" s="22"/>
      <c r="BI196" s="91">
        <f>$A$40</f>
        <v>20172</v>
      </c>
      <c r="BJ196" s="105"/>
      <c r="BK196" s="90" t="str">
        <f t="shared" si="386"/>
        <v/>
      </c>
      <c r="BL196" s="90" t="str">
        <f t="shared" si="386"/>
        <v/>
      </c>
      <c r="BM196" s="90" t="str">
        <f t="shared" si="386"/>
        <v/>
      </c>
      <c r="BN196" s="90" t="str">
        <f t="shared" si="386"/>
        <v/>
      </c>
      <c r="BO196" s="90" t="str">
        <f t="shared" si="386"/>
        <v/>
      </c>
      <c r="BP196" s="22"/>
      <c r="BQ196" s="22"/>
      <c r="BR196" s="22"/>
      <c r="BS196" s="22"/>
      <c r="BT196" s="22"/>
      <c r="BU196" s="91">
        <f>$A$40</f>
        <v>20172</v>
      </c>
      <c r="BV196" s="105"/>
      <c r="BW196" s="90" t="str">
        <f t="shared" si="387"/>
        <v/>
      </c>
      <c r="BX196" s="90" t="str">
        <f t="shared" si="387"/>
        <v/>
      </c>
      <c r="BY196" s="90" t="str">
        <f t="shared" si="387"/>
        <v/>
      </c>
      <c r="BZ196" s="90" t="str">
        <f t="shared" si="387"/>
        <v/>
      </c>
      <c r="CA196" s="90" t="str">
        <f t="shared" si="387"/>
        <v/>
      </c>
      <c r="CB196" s="22"/>
      <c r="CC196" s="22"/>
      <c r="CD196" s="22"/>
      <c r="CE196" s="22"/>
      <c r="CF196" s="22"/>
      <c r="CG196" s="91">
        <f>$A$40</f>
        <v>20172</v>
      </c>
      <c r="CH196" s="105"/>
      <c r="CI196" s="90" t="str">
        <f t="shared" si="388"/>
        <v/>
      </c>
      <c r="CJ196" s="90" t="str">
        <f t="shared" si="388"/>
        <v/>
      </c>
      <c r="CK196" s="90" t="str">
        <f t="shared" si="388"/>
        <v/>
      </c>
      <c r="CL196" s="90" t="str">
        <f t="shared" si="388"/>
        <v/>
      </c>
      <c r="CM196" s="90" t="str">
        <f t="shared" si="388"/>
        <v/>
      </c>
      <c r="CN196" s="22"/>
      <c r="CO196" s="22"/>
      <c r="CP196" s="22"/>
      <c r="CQ196" s="22"/>
      <c r="CR196" s="22"/>
      <c r="CS196" s="91">
        <f>$A$40</f>
        <v>20172</v>
      </c>
      <c r="CT196" s="105"/>
      <c r="CU196" s="90" t="str">
        <f t="shared" si="389"/>
        <v/>
      </c>
      <c r="CV196" s="90" t="str">
        <f t="shared" si="389"/>
        <v/>
      </c>
      <c r="CW196" s="90" t="str">
        <f t="shared" si="389"/>
        <v/>
      </c>
      <c r="CX196" s="90" t="str">
        <f t="shared" si="389"/>
        <v/>
      </c>
      <c r="CY196" s="90" t="str">
        <f t="shared" si="389"/>
        <v/>
      </c>
      <c r="CZ196" s="22"/>
      <c r="DA196" s="22"/>
      <c r="DB196" s="22"/>
      <c r="DC196" s="22"/>
      <c r="DD196" s="22"/>
      <c r="DE196" s="91">
        <f>$A$40</f>
        <v>20172</v>
      </c>
      <c r="DF196" s="105"/>
      <c r="DG196" s="90" t="str">
        <f t="shared" si="390"/>
        <v/>
      </c>
      <c r="DH196" s="90" t="str">
        <f t="shared" si="390"/>
        <v/>
      </c>
      <c r="DI196" s="90" t="str">
        <f t="shared" si="390"/>
        <v/>
      </c>
      <c r="DJ196" s="90" t="str">
        <f t="shared" si="390"/>
        <v/>
      </c>
      <c r="DK196" s="90" t="str">
        <f t="shared" si="390"/>
        <v/>
      </c>
      <c r="DL196" s="22"/>
      <c r="DM196" s="22"/>
      <c r="DN196" s="22"/>
      <c r="DO196" s="22"/>
      <c r="DP196" s="22"/>
    </row>
    <row r="197" spans="1:120" x14ac:dyDescent="0.25">
      <c r="A197" s="91">
        <f>$A$41</f>
        <v>20182</v>
      </c>
      <c r="B197" s="105"/>
      <c r="C197" s="90">
        <f t="shared" si="381"/>
        <v>1.1592942939712676</v>
      </c>
      <c r="D197" s="90">
        <f t="shared" si="381"/>
        <v>1.0554553183780035</v>
      </c>
      <c r="E197" s="90">
        <f t="shared" si="381"/>
        <v>1.057673121100664</v>
      </c>
      <c r="F197" s="90">
        <f t="shared" si="381"/>
        <v>1.0376741430494012</v>
      </c>
      <c r="G197" s="22"/>
      <c r="H197" s="22"/>
      <c r="I197" s="22"/>
      <c r="J197" s="22"/>
      <c r="K197" s="22"/>
      <c r="L197" s="22"/>
      <c r="M197" s="91">
        <f>$A$41</f>
        <v>20182</v>
      </c>
      <c r="N197" s="105"/>
      <c r="O197" s="90" t="str">
        <f t="shared" si="382"/>
        <v/>
      </c>
      <c r="P197" s="90" t="str">
        <f t="shared" si="382"/>
        <v/>
      </c>
      <c r="Q197" s="90" t="str">
        <f t="shared" si="382"/>
        <v/>
      </c>
      <c r="R197" s="90" t="str">
        <f t="shared" si="382"/>
        <v/>
      </c>
      <c r="S197" s="22"/>
      <c r="T197" s="22"/>
      <c r="U197" s="22"/>
      <c r="V197" s="22"/>
      <c r="W197" s="22"/>
      <c r="X197" s="22"/>
      <c r="Y197" s="91">
        <f>$A$41</f>
        <v>20182</v>
      </c>
      <c r="Z197" s="105"/>
      <c r="AA197" s="90" t="str">
        <f t="shared" si="383"/>
        <v/>
      </c>
      <c r="AB197" s="90" t="str">
        <f t="shared" si="383"/>
        <v/>
      </c>
      <c r="AC197" s="90" t="str">
        <f t="shared" si="383"/>
        <v/>
      </c>
      <c r="AD197" s="90" t="str">
        <f t="shared" si="383"/>
        <v/>
      </c>
      <c r="AE197" s="22"/>
      <c r="AF197" s="22"/>
      <c r="AG197" s="22"/>
      <c r="AH197" s="22"/>
      <c r="AI197" s="22"/>
      <c r="AJ197" s="22"/>
      <c r="AK197" s="91">
        <f>$A$41</f>
        <v>20182</v>
      </c>
      <c r="AL197" s="105"/>
      <c r="AM197" s="90" t="str">
        <f t="shared" si="384"/>
        <v/>
      </c>
      <c r="AN197" s="90" t="str">
        <f t="shared" si="384"/>
        <v/>
      </c>
      <c r="AO197" s="90" t="str">
        <f t="shared" si="384"/>
        <v/>
      </c>
      <c r="AP197" s="90" t="str">
        <f t="shared" si="384"/>
        <v/>
      </c>
      <c r="AQ197" s="22"/>
      <c r="AR197" s="22"/>
      <c r="AS197" s="22"/>
      <c r="AT197" s="22"/>
      <c r="AU197" s="22"/>
      <c r="AV197" s="22"/>
      <c r="AW197" s="91">
        <f>$A$41</f>
        <v>20182</v>
      </c>
      <c r="AX197" s="105"/>
      <c r="AY197" s="90" t="str">
        <f t="shared" si="385"/>
        <v/>
      </c>
      <c r="AZ197" s="90" t="str">
        <f t="shared" si="385"/>
        <v/>
      </c>
      <c r="BA197" s="90" t="str">
        <f t="shared" si="385"/>
        <v/>
      </c>
      <c r="BB197" s="90" t="str">
        <f t="shared" si="385"/>
        <v/>
      </c>
      <c r="BC197" s="22"/>
      <c r="BD197" s="22"/>
      <c r="BE197" s="22"/>
      <c r="BF197" s="22"/>
      <c r="BG197" s="22"/>
      <c r="BH197" s="22"/>
      <c r="BI197" s="91">
        <f>$A$41</f>
        <v>20182</v>
      </c>
      <c r="BJ197" s="105"/>
      <c r="BK197" s="90" t="str">
        <f t="shared" si="386"/>
        <v/>
      </c>
      <c r="BL197" s="90" t="str">
        <f t="shared" si="386"/>
        <v/>
      </c>
      <c r="BM197" s="90" t="str">
        <f t="shared" si="386"/>
        <v/>
      </c>
      <c r="BN197" s="90" t="str">
        <f t="shared" si="386"/>
        <v/>
      </c>
      <c r="BO197" s="22"/>
      <c r="BP197" s="22"/>
      <c r="BQ197" s="22"/>
      <c r="BR197" s="22"/>
      <c r="BS197" s="22"/>
      <c r="BT197" s="22"/>
      <c r="BU197" s="91">
        <f>$A$41</f>
        <v>20182</v>
      </c>
      <c r="BV197" s="105"/>
      <c r="BW197" s="90" t="str">
        <f t="shared" si="387"/>
        <v/>
      </c>
      <c r="BX197" s="90" t="str">
        <f t="shared" si="387"/>
        <v/>
      </c>
      <c r="BY197" s="90" t="str">
        <f t="shared" si="387"/>
        <v/>
      </c>
      <c r="BZ197" s="90" t="str">
        <f t="shared" si="387"/>
        <v/>
      </c>
      <c r="CA197" s="22"/>
      <c r="CB197" s="22"/>
      <c r="CC197" s="22"/>
      <c r="CD197" s="22"/>
      <c r="CE197" s="22"/>
      <c r="CF197" s="22"/>
      <c r="CG197" s="91">
        <f>$A$41</f>
        <v>20182</v>
      </c>
      <c r="CH197" s="105"/>
      <c r="CI197" s="90" t="str">
        <f t="shared" si="388"/>
        <v/>
      </c>
      <c r="CJ197" s="90" t="str">
        <f t="shared" si="388"/>
        <v/>
      </c>
      <c r="CK197" s="90" t="str">
        <f t="shared" si="388"/>
        <v/>
      </c>
      <c r="CL197" s="90" t="str">
        <f t="shared" si="388"/>
        <v/>
      </c>
      <c r="CM197" s="22"/>
      <c r="CN197" s="22"/>
      <c r="CO197" s="22"/>
      <c r="CP197" s="22"/>
      <c r="CQ197" s="22"/>
      <c r="CR197" s="22"/>
      <c r="CS197" s="91">
        <f>$A$41</f>
        <v>20182</v>
      </c>
      <c r="CT197" s="105"/>
      <c r="CU197" s="90" t="str">
        <f t="shared" si="389"/>
        <v/>
      </c>
      <c r="CV197" s="90" t="str">
        <f t="shared" si="389"/>
        <v/>
      </c>
      <c r="CW197" s="90" t="str">
        <f t="shared" si="389"/>
        <v/>
      </c>
      <c r="CX197" s="90" t="str">
        <f t="shared" si="389"/>
        <v/>
      </c>
      <c r="CY197" s="22"/>
      <c r="CZ197" s="22"/>
      <c r="DA197" s="22"/>
      <c r="DB197" s="22"/>
      <c r="DC197" s="22"/>
      <c r="DD197" s="22"/>
      <c r="DE197" s="91">
        <f>$A$41</f>
        <v>20182</v>
      </c>
      <c r="DF197" s="105"/>
      <c r="DG197" s="90" t="str">
        <f t="shared" si="390"/>
        <v/>
      </c>
      <c r="DH197" s="90" t="str">
        <f t="shared" si="390"/>
        <v/>
      </c>
      <c r="DI197" s="90" t="str">
        <f t="shared" si="390"/>
        <v/>
      </c>
      <c r="DJ197" s="90" t="str">
        <f t="shared" si="390"/>
        <v/>
      </c>
      <c r="DK197" s="22"/>
      <c r="DL197" s="22"/>
      <c r="DM197" s="22"/>
      <c r="DN197" s="22"/>
      <c r="DO197" s="22"/>
      <c r="DP197" s="22"/>
    </row>
    <row r="198" spans="1:120" x14ac:dyDescent="0.25">
      <c r="A198" s="91">
        <f>$A$42</f>
        <v>20192</v>
      </c>
      <c r="B198" s="105"/>
      <c r="C198" s="90">
        <f t="shared" si="381"/>
        <v>1.1698126377468852</v>
      </c>
      <c r="D198" s="90">
        <f t="shared" si="381"/>
        <v>1.0916053951528941</v>
      </c>
      <c r="E198" s="90">
        <f t="shared" si="381"/>
        <v>1.0660537374670565</v>
      </c>
      <c r="F198" s="22"/>
      <c r="G198" s="22"/>
      <c r="H198" s="22"/>
      <c r="I198" s="22"/>
      <c r="J198" s="22"/>
      <c r="K198" s="22"/>
      <c r="L198" s="22"/>
      <c r="M198" s="91">
        <f>$A$42</f>
        <v>20192</v>
      </c>
      <c r="N198" s="105"/>
      <c r="O198" s="90" t="str">
        <f t="shared" si="382"/>
        <v/>
      </c>
      <c r="P198" s="90" t="str">
        <f t="shared" si="382"/>
        <v/>
      </c>
      <c r="Q198" s="90" t="str">
        <f t="shared" si="382"/>
        <v/>
      </c>
      <c r="R198" s="22"/>
      <c r="S198" s="22"/>
      <c r="T198" s="22"/>
      <c r="U198" s="22"/>
      <c r="V198" s="22"/>
      <c r="W198" s="22"/>
      <c r="X198" s="22"/>
      <c r="Y198" s="91">
        <f>$A$42</f>
        <v>20192</v>
      </c>
      <c r="Z198" s="105"/>
      <c r="AA198" s="90" t="str">
        <f t="shared" si="383"/>
        <v/>
      </c>
      <c r="AB198" s="90" t="str">
        <f t="shared" si="383"/>
        <v/>
      </c>
      <c r="AC198" s="90" t="str">
        <f t="shared" si="383"/>
        <v/>
      </c>
      <c r="AD198" s="22"/>
      <c r="AE198" s="22"/>
      <c r="AF198" s="22"/>
      <c r="AG198" s="22"/>
      <c r="AH198" s="22"/>
      <c r="AI198" s="22"/>
      <c r="AJ198" s="22"/>
      <c r="AK198" s="91">
        <f>$A$42</f>
        <v>20192</v>
      </c>
      <c r="AL198" s="105"/>
      <c r="AM198" s="90" t="str">
        <f t="shared" si="384"/>
        <v/>
      </c>
      <c r="AN198" s="90" t="str">
        <f t="shared" si="384"/>
        <v/>
      </c>
      <c r="AO198" s="90" t="str">
        <f t="shared" si="384"/>
        <v/>
      </c>
      <c r="AP198" s="22"/>
      <c r="AQ198" s="22"/>
      <c r="AR198" s="22"/>
      <c r="AS198" s="22"/>
      <c r="AT198" s="22"/>
      <c r="AU198" s="22"/>
      <c r="AV198" s="22"/>
      <c r="AW198" s="91">
        <f>$A$42</f>
        <v>20192</v>
      </c>
      <c r="AX198" s="105"/>
      <c r="AY198" s="90" t="str">
        <f t="shared" si="385"/>
        <v/>
      </c>
      <c r="AZ198" s="90" t="str">
        <f t="shared" si="385"/>
        <v/>
      </c>
      <c r="BA198" s="90" t="str">
        <f t="shared" si="385"/>
        <v/>
      </c>
      <c r="BB198" s="22"/>
      <c r="BC198" s="22"/>
      <c r="BD198" s="22"/>
      <c r="BE198" s="22"/>
      <c r="BF198" s="22"/>
      <c r="BG198" s="22"/>
      <c r="BH198" s="22"/>
      <c r="BI198" s="91">
        <f>$A$42</f>
        <v>20192</v>
      </c>
      <c r="BJ198" s="105"/>
      <c r="BK198" s="90" t="str">
        <f t="shared" si="386"/>
        <v/>
      </c>
      <c r="BL198" s="90" t="str">
        <f t="shared" si="386"/>
        <v/>
      </c>
      <c r="BM198" s="90" t="str">
        <f t="shared" si="386"/>
        <v/>
      </c>
      <c r="BN198" s="22"/>
      <c r="BO198" s="22"/>
      <c r="BP198" s="22"/>
      <c r="BQ198" s="22"/>
      <c r="BR198" s="22"/>
      <c r="BS198" s="22"/>
      <c r="BT198" s="22"/>
      <c r="BU198" s="91">
        <f>$A$42</f>
        <v>20192</v>
      </c>
      <c r="BV198" s="105"/>
      <c r="BW198" s="90" t="str">
        <f t="shared" si="387"/>
        <v/>
      </c>
      <c r="BX198" s="90" t="str">
        <f t="shared" si="387"/>
        <v/>
      </c>
      <c r="BY198" s="90" t="str">
        <f t="shared" si="387"/>
        <v/>
      </c>
      <c r="BZ198" s="22"/>
      <c r="CA198" s="22"/>
      <c r="CB198" s="22"/>
      <c r="CC198" s="22"/>
      <c r="CD198" s="22"/>
      <c r="CE198" s="22"/>
      <c r="CF198" s="22"/>
      <c r="CG198" s="91">
        <f>$A$42</f>
        <v>20192</v>
      </c>
      <c r="CH198" s="105"/>
      <c r="CI198" s="90" t="str">
        <f t="shared" si="388"/>
        <v/>
      </c>
      <c r="CJ198" s="90" t="str">
        <f t="shared" si="388"/>
        <v/>
      </c>
      <c r="CK198" s="90" t="str">
        <f t="shared" si="388"/>
        <v/>
      </c>
      <c r="CL198" s="22"/>
      <c r="CM198" s="22"/>
      <c r="CN198" s="22"/>
      <c r="CO198" s="22"/>
      <c r="CP198" s="22"/>
      <c r="CQ198" s="22"/>
      <c r="CR198" s="22"/>
      <c r="CS198" s="91">
        <f>$A$42</f>
        <v>20192</v>
      </c>
      <c r="CT198" s="105"/>
      <c r="CU198" s="90" t="str">
        <f t="shared" si="389"/>
        <v/>
      </c>
      <c r="CV198" s="90" t="str">
        <f t="shared" si="389"/>
        <v/>
      </c>
      <c r="CW198" s="90" t="str">
        <f t="shared" si="389"/>
        <v/>
      </c>
      <c r="CX198" s="22"/>
      <c r="CY198" s="22"/>
      <c r="CZ198" s="22"/>
      <c r="DA198" s="22"/>
      <c r="DB198" s="22"/>
      <c r="DC198" s="22"/>
      <c r="DD198" s="22"/>
      <c r="DE198" s="91">
        <f>$A$42</f>
        <v>20192</v>
      </c>
      <c r="DF198" s="105"/>
      <c r="DG198" s="90" t="str">
        <f t="shared" si="390"/>
        <v/>
      </c>
      <c r="DH198" s="90" t="str">
        <f t="shared" si="390"/>
        <v/>
      </c>
      <c r="DI198" s="90" t="str">
        <f t="shared" si="390"/>
        <v/>
      </c>
      <c r="DJ198" s="22"/>
      <c r="DK198" s="22"/>
      <c r="DL198" s="22"/>
      <c r="DM198" s="22"/>
      <c r="DN198" s="22"/>
      <c r="DO198" s="22"/>
      <c r="DP198" s="22"/>
    </row>
    <row r="199" spans="1:120" x14ac:dyDescent="0.25">
      <c r="A199" s="91">
        <f>$A$43</f>
        <v>20202</v>
      </c>
      <c r="B199" s="105"/>
      <c r="C199" s="90">
        <f t="shared" si="381"/>
        <v>1.1566873427947586</v>
      </c>
      <c r="D199" s="90">
        <f t="shared" si="381"/>
        <v>1.1087919731316838</v>
      </c>
      <c r="E199" s="22"/>
      <c r="F199" s="22"/>
      <c r="G199" s="22"/>
      <c r="H199" s="22"/>
      <c r="I199" s="22"/>
      <c r="J199" s="22"/>
      <c r="K199" s="22"/>
      <c r="L199" s="22"/>
      <c r="M199" s="91">
        <f>$A$43</f>
        <v>20202</v>
      </c>
      <c r="N199" s="105"/>
      <c r="O199" s="90" t="str">
        <f t="shared" si="382"/>
        <v/>
      </c>
      <c r="P199" s="90" t="str">
        <f t="shared" si="382"/>
        <v/>
      </c>
      <c r="Q199" s="22"/>
      <c r="R199" s="22"/>
      <c r="S199" s="22"/>
      <c r="T199" s="22"/>
      <c r="U199" s="22"/>
      <c r="V199" s="22"/>
      <c r="W199" s="22"/>
      <c r="X199" s="22"/>
      <c r="Y199" s="91">
        <f>$A$43</f>
        <v>20202</v>
      </c>
      <c r="Z199" s="105"/>
      <c r="AA199" s="90" t="str">
        <f t="shared" si="383"/>
        <v/>
      </c>
      <c r="AB199" s="90" t="str">
        <f t="shared" si="383"/>
        <v/>
      </c>
      <c r="AC199" s="22"/>
      <c r="AD199" s="22"/>
      <c r="AE199" s="22"/>
      <c r="AF199" s="22"/>
      <c r="AG199" s="22"/>
      <c r="AH199" s="22"/>
      <c r="AI199" s="22"/>
      <c r="AJ199" s="22"/>
      <c r="AK199" s="91">
        <f>$A$43</f>
        <v>20202</v>
      </c>
      <c r="AL199" s="105"/>
      <c r="AM199" s="90" t="str">
        <f t="shared" si="384"/>
        <v/>
      </c>
      <c r="AN199" s="90" t="str">
        <f t="shared" si="384"/>
        <v/>
      </c>
      <c r="AO199" s="22"/>
      <c r="AP199" s="22"/>
      <c r="AQ199" s="22"/>
      <c r="AR199" s="22"/>
      <c r="AS199" s="22"/>
      <c r="AT199" s="22"/>
      <c r="AU199" s="22"/>
      <c r="AV199" s="22"/>
      <c r="AW199" s="91">
        <f>$A$43</f>
        <v>20202</v>
      </c>
      <c r="AX199" s="105"/>
      <c r="AY199" s="90" t="str">
        <f t="shared" si="385"/>
        <v/>
      </c>
      <c r="AZ199" s="90" t="str">
        <f t="shared" si="385"/>
        <v/>
      </c>
      <c r="BA199" s="22"/>
      <c r="BB199" s="22"/>
      <c r="BC199" s="22"/>
      <c r="BD199" s="22"/>
      <c r="BE199" s="22"/>
      <c r="BF199" s="22"/>
      <c r="BG199" s="22"/>
      <c r="BH199" s="22"/>
      <c r="BI199" s="91">
        <f>$A$43</f>
        <v>20202</v>
      </c>
      <c r="BJ199" s="105"/>
      <c r="BK199" s="90" t="str">
        <f t="shared" si="386"/>
        <v/>
      </c>
      <c r="BL199" s="90" t="str">
        <f t="shared" si="386"/>
        <v/>
      </c>
      <c r="BM199" s="22"/>
      <c r="BN199" s="22"/>
      <c r="BO199" s="22"/>
      <c r="BP199" s="22"/>
      <c r="BQ199" s="22"/>
      <c r="BR199" s="22"/>
      <c r="BS199" s="22"/>
      <c r="BT199" s="22"/>
      <c r="BU199" s="91">
        <f>$A$43</f>
        <v>20202</v>
      </c>
      <c r="BV199" s="105"/>
      <c r="BW199" s="90" t="str">
        <f t="shared" si="387"/>
        <v/>
      </c>
      <c r="BX199" s="90" t="str">
        <f t="shared" si="387"/>
        <v/>
      </c>
      <c r="BY199" s="22"/>
      <c r="BZ199" s="22"/>
      <c r="CA199" s="22"/>
      <c r="CB199" s="22"/>
      <c r="CC199" s="22"/>
      <c r="CD199" s="22"/>
      <c r="CE199" s="22"/>
      <c r="CF199" s="22"/>
      <c r="CG199" s="91">
        <f>$A$43</f>
        <v>20202</v>
      </c>
      <c r="CH199" s="105"/>
      <c r="CI199" s="90" t="str">
        <f t="shared" si="388"/>
        <v/>
      </c>
      <c r="CJ199" s="90" t="str">
        <f t="shared" si="388"/>
        <v/>
      </c>
      <c r="CK199" s="22"/>
      <c r="CL199" s="22"/>
      <c r="CM199" s="22"/>
      <c r="CN199" s="22"/>
      <c r="CO199" s="22"/>
      <c r="CP199" s="22"/>
      <c r="CQ199" s="22"/>
      <c r="CR199" s="22"/>
      <c r="CS199" s="91">
        <f>$A$43</f>
        <v>20202</v>
      </c>
      <c r="CT199" s="105"/>
      <c r="CU199" s="90" t="str">
        <f t="shared" si="389"/>
        <v/>
      </c>
      <c r="CV199" s="90" t="str">
        <f t="shared" si="389"/>
        <v/>
      </c>
      <c r="CW199" s="22"/>
      <c r="CX199" s="22"/>
      <c r="CY199" s="22"/>
      <c r="CZ199" s="22"/>
      <c r="DA199" s="22"/>
      <c r="DB199" s="22"/>
      <c r="DC199" s="22"/>
      <c r="DD199" s="22"/>
      <c r="DE199" s="91">
        <f>$A$43</f>
        <v>20202</v>
      </c>
      <c r="DF199" s="105"/>
      <c r="DG199" s="90" t="str">
        <f t="shared" si="390"/>
        <v/>
      </c>
      <c r="DH199" s="90" t="str">
        <f t="shared" si="390"/>
        <v/>
      </c>
      <c r="DI199" s="22"/>
      <c r="DJ199" s="22"/>
      <c r="DK199" s="22"/>
      <c r="DL199" s="22"/>
      <c r="DM199" s="22"/>
      <c r="DN199" s="22"/>
      <c r="DO199" s="22"/>
      <c r="DP199" s="22"/>
    </row>
    <row r="200" spans="1:120" x14ac:dyDescent="0.25">
      <c r="A200" s="91">
        <f>$A$44</f>
        <v>20212</v>
      </c>
      <c r="B200" s="105"/>
      <c r="C200" s="90">
        <f t="shared" si="381"/>
        <v>1.2203482254464719</v>
      </c>
      <c r="D200" s="22"/>
      <c r="E200" s="22"/>
      <c r="F200" s="22"/>
      <c r="G200" s="22"/>
      <c r="H200" s="22"/>
      <c r="I200" s="22"/>
      <c r="J200" s="22"/>
      <c r="K200" s="22"/>
      <c r="L200" s="22"/>
      <c r="M200" s="91">
        <f>$A$44</f>
        <v>20212</v>
      </c>
      <c r="N200" s="105"/>
      <c r="O200" s="90" t="str">
        <f t="shared" si="382"/>
        <v/>
      </c>
      <c r="P200" s="22"/>
      <c r="Q200" s="22"/>
      <c r="R200" s="22"/>
      <c r="S200" s="22"/>
      <c r="T200" s="22"/>
      <c r="U200" s="22"/>
      <c r="V200" s="22"/>
      <c r="W200" s="22"/>
      <c r="X200" s="22"/>
      <c r="Y200" s="91">
        <f>$A$44</f>
        <v>20212</v>
      </c>
      <c r="Z200" s="105"/>
      <c r="AA200" s="90" t="str">
        <f t="shared" si="383"/>
        <v/>
      </c>
      <c r="AB200" s="22"/>
      <c r="AC200" s="22"/>
      <c r="AD200" s="22"/>
      <c r="AE200" s="22"/>
      <c r="AF200" s="22"/>
      <c r="AG200" s="22"/>
      <c r="AH200" s="22"/>
      <c r="AI200" s="22"/>
      <c r="AJ200" s="22"/>
      <c r="AK200" s="91">
        <f>$A$44</f>
        <v>20212</v>
      </c>
      <c r="AL200" s="105"/>
      <c r="AM200" s="90" t="str">
        <f t="shared" si="384"/>
        <v/>
      </c>
      <c r="AN200" s="22"/>
      <c r="AO200" s="22"/>
      <c r="AP200" s="22"/>
      <c r="AQ200" s="22"/>
      <c r="AR200" s="22"/>
      <c r="AS200" s="22"/>
      <c r="AT200" s="22"/>
      <c r="AU200" s="22"/>
      <c r="AV200" s="22"/>
      <c r="AW200" s="91">
        <f>$A$44</f>
        <v>20212</v>
      </c>
      <c r="AX200" s="105"/>
      <c r="AY200" s="90" t="str">
        <f t="shared" si="385"/>
        <v/>
      </c>
      <c r="AZ200" s="22"/>
      <c r="BA200" s="22"/>
      <c r="BB200" s="22"/>
      <c r="BC200" s="22"/>
      <c r="BD200" s="22"/>
      <c r="BE200" s="22"/>
      <c r="BF200" s="22"/>
      <c r="BG200" s="22"/>
      <c r="BH200" s="22"/>
      <c r="BI200" s="91">
        <f>$A$44</f>
        <v>20212</v>
      </c>
      <c r="BJ200" s="105"/>
      <c r="BK200" s="90" t="str">
        <f t="shared" si="386"/>
        <v/>
      </c>
      <c r="BL200" s="22"/>
      <c r="BM200" s="22"/>
      <c r="BN200" s="22"/>
      <c r="BO200" s="22"/>
      <c r="BP200" s="22"/>
      <c r="BQ200" s="22"/>
      <c r="BR200" s="22"/>
      <c r="BS200" s="22"/>
      <c r="BT200" s="22"/>
      <c r="BU200" s="91">
        <f>$A$44</f>
        <v>20212</v>
      </c>
      <c r="BV200" s="105"/>
      <c r="BW200" s="90" t="str">
        <f t="shared" si="387"/>
        <v/>
      </c>
      <c r="BX200" s="22"/>
      <c r="BY200" s="22"/>
      <c r="BZ200" s="22"/>
      <c r="CA200" s="22"/>
      <c r="CB200" s="22"/>
      <c r="CC200" s="22"/>
      <c r="CD200" s="22"/>
      <c r="CE200" s="22"/>
      <c r="CF200" s="22"/>
      <c r="CG200" s="91">
        <f>$A$44</f>
        <v>20212</v>
      </c>
      <c r="CH200" s="105"/>
      <c r="CI200" s="90" t="str">
        <f t="shared" si="388"/>
        <v/>
      </c>
      <c r="CJ200" s="22"/>
      <c r="CK200" s="22"/>
      <c r="CL200" s="22"/>
      <c r="CM200" s="22"/>
      <c r="CN200" s="22"/>
      <c r="CO200" s="22"/>
      <c r="CP200" s="22"/>
      <c r="CQ200" s="22"/>
      <c r="CR200" s="22"/>
      <c r="CS200" s="91">
        <f>$A$44</f>
        <v>20212</v>
      </c>
      <c r="CT200" s="105"/>
      <c r="CU200" s="90" t="str">
        <f t="shared" si="389"/>
        <v/>
      </c>
      <c r="CV200" s="22"/>
      <c r="CW200" s="22"/>
      <c r="CX200" s="22"/>
      <c r="CY200" s="22"/>
      <c r="CZ200" s="22"/>
      <c r="DA200" s="22"/>
      <c r="DB200" s="22"/>
      <c r="DC200" s="22"/>
      <c r="DD200" s="22"/>
      <c r="DE200" s="91">
        <f>$A$44</f>
        <v>20212</v>
      </c>
      <c r="DF200" s="105"/>
      <c r="DG200" s="90" t="str">
        <f t="shared" si="390"/>
        <v/>
      </c>
      <c r="DH200" s="22"/>
      <c r="DI200" s="22"/>
      <c r="DJ200" s="22"/>
      <c r="DK200" s="22"/>
      <c r="DL200" s="22"/>
      <c r="DM200" s="22"/>
      <c r="DN200" s="22"/>
      <c r="DO200" s="22"/>
      <c r="DP200" s="22"/>
    </row>
    <row r="201" spans="1:120" x14ac:dyDescent="0.25">
      <c r="A201" s="108"/>
      <c r="B201" s="108"/>
      <c r="C201" s="108"/>
      <c r="D201" s="108"/>
      <c r="E201" s="108"/>
      <c r="F201" s="108"/>
      <c r="G201" s="108"/>
      <c r="H201" s="108"/>
      <c r="I201" s="108"/>
      <c r="J201" s="108"/>
      <c r="K201" s="108"/>
      <c r="L201" s="109" t="s">
        <v>38</v>
      </c>
      <c r="M201" s="108"/>
      <c r="N201" s="108"/>
      <c r="O201" s="108"/>
      <c r="P201" s="108"/>
      <c r="Q201" s="108"/>
      <c r="R201" s="108"/>
      <c r="S201" s="108"/>
      <c r="T201" s="108"/>
      <c r="U201" s="108"/>
      <c r="V201" s="108"/>
      <c r="W201" s="108"/>
      <c r="X201" s="109" t="s">
        <v>38</v>
      </c>
      <c r="Y201" s="108"/>
      <c r="Z201" s="108"/>
      <c r="AA201" s="108"/>
      <c r="AB201" s="108"/>
      <c r="AC201" s="108"/>
      <c r="AD201" s="108"/>
      <c r="AE201" s="108"/>
      <c r="AF201" s="108"/>
      <c r="AG201" s="108"/>
      <c r="AH201" s="108"/>
      <c r="AI201" s="108"/>
      <c r="AJ201" s="109" t="s">
        <v>38</v>
      </c>
      <c r="AK201" s="108"/>
      <c r="AL201" s="108"/>
      <c r="AM201" s="108"/>
      <c r="AN201" s="108"/>
      <c r="AO201" s="108"/>
      <c r="AP201" s="108"/>
      <c r="AQ201" s="108"/>
      <c r="AR201" s="108"/>
      <c r="AS201" s="108"/>
      <c r="AT201" s="108"/>
      <c r="AU201" s="108"/>
      <c r="AV201" s="109" t="s">
        <v>38</v>
      </c>
      <c r="AW201" s="108"/>
      <c r="AX201" s="108"/>
      <c r="AY201" s="108"/>
      <c r="AZ201" s="108"/>
      <c r="BA201" s="108"/>
      <c r="BB201" s="108"/>
      <c r="BC201" s="108"/>
      <c r="BD201" s="108"/>
      <c r="BE201" s="108"/>
      <c r="BF201" s="108"/>
      <c r="BG201" s="108"/>
      <c r="BH201" s="109" t="s">
        <v>38</v>
      </c>
      <c r="BI201" s="108"/>
      <c r="BJ201" s="108"/>
      <c r="BK201" s="108"/>
      <c r="BL201" s="108"/>
      <c r="BM201" s="108"/>
      <c r="BN201" s="108"/>
      <c r="BO201" s="108"/>
      <c r="BP201" s="108"/>
      <c r="BQ201" s="108"/>
      <c r="BR201" s="108"/>
      <c r="BS201" s="108"/>
      <c r="BT201" s="109" t="s">
        <v>38</v>
      </c>
      <c r="BU201" s="108"/>
      <c r="BV201" s="108"/>
      <c r="BW201" s="108"/>
      <c r="BX201" s="108"/>
      <c r="BY201" s="108"/>
      <c r="BZ201" s="108"/>
      <c r="CA201" s="108"/>
      <c r="CB201" s="108"/>
      <c r="CC201" s="108"/>
      <c r="CD201" s="108"/>
      <c r="CE201" s="108"/>
      <c r="CF201" s="109" t="s">
        <v>38</v>
      </c>
      <c r="CG201" s="108"/>
      <c r="CH201" s="108"/>
      <c r="CI201" s="108"/>
      <c r="CJ201" s="108"/>
      <c r="CK201" s="108"/>
      <c r="CL201" s="108"/>
      <c r="CM201" s="108"/>
      <c r="CN201" s="108"/>
      <c r="CO201" s="108"/>
      <c r="CP201" s="108"/>
      <c r="CQ201" s="108"/>
      <c r="CR201" s="109" t="s">
        <v>38</v>
      </c>
      <c r="CS201" s="108"/>
      <c r="CT201" s="108"/>
      <c r="CU201" s="108"/>
      <c r="CV201" s="108"/>
      <c r="CW201" s="108"/>
      <c r="CX201" s="108"/>
      <c r="CY201" s="108"/>
      <c r="CZ201" s="108"/>
      <c r="DA201" s="108"/>
      <c r="DB201" s="108"/>
      <c r="DC201" s="108"/>
      <c r="DD201" s="109" t="s">
        <v>38</v>
      </c>
      <c r="DE201" s="108"/>
      <c r="DF201" s="108"/>
      <c r="DG201" s="108"/>
      <c r="DH201" s="108"/>
      <c r="DI201" s="108"/>
      <c r="DJ201" s="108"/>
      <c r="DK201" s="108"/>
      <c r="DL201" s="108"/>
      <c r="DM201" s="108"/>
      <c r="DN201" s="108"/>
      <c r="DO201" s="108"/>
      <c r="DP201" s="109" t="s">
        <v>38</v>
      </c>
    </row>
    <row r="202" spans="1:120" x14ac:dyDescent="0.25">
      <c r="A202" s="11" t="s">
        <v>37</v>
      </c>
      <c r="B202" s="107"/>
      <c r="C202" s="93">
        <f>IFERROR(SUM(D185:D187)/SUM(C185:C187),1)</f>
        <v>1.182556872890361</v>
      </c>
      <c r="D202" s="93">
        <f>IFERROR(SUM(E184:E186)/SUM(D184:D186),1)</f>
        <v>1.0864264243876605</v>
      </c>
      <c r="E202" s="93">
        <f>IFERROR(SUM(F183:F185)/SUM(E183:E185),1)</f>
        <v>1.0535484202280825</v>
      </c>
      <c r="F202" s="93">
        <f>IFERROR(SUM(G182:G184)/SUM(F182:F184),1)</f>
        <v>1.0260987563533186</v>
      </c>
      <c r="G202" s="93">
        <f>IFERROR(SUM(H181:H183)/SUM(G181:G183),1)</f>
        <v>1.0212163605299218</v>
      </c>
      <c r="H202" s="93">
        <f>IFERROR(SUM(I180:I182)/SUM(H180:H182),1)</f>
        <v>1.0120229611120262</v>
      </c>
      <c r="I202" s="93">
        <f>IFERROR(SUM(J179:J181)/SUM(I179:I181),1)</f>
        <v>1.0200371574459142</v>
      </c>
      <c r="J202" s="93">
        <f>IFERROR(SUM(K179:K180)/SUM(J179:J180),1)</f>
        <v>1.0088808541574321</v>
      </c>
      <c r="K202" s="93">
        <f>IFERROR(SUM(L179:L179)/SUM(K179:K179),1)</f>
        <v>1.0041571283510282</v>
      </c>
      <c r="L202" s="93">
        <v>1</v>
      </c>
      <c r="M202" s="285" t="s">
        <v>37</v>
      </c>
      <c r="N202" s="107"/>
      <c r="O202" s="93">
        <f>IFERROR(SUM(P185:P187)/SUM(O185:O187),1)</f>
        <v>1</v>
      </c>
      <c r="P202" s="93">
        <f>IFERROR(SUM(Q184:Q186)/SUM(P184:P186),1)</f>
        <v>1</v>
      </c>
      <c r="Q202" s="93">
        <f>IFERROR(SUM(R183:R185)/SUM(Q183:Q185),1)</f>
        <v>1</v>
      </c>
      <c r="R202" s="93">
        <f>IFERROR(SUM(S182:S184)/SUM(R182:R184),1)</f>
        <v>1</v>
      </c>
      <c r="S202" s="93">
        <f>IFERROR(SUM(T181:T183)/SUM(S181:S183),1)</f>
        <v>1</v>
      </c>
      <c r="T202" s="93">
        <f>IFERROR(SUM(U180:U182)/SUM(T180:T182),1)</f>
        <v>1</v>
      </c>
      <c r="U202" s="93">
        <f>IFERROR(SUM(V179:V181)/SUM(U179:U181),1)</f>
        <v>1</v>
      </c>
      <c r="V202" s="93">
        <f>IFERROR(SUM(W179:W180)/SUM(V179:V180),1)</f>
        <v>1</v>
      </c>
      <c r="W202" s="93">
        <f>IFERROR(SUM(X179:X179)/SUM(W179:W179),1)</f>
        <v>1</v>
      </c>
      <c r="X202" s="93">
        <v>1</v>
      </c>
      <c r="Y202" s="285" t="s">
        <v>37</v>
      </c>
      <c r="Z202" s="107"/>
      <c r="AA202" s="93">
        <f>IFERROR(SUM(AB185:AB187)/SUM(AA185:AA187),1)</f>
        <v>1</v>
      </c>
      <c r="AB202" s="93">
        <f>IFERROR(SUM(AC184:AC186)/SUM(AB184:AB186),1)</f>
        <v>1</v>
      </c>
      <c r="AC202" s="93">
        <f>IFERROR(SUM(AD183:AD185)/SUM(AC183:AC185),1)</f>
        <v>1</v>
      </c>
      <c r="AD202" s="93">
        <f>IFERROR(SUM(AE182:AE184)/SUM(AD182:AD184),1)</f>
        <v>1</v>
      </c>
      <c r="AE202" s="93">
        <f>IFERROR(SUM(AF181:AF183)/SUM(AE181:AE183),1)</f>
        <v>1</v>
      </c>
      <c r="AF202" s="93">
        <f>IFERROR(SUM(AG180:AG182)/SUM(AF180:AF182),1)</f>
        <v>1</v>
      </c>
      <c r="AG202" s="93">
        <f>IFERROR(SUM(AH179:AH181)/SUM(AG179:AG181),1)</f>
        <v>1</v>
      </c>
      <c r="AH202" s="93">
        <f>IFERROR(SUM(AI179:AI180)/SUM(AH179:AH180),1)</f>
        <v>1</v>
      </c>
      <c r="AI202" s="93">
        <f>IFERROR(SUM(AJ179:AJ179)/SUM(AI179:AI179),1)</f>
        <v>1</v>
      </c>
      <c r="AJ202" s="93">
        <v>1</v>
      </c>
      <c r="AK202" s="285" t="s">
        <v>37</v>
      </c>
      <c r="AL202" s="107"/>
      <c r="AM202" s="93">
        <f>IFERROR(SUM(AN185:AN187)/SUM(AM185:AM187),1)</f>
        <v>1</v>
      </c>
      <c r="AN202" s="93">
        <f>IFERROR(SUM(AO184:AO186)/SUM(AN184:AN186),1)</f>
        <v>1</v>
      </c>
      <c r="AO202" s="93">
        <f>IFERROR(SUM(AP183:AP185)/SUM(AO183:AO185),1)</f>
        <v>1</v>
      </c>
      <c r="AP202" s="93">
        <f>IFERROR(SUM(AQ182:AQ184)/SUM(AP182:AP184),1)</f>
        <v>1</v>
      </c>
      <c r="AQ202" s="93">
        <f>IFERROR(SUM(AR181:AR183)/SUM(AQ181:AQ183),1)</f>
        <v>1</v>
      </c>
      <c r="AR202" s="93">
        <f>IFERROR(SUM(AS180:AS182)/SUM(AR180:AR182),1)</f>
        <v>1</v>
      </c>
      <c r="AS202" s="93">
        <f>IFERROR(SUM(AT179:AT181)/SUM(AS179:AS181),1)</f>
        <v>1</v>
      </c>
      <c r="AT202" s="93">
        <f>IFERROR(SUM(AU179:AU180)/SUM(AT179:AT180),1)</f>
        <v>1</v>
      </c>
      <c r="AU202" s="93">
        <f>IFERROR(SUM(AV179:AV179)/SUM(AU179:AU179),1)</f>
        <v>1</v>
      </c>
      <c r="AV202" s="93">
        <v>1</v>
      </c>
      <c r="AW202" s="285" t="s">
        <v>37</v>
      </c>
      <c r="AX202" s="107"/>
      <c r="AY202" s="93">
        <f>IFERROR(SUM(AZ185:AZ187)/SUM(AY185:AY187),1)</f>
        <v>1</v>
      </c>
      <c r="AZ202" s="93">
        <f>IFERROR(SUM(BA184:BA186)/SUM(AZ184:AZ186),1)</f>
        <v>1</v>
      </c>
      <c r="BA202" s="93">
        <f>IFERROR(SUM(BB183:BB185)/SUM(BA183:BA185),1)</f>
        <v>1</v>
      </c>
      <c r="BB202" s="93">
        <f>IFERROR(SUM(BC182:BC184)/SUM(BB182:BB184),1)</f>
        <v>1</v>
      </c>
      <c r="BC202" s="93">
        <f>IFERROR(SUM(BD181:BD183)/SUM(BC181:BC183),1)</f>
        <v>1</v>
      </c>
      <c r="BD202" s="93">
        <f>IFERROR(SUM(BE180:BE182)/SUM(BD180:BD182),1)</f>
        <v>1</v>
      </c>
      <c r="BE202" s="93">
        <f>IFERROR(SUM(BF179:BF181)/SUM(BE179:BE181),1)</f>
        <v>1</v>
      </c>
      <c r="BF202" s="93">
        <f>IFERROR(SUM(BG179:BG180)/SUM(BF179:BF180),1)</f>
        <v>1</v>
      </c>
      <c r="BG202" s="93">
        <f>IFERROR(SUM(BH179:BH179)/SUM(BG179:BG179),1)</f>
        <v>1</v>
      </c>
      <c r="BH202" s="93">
        <v>1</v>
      </c>
      <c r="BI202" s="285" t="s">
        <v>37</v>
      </c>
      <c r="BJ202" s="107"/>
      <c r="BK202" s="93">
        <f>IFERROR(SUM(BL185:BL187)/SUM(BK185:BK187),1)</f>
        <v>1</v>
      </c>
      <c r="BL202" s="93">
        <f>IFERROR(SUM(BM184:BM186)/SUM(BL184:BL186),1)</f>
        <v>1</v>
      </c>
      <c r="BM202" s="93">
        <f>IFERROR(SUM(BN183:BN185)/SUM(BM183:BM185),1)</f>
        <v>1</v>
      </c>
      <c r="BN202" s="93">
        <f>IFERROR(SUM(BO182:BO184)/SUM(BN182:BN184),1)</f>
        <v>1</v>
      </c>
      <c r="BO202" s="93">
        <f>IFERROR(SUM(BP181:BP183)/SUM(BO181:BO183),1)</f>
        <v>1</v>
      </c>
      <c r="BP202" s="93">
        <f>IFERROR(SUM(BQ180:BQ182)/SUM(BP180:BP182),1)</f>
        <v>1</v>
      </c>
      <c r="BQ202" s="93">
        <f>IFERROR(SUM(BR179:BR181)/SUM(BQ179:BQ181),1)</f>
        <v>1</v>
      </c>
      <c r="BR202" s="93">
        <f>IFERROR(SUM(BS179:BS180)/SUM(BR179:BR180),1)</f>
        <v>1</v>
      </c>
      <c r="BS202" s="93">
        <f>IFERROR(SUM(BT179:BT179)/SUM(BS179:BS179),1)</f>
        <v>1</v>
      </c>
      <c r="BT202" s="93">
        <v>1</v>
      </c>
      <c r="BU202" s="285" t="s">
        <v>37</v>
      </c>
      <c r="BV202" s="107"/>
      <c r="BW202" s="93">
        <f>IFERROR(SUM(BX185:BX187)/SUM(BW185:BW187),1)</f>
        <v>1</v>
      </c>
      <c r="BX202" s="93">
        <f>IFERROR(SUM(BY184:BY186)/SUM(BX184:BX186),1)</f>
        <v>1</v>
      </c>
      <c r="BY202" s="93">
        <f>IFERROR(SUM(BZ183:BZ185)/SUM(BY183:BY185),1)</f>
        <v>1</v>
      </c>
      <c r="BZ202" s="93">
        <f>IFERROR(SUM(CA182:CA184)/SUM(BZ182:BZ184),1)</f>
        <v>1</v>
      </c>
      <c r="CA202" s="93">
        <f>IFERROR(SUM(CB181:CB183)/SUM(CA181:CA183),1)</f>
        <v>1</v>
      </c>
      <c r="CB202" s="93">
        <f>IFERROR(SUM(CC180:CC182)/SUM(CB180:CB182),1)</f>
        <v>1</v>
      </c>
      <c r="CC202" s="93">
        <f>IFERROR(SUM(CD179:CD181)/SUM(CC179:CC181),1)</f>
        <v>1</v>
      </c>
      <c r="CD202" s="93">
        <f>IFERROR(SUM(CE179:CE180)/SUM(CD179:CD180),1)</f>
        <v>1</v>
      </c>
      <c r="CE202" s="93">
        <f>IFERROR(SUM(CF179:CF179)/SUM(CE179:CE179),1)</f>
        <v>1</v>
      </c>
      <c r="CF202" s="93">
        <v>1</v>
      </c>
      <c r="CG202" s="285" t="s">
        <v>37</v>
      </c>
      <c r="CH202" s="107"/>
      <c r="CI202" s="93">
        <f>IFERROR(SUM(CJ185:CJ187)/SUM(CI185:CI187),1)</f>
        <v>1</v>
      </c>
      <c r="CJ202" s="93">
        <f>IFERROR(SUM(CK184:CK186)/SUM(CJ184:CJ186),1)</f>
        <v>1</v>
      </c>
      <c r="CK202" s="93">
        <f>IFERROR(SUM(CL183:CL185)/SUM(CK183:CK185),1)</f>
        <v>1</v>
      </c>
      <c r="CL202" s="93">
        <f>IFERROR(SUM(CM182:CM184)/SUM(CL182:CL184),1)</f>
        <v>1</v>
      </c>
      <c r="CM202" s="93">
        <f>IFERROR(SUM(CN181:CN183)/SUM(CM181:CM183),1)</f>
        <v>1</v>
      </c>
      <c r="CN202" s="93">
        <f>IFERROR(SUM(CO180:CO182)/SUM(CN180:CN182),1)</f>
        <v>1</v>
      </c>
      <c r="CO202" s="93">
        <f>IFERROR(SUM(CP179:CP181)/SUM(CO179:CO181),1)</f>
        <v>1</v>
      </c>
      <c r="CP202" s="93">
        <f>IFERROR(SUM(CQ179:CQ180)/SUM(CP179:CP180),1)</f>
        <v>1</v>
      </c>
      <c r="CQ202" s="93">
        <f>IFERROR(SUM(CR179:CR179)/SUM(CQ179:CQ179),1)</f>
        <v>1</v>
      </c>
      <c r="CR202" s="93">
        <v>1</v>
      </c>
      <c r="CS202" s="285" t="s">
        <v>37</v>
      </c>
      <c r="CT202" s="107"/>
      <c r="CU202" s="93">
        <f>IFERROR(SUM(CV185:CV187)/SUM(CU185:CU187),1)</f>
        <v>1</v>
      </c>
      <c r="CV202" s="93">
        <f>IFERROR(SUM(CW184:CW186)/SUM(CV184:CV186),1)</f>
        <v>1</v>
      </c>
      <c r="CW202" s="93">
        <f>IFERROR(SUM(CX183:CX185)/SUM(CW183:CW185),1)</f>
        <v>1</v>
      </c>
      <c r="CX202" s="93">
        <f>IFERROR(SUM(CY182:CY184)/SUM(CX182:CX184),1)</f>
        <v>1</v>
      </c>
      <c r="CY202" s="93">
        <f>IFERROR(SUM(CZ181:CZ183)/SUM(CY181:CY183),1)</f>
        <v>1</v>
      </c>
      <c r="CZ202" s="93">
        <f>IFERROR(SUM(DA180:DA182)/SUM(CZ180:CZ182),1)</f>
        <v>1</v>
      </c>
      <c r="DA202" s="93">
        <f>IFERROR(SUM(DB179:DB181)/SUM(DA179:DA181),1)</f>
        <v>1</v>
      </c>
      <c r="DB202" s="93">
        <f>IFERROR(SUM(DC179:DC180)/SUM(DB179:DB180),1)</f>
        <v>1</v>
      </c>
      <c r="DC202" s="93">
        <f>IFERROR(SUM(DD179:DD179)/SUM(DC179:DC179),1)</f>
        <v>1</v>
      </c>
      <c r="DD202" s="93">
        <v>1</v>
      </c>
      <c r="DE202" s="285" t="s">
        <v>37</v>
      </c>
      <c r="DF202" s="107"/>
      <c r="DG202" s="93">
        <f>IFERROR(SUM(DH185:DH187)/SUM(DG185:DG187),1)</f>
        <v>1</v>
      </c>
      <c r="DH202" s="93">
        <f>IFERROR(SUM(DI184:DI186)/SUM(DH184:DH186),1)</f>
        <v>1</v>
      </c>
      <c r="DI202" s="93">
        <f>IFERROR(SUM(DJ183:DJ185)/SUM(DI183:DI185),1)</f>
        <v>1</v>
      </c>
      <c r="DJ202" s="93">
        <f>IFERROR(SUM(DK182:DK184)/SUM(DJ182:DJ184),1)</f>
        <v>1</v>
      </c>
      <c r="DK202" s="93">
        <f>IFERROR(SUM(DL181:DL183)/SUM(DK181:DK183),1)</f>
        <v>1</v>
      </c>
      <c r="DL202" s="93">
        <f>IFERROR(SUM(DM180:DM182)/SUM(DL180:DL182),1)</f>
        <v>1</v>
      </c>
      <c r="DM202" s="93">
        <f>IFERROR(SUM(DN179:DN181)/SUM(DM179:DM181),1)</f>
        <v>1</v>
      </c>
      <c r="DN202" s="93">
        <f>IFERROR(SUM(DO179:DO180)/SUM(DN179:DN180),1)</f>
        <v>1</v>
      </c>
      <c r="DO202" s="93">
        <f>IFERROR(SUM(DP179:DP179)/SUM(DO179:DO179),1)</f>
        <v>1</v>
      </c>
      <c r="DP202" s="93">
        <v>1</v>
      </c>
    </row>
    <row r="203" spans="1:120" ht="15.75" thickBot="1" x14ac:dyDescent="0.3">
      <c r="A203" s="11" t="s">
        <v>40</v>
      </c>
      <c r="B203" s="107"/>
      <c r="C203" s="93">
        <f>IF(C202=0,1,C202)</f>
        <v>1.182556872890361</v>
      </c>
      <c r="D203" s="93">
        <f t="shared" ref="D203:K203" si="391">IF(D202=0,1,D202)</f>
        <v>1.0864264243876605</v>
      </c>
      <c r="E203" s="93">
        <f t="shared" si="391"/>
        <v>1.0535484202280825</v>
      </c>
      <c r="F203" s="93">
        <f t="shared" si="391"/>
        <v>1.0260987563533186</v>
      </c>
      <c r="G203" s="93">
        <f t="shared" si="391"/>
        <v>1.0212163605299218</v>
      </c>
      <c r="H203" s="93">
        <f t="shared" si="391"/>
        <v>1.0120229611120262</v>
      </c>
      <c r="I203" s="93">
        <f t="shared" si="391"/>
        <v>1.0200371574459142</v>
      </c>
      <c r="J203" s="93">
        <f t="shared" si="391"/>
        <v>1.0088808541574321</v>
      </c>
      <c r="K203" s="93">
        <f t="shared" si="391"/>
        <v>1.0041571283510282</v>
      </c>
      <c r="L203" s="93">
        <f>IF(L202=0,1,L202)</f>
        <v>1</v>
      </c>
      <c r="M203" s="285" t="s">
        <v>40</v>
      </c>
      <c r="N203" s="107"/>
      <c r="O203" s="93">
        <f>IF(O202=0,1,O202)</f>
        <v>1</v>
      </c>
      <c r="P203" s="93">
        <f t="shared" ref="P203:W203" si="392">IF(P202=0,1,P202)</f>
        <v>1</v>
      </c>
      <c r="Q203" s="93">
        <f t="shared" si="392"/>
        <v>1</v>
      </c>
      <c r="R203" s="93">
        <f t="shared" si="392"/>
        <v>1</v>
      </c>
      <c r="S203" s="93">
        <f t="shared" si="392"/>
        <v>1</v>
      </c>
      <c r="T203" s="93">
        <f t="shared" si="392"/>
        <v>1</v>
      </c>
      <c r="U203" s="93">
        <f t="shared" si="392"/>
        <v>1</v>
      </c>
      <c r="V203" s="93">
        <f t="shared" si="392"/>
        <v>1</v>
      </c>
      <c r="W203" s="93">
        <f t="shared" si="392"/>
        <v>1</v>
      </c>
      <c r="X203" s="93">
        <f>IF(X202=0,1,X202)</f>
        <v>1</v>
      </c>
      <c r="Y203" s="285" t="s">
        <v>40</v>
      </c>
      <c r="Z203" s="107"/>
      <c r="AA203" s="93">
        <f>IF(AA202=0,1,AA202)</f>
        <v>1</v>
      </c>
      <c r="AB203" s="93">
        <f t="shared" ref="AB203:AI203" si="393">IF(AB202=0,1,AB202)</f>
        <v>1</v>
      </c>
      <c r="AC203" s="93">
        <f t="shared" si="393"/>
        <v>1</v>
      </c>
      <c r="AD203" s="93">
        <f t="shared" si="393"/>
        <v>1</v>
      </c>
      <c r="AE203" s="93">
        <f t="shared" si="393"/>
        <v>1</v>
      </c>
      <c r="AF203" s="93">
        <f t="shared" si="393"/>
        <v>1</v>
      </c>
      <c r="AG203" s="93">
        <f t="shared" si="393"/>
        <v>1</v>
      </c>
      <c r="AH203" s="93">
        <f t="shared" si="393"/>
        <v>1</v>
      </c>
      <c r="AI203" s="93">
        <f t="shared" si="393"/>
        <v>1</v>
      </c>
      <c r="AJ203" s="93">
        <f>IF(AJ202=0,1,AJ202)</f>
        <v>1</v>
      </c>
      <c r="AK203" s="285" t="s">
        <v>40</v>
      </c>
      <c r="AL203" s="107"/>
      <c r="AM203" s="93">
        <f>IF(AM202=0,1,AM202)</f>
        <v>1</v>
      </c>
      <c r="AN203" s="93">
        <f t="shared" ref="AN203:AU203" si="394">IF(AN202=0,1,AN202)</f>
        <v>1</v>
      </c>
      <c r="AO203" s="93">
        <f t="shared" si="394"/>
        <v>1</v>
      </c>
      <c r="AP203" s="93">
        <f t="shared" si="394"/>
        <v>1</v>
      </c>
      <c r="AQ203" s="93">
        <f t="shared" si="394"/>
        <v>1</v>
      </c>
      <c r="AR203" s="93">
        <f t="shared" si="394"/>
        <v>1</v>
      </c>
      <c r="AS203" s="93">
        <f t="shared" si="394"/>
        <v>1</v>
      </c>
      <c r="AT203" s="93">
        <f t="shared" si="394"/>
        <v>1</v>
      </c>
      <c r="AU203" s="93">
        <f t="shared" si="394"/>
        <v>1</v>
      </c>
      <c r="AV203" s="93">
        <f>IF(AV202=0,1,AV202)</f>
        <v>1</v>
      </c>
      <c r="AW203" s="285" t="s">
        <v>40</v>
      </c>
      <c r="AX203" s="107"/>
      <c r="AY203" s="93">
        <f>IF(AY202=0,1,AY202)</f>
        <v>1</v>
      </c>
      <c r="AZ203" s="93">
        <f t="shared" ref="AZ203:BG203" si="395">IF(AZ202=0,1,AZ202)</f>
        <v>1</v>
      </c>
      <c r="BA203" s="93">
        <f t="shared" si="395"/>
        <v>1</v>
      </c>
      <c r="BB203" s="93">
        <f t="shared" si="395"/>
        <v>1</v>
      </c>
      <c r="BC203" s="93">
        <f t="shared" si="395"/>
        <v>1</v>
      </c>
      <c r="BD203" s="93">
        <f t="shared" si="395"/>
        <v>1</v>
      </c>
      <c r="BE203" s="93">
        <f t="shared" si="395"/>
        <v>1</v>
      </c>
      <c r="BF203" s="93">
        <f t="shared" si="395"/>
        <v>1</v>
      </c>
      <c r="BG203" s="93">
        <f t="shared" si="395"/>
        <v>1</v>
      </c>
      <c r="BH203" s="93">
        <f>IF(BH202=0,1,BH202)</f>
        <v>1</v>
      </c>
      <c r="BI203" s="285" t="s">
        <v>40</v>
      </c>
      <c r="BJ203" s="107"/>
      <c r="BK203" s="93">
        <f>IF(BK202=0,1,BK202)</f>
        <v>1</v>
      </c>
      <c r="BL203" s="93">
        <f t="shared" ref="BL203:BS203" si="396">IF(BL202=0,1,BL202)</f>
        <v>1</v>
      </c>
      <c r="BM203" s="93">
        <f t="shared" si="396"/>
        <v>1</v>
      </c>
      <c r="BN203" s="93">
        <f t="shared" si="396"/>
        <v>1</v>
      </c>
      <c r="BO203" s="93">
        <f t="shared" si="396"/>
        <v>1</v>
      </c>
      <c r="BP203" s="93">
        <f t="shared" si="396"/>
        <v>1</v>
      </c>
      <c r="BQ203" s="93">
        <f t="shared" si="396"/>
        <v>1</v>
      </c>
      <c r="BR203" s="93">
        <f t="shared" si="396"/>
        <v>1</v>
      </c>
      <c r="BS203" s="93">
        <f t="shared" si="396"/>
        <v>1</v>
      </c>
      <c r="BT203" s="93">
        <f>IF(BT202=0,1,BT202)</f>
        <v>1</v>
      </c>
      <c r="BU203" s="285" t="s">
        <v>40</v>
      </c>
      <c r="BV203" s="107"/>
      <c r="BW203" s="93">
        <f>IF(BW202=0,1,BW202)</f>
        <v>1</v>
      </c>
      <c r="BX203" s="93">
        <f t="shared" ref="BX203:CE203" si="397">IF(BX202=0,1,BX202)</f>
        <v>1</v>
      </c>
      <c r="BY203" s="93">
        <f t="shared" si="397"/>
        <v>1</v>
      </c>
      <c r="BZ203" s="93">
        <f t="shared" si="397"/>
        <v>1</v>
      </c>
      <c r="CA203" s="93">
        <f t="shared" si="397"/>
        <v>1</v>
      </c>
      <c r="CB203" s="93">
        <f t="shared" si="397"/>
        <v>1</v>
      </c>
      <c r="CC203" s="93">
        <f t="shared" si="397"/>
        <v>1</v>
      </c>
      <c r="CD203" s="93">
        <f t="shared" si="397"/>
        <v>1</v>
      </c>
      <c r="CE203" s="93">
        <f t="shared" si="397"/>
        <v>1</v>
      </c>
      <c r="CF203" s="93">
        <f>IF(CF202=0,1,CF202)</f>
        <v>1</v>
      </c>
      <c r="CG203" s="285" t="s">
        <v>40</v>
      </c>
      <c r="CH203" s="107"/>
      <c r="CI203" s="93">
        <f>IF(CI202=0,1,CI202)</f>
        <v>1</v>
      </c>
      <c r="CJ203" s="93">
        <f t="shared" ref="CJ203:CQ203" si="398">IF(CJ202=0,1,CJ202)</f>
        <v>1</v>
      </c>
      <c r="CK203" s="93">
        <f t="shared" si="398"/>
        <v>1</v>
      </c>
      <c r="CL203" s="93">
        <f t="shared" si="398"/>
        <v>1</v>
      </c>
      <c r="CM203" s="93">
        <f t="shared" si="398"/>
        <v>1</v>
      </c>
      <c r="CN203" s="93">
        <f t="shared" si="398"/>
        <v>1</v>
      </c>
      <c r="CO203" s="93">
        <f t="shared" si="398"/>
        <v>1</v>
      </c>
      <c r="CP203" s="93">
        <f t="shared" si="398"/>
        <v>1</v>
      </c>
      <c r="CQ203" s="93">
        <f t="shared" si="398"/>
        <v>1</v>
      </c>
      <c r="CR203" s="93">
        <f>IF(CR202=0,1,CR202)</f>
        <v>1</v>
      </c>
      <c r="CS203" s="285" t="s">
        <v>40</v>
      </c>
      <c r="CT203" s="107"/>
      <c r="CU203" s="93">
        <f>IF(CU202=0,1,CU202)</f>
        <v>1</v>
      </c>
      <c r="CV203" s="93">
        <f t="shared" ref="CV203:DC203" si="399">IF(CV202=0,1,CV202)</f>
        <v>1</v>
      </c>
      <c r="CW203" s="93">
        <f t="shared" si="399"/>
        <v>1</v>
      </c>
      <c r="CX203" s="93">
        <f t="shared" si="399"/>
        <v>1</v>
      </c>
      <c r="CY203" s="93">
        <f t="shared" si="399"/>
        <v>1</v>
      </c>
      <c r="CZ203" s="93">
        <f t="shared" si="399"/>
        <v>1</v>
      </c>
      <c r="DA203" s="93">
        <f t="shared" si="399"/>
        <v>1</v>
      </c>
      <c r="DB203" s="93">
        <f t="shared" si="399"/>
        <v>1</v>
      </c>
      <c r="DC203" s="93">
        <f t="shared" si="399"/>
        <v>1</v>
      </c>
      <c r="DD203" s="93">
        <f>IF(DD202=0,1,DD202)</f>
        <v>1</v>
      </c>
      <c r="DE203" s="285" t="s">
        <v>40</v>
      </c>
      <c r="DF203" s="107"/>
      <c r="DG203" s="93">
        <f>IF(DG202=0,1,DG202)</f>
        <v>1</v>
      </c>
      <c r="DH203" s="93">
        <f t="shared" ref="DH203:DO203" si="400">IF(DH202=0,1,DH202)</f>
        <v>1</v>
      </c>
      <c r="DI203" s="93">
        <f t="shared" si="400"/>
        <v>1</v>
      </c>
      <c r="DJ203" s="93">
        <f t="shared" si="400"/>
        <v>1</v>
      </c>
      <c r="DK203" s="93">
        <f t="shared" si="400"/>
        <v>1</v>
      </c>
      <c r="DL203" s="93">
        <f t="shared" si="400"/>
        <v>1</v>
      </c>
      <c r="DM203" s="93">
        <f t="shared" si="400"/>
        <v>1</v>
      </c>
      <c r="DN203" s="93">
        <f t="shared" si="400"/>
        <v>1</v>
      </c>
      <c r="DO203" s="93">
        <f t="shared" si="400"/>
        <v>1</v>
      </c>
      <c r="DP203" s="93">
        <f>IF(DP202=0,1,DP202)</f>
        <v>1</v>
      </c>
    </row>
    <row r="204" spans="1:120" ht="15.75" thickBot="1" x14ac:dyDescent="0.3">
      <c r="A204" s="111" t="s">
        <v>39</v>
      </c>
      <c r="B204" s="115"/>
      <c r="C204" s="113">
        <f>PRODUCT(C203:L203)</f>
        <v>1.483309220087927</v>
      </c>
      <c r="D204" s="113">
        <f>PRODUCT(D203:L203)</f>
        <v>1.2543237911784135</v>
      </c>
      <c r="E204" s="113">
        <f>PRODUCT(E203:L203)</f>
        <v>1.154540945453701</v>
      </c>
      <c r="F204" s="113">
        <f>PRODUCT(F203:L203)</f>
        <v>1.0958594054972384</v>
      </c>
      <c r="G204" s="113">
        <f>PRODUCT(G203:L203)</f>
        <v>1.0679862914870339</v>
      </c>
      <c r="H204" s="113">
        <f>PRODUCT(H203:L203)</f>
        <v>1.0457982585911985</v>
      </c>
      <c r="I204" s="113">
        <f>PRODUCT(I203:L203)</f>
        <v>1.033374042662095</v>
      </c>
      <c r="J204" s="113">
        <f>PRODUCT(J203:L203)</f>
        <v>1.0130749013590596</v>
      </c>
      <c r="K204" s="113">
        <f>PRODUCT(K203:L203)</f>
        <v>1.0041571283510282</v>
      </c>
      <c r="L204" s="114">
        <f>PRODUCT(L203:L203)</f>
        <v>1</v>
      </c>
      <c r="M204" s="111" t="s">
        <v>39</v>
      </c>
      <c r="N204" s="115"/>
      <c r="O204" s="113">
        <f>PRODUCT(O203:X203)</f>
        <v>1</v>
      </c>
      <c r="P204" s="113">
        <f>PRODUCT(P203:X203)</f>
        <v>1</v>
      </c>
      <c r="Q204" s="113">
        <f>PRODUCT(Q203:X203)</f>
        <v>1</v>
      </c>
      <c r="R204" s="113">
        <f>PRODUCT(R203:X203)</f>
        <v>1</v>
      </c>
      <c r="S204" s="113">
        <f>PRODUCT(S203:X203)</f>
        <v>1</v>
      </c>
      <c r="T204" s="113">
        <f>PRODUCT(T203:X203)</f>
        <v>1</v>
      </c>
      <c r="U204" s="113">
        <f>PRODUCT(U203:X203)</f>
        <v>1</v>
      </c>
      <c r="V204" s="113">
        <f>PRODUCT(V203:X203)</f>
        <v>1</v>
      </c>
      <c r="W204" s="113">
        <f>PRODUCT(W203:X203)</f>
        <v>1</v>
      </c>
      <c r="X204" s="114">
        <f>PRODUCT(X203:X203)</f>
        <v>1</v>
      </c>
      <c r="Y204" s="111" t="s">
        <v>39</v>
      </c>
      <c r="Z204" s="115"/>
      <c r="AA204" s="113">
        <f>PRODUCT(AA203:AJ203)</f>
        <v>1</v>
      </c>
      <c r="AB204" s="113">
        <f>PRODUCT(AB203:AJ203)</f>
        <v>1</v>
      </c>
      <c r="AC204" s="113">
        <f>PRODUCT(AC203:AJ203)</f>
        <v>1</v>
      </c>
      <c r="AD204" s="113">
        <f>PRODUCT(AD203:AJ203)</f>
        <v>1</v>
      </c>
      <c r="AE204" s="113">
        <f>PRODUCT(AE203:AJ203)</f>
        <v>1</v>
      </c>
      <c r="AF204" s="113">
        <f>PRODUCT(AF203:AJ203)</f>
        <v>1</v>
      </c>
      <c r="AG204" s="113">
        <f>PRODUCT(AG203:AJ203)</f>
        <v>1</v>
      </c>
      <c r="AH204" s="113">
        <f>PRODUCT(AH203:AJ203)</f>
        <v>1</v>
      </c>
      <c r="AI204" s="113">
        <f>PRODUCT(AI203:AJ203)</f>
        <v>1</v>
      </c>
      <c r="AJ204" s="114">
        <f>PRODUCT(AJ203:AJ203)</f>
        <v>1</v>
      </c>
      <c r="AK204" s="111" t="s">
        <v>39</v>
      </c>
      <c r="AL204" s="115"/>
      <c r="AM204" s="113">
        <f>PRODUCT(AM203:AV203)</f>
        <v>1</v>
      </c>
      <c r="AN204" s="113">
        <f>PRODUCT(AN203:AV203)</f>
        <v>1</v>
      </c>
      <c r="AO204" s="113">
        <f>PRODUCT(AO203:AV203)</f>
        <v>1</v>
      </c>
      <c r="AP204" s="113">
        <f>PRODUCT(AP203:AV203)</f>
        <v>1</v>
      </c>
      <c r="AQ204" s="113">
        <f>PRODUCT(AQ203:AV203)</f>
        <v>1</v>
      </c>
      <c r="AR204" s="113">
        <f>PRODUCT(AR203:AV203)</f>
        <v>1</v>
      </c>
      <c r="AS204" s="113">
        <f>PRODUCT(AS203:AV203)</f>
        <v>1</v>
      </c>
      <c r="AT204" s="113">
        <f>PRODUCT(AT203:AV203)</f>
        <v>1</v>
      </c>
      <c r="AU204" s="113">
        <f>PRODUCT(AU203:AV203)</f>
        <v>1</v>
      </c>
      <c r="AV204" s="114">
        <f>PRODUCT(AV203:AV203)</f>
        <v>1</v>
      </c>
      <c r="AW204" s="111" t="s">
        <v>39</v>
      </c>
      <c r="AX204" s="115"/>
      <c r="AY204" s="113">
        <f>PRODUCT(AY203:BH203)</f>
        <v>1</v>
      </c>
      <c r="AZ204" s="113">
        <f>PRODUCT(AZ203:BH203)</f>
        <v>1</v>
      </c>
      <c r="BA204" s="113">
        <f>PRODUCT(BA203:BH203)</f>
        <v>1</v>
      </c>
      <c r="BB204" s="113">
        <f>PRODUCT(BB203:BH203)</f>
        <v>1</v>
      </c>
      <c r="BC204" s="113">
        <f>PRODUCT(BC203:BH203)</f>
        <v>1</v>
      </c>
      <c r="BD204" s="113">
        <f>PRODUCT(BD203:BH203)</f>
        <v>1</v>
      </c>
      <c r="BE204" s="113">
        <f>PRODUCT(BE203:BH203)</f>
        <v>1</v>
      </c>
      <c r="BF204" s="113">
        <f>PRODUCT(BF203:BH203)</f>
        <v>1</v>
      </c>
      <c r="BG204" s="113">
        <f>PRODUCT(BG203:BH203)</f>
        <v>1</v>
      </c>
      <c r="BH204" s="114">
        <f>PRODUCT(BH203:BH203)</f>
        <v>1</v>
      </c>
      <c r="BI204" s="111" t="s">
        <v>39</v>
      </c>
      <c r="BJ204" s="115"/>
      <c r="BK204" s="113">
        <f>PRODUCT(BK203:BT203)</f>
        <v>1</v>
      </c>
      <c r="BL204" s="113">
        <f>PRODUCT(BL203:BT203)</f>
        <v>1</v>
      </c>
      <c r="BM204" s="113">
        <f>PRODUCT(BM203:BT203)</f>
        <v>1</v>
      </c>
      <c r="BN204" s="113">
        <f>PRODUCT(BN203:BT203)</f>
        <v>1</v>
      </c>
      <c r="BO204" s="113">
        <f>PRODUCT(BO203:BT203)</f>
        <v>1</v>
      </c>
      <c r="BP204" s="113">
        <f>PRODUCT(BP203:BT203)</f>
        <v>1</v>
      </c>
      <c r="BQ204" s="113">
        <f>PRODUCT(BQ203:BT203)</f>
        <v>1</v>
      </c>
      <c r="BR204" s="113">
        <f>PRODUCT(BR203:BT203)</f>
        <v>1</v>
      </c>
      <c r="BS204" s="113">
        <f>PRODUCT(BS203:BT203)</f>
        <v>1</v>
      </c>
      <c r="BT204" s="114">
        <f>PRODUCT(BT203:BT203)</f>
        <v>1</v>
      </c>
      <c r="BU204" s="111" t="s">
        <v>39</v>
      </c>
      <c r="BV204" s="115"/>
      <c r="BW204" s="113">
        <f>PRODUCT(BW203:CF203)</f>
        <v>1</v>
      </c>
      <c r="BX204" s="113">
        <f>PRODUCT(BX203:CF203)</f>
        <v>1</v>
      </c>
      <c r="BY204" s="113">
        <f>PRODUCT(BY203:CF203)</f>
        <v>1</v>
      </c>
      <c r="BZ204" s="113">
        <f>PRODUCT(BZ203:CF203)</f>
        <v>1</v>
      </c>
      <c r="CA204" s="113">
        <f>PRODUCT(CA203:CF203)</f>
        <v>1</v>
      </c>
      <c r="CB204" s="113">
        <f>PRODUCT(CB203:CF203)</f>
        <v>1</v>
      </c>
      <c r="CC204" s="113">
        <f>PRODUCT(CC203:CF203)</f>
        <v>1</v>
      </c>
      <c r="CD204" s="113">
        <f>PRODUCT(CD203:CF203)</f>
        <v>1</v>
      </c>
      <c r="CE204" s="113">
        <f>PRODUCT(CE203:CF203)</f>
        <v>1</v>
      </c>
      <c r="CF204" s="114">
        <f>PRODUCT(CF203:CF203)</f>
        <v>1</v>
      </c>
      <c r="CG204" s="111" t="s">
        <v>39</v>
      </c>
      <c r="CH204" s="115"/>
      <c r="CI204" s="113">
        <f>PRODUCT(CI203:CR203)</f>
        <v>1</v>
      </c>
      <c r="CJ204" s="113">
        <f>PRODUCT(CJ203:CR203)</f>
        <v>1</v>
      </c>
      <c r="CK204" s="113">
        <f>PRODUCT(CK203:CR203)</f>
        <v>1</v>
      </c>
      <c r="CL204" s="113">
        <f>PRODUCT(CL203:CR203)</f>
        <v>1</v>
      </c>
      <c r="CM204" s="113">
        <f>PRODUCT(CM203:CR203)</f>
        <v>1</v>
      </c>
      <c r="CN204" s="113">
        <f>PRODUCT(CN203:CR203)</f>
        <v>1</v>
      </c>
      <c r="CO204" s="113">
        <f>PRODUCT(CO203:CR203)</f>
        <v>1</v>
      </c>
      <c r="CP204" s="113">
        <f>PRODUCT(CP203:CR203)</f>
        <v>1</v>
      </c>
      <c r="CQ204" s="113">
        <f>PRODUCT(CQ203:CR203)</f>
        <v>1</v>
      </c>
      <c r="CR204" s="114">
        <f>PRODUCT(CR203:CR203)</f>
        <v>1</v>
      </c>
      <c r="CS204" s="111" t="s">
        <v>39</v>
      </c>
      <c r="CT204" s="115"/>
      <c r="CU204" s="113">
        <f>PRODUCT(CU203:DD203)</f>
        <v>1</v>
      </c>
      <c r="CV204" s="113">
        <f>PRODUCT(CV203:DD203)</f>
        <v>1</v>
      </c>
      <c r="CW204" s="113">
        <f>PRODUCT(CW203:DD203)</f>
        <v>1</v>
      </c>
      <c r="CX204" s="113">
        <f>PRODUCT(CX203:DD203)</f>
        <v>1</v>
      </c>
      <c r="CY204" s="113">
        <f>PRODUCT(CY203:DD203)</f>
        <v>1</v>
      </c>
      <c r="CZ204" s="113">
        <f>PRODUCT(CZ203:DD203)</f>
        <v>1</v>
      </c>
      <c r="DA204" s="113">
        <f>PRODUCT(DA203:DD203)</f>
        <v>1</v>
      </c>
      <c r="DB204" s="113">
        <f>PRODUCT(DB203:DD203)</f>
        <v>1</v>
      </c>
      <c r="DC204" s="113">
        <f>PRODUCT(DC203:DD203)</f>
        <v>1</v>
      </c>
      <c r="DD204" s="114">
        <f>PRODUCT(DD203:DD203)</f>
        <v>1</v>
      </c>
      <c r="DE204" s="111" t="s">
        <v>39</v>
      </c>
      <c r="DF204" s="115"/>
      <c r="DG204" s="113">
        <f>PRODUCT(DG203:DP203)</f>
        <v>1</v>
      </c>
      <c r="DH204" s="113">
        <f>PRODUCT(DH203:DP203)</f>
        <v>1</v>
      </c>
      <c r="DI204" s="113">
        <f>PRODUCT(DI203:DP203)</f>
        <v>1</v>
      </c>
      <c r="DJ204" s="113">
        <f>PRODUCT(DJ203:DP203)</f>
        <v>1</v>
      </c>
      <c r="DK204" s="113">
        <f>PRODUCT(DK203:DP203)</f>
        <v>1</v>
      </c>
      <c r="DL204" s="113">
        <f>PRODUCT(DL203:DP203)</f>
        <v>1</v>
      </c>
      <c r="DM204" s="113">
        <f>PRODUCT(DM203:DP203)</f>
        <v>1</v>
      </c>
      <c r="DN204" s="113">
        <f>PRODUCT(DN203:DP203)</f>
        <v>1</v>
      </c>
      <c r="DO204" s="113">
        <f>PRODUCT(DO203:DP203)</f>
        <v>1</v>
      </c>
      <c r="DP204" s="114">
        <f>PRODUCT(DP203:DP203)</f>
        <v>1</v>
      </c>
    </row>
    <row r="205" spans="1:120" x14ac:dyDescent="0.25">
      <c r="A205" s="95" t="s">
        <v>41</v>
      </c>
      <c r="B205" s="106"/>
      <c r="C205" s="99">
        <f>C204*C188</f>
        <v>120038218.19220529</v>
      </c>
      <c r="D205" s="99">
        <f>D204*D187</f>
        <v>103912002.0137559</v>
      </c>
      <c r="E205" s="99">
        <f>E204*E186</f>
        <v>97284289.397230968</v>
      </c>
      <c r="F205" s="99">
        <f>F204*F185</f>
        <v>101351530.7556181</v>
      </c>
      <c r="G205" s="99">
        <f>G204*G184</f>
        <v>84334137.875767395</v>
      </c>
      <c r="H205" s="99">
        <f>H204*H183</f>
        <v>109022070.62051119</v>
      </c>
      <c r="I205" s="99">
        <f>I204*I182</f>
        <v>93374064.230353624</v>
      </c>
      <c r="J205" s="99">
        <f>J204*J181</f>
        <v>91855888.098223269</v>
      </c>
      <c r="K205" s="99">
        <f>K204*K180</f>
        <v>81610957.366070017</v>
      </c>
      <c r="L205" s="99">
        <f>L204*L179</f>
        <v>79707563.210000008</v>
      </c>
      <c r="M205" s="95" t="s">
        <v>41</v>
      </c>
      <c r="N205" s="106"/>
      <c r="O205" s="99">
        <f>O204*O188</f>
        <v>0</v>
      </c>
      <c r="P205" s="99">
        <f>P204*P187</f>
        <v>0</v>
      </c>
      <c r="Q205" s="99">
        <f>Q204*Q186</f>
        <v>0</v>
      </c>
      <c r="R205" s="99">
        <f>R204*R185</f>
        <v>0</v>
      </c>
      <c r="S205" s="99">
        <f>S204*S184</f>
        <v>0</v>
      </c>
      <c r="T205" s="99">
        <f>T204*T183</f>
        <v>0</v>
      </c>
      <c r="U205" s="99">
        <f>U204*U182</f>
        <v>0</v>
      </c>
      <c r="V205" s="99">
        <f>V204*V181</f>
        <v>0</v>
      </c>
      <c r="W205" s="99">
        <f>W204*W180</f>
        <v>0</v>
      </c>
      <c r="X205" s="99">
        <f>X204*X179</f>
        <v>0</v>
      </c>
      <c r="Y205" s="95" t="s">
        <v>41</v>
      </c>
      <c r="Z205" s="106"/>
      <c r="AA205" s="99">
        <f>AA204*AA188</f>
        <v>0</v>
      </c>
      <c r="AB205" s="99">
        <f>AB204*AB187</f>
        <v>0</v>
      </c>
      <c r="AC205" s="99">
        <f>AC204*AC186</f>
        <v>0</v>
      </c>
      <c r="AD205" s="99">
        <f>AD204*AD185</f>
        <v>0</v>
      </c>
      <c r="AE205" s="99">
        <f>AE204*AE184</f>
        <v>0</v>
      </c>
      <c r="AF205" s="99">
        <f>AF204*AF183</f>
        <v>0</v>
      </c>
      <c r="AG205" s="99">
        <f>AG204*AG182</f>
        <v>0</v>
      </c>
      <c r="AH205" s="99">
        <f>AH204*AH181</f>
        <v>0</v>
      </c>
      <c r="AI205" s="99">
        <f>AI204*AI180</f>
        <v>0</v>
      </c>
      <c r="AJ205" s="99">
        <f>AJ204*AJ179</f>
        <v>0</v>
      </c>
      <c r="AK205" s="95" t="s">
        <v>41</v>
      </c>
      <c r="AL205" s="106"/>
      <c r="AM205" s="99">
        <f>AM204*AM188</f>
        <v>0</v>
      </c>
      <c r="AN205" s="99">
        <f>AN204*AN187</f>
        <v>0</v>
      </c>
      <c r="AO205" s="99">
        <f>AO204*AO186</f>
        <v>0</v>
      </c>
      <c r="AP205" s="99">
        <f>AP204*AP185</f>
        <v>0</v>
      </c>
      <c r="AQ205" s="99">
        <f>AQ204*AQ184</f>
        <v>0</v>
      </c>
      <c r="AR205" s="99">
        <f>AR204*AR183</f>
        <v>0</v>
      </c>
      <c r="AS205" s="99">
        <f>AS204*AS182</f>
        <v>0</v>
      </c>
      <c r="AT205" s="99">
        <f>AT204*AT181</f>
        <v>0</v>
      </c>
      <c r="AU205" s="99">
        <f>AU204*AU180</f>
        <v>0</v>
      </c>
      <c r="AV205" s="99">
        <f>AV204*AV179</f>
        <v>0</v>
      </c>
      <c r="AW205" s="95" t="s">
        <v>41</v>
      </c>
      <c r="AX205" s="106"/>
      <c r="AY205" s="99">
        <f>AY204*AY188</f>
        <v>0</v>
      </c>
      <c r="AZ205" s="99">
        <f>AZ204*AZ187</f>
        <v>0</v>
      </c>
      <c r="BA205" s="99">
        <f>BA204*BA186</f>
        <v>0</v>
      </c>
      <c r="BB205" s="99">
        <f>BB204*BB185</f>
        <v>0</v>
      </c>
      <c r="BC205" s="99">
        <f>BC204*BC184</f>
        <v>0</v>
      </c>
      <c r="BD205" s="99">
        <f>BD204*BD183</f>
        <v>0</v>
      </c>
      <c r="BE205" s="99">
        <f>BE204*BE182</f>
        <v>0</v>
      </c>
      <c r="BF205" s="99">
        <f>BF204*BF181</f>
        <v>0</v>
      </c>
      <c r="BG205" s="99">
        <f>BG204*BG180</f>
        <v>0</v>
      </c>
      <c r="BH205" s="99">
        <f>BH204*BH179</f>
        <v>0</v>
      </c>
      <c r="BI205" s="95" t="s">
        <v>41</v>
      </c>
      <c r="BJ205" s="106"/>
      <c r="BK205" s="99">
        <f>BK204*BK188</f>
        <v>0</v>
      </c>
      <c r="BL205" s="99">
        <f>BL204*BL187</f>
        <v>0</v>
      </c>
      <c r="BM205" s="99">
        <f>BM204*BM186</f>
        <v>0</v>
      </c>
      <c r="BN205" s="99">
        <f>BN204*BN185</f>
        <v>0</v>
      </c>
      <c r="BO205" s="99">
        <f>BO204*BO184</f>
        <v>0</v>
      </c>
      <c r="BP205" s="99">
        <f>BP204*BP183</f>
        <v>0</v>
      </c>
      <c r="BQ205" s="99">
        <f>BQ204*BQ182</f>
        <v>0</v>
      </c>
      <c r="BR205" s="99">
        <f>BR204*BR181</f>
        <v>0</v>
      </c>
      <c r="BS205" s="99">
        <f>BS204*BS180</f>
        <v>0</v>
      </c>
      <c r="BT205" s="99">
        <f>BT204*BT179</f>
        <v>0</v>
      </c>
      <c r="BU205" s="95" t="s">
        <v>41</v>
      </c>
      <c r="BV205" s="106"/>
      <c r="BW205" s="99">
        <f>BW204*BW188</f>
        <v>0</v>
      </c>
      <c r="BX205" s="99">
        <f>BX204*BX187</f>
        <v>0</v>
      </c>
      <c r="BY205" s="99">
        <f>BY204*BY186</f>
        <v>0</v>
      </c>
      <c r="BZ205" s="99">
        <f>BZ204*BZ185</f>
        <v>0</v>
      </c>
      <c r="CA205" s="99">
        <f>CA204*CA184</f>
        <v>0</v>
      </c>
      <c r="CB205" s="99">
        <f>CB204*CB183</f>
        <v>0</v>
      </c>
      <c r="CC205" s="99">
        <f>CC204*CC182</f>
        <v>0</v>
      </c>
      <c r="CD205" s="99">
        <f>CD204*CD181</f>
        <v>0</v>
      </c>
      <c r="CE205" s="99">
        <f>CE204*CE180</f>
        <v>0</v>
      </c>
      <c r="CF205" s="99">
        <f>CF204*CF179</f>
        <v>0</v>
      </c>
      <c r="CG205" s="95" t="s">
        <v>41</v>
      </c>
      <c r="CH205" s="106"/>
      <c r="CI205" s="99">
        <f>CI204*CI188</f>
        <v>0</v>
      </c>
      <c r="CJ205" s="99">
        <f>CJ204*CJ187</f>
        <v>0</v>
      </c>
      <c r="CK205" s="99">
        <f>CK204*CK186</f>
        <v>0</v>
      </c>
      <c r="CL205" s="99">
        <f>CL204*CL185</f>
        <v>0</v>
      </c>
      <c r="CM205" s="99">
        <f>CM204*CM184</f>
        <v>0</v>
      </c>
      <c r="CN205" s="99">
        <f>CN204*CN183</f>
        <v>0</v>
      </c>
      <c r="CO205" s="99">
        <f>CO204*CO182</f>
        <v>0</v>
      </c>
      <c r="CP205" s="99">
        <f>CP204*CP181</f>
        <v>0</v>
      </c>
      <c r="CQ205" s="99">
        <f>CQ204*CQ180</f>
        <v>0</v>
      </c>
      <c r="CR205" s="99">
        <f>CR204*CR179</f>
        <v>0</v>
      </c>
      <c r="CS205" s="95" t="s">
        <v>41</v>
      </c>
      <c r="CT205" s="106"/>
      <c r="CU205" s="99">
        <f>CU204*CU188</f>
        <v>0</v>
      </c>
      <c r="CV205" s="99">
        <f>CV204*CV187</f>
        <v>0</v>
      </c>
      <c r="CW205" s="99">
        <f>CW204*CW186</f>
        <v>0</v>
      </c>
      <c r="CX205" s="99">
        <f>CX204*CX185</f>
        <v>0</v>
      </c>
      <c r="CY205" s="99">
        <f>CY204*CY184</f>
        <v>0</v>
      </c>
      <c r="CZ205" s="99">
        <f>CZ204*CZ183</f>
        <v>0</v>
      </c>
      <c r="DA205" s="99">
        <f>DA204*DA182</f>
        <v>0</v>
      </c>
      <c r="DB205" s="99">
        <f>DB204*DB181</f>
        <v>0</v>
      </c>
      <c r="DC205" s="99">
        <f>DC204*DC180</f>
        <v>0</v>
      </c>
      <c r="DD205" s="99">
        <f>DD204*DD179</f>
        <v>0</v>
      </c>
      <c r="DE205" s="95" t="s">
        <v>41</v>
      </c>
      <c r="DF205" s="106"/>
      <c r="DG205" s="99">
        <f>DG204*DG188</f>
        <v>0</v>
      </c>
      <c r="DH205" s="99">
        <f>DH204*DH187</f>
        <v>0</v>
      </c>
      <c r="DI205" s="99">
        <f>DI204*DI186</f>
        <v>0</v>
      </c>
      <c r="DJ205" s="99">
        <f>DJ204*DJ185</f>
        <v>0</v>
      </c>
      <c r="DK205" s="99">
        <f>DK204*DK184</f>
        <v>0</v>
      </c>
      <c r="DL205" s="99">
        <f>DL204*DL183</f>
        <v>0</v>
      </c>
      <c r="DM205" s="99">
        <f>DM204*DM182</f>
        <v>0</v>
      </c>
      <c r="DN205" s="99">
        <f>DN204*DN181</f>
        <v>0</v>
      </c>
      <c r="DO205" s="99">
        <f>DO204*DO180</f>
        <v>0</v>
      </c>
      <c r="DP205" s="99">
        <f>DP204*DP179</f>
        <v>0</v>
      </c>
    </row>
    <row r="206" spans="1:120" ht="21" x14ac:dyDescent="0.35">
      <c r="A206" s="137" t="str">
        <f>Co_Name</f>
        <v>State Farm General Insurance Company</v>
      </c>
      <c r="B206" s="68"/>
      <c r="C206" s="40"/>
      <c r="D206" s="18"/>
      <c r="E206" s="18"/>
      <c r="F206" s="18"/>
      <c r="G206" s="18"/>
      <c r="H206" s="18"/>
      <c r="I206" s="18"/>
      <c r="J206" s="18"/>
      <c r="K206" s="18"/>
      <c r="L206" s="18"/>
      <c r="M206" s="137" t="str">
        <f>Co_Name</f>
        <v>State Farm General Insurance Company</v>
      </c>
      <c r="N206" s="68"/>
      <c r="O206" s="40"/>
      <c r="P206" s="18"/>
      <c r="Q206" s="18"/>
      <c r="R206" s="18"/>
      <c r="S206" s="18"/>
      <c r="T206" s="18"/>
      <c r="U206" s="18"/>
      <c r="V206" s="18"/>
      <c r="W206" s="18"/>
      <c r="X206" s="18"/>
      <c r="Y206" s="137" t="str">
        <f>Co_Name</f>
        <v>State Farm General Insurance Company</v>
      </c>
      <c r="Z206" s="68"/>
      <c r="AA206" s="40"/>
      <c r="AB206" s="18"/>
      <c r="AC206" s="18"/>
      <c r="AD206" s="18"/>
      <c r="AE206" s="18"/>
      <c r="AF206" s="18"/>
      <c r="AG206" s="18"/>
      <c r="AH206" s="18"/>
      <c r="AI206" s="18"/>
      <c r="AJ206" s="18"/>
      <c r="AK206" s="137" t="str">
        <f>Co_Name</f>
        <v>State Farm General Insurance Company</v>
      </c>
      <c r="AL206" s="68"/>
      <c r="AM206" s="40"/>
      <c r="AN206" s="18"/>
      <c r="AO206" s="18"/>
      <c r="AP206" s="18"/>
      <c r="AQ206" s="18"/>
      <c r="AR206" s="18"/>
      <c r="AS206" s="18"/>
      <c r="AT206" s="18"/>
      <c r="AU206" s="18"/>
      <c r="AV206" s="18"/>
      <c r="AW206" s="137" t="str">
        <f>Co_Name</f>
        <v>State Farm General Insurance Company</v>
      </c>
      <c r="AX206" s="68"/>
      <c r="AY206" s="40"/>
      <c r="AZ206" s="18"/>
      <c r="BA206" s="18"/>
      <c r="BB206" s="18"/>
      <c r="BC206" s="18"/>
      <c r="BD206" s="18"/>
      <c r="BE206" s="18"/>
      <c r="BF206" s="18"/>
      <c r="BG206" s="18"/>
      <c r="BH206" s="18"/>
      <c r="BI206" s="137" t="str">
        <f>Co_Name</f>
        <v>State Farm General Insurance Company</v>
      </c>
      <c r="BJ206" s="68"/>
      <c r="BK206" s="40"/>
      <c r="BL206" s="18"/>
      <c r="BM206" s="18"/>
      <c r="BN206" s="18"/>
      <c r="BO206" s="18"/>
      <c r="BP206" s="18"/>
      <c r="BQ206" s="18"/>
      <c r="BR206" s="18"/>
      <c r="BS206" s="18"/>
      <c r="BT206" s="18"/>
      <c r="BU206" s="137" t="str">
        <f>Co_Name</f>
        <v>State Farm General Insurance Company</v>
      </c>
      <c r="BV206" s="68"/>
      <c r="BW206" s="40"/>
      <c r="BX206" s="18"/>
      <c r="BY206" s="18"/>
      <c r="BZ206" s="18"/>
      <c r="CA206" s="18"/>
      <c r="CB206" s="18"/>
      <c r="CC206" s="18"/>
      <c r="CD206" s="18"/>
      <c r="CE206" s="18"/>
      <c r="CF206" s="18"/>
      <c r="CG206" s="137" t="str">
        <f>Co_Name</f>
        <v>State Farm General Insurance Company</v>
      </c>
      <c r="CH206" s="68"/>
      <c r="CI206" s="40"/>
      <c r="CJ206" s="18"/>
      <c r="CK206" s="18"/>
      <c r="CL206" s="18"/>
      <c r="CM206" s="18"/>
      <c r="CN206" s="18"/>
      <c r="CO206" s="18"/>
      <c r="CP206" s="18"/>
      <c r="CQ206" s="18"/>
      <c r="CR206" s="18"/>
      <c r="CS206" s="137" t="str">
        <f>Co_Name</f>
        <v>State Farm General Insurance Company</v>
      </c>
      <c r="CT206" s="68"/>
      <c r="CU206" s="40"/>
      <c r="CV206" s="18"/>
      <c r="CW206" s="18"/>
      <c r="CX206" s="18"/>
      <c r="CY206" s="18"/>
      <c r="CZ206" s="18"/>
      <c r="DA206" s="18"/>
      <c r="DB206" s="18"/>
      <c r="DC206" s="18"/>
      <c r="DD206" s="18"/>
      <c r="DE206" s="137" t="str">
        <f>Co_Name</f>
        <v>State Farm General Insurance Company</v>
      </c>
      <c r="DF206" s="68"/>
      <c r="DG206" s="40"/>
      <c r="DH206" s="18"/>
      <c r="DI206" s="18"/>
      <c r="DJ206" s="18"/>
      <c r="DK206" s="18"/>
      <c r="DL206" s="18"/>
      <c r="DM206" s="18"/>
      <c r="DN206" s="18"/>
      <c r="DO206" s="18"/>
      <c r="DP206" s="18"/>
    </row>
    <row r="207" spans="1:120" ht="21" x14ac:dyDescent="0.35">
      <c r="A207" s="137" t="str">
        <f>A$2</f>
        <v>Homeowners Multiple Peril</v>
      </c>
      <c r="B207" s="68"/>
      <c r="C207" s="40"/>
      <c r="D207" s="18"/>
      <c r="E207" s="18"/>
      <c r="F207" s="18"/>
      <c r="G207" s="18"/>
      <c r="H207" s="18"/>
      <c r="I207" s="18"/>
      <c r="J207" s="18"/>
      <c r="K207" s="18"/>
      <c r="L207" s="18"/>
      <c r="M207" s="137" t="str">
        <f>M$2</f>
        <v/>
      </c>
      <c r="N207" s="68"/>
      <c r="O207" s="40"/>
      <c r="P207" s="18"/>
      <c r="Q207" s="18"/>
      <c r="R207" s="18"/>
      <c r="S207" s="18"/>
      <c r="T207" s="18"/>
      <c r="U207" s="18"/>
      <c r="V207" s="18"/>
      <c r="W207" s="18"/>
      <c r="X207" s="18"/>
      <c r="Y207" s="137" t="str">
        <f>Y$2</f>
        <v/>
      </c>
      <c r="Z207" s="68"/>
      <c r="AA207" s="40"/>
      <c r="AB207" s="18"/>
      <c r="AC207" s="18"/>
      <c r="AD207" s="18"/>
      <c r="AE207" s="18"/>
      <c r="AF207" s="18"/>
      <c r="AG207" s="18"/>
      <c r="AH207" s="18"/>
      <c r="AI207" s="18"/>
      <c r="AJ207" s="18"/>
      <c r="AK207" s="137" t="str">
        <f>AK$2</f>
        <v/>
      </c>
      <c r="AL207" s="68"/>
      <c r="AM207" s="40"/>
      <c r="AN207" s="18"/>
      <c r="AO207" s="18"/>
      <c r="AP207" s="18"/>
      <c r="AQ207" s="18"/>
      <c r="AR207" s="18"/>
      <c r="AS207" s="18"/>
      <c r="AT207" s="18"/>
      <c r="AU207" s="18"/>
      <c r="AV207" s="18"/>
      <c r="AW207" s="137" t="str">
        <f>AW$2</f>
        <v/>
      </c>
      <c r="AX207" s="68"/>
      <c r="AY207" s="40"/>
      <c r="AZ207" s="18"/>
      <c r="BA207" s="18"/>
      <c r="BB207" s="18"/>
      <c r="BC207" s="18"/>
      <c r="BD207" s="18"/>
      <c r="BE207" s="18"/>
      <c r="BF207" s="18"/>
      <c r="BG207" s="18"/>
      <c r="BH207" s="18"/>
      <c r="BI207" s="137" t="str">
        <f>BI$2</f>
        <v/>
      </c>
      <c r="BJ207" s="68"/>
      <c r="BK207" s="40"/>
      <c r="BL207" s="18"/>
      <c r="BM207" s="18"/>
      <c r="BN207" s="18"/>
      <c r="BO207" s="18"/>
      <c r="BP207" s="18"/>
      <c r="BQ207" s="18"/>
      <c r="BR207" s="18"/>
      <c r="BS207" s="18"/>
      <c r="BT207" s="18"/>
      <c r="BU207" s="137" t="str">
        <f>BU$2</f>
        <v/>
      </c>
      <c r="BV207" s="68"/>
      <c r="BW207" s="40"/>
      <c r="BX207" s="18"/>
      <c r="BY207" s="18"/>
      <c r="BZ207" s="18"/>
      <c r="CA207" s="18"/>
      <c r="CB207" s="18"/>
      <c r="CC207" s="18"/>
      <c r="CD207" s="18"/>
      <c r="CE207" s="18"/>
      <c r="CF207" s="18"/>
      <c r="CG207" s="137" t="str">
        <f>CG$2</f>
        <v/>
      </c>
      <c r="CH207" s="68"/>
      <c r="CI207" s="40"/>
      <c r="CJ207" s="18"/>
      <c r="CK207" s="18"/>
      <c r="CL207" s="18"/>
      <c r="CM207" s="18"/>
      <c r="CN207" s="18"/>
      <c r="CO207" s="18"/>
      <c r="CP207" s="18"/>
      <c r="CQ207" s="18"/>
      <c r="CR207" s="18"/>
      <c r="CS207" s="137" t="str">
        <f>CS$2</f>
        <v/>
      </c>
      <c r="CT207" s="68"/>
      <c r="CU207" s="40"/>
      <c r="CV207" s="18"/>
      <c r="CW207" s="18"/>
      <c r="CX207" s="18"/>
      <c r="CY207" s="18"/>
      <c r="CZ207" s="18"/>
      <c r="DA207" s="18"/>
      <c r="DB207" s="18"/>
      <c r="DC207" s="18"/>
      <c r="DD207" s="18"/>
      <c r="DE207" s="137" t="str">
        <f>DE$2</f>
        <v/>
      </c>
      <c r="DF207" s="68"/>
      <c r="DG207" s="40"/>
      <c r="DH207" s="18"/>
      <c r="DI207" s="18"/>
      <c r="DJ207" s="18"/>
      <c r="DK207" s="18"/>
      <c r="DL207" s="18"/>
      <c r="DM207" s="18"/>
      <c r="DN207" s="18"/>
      <c r="DO207" s="18"/>
      <c r="DP207" s="18"/>
    </row>
    <row r="208" spans="1:120" ht="21" customHeight="1" x14ac:dyDescent="0.25"/>
    <row r="209" spans="1:120" ht="21" x14ac:dyDescent="0.25">
      <c r="A209" s="48" t="s">
        <v>194</v>
      </c>
      <c r="B209" s="48"/>
      <c r="C209" s="18"/>
      <c r="D209" s="18"/>
      <c r="E209" s="18"/>
      <c r="F209" s="18"/>
      <c r="G209" s="18"/>
      <c r="H209" s="18"/>
      <c r="I209" s="18"/>
      <c r="J209" s="18"/>
      <c r="K209" s="18"/>
      <c r="L209" s="18"/>
      <c r="M209" s="48" t="s">
        <v>194</v>
      </c>
      <c r="N209" s="48"/>
      <c r="O209" s="18"/>
      <c r="P209" s="18"/>
      <c r="Q209" s="18"/>
      <c r="R209" s="18"/>
      <c r="S209" s="18"/>
      <c r="T209" s="18"/>
      <c r="U209" s="18"/>
      <c r="V209" s="18"/>
      <c r="W209" s="18"/>
      <c r="X209" s="18"/>
      <c r="Y209" s="48" t="s">
        <v>194</v>
      </c>
      <c r="Z209" s="48"/>
      <c r="AA209" s="18"/>
      <c r="AB209" s="18"/>
      <c r="AC209" s="18"/>
      <c r="AD209" s="18"/>
      <c r="AE209" s="18"/>
      <c r="AF209" s="18"/>
      <c r="AG209" s="18"/>
      <c r="AH209" s="18"/>
      <c r="AI209" s="18"/>
      <c r="AJ209" s="18"/>
      <c r="AK209" s="48" t="s">
        <v>194</v>
      </c>
      <c r="AL209" s="48"/>
      <c r="AM209" s="18"/>
      <c r="AN209" s="18"/>
      <c r="AO209" s="18"/>
      <c r="AP209" s="18"/>
      <c r="AQ209" s="18"/>
      <c r="AR209" s="18"/>
      <c r="AS209" s="18"/>
      <c r="AT209" s="18"/>
      <c r="AU209" s="18"/>
      <c r="AV209" s="18"/>
      <c r="AW209" s="48" t="s">
        <v>194</v>
      </c>
      <c r="AX209" s="48"/>
      <c r="AY209" s="18"/>
      <c r="AZ209" s="18"/>
      <c r="BA209" s="18"/>
      <c r="BB209" s="18"/>
      <c r="BC209" s="18"/>
      <c r="BD209" s="18"/>
      <c r="BE209" s="18"/>
      <c r="BF209" s="18"/>
      <c r="BG209" s="18"/>
      <c r="BH209" s="18"/>
      <c r="BI209" s="48" t="s">
        <v>194</v>
      </c>
      <c r="BJ209" s="48"/>
      <c r="BK209" s="18"/>
      <c r="BL209" s="18"/>
      <c r="BM209" s="18"/>
      <c r="BN209" s="18"/>
      <c r="BO209" s="18"/>
      <c r="BP209" s="18"/>
      <c r="BQ209" s="18"/>
      <c r="BR209" s="18"/>
      <c r="BS209" s="18"/>
      <c r="BT209" s="18"/>
      <c r="BU209" s="48" t="s">
        <v>194</v>
      </c>
      <c r="BV209" s="48"/>
      <c r="BW209" s="18"/>
      <c r="BX209" s="18"/>
      <c r="BY209" s="18"/>
      <c r="BZ209" s="18"/>
      <c r="CA209" s="18"/>
      <c r="CB209" s="18"/>
      <c r="CC209" s="18"/>
      <c r="CD209" s="18"/>
      <c r="CE209" s="18"/>
      <c r="CF209" s="18"/>
      <c r="CG209" s="48" t="s">
        <v>194</v>
      </c>
      <c r="CH209" s="48"/>
      <c r="CI209" s="18"/>
      <c r="CJ209" s="18"/>
      <c r="CK209" s="18"/>
      <c r="CL209" s="18"/>
      <c r="CM209" s="18"/>
      <c r="CN209" s="18"/>
      <c r="CO209" s="18"/>
      <c r="CP209" s="18"/>
      <c r="CQ209" s="18"/>
      <c r="CR209" s="18"/>
      <c r="CS209" s="48" t="s">
        <v>194</v>
      </c>
      <c r="CT209" s="48"/>
      <c r="CU209" s="18"/>
      <c r="CV209" s="18"/>
      <c r="CW209" s="18"/>
      <c r="CX209" s="18"/>
      <c r="CY209" s="18"/>
      <c r="CZ209" s="18"/>
      <c r="DA209" s="18"/>
      <c r="DB209" s="18"/>
      <c r="DC209" s="18"/>
      <c r="DD209" s="18"/>
      <c r="DE209" s="48" t="s">
        <v>194</v>
      </c>
      <c r="DF209" s="48"/>
      <c r="DG209" s="18"/>
      <c r="DH209" s="18"/>
      <c r="DI209" s="18"/>
      <c r="DJ209" s="18"/>
      <c r="DK209" s="18"/>
      <c r="DL209" s="18"/>
      <c r="DM209" s="18"/>
      <c r="DN209" s="18"/>
      <c r="DO209" s="18"/>
      <c r="DP209" s="18"/>
    </row>
    <row r="210" spans="1:120" x14ac:dyDescent="0.25">
      <c r="A210" s="138" t="str">
        <f>A$5</f>
        <v>Rental Dwelling</v>
      </c>
      <c r="B210" s="69"/>
      <c r="C210" s="18"/>
      <c r="D210" s="18"/>
      <c r="E210" s="18"/>
      <c r="F210" s="18"/>
      <c r="G210" s="18"/>
      <c r="H210" s="18"/>
      <c r="I210" s="18"/>
      <c r="J210" s="18"/>
      <c r="K210" s="18"/>
      <c r="L210" s="18"/>
      <c r="M210" s="138">
        <f>M$5</f>
        <v>0</v>
      </c>
      <c r="N210" s="69"/>
      <c r="O210" s="18"/>
      <c r="P210" s="18"/>
      <c r="Q210" s="18"/>
      <c r="R210" s="18"/>
      <c r="S210" s="18"/>
      <c r="T210" s="18"/>
      <c r="U210" s="18"/>
      <c r="V210" s="18"/>
      <c r="W210" s="18"/>
      <c r="X210" s="18"/>
      <c r="Y210" s="138">
        <f>Y$5</f>
        <v>0</v>
      </c>
      <c r="Z210" s="69"/>
      <c r="AA210" s="18"/>
      <c r="AB210" s="18"/>
      <c r="AC210" s="18"/>
      <c r="AD210" s="18"/>
      <c r="AE210" s="18"/>
      <c r="AF210" s="18"/>
      <c r="AG210" s="18"/>
      <c r="AH210" s="18"/>
      <c r="AI210" s="18"/>
      <c r="AJ210" s="18"/>
      <c r="AK210" s="138">
        <f>AK$5</f>
        <v>0</v>
      </c>
      <c r="AL210" s="69"/>
      <c r="AM210" s="18"/>
      <c r="AN210" s="18"/>
      <c r="AO210" s="18"/>
      <c r="AP210" s="18"/>
      <c r="AQ210" s="18"/>
      <c r="AR210" s="18"/>
      <c r="AS210" s="18"/>
      <c r="AT210" s="18"/>
      <c r="AU210" s="18"/>
      <c r="AV210" s="18"/>
      <c r="AW210" s="138">
        <f>AW$5</f>
        <v>0</v>
      </c>
      <c r="AX210" s="69"/>
      <c r="AY210" s="18"/>
      <c r="AZ210" s="18"/>
      <c r="BA210" s="18"/>
      <c r="BB210" s="18"/>
      <c r="BC210" s="18"/>
      <c r="BD210" s="18"/>
      <c r="BE210" s="18"/>
      <c r="BF210" s="18"/>
      <c r="BG210" s="18"/>
      <c r="BH210" s="18"/>
      <c r="BI210" s="138">
        <f>BI$5</f>
        <v>0</v>
      </c>
      <c r="BJ210" s="69"/>
      <c r="BK210" s="18"/>
      <c r="BL210" s="18"/>
      <c r="BM210" s="18"/>
      <c r="BN210" s="18"/>
      <c r="BO210" s="18"/>
      <c r="BP210" s="18"/>
      <c r="BQ210" s="18"/>
      <c r="BR210" s="18"/>
      <c r="BS210" s="18"/>
      <c r="BT210" s="18"/>
      <c r="BU210" s="138">
        <f>BU$5</f>
        <v>0</v>
      </c>
      <c r="BV210" s="69"/>
      <c r="BW210" s="18"/>
      <c r="BX210" s="18"/>
      <c r="BY210" s="18"/>
      <c r="BZ210" s="18"/>
      <c r="CA210" s="18"/>
      <c r="CB210" s="18"/>
      <c r="CC210" s="18"/>
      <c r="CD210" s="18"/>
      <c r="CE210" s="18"/>
      <c r="CF210" s="18"/>
      <c r="CG210" s="138">
        <f>CG$5</f>
        <v>0</v>
      </c>
      <c r="CH210" s="69"/>
      <c r="CI210" s="18"/>
      <c r="CJ210" s="18"/>
      <c r="CK210" s="18"/>
      <c r="CL210" s="18"/>
      <c r="CM210" s="18"/>
      <c r="CN210" s="18"/>
      <c r="CO210" s="18"/>
      <c r="CP210" s="18"/>
      <c r="CQ210" s="18"/>
      <c r="CR210" s="18"/>
      <c r="CS210" s="138">
        <f>CS$5</f>
        <v>0</v>
      </c>
      <c r="CT210" s="69"/>
      <c r="CU210" s="18"/>
      <c r="CV210" s="18"/>
      <c r="CW210" s="18"/>
      <c r="CX210" s="18"/>
      <c r="CY210" s="18"/>
      <c r="CZ210" s="18"/>
      <c r="DA210" s="18"/>
      <c r="DB210" s="18"/>
      <c r="DC210" s="18"/>
      <c r="DD210" s="18"/>
      <c r="DE210" s="138">
        <f>DE$5</f>
        <v>0</v>
      </c>
      <c r="DF210" s="69"/>
      <c r="DG210" s="18"/>
      <c r="DH210" s="18"/>
      <c r="DI210" s="18"/>
      <c r="DJ210" s="18"/>
      <c r="DK210" s="18"/>
      <c r="DL210" s="18"/>
      <c r="DM210" s="18"/>
      <c r="DN210" s="18"/>
      <c r="DO210" s="18"/>
      <c r="DP210" s="18"/>
    </row>
    <row r="212" spans="1:120" x14ac:dyDescent="0.25">
      <c r="A212" s="102"/>
      <c r="B212" s="129"/>
      <c r="C212" s="129" t="s">
        <v>4</v>
      </c>
      <c r="D212" s="103"/>
      <c r="E212" s="103"/>
      <c r="F212" s="103"/>
      <c r="G212" s="103"/>
      <c r="H212" s="103"/>
      <c r="I212" s="103"/>
      <c r="J212" s="103"/>
      <c r="K212" s="103"/>
      <c r="L212" s="103"/>
      <c r="M212" s="102"/>
      <c r="N212" s="129"/>
      <c r="O212" s="129" t="s">
        <v>4</v>
      </c>
      <c r="P212" s="103"/>
      <c r="Q212" s="103"/>
      <c r="R212" s="103"/>
      <c r="S212" s="103"/>
      <c r="T212" s="103"/>
      <c r="U212" s="103"/>
      <c r="V212" s="103"/>
      <c r="W212" s="103"/>
      <c r="X212" s="103"/>
      <c r="Y212" s="102"/>
      <c r="Z212" s="129"/>
      <c r="AA212" s="129" t="s">
        <v>4</v>
      </c>
      <c r="AB212" s="103"/>
      <c r="AC212" s="103"/>
      <c r="AD212" s="103"/>
      <c r="AE212" s="103"/>
      <c r="AF212" s="103"/>
      <c r="AG212" s="103"/>
      <c r="AH212" s="103"/>
      <c r="AI212" s="103"/>
      <c r="AJ212" s="103"/>
      <c r="AK212" s="102"/>
      <c r="AL212" s="129"/>
      <c r="AM212" s="129" t="s">
        <v>4</v>
      </c>
      <c r="AN212" s="103"/>
      <c r="AO212" s="103"/>
      <c r="AP212" s="103"/>
      <c r="AQ212" s="103"/>
      <c r="AR212" s="103"/>
      <c r="AS212" s="103"/>
      <c r="AT212" s="103"/>
      <c r="AU212" s="103"/>
      <c r="AV212" s="103"/>
      <c r="AW212" s="102"/>
      <c r="AX212" s="129"/>
      <c r="AY212" s="129" t="s">
        <v>4</v>
      </c>
      <c r="AZ212" s="103"/>
      <c r="BA212" s="103"/>
      <c r="BB212" s="103"/>
      <c r="BC212" s="103"/>
      <c r="BD212" s="103"/>
      <c r="BE212" s="103"/>
      <c r="BF212" s="103"/>
      <c r="BG212" s="103"/>
      <c r="BH212" s="103"/>
      <c r="BI212" s="102"/>
      <c r="BJ212" s="129"/>
      <c r="BK212" s="129" t="s">
        <v>4</v>
      </c>
      <c r="BL212" s="103"/>
      <c r="BM212" s="103"/>
      <c r="BN212" s="103"/>
      <c r="BO212" s="103"/>
      <c r="BP212" s="103"/>
      <c r="BQ212" s="103"/>
      <c r="BR212" s="103"/>
      <c r="BS212" s="103"/>
      <c r="BT212" s="103"/>
      <c r="BU212" s="102"/>
      <c r="BV212" s="129"/>
      <c r="BW212" s="129" t="s">
        <v>4</v>
      </c>
      <c r="BX212" s="103"/>
      <c r="BY212" s="103"/>
      <c r="BZ212" s="103"/>
      <c r="CA212" s="103"/>
      <c r="CB212" s="103"/>
      <c r="CC212" s="103"/>
      <c r="CD212" s="103"/>
      <c r="CE212" s="103"/>
      <c r="CF212" s="103"/>
      <c r="CG212" s="102"/>
      <c r="CH212" s="129"/>
      <c r="CI212" s="129" t="s">
        <v>4</v>
      </c>
      <c r="CJ212" s="103"/>
      <c r="CK212" s="103"/>
      <c r="CL212" s="103"/>
      <c r="CM212" s="103"/>
      <c r="CN212" s="103"/>
      <c r="CO212" s="103"/>
      <c r="CP212" s="103"/>
      <c r="CQ212" s="103"/>
      <c r="CR212" s="103"/>
      <c r="CS212" s="102"/>
      <c r="CT212" s="129"/>
      <c r="CU212" s="129" t="s">
        <v>4</v>
      </c>
      <c r="CV212" s="103"/>
      <c r="CW212" s="103"/>
      <c r="CX212" s="103"/>
      <c r="CY212" s="103"/>
      <c r="CZ212" s="103"/>
      <c r="DA212" s="103"/>
      <c r="DB212" s="103"/>
      <c r="DC212" s="103"/>
      <c r="DD212" s="103"/>
      <c r="DE212" s="102"/>
      <c r="DF212" s="129"/>
      <c r="DG212" s="129" t="s">
        <v>4</v>
      </c>
      <c r="DH212" s="103"/>
      <c r="DI212" s="103"/>
      <c r="DJ212" s="103"/>
      <c r="DK212" s="103"/>
      <c r="DL212" s="103"/>
      <c r="DM212" s="103"/>
      <c r="DN212" s="103"/>
      <c r="DO212" s="103"/>
      <c r="DP212" s="103"/>
    </row>
    <row r="213" spans="1:120" ht="30" x14ac:dyDescent="0.25">
      <c r="A213" s="92" t="str">
        <f>$A$35</f>
        <v>Fiscal Accident Year Data Ending</v>
      </c>
      <c r="B213" s="98">
        <f>$B$35</f>
        <v>0</v>
      </c>
      <c r="C213" s="98" t="str">
        <f>$C$35</f>
        <v>12</v>
      </c>
      <c r="D213" s="98">
        <f>$D$35</f>
        <v>24</v>
      </c>
      <c r="E213" s="98">
        <f>$E$35</f>
        <v>36</v>
      </c>
      <c r="F213" s="98">
        <f>$F$35</f>
        <v>48</v>
      </c>
      <c r="G213" s="98">
        <f>$G$35</f>
        <v>60</v>
      </c>
      <c r="H213" s="98">
        <f>$H$35</f>
        <v>72</v>
      </c>
      <c r="I213" s="98">
        <f>$I$35</f>
        <v>84</v>
      </c>
      <c r="J213" s="98">
        <f>$J$35</f>
        <v>96</v>
      </c>
      <c r="K213" s="98">
        <f>$K$35</f>
        <v>108</v>
      </c>
      <c r="L213" s="98">
        <f>$L$35</f>
        <v>120</v>
      </c>
      <c r="M213" s="92" t="str">
        <f>$A$35</f>
        <v>Fiscal Accident Year Data Ending</v>
      </c>
      <c r="N213" s="98">
        <f>$B$35</f>
        <v>0</v>
      </c>
      <c r="O213" s="98" t="str">
        <f>$C$35</f>
        <v>12</v>
      </c>
      <c r="P213" s="98">
        <f>$D$35</f>
        <v>24</v>
      </c>
      <c r="Q213" s="98">
        <f>$E$35</f>
        <v>36</v>
      </c>
      <c r="R213" s="98">
        <f>$F$35</f>
        <v>48</v>
      </c>
      <c r="S213" s="98">
        <f>$G$35</f>
        <v>60</v>
      </c>
      <c r="T213" s="98">
        <f>$H$35</f>
        <v>72</v>
      </c>
      <c r="U213" s="98">
        <f>$I$35</f>
        <v>84</v>
      </c>
      <c r="V213" s="98">
        <f>$J$35</f>
        <v>96</v>
      </c>
      <c r="W213" s="98">
        <f>$K$35</f>
        <v>108</v>
      </c>
      <c r="X213" s="98">
        <f>$L$35</f>
        <v>120</v>
      </c>
      <c r="Y213" s="92" t="str">
        <f>$A$35</f>
        <v>Fiscal Accident Year Data Ending</v>
      </c>
      <c r="Z213" s="98">
        <f>$B$35</f>
        <v>0</v>
      </c>
      <c r="AA213" s="98" t="str">
        <f>$C$35</f>
        <v>12</v>
      </c>
      <c r="AB213" s="98">
        <f>$D$35</f>
        <v>24</v>
      </c>
      <c r="AC213" s="98">
        <f>$E$35</f>
        <v>36</v>
      </c>
      <c r="AD213" s="98">
        <f>$F$35</f>
        <v>48</v>
      </c>
      <c r="AE213" s="98">
        <f>$G$35</f>
        <v>60</v>
      </c>
      <c r="AF213" s="98">
        <f>$H$35</f>
        <v>72</v>
      </c>
      <c r="AG213" s="98">
        <f>$I$35</f>
        <v>84</v>
      </c>
      <c r="AH213" s="98">
        <f>$J$35</f>
        <v>96</v>
      </c>
      <c r="AI213" s="98">
        <f>$K$35</f>
        <v>108</v>
      </c>
      <c r="AJ213" s="98">
        <f>$L$35</f>
        <v>120</v>
      </c>
      <c r="AK213" s="92" t="str">
        <f>$A$35</f>
        <v>Fiscal Accident Year Data Ending</v>
      </c>
      <c r="AL213" s="98">
        <f>$B$35</f>
        <v>0</v>
      </c>
      <c r="AM213" s="98" t="str">
        <f>$C$35</f>
        <v>12</v>
      </c>
      <c r="AN213" s="98">
        <f>$D$35</f>
        <v>24</v>
      </c>
      <c r="AO213" s="98">
        <f>$E$35</f>
        <v>36</v>
      </c>
      <c r="AP213" s="98">
        <f>$F$35</f>
        <v>48</v>
      </c>
      <c r="AQ213" s="98">
        <f>$G$35</f>
        <v>60</v>
      </c>
      <c r="AR213" s="98">
        <f>$H$35</f>
        <v>72</v>
      </c>
      <c r="AS213" s="98">
        <f>$I$35</f>
        <v>84</v>
      </c>
      <c r="AT213" s="98">
        <f>$J$35</f>
        <v>96</v>
      </c>
      <c r="AU213" s="98">
        <f>$K$35</f>
        <v>108</v>
      </c>
      <c r="AV213" s="98">
        <f>$L$35</f>
        <v>120</v>
      </c>
      <c r="AW213" s="92" t="str">
        <f>$A$35</f>
        <v>Fiscal Accident Year Data Ending</v>
      </c>
      <c r="AX213" s="98">
        <f>$B$35</f>
        <v>0</v>
      </c>
      <c r="AY213" s="98" t="str">
        <f>$C$35</f>
        <v>12</v>
      </c>
      <c r="AZ213" s="98">
        <f>$D$35</f>
        <v>24</v>
      </c>
      <c r="BA213" s="98">
        <f>$E$35</f>
        <v>36</v>
      </c>
      <c r="BB213" s="98">
        <f>$F$35</f>
        <v>48</v>
      </c>
      <c r="BC213" s="98">
        <f>$G$35</f>
        <v>60</v>
      </c>
      <c r="BD213" s="98">
        <f>$H$35</f>
        <v>72</v>
      </c>
      <c r="BE213" s="98">
        <f>$I$35</f>
        <v>84</v>
      </c>
      <c r="BF213" s="98">
        <f>$J$35</f>
        <v>96</v>
      </c>
      <c r="BG213" s="98">
        <f>$K$35</f>
        <v>108</v>
      </c>
      <c r="BH213" s="98">
        <f>$L$35</f>
        <v>120</v>
      </c>
      <c r="BI213" s="92" t="str">
        <f>$A$35</f>
        <v>Fiscal Accident Year Data Ending</v>
      </c>
      <c r="BJ213" s="98">
        <f>$B$35</f>
        <v>0</v>
      </c>
      <c r="BK213" s="98" t="str">
        <f>$C$35</f>
        <v>12</v>
      </c>
      <c r="BL213" s="98">
        <f>$D$35</f>
        <v>24</v>
      </c>
      <c r="BM213" s="98">
        <f>$E$35</f>
        <v>36</v>
      </c>
      <c r="BN213" s="98">
        <f>$F$35</f>
        <v>48</v>
      </c>
      <c r="BO213" s="98">
        <f>$G$35</f>
        <v>60</v>
      </c>
      <c r="BP213" s="98">
        <f>$H$35</f>
        <v>72</v>
      </c>
      <c r="BQ213" s="98">
        <f>$I$35</f>
        <v>84</v>
      </c>
      <c r="BR213" s="98">
        <f>$J$35</f>
        <v>96</v>
      </c>
      <c r="BS213" s="98">
        <f>$K$35</f>
        <v>108</v>
      </c>
      <c r="BT213" s="98">
        <f>$L$35</f>
        <v>120</v>
      </c>
      <c r="BU213" s="92" t="str">
        <f>$A$35</f>
        <v>Fiscal Accident Year Data Ending</v>
      </c>
      <c r="BV213" s="98">
        <f>$B$35</f>
        <v>0</v>
      </c>
      <c r="BW213" s="98" t="str">
        <f>$C$35</f>
        <v>12</v>
      </c>
      <c r="BX213" s="98">
        <f>$D$35</f>
        <v>24</v>
      </c>
      <c r="BY213" s="98">
        <f>$E$35</f>
        <v>36</v>
      </c>
      <c r="BZ213" s="98">
        <f>$F$35</f>
        <v>48</v>
      </c>
      <c r="CA213" s="98">
        <f>$G$35</f>
        <v>60</v>
      </c>
      <c r="CB213" s="98">
        <f>$H$35</f>
        <v>72</v>
      </c>
      <c r="CC213" s="98">
        <f>$I$35</f>
        <v>84</v>
      </c>
      <c r="CD213" s="98">
        <f>$J$35</f>
        <v>96</v>
      </c>
      <c r="CE213" s="98">
        <f>$K$35</f>
        <v>108</v>
      </c>
      <c r="CF213" s="98">
        <f>$L$35</f>
        <v>120</v>
      </c>
      <c r="CG213" s="92" t="str">
        <f>$A$35</f>
        <v>Fiscal Accident Year Data Ending</v>
      </c>
      <c r="CH213" s="98">
        <f>$B$35</f>
        <v>0</v>
      </c>
      <c r="CI213" s="98" t="str">
        <f>$C$35</f>
        <v>12</v>
      </c>
      <c r="CJ213" s="98">
        <f>$D$35</f>
        <v>24</v>
      </c>
      <c r="CK213" s="98">
        <f>$E$35</f>
        <v>36</v>
      </c>
      <c r="CL213" s="98">
        <f>$F$35</f>
        <v>48</v>
      </c>
      <c r="CM213" s="98">
        <f>$G$35</f>
        <v>60</v>
      </c>
      <c r="CN213" s="98">
        <f>$H$35</f>
        <v>72</v>
      </c>
      <c r="CO213" s="98">
        <f>$I$35</f>
        <v>84</v>
      </c>
      <c r="CP213" s="98">
        <f>$J$35</f>
        <v>96</v>
      </c>
      <c r="CQ213" s="98">
        <f>$K$35</f>
        <v>108</v>
      </c>
      <c r="CR213" s="98">
        <f>$L$35</f>
        <v>120</v>
      </c>
      <c r="CS213" s="92" t="str">
        <f>$A$35</f>
        <v>Fiscal Accident Year Data Ending</v>
      </c>
      <c r="CT213" s="98">
        <f>$B$35</f>
        <v>0</v>
      </c>
      <c r="CU213" s="98" t="str">
        <f>$C$35</f>
        <v>12</v>
      </c>
      <c r="CV213" s="98">
        <f>$D$35</f>
        <v>24</v>
      </c>
      <c r="CW213" s="98">
        <f>$E$35</f>
        <v>36</v>
      </c>
      <c r="CX213" s="98">
        <f>$F$35</f>
        <v>48</v>
      </c>
      <c r="CY213" s="98">
        <f>$G$35</f>
        <v>60</v>
      </c>
      <c r="CZ213" s="98">
        <f>$H$35</f>
        <v>72</v>
      </c>
      <c r="DA213" s="98">
        <f>$I$35</f>
        <v>84</v>
      </c>
      <c r="DB213" s="98">
        <f>$J$35</f>
        <v>96</v>
      </c>
      <c r="DC213" s="98">
        <f>$K$35</f>
        <v>108</v>
      </c>
      <c r="DD213" s="98">
        <f>$L$35</f>
        <v>120</v>
      </c>
      <c r="DE213" s="92" t="str">
        <f>$A$35</f>
        <v>Fiscal Accident Year Data Ending</v>
      </c>
      <c r="DF213" s="98">
        <f>$B$35</f>
        <v>0</v>
      </c>
      <c r="DG213" s="98" t="str">
        <f>$C$35</f>
        <v>12</v>
      </c>
      <c r="DH213" s="98">
        <f>$D$35</f>
        <v>24</v>
      </c>
      <c r="DI213" s="98">
        <f>$E$35</f>
        <v>36</v>
      </c>
      <c r="DJ213" s="98">
        <f>$F$35</f>
        <v>48</v>
      </c>
      <c r="DK213" s="98">
        <f>$G$35</f>
        <v>60</v>
      </c>
      <c r="DL213" s="98">
        <f>$H$35</f>
        <v>72</v>
      </c>
      <c r="DM213" s="98">
        <f>$I$35</f>
        <v>84</v>
      </c>
      <c r="DN213" s="98">
        <f>$J$35</f>
        <v>96</v>
      </c>
      <c r="DO213" s="98">
        <f>$K$35</f>
        <v>108</v>
      </c>
      <c r="DP213" s="98">
        <f>$L$35</f>
        <v>120</v>
      </c>
    </row>
    <row r="214" spans="1:120" ht="15" customHeight="1" x14ac:dyDescent="0.25">
      <c r="A214" s="31">
        <f>$A$36</f>
        <v>20132</v>
      </c>
      <c r="B214" s="21"/>
      <c r="C214" s="21">
        <v>65194025.340000004</v>
      </c>
      <c r="D214" s="21">
        <v>69007222</v>
      </c>
      <c r="E214" s="21">
        <v>70701855.099999994</v>
      </c>
      <c r="F214" s="21">
        <v>70873779.200000003</v>
      </c>
      <c r="G214" s="21">
        <v>70681763.120000005</v>
      </c>
      <c r="H214" s="21">
        <v>70716658.099999994</v>
      </c>
      <c r="I214" s="21">
        <v>70975230.239999995</v>
      </c>
      <c r="J214" s="21">
        <v>71301487.340000004</v>
      </c>
      <c r="K214" s="21">
        <v>71332573.870000005</v>
      </c>
      <c r="L214" s="21">
        <v>71521463.010000005</v>
      </c>
      <c r="M214" s="31">
        <f>$A$36</f>
        <v>20132</v>
      </c>
      <c r="N214" s="21"/>
      <c r="O214" s="21"/>
      <c r="P214" s="21"/>
      <c r="Q214" s="21"/>
      <c r="R214" s="21"/>
      <c r="S214" s="21"/>
      <c r="T214" s="21"/>
      <c r="U214" s="21"/>
      <c r="V214" s="21"/>
      <c r="W214" s="21"/>
      <c r="X214" s="21"/>
      <c r="Y214" s="31">
        <f>$A$36</f>
        <v>20132</v>
      </c>
      <c r="Z214" s="21"/>
      <c r="AA214" s="21"/>
      <c r="AB214" s="21"/>
      <c r="AC214" s="21"/>
      <c r="AD214" s="21"/>
      <c r="AE214" s="21"/>
      <c r="AF214" s="21"/>
      <c r="AG214" s="21"/>
      <c r="AH214" s="21"/>
      <c r="AI214" s="21"/>
      <c r="AJ214" s="21"/>
      <c r="AK214" s="31">
        <f>$A$36</f>
        <v>20132</v>
      </c>
      <c r="AL214" s="21"/>
      <c r="AM214" s="21"/>
      <c r="AN214" s="21"/>
      <c r="AO214" s="21"/>
      <c r="AP214" s="21"/>
      <c r="AQ214" s="21"/>
      <c r="AR214" s="21"/>
      <c r="AS214" s="21"/>
      <c r="AT214" s="21"/>
      <c r="AU214" s="21"/>
      <c r="AV214" s="21"/>
      <c r="AW214" s="31">
        <f>$A$36</f>
        <v>20132</v>
      </c>
      <c r="AX214" s="21"/>
      <c r="AY214" s="21"/>
      <c r="AZ214" s="21"/>
      <c r="BA214" s="21"/>
      <c r="BB214" s="21"/>
      <c r="BC214" s="21"/>
      <c r="BD214" s="21"/>
      <c r="BE214" s="21"/>
      <c r="BF214" s="21"/>
      <c r="BG214" s="21"/>
      <c r="BH214" s="21"/>
      <c r="BI214" s="31">
        <f>$A$36</f>
        <v>20132</v>
      </c>
      <c r="BJ214" s="21"/>
      <c r="BK214" s="21"/>
      <c r="BL214" s="21"/>
      <c r="BM214" s="21"/>
      <c r="BN214" s="21"/>
      <c r="BO214" s="21"/>
      <c r="BP214" s="21"/>
      <c r="BQ214" s="21"/>
      <c r="BR214" s="21"/>
      <c r="BS214" s="21"/>
      <c r="BT214" s="21"/>
      <c r="BU214" s="31">
        <f>$A$36</f>
        <v>20132</v>
      </c>
      <c r="BV214" s="21"/>
      <c r="BW214" s="21"/>
      <c r="BX214" s="21"/>
      <c r="BY214" s="21"/>
      <c r="BZ214" s="21"/>
      <c r="CA214" s="21"/>
      <c r="CB214" s="21"/>
      <c r="CC214" s="21"/>
      <c r="CD214" s="21"/>
      <c r="CE214" s="21"/>
      <c r="CF214" s="21"/>
      <c r="CG214" s="31">
        <f>$A$36</f>
        <v>20132</v>
      </c>
      <c r="CH214" s="21"/>
      <c r="CI214" s="21"/>
      <c r="CJ214" s="21"/>
      <c r="CK214" s="21"/>
      <c r="CL214" s="21"/>
      <c r="CM214" s="21"/>
      <c r="CN214" s="21"/>
      <c r="CO214" s="21"/>
      <c r="CP214" s="21"/>
      <c r="CQ214" s="21"/>
      <c r="CR214" s="21"/>
      <c r="CS214" s="31">
        <f>$A$36</f>
        <v>20132</v>
      </c>
      <c r="CT214" s="21"/>
      <c r="CU214" s="21"/>
      <c r="CV214" s="21"/>
      <c r="CW214" s="21"/>
      <c r="CX214" s="21"/>
      <c r="CY214" s="21"/>
      <c r="CZ214" s="21"/>
      <c r="DA214" s="21"/>
      <c r="DB214" s="21"/>
      <c r="DC214" s="21"/>
      <c r="DD214" s="21"/>
      <c r="DE214" s="31">
        <f>$A$36</f>
        <v>20132</v>
      </c>
      <c r="DF214" s="21"/>
      <c r="DG214" s="21"/>
      <c r="DH214" s="21"/>
      <c r="DI214" s="21"/>
      <c r="DJ214" s="21"/>
      <c r="DK214" s="21"/>
      <c r="DL214" s="21"/>
      <c r="DM214" s="21"/>
      <c r="DN214" s="21"/>
      <c r="DO214" s="21"/>
      <c r="DP214" s="21"/>
    </row>
    <row r="215" spans="1:120" ht="15" customHeight="1" x14ac:dyDescent="0.25">
      <c r="A215" s="31">
        <f>$A$37</f>
        <v>20142</v>
      </c>
      <c r="B215" s="21"/>
      <c r="C215" s="21">
        <v>64330464.75</v>
      </c>
      <c r="D215" s="21">
        <v>67785091.209999993</v>
      </c>
      <c r="E215" s="21">
        <v>70135161.730000004</v>
      </c>
      <c r="F215" s="21">
        <v>69825533.25</v>
      </c>
      <c r="G215" s="21">
        <v>70144135.890000001</v>
      </c>
      <c r="H215" s="21">
        <v>70449324.129999995</v>
      </c>
      <c r="I215" s="21">
        <v>70811068.400000006</v>
      </c>
      <c r="J215" s="21">
        <v>72084113.530000001</v>
      </c>
      <c r="K215" s="21">
        <v>72920498.049999997</v>
      </c>
      <c r="L215" s="134"/>
      <c r="M215" s="31">
        <f>$A$37</f>
        <v>20142</v>
      </c>
      <c r="N215" s="21"/>
      <c r="O215" s="21"/>
      <c r="P215" s="21"/>
      <c r="Q215" s="21"/>
      <c r="R215" s="21"/>
      <c r="S215" s="21"/>
      <c r="T215" s="21"/>
      <c r="U215" s="21"/>
      <c r="V215" s="21"/>
      <c r="W215" s="21"/>
      <c r="X215" s="134"/>
      <c r="Y215" s="31">
        <f>$A$37</f>
        <v>20142</v>
      </c>
      <c r="Z215" s="21"/>
      <c r="AA215" s="21"/>
      <c r="AB215" s="21"/>
      <c r="AC215" s="21"/>
      <c r="AD215" s="21"/>
      <c r="AE215" s="21"/>
      <c r="AF215" s="21"/>
      <c r="AG215" s="21"/>
      <c r="AH215" s="21"/>
      <c r="AI215" s="21"/>
      <c r="AJ215" s="134"/>
      <c r="AK215" s="31">
        <f>$A$37</f>
        <v>20142</v>
      </c>
      <c r="AL215" s="21"/>
      <c r="AM215" s="21"/>
      <c r="AN215" s="21"/>
      <c r="AO215" s="21"/>
      <c r="AP215" s="21"/>
      <c r="AQ215" s="21"/>
      <c r="AR215" s="21"/>
      <c r="AS215" s="21"/>
      <c r="AT215" s="21"/>
      <c r="AU215" s="21"/>
      <c r="AV215" s="134"/>
      <c r="AW215" s="31">
        <f>$A$37</f>
        <v>20142</v>
      </c>
      <c r="AX215" s="21"/>
      <c r="AY215" s="21"/>
      <c r="AZ215" s="21"/>
      <c r="BA215" s="21"/>
      <c r="BB215" s="21"/>
      <c r="BC215" s="21"/>
      <c r="BD215" s="21"/>
      <c r="BE215" s="21"/>
      <c r="BF215" s="21"/>
      <c r="BG215" s="21"/>
      <c r="BH215" s="134"/>
      <c r="BI215" s="31">
        <f>$A$37</f>
        <v>20142</v>
      </c>
      <c r="BJ215" s="21"/>
      <c r="BK215" s="21"/>
      <c r="BL215" s="21"/>
      <c r="BM215" s="21"/>
      <c r="BN215" s="21"/>
      <c r="BO215" s="21"/>
      <c r="BP215" s="21"/>
      <c r="BQ215" s="21"/>
      <c r="BR215" s="21"/>
      <c r="BS215" s="21"/>
      <c r="BT215" s="134"/>
      <c r="BU215" s="31">
        <f>$A$37</f>
        <v>20142</v>
      </c>
      <c r="BV215" s="21"/>
      <c r="BW215" s="21"/>
      <c r="BX215" s="21"/>
      <c r="BY215" s="21"/>
      <c r="BZ215" s="21"/>
      <c r="CA215" s="21"/>
      <c r="CB215" s="21"/>
      <c r="CC215" s="21"/>
      <c r="CD215" s="21"/>
      <c r="CE215" s="21"/>
      <c r="CF215" s="134"/>
      <c r="CG215" s="31">
        <f>$A$37</f>
        <v>20142</v>
      </c>
      <c r="CH215" s="21"/>
      <c r="CI215" s="21"/>
      <c r="CJ215" s="21"/>
      <c r="CK215" s="21"/>
      <c r="CL215" s="21"/>
      <c r="CM215" s="21"/>
      <c r="CN215" s="21"/>
      <c r="CO215" s="21"/>
      <c r="CP215" s="21"/>
      <c r="CQ215" s="21"/>
      <c r="CR215" s="134"/>
      <c r="CS215" s="31">
        <f>$A$37</f>
        <v>20142</v>
      </c>
      <c r="CT215" s="21"/>
      <c r="CU215" s="21"/>
      <c r="CV215" s="21"/>
      <c r="CW215" s="21"/>
      <c r="CX215" s="21"/>
      <c r="CY215" s="21"/>
      <c r="CZ215" s="21"/>
      <c r="DA215" s="21"/>
      <c r="DB215" s="21"/>
      <c r="DC215" s="21"/>
      <c r="DD215" s="134"/>
      <c r="DE215" s="31">
        <f>$A$37</f>
        <v>20142</v>
      </c>
      <c r="DF215" s="21"/>
      <c r="DG215" s="21"/>
      <c r="DH215" s="21"/>
      <c r="DI215" s="21"/>
      <c r="DJ215" s="21"/>
      <c r="DK215" s="21"/>
      <c r="DL215" s="21"/>
      <c r="DM215" s="21"/>
      <c r="DN215" s="21"/>
      <c r="DO215" s="21"/>
      <c r="DP215" s="134"/>
    </row>
    <row r="216" spans="1:120" ht="15" customHeight="1" x14ac:dyDescent="0.25">
      <c r="A216" s="31">
        <f>$A$38</f>
        <v>20152</v>
      </c>
      <c r="B216" s="21"/>
      <c r="C216" s="21">
        <v>66199776.859999999</v>
      </c>
      <c r="D216" s="21">
        <v>70508226.219999999</v>
      </c>
      <c r="E216" s="21">
        <v>73016608.75</v>
      </c>
      <c r="F216" s="21">
        <v>75520299.879999995</v>
      </c>
      <c r="G216" s="21">
        <v>76408561.980000004</v>
      </c>
      <c r="H216" s="21">
        <v>77490330.400000006</v>
      </c>
      <c r="I216" s="21">
        <v>78487065.560000002</v>
      </c>
      <c r="J216" s="21">
        <v>80465493.560000002</v>
      </c>
      <c r="K216" s="134"/>
      <c r="L216" s="134"/>
      <c r="M216" s="31">
        <f>$A$38</f>
        <v>20152</v>
      </c>
      <c r="N216" s="21"/>
      <c r="O216" s="21"/>
      <c r="P216" s="21"/>
      <c r="Q216" s="21"/>
      <c r="R216" s="21"/>
      <c r="S216" s="21"/>
      <c r="T216" s="21"/>
      <c r="U216" s="21"/>
      <c r="V216" s="21"/>
      <c r="W216" s="134"/>
      <c r="X216" s="134"/>
      <c r="Y216" s="31">
        <f>$A$38</f>
        <v>20152</v>
      </c>
      <c r="Z216" s="21"/>
      <c r="AA216" s="21"/>
      <c r="AB216" s="21"/>
      <c r="AC216" s="21"/>
      <c r="AD216" s="21"/>
      <c r="AE216" s="21"/>
      <c r="AF216" s="21"/>
      <c r="AG216" s="21"/>
      <c r="AH216" s="21"/>
      <c r="AI216" s="134"/>
      <c r="AJ216" s="134"/>
      <c r="AK216" s="31">
        <f>$A$38</f>
        <v>20152</v>
      </c>
      <c r="AL216" s="21"/>
      <c r="AM216" s="21"/>
      <c r="AN216" s="21"/>
      <c r="AO216" s="21"/>
      <c r="AP216" s="21"/>
      <c r="AQ216" s="21"/>
      <c r="AR216" s="21"/>
      <c r="AS216" s="21"/>
      <c r="AT216" s="21"/>
      <c r="AU216" s="134"/>
      <c r="AV216" s="134"/>
      <c r="AW216" s="31">
        <f>$A$38</f>
        <v>20152</v>
      </c>
      <c r="AX216" s="21"/>
      <c r="AY216" s="21"/>
      <c r="AZ216" s="21"/>
      <c r="BA216" s="21"/>
      <c r="BB216" s="21"/>
      <c r="BC216" s="21"/>
      <c r="BD216" s="21"/>
      <c r="BE216" s="21"/>
      <c r="BF216" s="21"/>
      <c r="BG216" s="134"/>
      <c r="BH216" s="134"/>
      <c r="BI216" s="31">
        <f>$A$38</f>
        <v>20152</v>
      </c>
      <c r="BJ216" s="21"/>
      <c r="BK216" s="21"/>
      <c r="BL216" s="21"/>
      <c r="BM216" s="21"/>
      <c r="BN216" s="21"/>
      <c r="BO216" s="21"/>
      <c r="BP216" s="21"/>
      <c r="BQ216" s="21"/>
      <c r="BR216" s="21"/>
      <c r="BS216" s="134"/>
      <c r="BT216" s="134"/>
      <c r="BU216" s="31">
        <f>$A$38</f>
        <v>20152</v>
      </c>
      <c r="BV216" s="21"/>
      <c r="BW216" s="21"/>
      <c r="BX216" s="21"/>
      <c r="BY216" s="21"/>
      <c r="BZ216" s="21"/>
      <c r="CA216" s="21"/>
      <c r="CB216" s="21"/>
      <c r="CC216" s="21"/>
      <c r="CD216" s="21"/>
      <c r="CE216" s="134"/>
      <c r="CF216" s="134"/>
      <c r="CG216" s="31">
        <f>$A$38</f>
        <v>20152</v>
      </c>
      <c r="CH216" s="21"/>
      <c r="CI216" s="21"/>
      <c r="CJ216" s="21"/>
      <c r="CK216" s="21"/>
      <c r="CL216" s="21"/>
      <c r="CM216" s="21"/>
      <c r="CN216" s="21"/>
      <c r="CO216" s="21"/>
      <c r="CP216" s="21"/>
      <c r="CQ216" s="134"/>
      <c r="CR216" s="134"/>
      <c r="CS216" s="31">
        <f>$A$38</f>
        <v>20152</v>
      </c>
      <c r="CT216" s="21"/>
      <c r="CU216" s="21"/>
      <c r="CV216" s="21"/>
      <c r="CW216" s="21"/>
      <c r="CX216" s="21"/>
      <c r="CY216" s="21"/>
      <c r="CZ216" s="21"/>
      <c r="DA216" s="21"/>
      <c r="DB216" s="21"/>
      <c r="DC216" s="134"/>
      <c r="DD216" s="134"/>
      <c r="DE216" s="31">
        <f>$A$38</f>
        <v>20152</v>
      </c>
      <c r="DF216" s="21"/>
      <c r="DG216" s="21"/>
      <c r="DH216" s="21"/>
      <c r="DI216" s="21"/>
      <c r="DJ216" s="21"/>
      <c r="DK216" s="21"/>
      <c r="DL216" s="21"/>
      <c r="DM216" s="21"/>
      <c r="DN216" s="21"/>
      <c r="DO216" s="134"/>
      <c r="DP216" s="134"/>
    </row>
    <row r="217" spans="1:120" ht="15" customHeight="1" x14ac:dyDescent="0.25">
      <c r="A217" s="31">
        <f>$A$39</f>
        <v>20162</v>
      </c>
      <c r="B217" s="21"/>
      <c r="C217" s="21">
        <v>71112646.799999997</v>
      </c>
      <c r="D217" s="21">
        <v>75378283.120000005</v>
      </c>
      <c r="E217" s="21">
        <v>78243490.950000003</v>
      </c>
      <c r="F217" s="21">
        <v>80370185.290000007</v>
      </c>
      <c r="G217" s="21">
        <v>81166919.260000005</v>
      </c>
      <c r="H217" s="21">
        <v>81913088.069999993</v>
      </c>
      <c r="I217" s="21">
        <v>82341320.349999994</v>
      </c>
      <c r="J217" s="134"/>
      <c r="K217" s="134"/>
      <c r="L217" s="134"/>
      <c r="M217" s="31">
        <f>$A$39</f>
        <v>20162</v>
      </c>
      <c r="N217" s="21"/>
      <c r="O217" s="21"/>
      <c r="P217" s="21"/>
      <c r="Q217" s="21"/>
      <c r="R217" s="21"/>
      <c r="S217" s="21"/>
      <c r="T217" s="21"/>
      <c r="U217" s="21"/>
      <c r="V217" s="134"/>
      <c r="W217" s="134"/>
      <c r="X217" s="134"/>
      <c r="Y217" s="31">
        <f>$A$39</f>
        <v>20162</v>
      </c>
      <c r="Z217" s="21"/>
      <c r="AA217" s="21"/>
      <c r="AB217" s="21"/>
      <c r="AC217" s="21"/>
      <c r="AD217" s="21"/>
      <c r="AE217" s="21"/>
      <c r="AF217" s="21"/>
      <c r="AG217" s="21"/>
      <c r="AH217" s="134"/>
      <c r="AI217" s="134"/>
      <c r="AJ217" s="134"/>
      <c r="AK217" s="31">
        <f>$A$39</f>
        <v>20162</v>
      </c>
      <c r="AL217" s="21"/>
      <c r="AM217" s="21"/>
      <c r="AN217" s="21"/>
      <c r="AO217" s="21"/>
      <c r="AP217" s="21"/>
      <c r="AQ217" s="21"/>
      <c r="AR217" s="21"/>
      <c r="AS217" s="21"/>
      <c r="AT217" s="134"/>
      <c r="AU217" s="134"/>
      <c r="AV217" s="134"/>
      <c r="AW217" s="31">
        <f>$A$39</f>
        <v>20162</v>
      </c>
      <c r="AX217" s="21"/>
      <c r="AY217" s="21"/>
      <c r="AZ217" s="21"/>
      <c r="BA217" s="21"/>
      <c r="BB217" s="21"/>
      <c r="BC217" s="21"/>
      <c r="BD217" s="21"/>
      <c r="BE217" s="21"/>
      <c r="BF217" s="134"/>
      <c r="BG217" s="134"/>
      <c r="BH217" s="134"/>
      <c r="BI217" s="31">
        <f>$A$39</f>
        <v>20162</v>
      </c>
      <c r="BJ217" s="21"/>
      <c r="BK217" s="21"/>
      <c r="BL217" s="21"/>
      <c r="BM217" s="21"/>
      <c r="BN217" s="21"/>
      <c r="BO217" s="21"/>
      <c r="BP217" s="21"/>
      <c r="BQ217" s="21"/>
      <c r="BR217" s="134"/>
      <c r="BS217" s="134"/>
      <c r="BT217" s="134"/>
      <c r="BU217" s="31">
        <f>$A$39</f>
        <v>20162</v>
      </c>
      <c r="BV217" s="21"/>
      <c r="BW217" s="21"/>
      <c r="BX217" s="21"/>
      <c r="BY217" s="21"/>
      <c r="BZ217" s="21"/>
      <c r="CA217" s="21"/>
      <c r="CB217" s="21"/>
      <c r="CC217" s="21"/>
      <c r="CD217" s="134"/>
      <c r="CE217" s="134"/>
      <c r="CF217" s="134"/>
      <c r="CG217" s="31">
        <f>$A$39</f>
        <v>20162</v>
      </c>
      <c r="CH217" s="21"/>
      <c r="CI217" s="21"/>
      <c r="CJ217" s="21"/>
      <c r="CK217" s="21"/>
      <c r="CL217" s="21"/>
      <c r="CM217" s="21"/>
      <c r="CN217" s="21"/>
      <c r="CO217" s="21"/>
      <c r="CP217" s="134"/>
      <c r="CQ217" s="134"/>
      <c r="CR217" s="134"/>
      <c r="CS217" s="31">
        <f>$A$39</f>
        <v>20162</v>
      </c>
      <c r="CT217" s="21"/>
      <c r="CU217" s="21"/>
      <c r="CV217" s="21"/>
      <c r="CW217" s="21"/>
      <c r="CX217" s="21"/>
      <c r="CY217" s="21"/>
      <c r="CZ217" s="21"/>
      <c r="DA217" s="21"/>
      <c r="DB217" s="134"/>
      <c r="DC217" s="134"/>
      <c r="DD217" s="134"/>
      <c r="DE217" s="31">
        <f>$A$39</f>
        <v>20162</v>
      </c>
      <c r="DF217" s="21"/>
      <c r="DG217" s="21"/>
      <c r="DH217" s="21"/>
      <c r="DI217" s="21"/>
      <c r="DJ217" s="21"/>
      <c r="DK217" s="21"/>
      <c r="DL217" s="21"/>
      <c r="DM217" s="21"/>
      <c r="DN217" s="134"/>
      <c r="DO217" s="134"/>
      <c r="DP217" s="134"/>
    </row>
    <row r="218" spans="1:120" ht="15" customHeight="1" x14ac:dyDescent="0.25">
      <c r="A218" s="31">
        <f>$A$40</f>
        <v>20172</v>
      </c>
      <c r="B218" s="21"/>
      <c r="C218" s="21">
        <v>79309391.760000005</v>
      </c>
      <c r="D218" s="21">
        <v>87226582.730000004</v>
      </c>
      <c r="E218" s="21">
        <v>90038608.280000001</v>
      </c>
      <c r="F218" s="21">
        <v>91857869.069999993</v>
      </c>
      <c r="G218" s="21">
        <v>93150766.450000003</v>
      </c>
      <c r="H218" s="21">
        <v>95035504.290000007</v>
      </c>
      <c r="I218" s="134"/>
      <c r="J218" s="134"/>
      <c r="K218" s="134"/>
      <c r="L218" s="134"/>
      <c r="M218" s="31">
        <f>$A$40</f>
        <v>20172</v>
      </c>
      <c r="N218" s="21"/>
      <c r="O218" s="21"/>
      <c r="P218" s="21"/>
      <c r="Q218" s="21"/>
      <c r="R218" s="21"/>
      <c r="S218" s="21"/>
      <c r="T218" s="21"/>
      <c r="U218" s="134"/>
      <c r="V218" s="134"/>
      <c r="W218" s="134"/>
      <c r="X218" s="134"/>
      <c r="Y218" s="31">
        <f>$A$40</f>
        <v>20172</v>
      </c>
      <c r="Z218" s="21"/>
      <c r="AA218" s="21"/>
      <c r="AB218" s="21"/>
      <c r="AC218" s="21"/>
      <c r="AD218" s="21"/>
      <c r="AE218" s="21"/>
      <c r="AF218" s="21"/>
      <c r="AG218" s="134"/>
      <c r="AH218" s="134"/>
      <c r="AI218" s="134"/>
      <c r="AJ218" s="134"/>
      <c r="AK218" s="31">
        <f>$A$40</f>
        <v>20172</v>
      </c>
      <c r="AL218" s="21"/>
      <c r="AM218" s="21"/>
      <c r="AN218" s="21"/>
      <c r="AO218" s="21"/>
      <c r="AP218" s="21"/>
      <c r="AQ218" s="21"/>
      <c r="AR218" s="21"/>
      <c r="AS218" s="134"/>
      <c r="AT218" s="134"/>
      <c r="AU218" s="134"/>
      <c r="AV218" s="134"/>
      <c r="AW218" s="31">
        <f>$A$40</f>
        <v>20172</v>
      </c>
      <c r="AX218" s="21"/>
      <c r="AY218" s="21"/>
      <c r="AZ218" s="21"/>
      <c r="BA218" s="21"/>
      <c r="BB218" s="21"/>
      <c r="BC218" s="21"/>
      <c r="BD218" s="21"/>
      <c r="BE218" s="134"/>
      <c r="BF218" s="134"/>
      <c r="BG218" s="134"/>
      <c r="BH218" s="134"/>
      <c r="BI218" s="31">
        <f>$A$40</f>
        <v>20172</v>
      </c>
      <c r="BJ218" s="21"/>
      <c r="BK218" s="21"/>
      <c r="BL218" s="21"/>
      <c r="BM218" s="21"/>
      <c r="BN218" s="21"/>
      <c r="BO218" s="21"/>
      <c r="BP218" s="21"/>
      <c r="BQ218" s="134"/>
      <c r="BR218" s="134"/>
      <c r="BS218" s="134"/>
      <c r="BT218" s="134"/>
      <c r="BU218" s="31">
        <f>$A$40</f>
        <v>20172</v>
      </c>
      <c r="BV218" s="21"/>
      <c r="BW218" s="21"/>
      <c r="BX218" s="21"/>
      <c r="BY218" s="21"/>
      <c r="BZ218" s="21"/>
      <c r="CA218" s="21"/>
      <c r="CB218" s="21"/>
      <c r="CC218" s="134"/>
      <c r="CD218" s="134"/>
      <c r="CE218" s="134"/>
      <c r="CF218" s="134"/>
      <c r="CG218" s="31">
        <f>$A$40</f>
        <v>20172</v>
      </c>
      <c r="CH218" s="21"/>
      <c r="CI218" s="21"/>
      <c r="CJ218" s="21"/>
      <c r="CK218" s="21"/>
      <c r="CL218" s="21"/>
      <c r="CM218" s="21"/>
      <c r="CN218" s="21"/>
      <c r="CO218" s="134"/>
      <c r="CP218" s="134"/>
      <c r="CQ218" s="134"/>
      <c r="CR218" s="134"/>
      <c r="CS218" s="31">
        <f>$A$40</f>
        <v>20172</v>
      </c>
      <c r="CT218" s="21"/>
      <c r="CU218" s="21"/>
      <c r="CV218" s="21"/>
      <c r="CW218" s="21"/>
      <c r="CX218" s="21"/>
      <c r="CY218" s="21"/>
      <c r="CZ218" s="21"/>
      <c r="DA218" s="134"/>
      <c r="DB218" s="134"/>
      <c r="DC218" s="134"/>
      <c r="DD218" s="134"/>
      <c r="DE218" s="31">
        <f>$A$40</f>
        <v>20172</v>
      </c>
      <c r="DF218" s="21"/>
      <c r="DG218" s="21"/>
      <c r="DH218" s="21"/>
      <c r="DI218" s="21"/>
      <c r="DJ218" s="21"/>
      <c r="DK218" s="21"/>
      <c r="DL218" s="21"/>
      <c r="DM218" s="134"/>
      <c r="DN218" s="134"/>
      <c r="DO218" s="134"/>
      <c r="DP218" s="134"/>
    </row>
    <row r="219" spans="1:120" ht="15" customHeight="1" x14ac:dyDescent="0.25">
      <c r="A219" s="31">
        <f>$A$41</f>
        <v>20182</v>
      </c>
      <c r="B219" s="21"/>
      <c r="C219" s="21">
        <v>58166519.460000001</v>
      </c>
      <c r="D219" s="21">
        <v>65949795.159999996</v>
      </c>
      <c r="E219" s="21">
        <v>67766382.269999996</v>
      </c>
      <c r="F219" s="21">
        <v>70438155.140000001</v>
      </c>
      <c r="G219" s="21">
        <v>72108929.390000001</v>
      </c>
      <c r="H219" s="134"/>
      <c r="I219" s="134"/>
      <c r="J219" s="134"/>
      <c r="K219" s="134"/>
      <c r="L219" s="134"/>
      <c r="M219" s="31">
        <f>$A$41</f>
        <v>20182</v>
      </c>
      <c r="N219" s="21"/>
      <c r="O219" s="21"/>
      <c r="P219" s="21"/>
      <c r="Q219" s="21"/>
      <c r="R219" s="21"/>
      <c r="S219" s="21"/>
      <c r="T219" s="134"/>
      <c r="U219" s="134"/>
      <c r="V219" s="134"/>
      <c r="W219" s="134"/>
      <c r="X219" s="134"/>
      <c r="Y219" s="31">
        <f>$A$41</f>
        <v>20182</v>
      </c>
      <c r="Z219" s="21"/>
      <c r="AA219" s="21"/>
      <c r="AB219" s="21"/>
      <c r="AC219" s="21"/>
      <c r="AD219" s="21"/>
      <c r="AE219" s="21"/>
      <c r="AF219" s="134"/>
      <c r="AG219" s="134"/>
      <c r="AH219" s="134"/>
      <c r="AI219" s="134"/>
      <c r="AJ219" s="134"/>
      <c r="AK219" s="31">
        <f>$A$41</f>
        <v>20182</v>
      </c>
      <c r="AL219" s="21"/>
      <c r="AM219" s="21"/>
      <c r="AN219" s="21"/>
      <c r="AO219" s="21"/>
      <c r="AP219" s="21"/>
      <c r="AQ219" s="21"/>
      <c r="AR219" s="134"/>
      <c r="AS219" s="134"/>
      <c r="AT219" s="134"/>
      <c r="AU219" s="134"/>
      <c r="AV219" s="134"/>
      <c r="AW219" s="31">
        <f>$A$41</f>
        <v>20182</v>
      </c>
      <c r="AX219" s="21"/>
      <c r="AY219" s="21"/>
      <c r="AZ219" s="21"/>
      <c r="BA219" s="21"/>
      <c r="BB219" s="21"/>
      <c r="BC219" s="21"/>
      <c r="BD219" s="134"/>
      <c r="BE219" s="134"/>
      <c r="BF219" s="134"/>
      <c r="BG219" s="134"/>
      <c r="BH219" s="134"/>
      <c r="BI219" s="31">
        <f>$A$41</f>
        <v>20182</v>
      </c>
      <c r="BJ219" s="21"/>
      <c r="BK219" s="21"/>
      <c r="BL219" s="21"/>
      <c r="BM219" s="21"/>
      <c r="BN219" s="21"/>
      <c r="BO219" s="21"/>
      <c r="BP219" s="134"/>
      <c r="BQ219" s="134"/>
      <c r="BR219" s="134"/>
      <c r="BS219" s="134"/>
      <c r="BT219" s="134"/>
      <c r="BU219" s="31">
        <f>$A$41</f>
        <v>20182</v>
      </c>
      <c r="BV219" s="21"/>
      <c r="BW219" s="21"/>
      <c r="BX219" s="21"/>
      <c r="BY219" s="21"/>
      <c r="BZ219" s="21"/>
      <c r="CA219" s="21"/>
      <c r="CB219" s="134"/>
      <c r="CC219" s="134"/>
      <c r="CD219" s="134"/>
      <c r="CE219" s="134"/>
      <c r="CF219" s="134"/>
      <c r="CG219" s="31">
        <f>$A$41</f>
        <v>20182</v>
      </c>
      <c r="CH219" s="21"/>
      <c r="CI219" s="21"/>
      <c r="CJ219" s="21"/>
      <c r="CK219" s="21"/>
      <c r="CL219" s="21"/>
      <c r="CM219" s="21"/>
      <c r="CN219" s="134"/>
      <c r="CO219" s="134"/>
      <c r="CP219" s="134"/>
      <c r="CQ219" s="134"/>
      <c r="CR219" s="134"/>
      <c r="CS219" s="31">
        <f>$A$41</f>
        <v>20182</v>
      </c>
      <c r="CT219" s="21"/>
      <c r="CU219" s="21"/>
      <c r="CV219" s="21"/>
      <c r="CW219" s="21"/>
      <c r="CX219" s="21"/>
      <c r="CY219" s="21"/>
      <c r="CZ219" s="134"/>
      <c r="DA219" s="134"/>
      <c r="DB219" s="134"/>
      <c r="DC219" s="134"/>
      <c r="DD219" s="134"/>
      <c r="DE219" s="31">
        <f>$A$41</f>
        <v>20182</v>
      </c>
      <c r="DF219" s="21"/>
      <c r="DG219" s="21"/>
      <c r="DH219" s="21"/>
      <c r="DI219" s="21"/>
      <c r="DJ219" s="21"/>
      <c r="DK219" s="21"/>
      <c r="DL219" s="134"/>
      <c r="DM219" s="134"/>
      <c r="DN219" s="134"/>
      <c r="DO219" s="134"/>
      <c r="DP219" s="134"/>
    </row>
    <row r="220" spans="1:120" ht="15" customHeight="1" x14ac:dyDescent="0.25">
      <c r="A220" s="31">
        <f>$A$42</f>
        <v>20192</v>
      </c>
      <c r="B220" s="21"/>
      <c r="C220" s="21">
        <v>67404771.019999996</v>
      </c>
      <c r="D220" s="21">
        <v>77477554.310000002</v>
      </c>
      <c r="E220" s="21">
        <v>82622961.480000004</v>
      </c>
      <c r="F220" s="21">
        <v>86231280.659999996</v>
      </c>
      <c r="G220" s="134"/>
      <c r="H220" s="134"/>
      <c r="I220" s="134"/>
      <c r="J220" s="134"/>
      <c r="K220" s="134"/>
      <c r="L220" s="134"/>
      <c r="M220" s="31">
        <f>$A$42</f>
        <v>20192</v>
      </c>
      <c r="N220" s="21"/>
      <c r="O220" s="21"/>
      <c r="P220" s="21"/>
      <c r="Q220" s="21"/>
      <c r="R220" s="21"/>
      <c r="S220" s="134"/>
      <c r="T220" s="134"/>
      <c r="U220" s="134"/>
      <c r="V220" s="134"/>
      <c r="W220" s="134"/>
      <c r="X220" s="134"/>
      <c r="Y220" s="31">
        <f>$A$42</f>
        <v>20192</v>
      </c>
      <c r="Z220" s="21"/>
      <c r="AA220" s="21"/>
      <c r="AB220" s="21"/>
      <c r="AC220" s="21"/>
      <c r="AD220" s="21"/>
      <c r="AE220" s="134"/>
      <c r="AF220" s="134"/>
      <c r="AG220" s="134"/>
      <c r="AH220" s="134"/>
      <c r="AI220" s="134"/>
      <c r="AJ220" s="134"/>
      <c r="AK220" s="31">
        <f>$A$42</f>
        <v>20192</v>
      </c>
      <c r="AL220" s="21"/>
      <c r="AM220" s="21"/>
      <c r="AN220" s="21"/>
      <c r="AO220" s="21"/>
      <c r="AP220" s="21"/>
      <c r="AQ220" s="134"/>
      <c r="AR220" s="134"/>
      <c r="AS220" s="134"/>
      <c r="AT220" s="134"/>
      <c r="AU220" s="134"/>
      <c r="AV220" s="134"/>
      <c r="AW220" s="31">
        <f>$A$42</f>
        <v>20192</v>
      </c>
      <c r="AX220" s="21"/>
      <c r="AY220" s="21"/>
      <c r="AZ220" s="21"/>
      <c r="BA220" s="21"/>
      <c r="BB220" s="21"/>
      <c r="BC220" s="134"/>
      <c r="BD220" s="134"/>
      <c r="BE220" s="134"/>
      <c r="BF220" s="134"/>
      <c r="BG220" s="134"/>
      <c r="BH220" s="134"/>
      <c r="BI220" s="31">
        <f>$A$42</f>
        <v>20192</v>
      </c>
      <c r="BJ220" s="21"/>
      <c r="BK220" s="21"/>
      <c r="BL220" s="21"/>
      <c r="BM220" s="21"/>
      <c r="BN220" s="21"/>
      <c r="BO220" s="134"/>
      <c r="BP220" s="134"/>
      <c r="BQ220" s="134"/>
      <c r="BR220" s="134"/>
      <c r="BS220" s="134"/>
      <c r="BT220" s="134"/>
      <c r="BU220" s="31">
        <f>$A$42</f>
        <v>20192</v>
      </c>
      <c r="BV220" s="21"/>
      <c r="BW220" s="21"/>
      <c r="BX220" s="21"/>
      <c r="BY220" s="21"/>
      <c r="BZ220" s="21"/>
      <c r="CA220" s="134"/>
      <c r="CB220" s="134"/>
      <c r="CC220" s="134"/>
      <c r="CD220" s="134"/>
      <c r="CE220" s="134"/>
      <c r="CF220" s="134"/>
      <c r="CG220" s="31">
        <f>$A$42</f>
        <v>20192</v>
      </c>
      <c r="CH220" s="21"/>
      <c r="CI220" s="21"/>
      <c r="CJ220" s="21"/>
      <c r="CK220" s="21"/>
      <c r="CL220" s="21"/>
      <c r="CM220" s="134"/>
      <c r="CN220" s="134"/>
      <c r="CO220" s="134"/>
      <c r="CP220" s="134"/>
      <c r="CQ220" s="134"/>
      <c r="CR220" s="134"/>
      <c r="CS220" s="31">
        <f>$A$42</f>
        <v>20192</v>
      </c>
      <c r="CT220" s="21"/>
      <c r="CU220" s="21"/>
      <c r="CV220" s="21"/>
      <c r="CW220" s="21"/>
      <c r="CX220" s="21"/>
      <c r="CY220" s="134"/>
      <c r="CZ220" s="134"/>
      <c r="DA220" s="134"/>
      <c r="DB220" s="134"/>
      <c r="DC220" s="134"/>
      <c r="DD220" s="134"/>
      <c r="DE220" s="31">
        <f>$A$42</f>
        <v>20192</v>
      </c>
      <c r="DF220" s="21"/>
      <c r="DG220" s="21"/>
      <c r="DH220" s="21"/>
      <c r="DI220" s="21"/>
      <c r="DJ220" s="21"/>
      <c r="DK220" s="134"/>
      <c r="DL220" s="134"/>
      <c r="DM220" s="134"/>
      <c r="DN220" s="134"/>
      <c r="DO220" s="134"/>
      <c r="DP220" s="134"/>
    </row>
    <row r="221" spans="1:120" ht="15" customHeight="1" x14ac:dyDescent="0.25">
      <c r="A221" s="31">
        <f>$A$43</f>
        <v>20202</v>
      </c>
      <c r="B221" s="21"/>
      <c r="C221" s="21">
        <v>64687126.579999998</v>
      </c>
      <c r="D221" s="21">
        <v>73528328.269999996</v>
      </c>
      <c r="E221" s="21">
        <v>79921781.040000007</v>
      </c>
      <c r="F221" s="134"/>
      <c r="G221" s="134"/>
      <c r="H221" s="134"/>
      <c r="I221" s="134"/>
      <c r="J221" s="134"/>
      <c r="K221" s="134"/>
      <c r="L221" s="134"/>
      <c r="M221" s="31">
        <f>$A$43</f>
        <v>20202</v>
      </c>
      <c r="N221" s="21"/>
      <c r="O221" s="21"/>
      <c r="P221" s="21"/>
      <c r="Q221" s="21"/>
      <c r="R221" s="134"/>
      <c r="S221" s="134"/>
      <c r="T221" s="134"/>
      <c r="U221" s="134"/>
      <c r="V221" s="134"/>
      <c r="W221" s="134"/>
      <c r="X221" s="134"/>
      <c r="Y221" s="31">
        <f>$A$43</f>
        <v>20202</v>
      </c>
      <c r="Z221" s="21"/>
      <c r="AA221" s="21"/>
      <c r="AB221" s="21"/>
      <c r="AC221" s="21"/>
      <c r="AD221" s="134"/>
      <c r="AE221" s="134"/>
      <c r="AF221" s="134"/>
      <c r="AG221" s="134"/>
      <c r="AH221" s="134"/>
      <c r="AI221" s="134"/>
      <c r="AJ221" s="134"/>
      <c r="AK221" s="31">
        <f>$A$43</f>
        <v>20202</v>
      </c>
      <c r="AL221" s="21"/>
      <c r="AM221" s="21"/>
      <c r="AN221" s="21"/>
      <c r="AO221" s="21"/>
      <c r="AP221" s="134"/>
      <c r="AQ221" s="134"/>
      <c r="AR221" s="134"/>
      <c r="AS221" s="134"/>
      <c r="AT221" s="134"/>
      <c r="AU221" s="134"/>
      <c r="AV221" s="134"/>
      <c r="AW221" s="31">
        <f>$A$43</f>
        <v>20202</v>
      </c>
      <c r="AX221" s="21"/>
      <c r="AY221" s="21"/>
      <c r="AZ221" s="21"/>
      <c r="BA221" s="21"/>
      <c r="BB221" s="134"/>
      <c r="BC221" s="134"/>
      <c r="BD221" s="134"/>
      <c r="BE221" s="134"/>
      <c r="BF221" s="134"/>
      <c r="BG221" s="134"/>
      <c r="BH221" s="134"/>
      <c r="BI221" s="31">
        <f>$A$43</f>
        <v>20202</v>
      </c>
      <c r="BJ221" s="21"/>
      <c r="BK221" s="21"/>
      <c r="BL221" s="21"/>
      <c r="BM221" s="21"/>
      <c r="BN221" s="134"/>
      <c r="BO221" s="134"/>
      <c r="BP221" s="134"/>
      <c r="BQ221" s="134"/>
      <c r="BR221" s="134"/>
      <c r="BS221" s="134"/>
      <c r="BT221" s="134"/>
      <c r="BU221" s="31">
        <f>$A$43</f>
        <v>20202</v>
      </c>
      <c r="BV221" s="21"/>
      <c r="BW221" s="21"/>
      <c r="BX221" s="21"/>
      <c r="BY221" s="21"/>
      <c r="BZ221" s="134"/>
      <c r="CA221" s="134"/>
      <c r="CB221" s="134"/>
      <c r="CC221" s="134"/>
      <c r="CD221" s="134"/>
      <c r="CE221" s="134"/>
      <c r="CF221" s="134"/>
      <c r="CG221" s="31">
        <f>$A$43</f>
        <v>20202</v>
      </c>
      <c r="CH221" s="21"/>
      <c r="CI221" s="21"/>
      <c r="CJ221" s="21"/>
      <c r="CK221" s="21"/>
      <c r="CL221" s="134"/>
      <c r="CM221" s="134"/>
      <c r="CN221" s="134"/>
      <c r="CO221" s="134"/>
      <c r="CP221" s="134"/>
      <c r="CQ221" s="134"/>
      <c r="CR221" s="134"/>
      <c r="CS221" s="31">
        <f>$A$43</f>
        <v>20202</v>
      </c>
      <c r="CT221" s="21"/>
      <c r="CU221" s="21"/>
      <c r="CV221" s="21"/>
      <c r="CW221" s="21"/>
      <c r="CX221" s="134"/>
      <c r="CY221" s="134"/>
      <c r="CZ221" s="134"/>
      <c r="DA221" s="134"/>
      <c r="DB221" s="134"/>
      <c r="DC221" s="134"/>
      <c r="DD221" s="134"/>
      <c r="DE221" s="31">
        <f>$A$43</f>
        <v>20202</v>
      </c>
      <c r="DF221" s="21"/>
      <c r="DG221" s="21"/>
      <c r="DH221" s="21"/>
      <c r="DI221" s="21"/>
      <c r="DJ221" s="134"/>
      <c r="DK221" s="134"/>
      <c r="DL221" s="134"/>
      <c r="DM221" s="134"/>
      <c r="DN221" s="134"/>
      <c r="DO221" s="134"/>
      <c r="DP221" s="134"/>
    </row>
    <row r="222" spans="1:120" ht="15" customHeight="1" x14ac:dyDescent="0.25">
      <c r="A222" s="31">
        <f>$A$44</f>
        <v>20212</v>
      </c>
      <c r="B222" s="21"/>
      <c r="C222" s="21">
        <v>66768336.060000002</v>
      </c>
      <c r="D222" s="21">
        <v>80070693.909999996</v>
      </c>
      <c r="E222" s="134"/>
      <c r="F222" s="134"/>
      <c r="G222" s="134"/>
      <c r="H222" s="134"/>
      <c r="I222" s="134"/>
      <c r="J222" s="134"/>
      <c r="K222" s="134"/>
      <c r="L222" s="134"/>
      <c r="M222" s="31">
        <f>$A$44</f>
        <v>20212</v>
      </c>
      <c r="N222" s="21"/>
      <c r="O222" s="21"/>
      <c r="P222" s="21"/>
      <c r="Q222" s="134"/>
      <c r="R222" s="134"/>
      <c r="S222" s="134"/>
      <c r="T222" s="134"/>
      <c r="U222" s="134"/>
      <c r="V222" s="134"/>
      <c r="W222" s="134"/>
      <c r="X222" s="134"/>
      <c r="Y222" s="31">
        <f>$A$44</f>
        <v>20212</v>
      </c>
      <c r="Z222" s="21"/>
      <c r="AA222" s="21"/>
      <c r="AB222" s="21"/>
      <c r="AC222" s="134"/>
      <c r="AD222" s="134"/>
      <c r="AE222" s="134"/>
      <c r="AF222" s="134"/>
      <c r="AG222" s="134"/>
      <c r="AH222" s="134"/>
      <c r="AI222" s="134"/>
      <c r="AJ222" s="134"/>
      <c r="AK222" s="31">
        <f>$A$44</f>
        <v>20212</v>
      </c>
      <c r="AL222" s="21"/>
      <c r="AM222" s="21"/>
      <c r="AN222" s="21"/>
      <c r="AO222" s="134"/>
      <c r="AP222" s="134"/>
      <c r="AQ222" s="134"/>
      <c r="AR222" s="134"/>
      <c r="AS222" s="134"/>
      <c r="AT222" s="134"/>
      <c r="AU222" s="134"/>
      <c r="AV222" s="134"/>
      <c r="AW222" s="31">
        <f>$A$44</f>
        <v>20212</v>
      </c>
      <c r="AX222" s="21"/>
      <c r="AY222" s="21"/>
      <c r="AZ222" s="21"/>
      <c r="BA222" s="134"/>
      <c r="BB222" s="134"/>
      <c r="BC222" s="134"/>
      <c r="BD222" s="134"/>
      <c r="BE222" s="134"/>
      <c r="BF222" s="134"/>
      <c r="BG222" s="134"/>
      <c r="BH222" s="134"/>
      <c r="BI222" s="31">
        <f>$A$44</f>
        <v>20212</v>
      </c>
      <c r="BJ222" s="21"/>
      <c r="BK222" s="21"/>
      <c r="BL222" s="21"/>
      <c r="BM222" s="134"/>
      <c r="BN222" s="134"/>
      <c r="BO222" s="134"/>
      <c r="BP222" s="134"/>
      <c r="BQ222" s="134"/>
      <c r="BR222" s="134"/>
      <c r="BS222" s="134"/>
      <c r="BT222" s="134"/>
      <c r="BU222" s="31">
        <f>$A$44</f>
        <v>20212</v>
      </c>
      <c r="BV222" s="21"/>
      <c r="BW222" s="21"/>
      <c r="BX222" s="21"/>
      <c r="BY222" s="134"/>
      <c r="BZ222" s="134"/>
      <c r="CA222" s="134"/>
      <c r="CB222" s="134"/>
      <c r="CC222" s="134"/>
      <c r="CD222" s="134"/>
      <c r="CE222" s="134"/>
      <c r="CF222" s="134"/>
      <c r="CG222" s="31">
        <f>$A$44</f>
        <v>20212</v>
      </c>
      <c r="CH222" s="21"/>
      <c r="CI222" s="21"/>
      <c r="CJ222" s="21"/>
      <c r="CK222" s="134"/>
      <c r="CL222" s="134"/>
      <c r="CM222" s="134"/>
      <c r="CN222" s="134"/>
      <c r="CO222" s="134"/>
      <c r="CP222" s="134"/>
      <c r="CQ222" s="134"/>
      <c r="CR222" s="134"/>
      <c r="CS222" s="31">
        <f>$A$44</f>
        <v>20212</v>
      </c>
      <c r="CT222" s="21"/>
      <c r="CU222" s="21"/>
      <c r="CV222" s="21"/>
      <c r="CW222" s="134"/>
      <c r="CX222" s="134"/>
      <c r="CY222" s="134"/>
      <c r="CZ222" s="134"/>
      <c r="DA222" s="134"/>
      <c r="DB222" s="134"/>
      <c r="DC222" s="134"/>
      <c r="DD222" s="134"/>
      <c r="DE222" s="31">
        <f>$A$44</f>
        <v>20212</v>
      </c>
      <c r="DF222" s="21"/>
      <c r="DG222" s="21"/>
      <c r="DH222" s="21"/>
      <c r="DI222" s="134"/>
      <c r="DJ222" s="134"/>
      <c r="DK222" s="134"/>
      <c r="DL222" s="134"/>
      <c r="DM222" s="134"/>
      <c r="DN222" s="134"/>
      <c r="DO222" s="134"/>
      <c r="DP222" s="134"/>
    </row>
    <row r="223" spans="1:120" ht="15" customHeight="1" x14ac:dyDescent="0.25">
      <c r="A223" s="31">
        <f>$A$45</f>
        <v>20222</v>
      </c>
      <c r="B223" s="21"/>
      <c r="C223" s="21">
        <v>79932087.519999996</v>
      </c>
      <c r="D223" s="134"/>
      <c r="E223" s="134"/>
      <c r="F223" s="134"/>
      <c r="G223" s="134"/>
      <c r="H223" s="134"/>
      <c r="I223" s="134"/>
      <c r="J223" s="134"/>
      <c r="K223" s="134"/>
      <c r="L223" s="134"/>
      <c r="M223" s="31">
        <f>$A$45</f>
        <v>20222</v>
      </c>
      <c r="N223" s="21"/>
      <c r="O223" s="21"/>
      <c r="P223" s="134"/>
      <c r="Q223" s="134"/>
      <c r="R223" s="134"/>
      <c r="S223" s="134"/>
      <c r="T223" s="134"/>
      <c r="U223" s="134"/>
      <c r="V223" s="134"/>
      <c r="W223" s="134"/>
      <c r="X223" s="134"/>
      <c r="Y223" s="31">
        <f>$A$45</f>
        <v>20222</v>
      </c>
      <c r="Z223" s="21"/>
      <c r="AA223" s="21"/>
      <c r="AB223" s="134"/>
      <c r="AC223" s="134"/>
      <c r="AD223" s="134"/>
      <c r="AE223" s="134"/>
      <c r="AF223" s="134"/>
      <c r="AG223" s="134"/>
      <c r="AH223" s="134"/>
      <c r="AI223" s="134"/>
      <c r="AJ223" s="134"/>
      <c r="AK223" s="31">
        <f>$A$45</f>
        <v>20222</v>
      </c>
      <c r="AL223" s="21"/>
      <c r="AM223" s="21"/>
      <c r="AN223" s="134"/>
      <c r="AO223" s="134"/>
      <c r="AP223" s="134"/>
      <c r="AQ223" s="134"/>
      <c r="AR223" s="134"/>
      <c r="AS223" s="134"/>
      <c r="AT223" s="134"/>
      <c r="AU223" s="134"/>
      <c r="AV223" s="134"/>
      <c r="AW223" s="31">
        <f>$A$45</f>
        <v>20222</v>
      </c>
      <c r="AX223" s="21"/>
      <c r="AY223" s="21"/>
      <c r="AZ223" s="134"/>
      <c r="BA223" s="134"/>
      <c r="BB223" s="134"/>
      <c r="BC223" s="134"/>
      <c r="BD223" s="134"/>
      <c r="BE223" s="134"/>
      <c r="BF223" s="134"/>
      <c r="BG223" s="134"/>
      <c r="BH223" s="134"/>
      <c r="BI223" s="31">
        <f>$A$45</f>
        <v>20222</v>
      </c>
      <c r="BJ223" s="21"/>
      <c r="BK223" s="21"/>
      <c r="BL223" s="134"/>
      <c r="BM223" s="134"/>
      <c r="BN223" s="134"/>
      <c r="BO223" s="134"/>
      <c r="BP223" s="134"/>
      <c r="BQ223" s="134"/>
      <c r="BR223" s="134"/>
      <c r="BS223" s="134"/>
      <c r="BT223" s="134"/>
      <c r="BU223" s="31">
        <f>$A$45</f>
        <v>20222</v>
      </c>
      <c r="BV223" s="21"/>
      <c r="BW223" s="21"/>
      <c r="BX223" s="134"/>
      <c r="BY223" s="134"/>
      <c r="BZ223" s="134"/>
      <c r="CA223" s="134"/>
      <c r="CB223" s="134"/>
      <c r="CC223" s="134"/>
      <c r="CD223" s="134"/>
      <c r="CE223" s="134"/>
      <c r="CF223" s="134"/>
      <c r="CG223" s="31">
        <f>$A$45</f>
        <v>20222</v>
      </c>
      <c r="CH223" s="21"/>
      <c r="CI223" s="21"/>
      <c r="CJ223" s="134"/>
      <c r="CK223" s="134"/>
      <c r="CL223" s="134"/>
      <c r="CM223" s="134"/>
      <c r="CN223" s="134"/>
      <c r="CO223" s="134"/>
      <c r="CP223" s="134"/>
      <c r="CQ223" s="134"/>
      <c r="CR223" s="134"/>
      <c r="CS223" s="31">
        <f>$A$45</f>
        <v>20222</v>
      </c>
      <c r="CT223" s="21"/>
      <c r="CU223" s="21"/>
      <c r="CV223" s="134"/>
      <c r="CW223" s="134"/>
      <c r="CX223" s="134"/>
      <c r="CY223" s="134"/>
      <c r="CZ223" s="134"/>
      <c r="DA223" s="134"/>
      <c r="DB223" s="134"/>
      <c r="DC223" s="134"/>
      <c r="DD223" s="134"/>
      <c r="DE223" s="31">
        <f>$A$45</f>
        <v>20222</v>
      </c>
      <c r="DF223" s="21"/>
      <c r="DG223" s="21"/>
      <c r="DH223" s="134"/>
      <c r="DI223" s="134"/>
      <c r="DJ223" s="134"/>
      <c r="DK223" s="134"/>
      <c r="DL223" s="134"/>
      <c r="DM223" s="134"/>
      <c r="DN223" s="134"/>
      <c r="DO223" s="134"/>
      <c r="DP223" s="134"/>
    </row>
    <row r="224" spans="1:120" ht="15" customHeight="1" x14ac:dyDescent="0.25">
      <c r="F224" s="310" t="str">
        <f>IF(AND(ISNUMBER(K227),K227&gt;=1.01),"Reminder: If more than ten years of development is deemed to be required, insurers can provide this data in a supplemental exhibit.","")</f>
        <v/>
      </c>
      <c r="R224" s="310" t="str">
        <f>IF(AND(ISNUMBER(W227),W227&gt;=1.01),"Reminder: If more than ten years of development is deemed to be required, insurers can provide this data in a supplemental exhibit.","")</f>
        <v/>
      </c>
      <c r="AD224" s="310" t="str">
        <f>IF(AND(ISNUMBER(AI227),AI227&gt;=1.01),"Reminder: If more than ten years of development is deemed to be required, insurers can provide this data in a supplemental exhibit.","")</f>
        <v/>
      </c>
      <c r="AP224" s="309" t="str">
        <f>IF(AND(ISNUMBER(AU227),AU227&gt;=1.01),"Reminder: If more than ten years of development is deemed to be required, insurers can provide this data in a supplemental exhibit.","")</f>
        <v/>
      </c>
      <c r="BB224" s="310" t="str">
        <f>IF(AND(ISNUMBER(BG227),BG227&gt;=1.01),"Reminder: If more than ten years of development is deemed to be required, insurers can provide this data in a supplemental exhibit.","")</f>
        <v/>
      </c>
      <c r="BN224" s="310" t="str">
        <f>IF(AND(ISNUMBER(BS227),BS227&gt;=1.01),"Reminder: If more than ten years of development is deemed to be required, insurers can provide this data in a supplemental exhibit.","")</f>
        <v/>
      </c>
      <c r="BZ224" s="310" t="str">
        <f>IF(AND(ISNUMBER(CE227),CE227&gt;=1.01),"Reminder: If more than ten years of development is deemed to be required, insurers can provide this data in a supplemental exhibit.","")</f>
        <v/>
      </c>
      <c r="CL224" s="310" t="str">
        <f>IF(AND(ISNUMBER(CQ227),CQ227&gt;=1.01),"Reminder: If more than ten years of development is deemed to be required, insurers can provide this data in a supplemental exhibit.","")</f>
        <v/>
      </c>
      <c r="CX224" s="310" t="str">
        <f>IF(AND(ISNUMBER(DC227),DC227&gt;=1.01),"Reminder: If more than ten years of development is deemed to be required, insurers can provide this data in a supplemental exhibit.","")</f>
        <v/>
      </c>
      <c r="DJ224" s="310" t="str">
        <f>IF(AND(ISNUMBER(DO227),DO227&gt;=1.01),"Reminder: If more than ten years of development is deemed to be required, insurers can provide this data in a supplemental exhibit.","")</f>
        <v/>
      </c>
    </row>
    <row r="225" spans="1:120" x14ac:dyDescent="0.25">
      <c r="A225" s="130"/>
      <c r="B225" s="131"/>
      <c r="C225" s="131" t="s">
        <v>36</v>
      </c>
      <c r="D225" s="132"/>
      <c r="E225" s="132"/>
      <c r="F225" s="132"/>
      <c r="G225" s="132"/>
      <c r="H225" s="132"/>
      <c r="I225" s="132"/>
      <c r="J225" s="132"/>
      <c r="K225" s="132"/>
      <c r="L225" s="132"/>
      <c r="M225" s="130"/>
      <c r="N225" s="131"/>
      <c r="O225" s="131" t="s">
        <v>36</v>
      </c>
      <c r="P225" s="132"/>
      <c r="Q225" s="132"/>
      <c r="R225" s="132"/>
      <c r="S225" s="132"/>
      <c r="T225" s="132"/>
      <c r="U225" s="132"/>
      <c r="V225" s="132"/>
      <c r="W225" s="132"/>
      <c r="X225" s="132"/>
      <c r="Y225" s="130"/>
      <c r="Z225" s="131"/>
      <c r="AA225" s="131" t="s">
        <v>36</v>
      </c>
      <c r="AB225" s="132"/>
      <c r="AC225" s="132"/>
      <c r="AD225" s="132"/>
      <c r="AE225" s="132"/>
      <c r="AF225" s="132"/>
      <c r="AG225" s="132"/>
      <c r="AH225" s="132"/>
      <c r="AI225" s="132"/>
      <c r="AJ225" s="132"/>
      <c r="AK225" s="130"/>
      <c r="AL225" s="131"/>
      <c r="AM225" s="131" t="s">
        <v>36</v>
      </c>
      <c r="AN225" s="132"/>
      <c r="AO225" s="132"/>
      <c r="AP225" s="132"/>
      <c r="AQ225" s="132"/>
      <c r="AR225" s="132"/>
      <c r="AS225" s="132"/>
      <c r="AT225" s="132"/>
      <c r="AU225" s="132"/>
      <c r="AV225" s="132"/>
      <c r="AW225" s="130"/>
      <c r="AX225" s="131"/>
      <c r="AY225" s="131" t="s">
        <v>36</v>
      </c>
      <c r="AZ225" s="132"/>
      <c r="BA225" s="132"/>
      <c r="BB225" s="132"/>
      <c r="BC225" s="132"/>
      <c r="BD225" s="132"/>
      <c r="BE225" s="132"/>
      <c r="BF225" s="132"/>
      <c r="BG225" s="132"/>
      <c r="BH225" s="132"/>
      <c r="BI225" s="130"/>
      <c r="BJ225" s="131"/>
      <c r="BK225" s="131" t="s">
        <v>36</v>
      </c>
      <c r="BL225" s="132"/>
      <c r="BM225" s="132"/>
      <c r="BN225" s="132"/>
      <c r="BO225" s="132"/>
      <c r="BP225" s="132"/>
      <c r="BQ225" s="132"/>
      <c r="BR225" s="132"/>
      <c r="BS225" s="132"/>
      <c r="BT225" s="132"/>
      <c r="BU225" s="130"/>
      <c r="BV225" s="131"/>
      <c r="BW225" s="131" t="s">
        <v>36</v>
      </c>
      <c r="BX225" s="132"/>
      <c r="BY225" s="132"/>
      <c r="BZ225" s="132"/>
      <c r="CA225" s="132"/>
      <c r="CB225" s="132"/>
      <c r="CC225" s="132"/>
      <c r="CD225" s="132"/>
      <c r="CE225" s="132"/>
      <c r="CF225" s="132"/>
      <c r="CG225" s="130"/>
      <c r="CH225" s="131"/>
      <c r="CI225" s="131" t="s">
        <v>36</v>
      </c>
      <c r="CJ225" s="132"/>
      <c r="CK225" s="132"/>
      <c r="CL225" s="132"/>
      <c r="CM225" s="132"/>
      <c r="CN225" s="132"/>
      <c r="CO225" s="132"/>
      <c r="CP225" s="132"/>
      <c r="CQ225" s="132"/>
      <c r="CR225" s="132"/>
      <c r="CS225" s="130"/>
      <c r="CT225" s="131"/>
      <c r="CU225" s="131" t="s">
        <v>36</v>
      </c>
      <c r="CV225" s="132"/>
      <c r="CW225" s="132"/>
      <c r="CX225" s="132"/>
      <c r="CY225" s="132"/>
      <c r="CZ225" s="132"/>
      <c r="DA225" s="132"/>
      <c r="DB225" s="132"/>
      <c r="DC225" s="132"/>
      <c r="DD225" s="132"/>
      <c r="DE225" s="130"/>
      <c r="DF225" s="131"/>
      <c r="DG225" s="131" t="s">
        <v>36</v>
      </c>
      <c r="DH225" s="132"/>
      <c r="DI225" s="132"/>
      <c r="DJ225" s="132"/>
      <c r="DK225" s="132"/>
      <c r="DL225" s="132"/>
      <c r="DM225" s="132"/>
      <c r="DN225" s="132"/>
      <c r="DO225" s="132"/>
      <c r="DP225" s="132"/>
    </row>
    <row r="226" spans="1:120" ht="30" x14ac:dyDescent="0.25">
      <c r="A226" s="92" t="str">
        <f>$A$35</f>
        <v>Fiscal Accident Year Data Ending</v>
      </c>
      <c r="B226" s="92"/>
      <c r="C226" s="100" t="str">
        <f>$C$35&amp;"-"&amp;$D$35</f>
        <v>12-24</v>
      </c>
      <c r="D226" s="100" t="str">
        <f>$D$35&amp;"-"&amp;$E$35</f>
        <v>24-36</v>
      </c>
      <c r="E226" s="100" t="str">
        <f>$E$35&amp;"-"&amp;$F$35</f>
        <v>36-48</v>
      </c>
      <c r="F226" s="100" t="str">
        <f>$F$35&amp;"-"&amp;$G$35</f>
        <v>48-60</v>
      </c>
      <c r="G226" s="100" t="str">
        <f>$G$35&amp;"-"&amp;$H$35</f>
        <v>60-72</v>
      </c>
      <c r="H226" s="100" t="str">
        <f>$H$35&amp;"-"&amp;$I$35</f>
        <v>72-84</v>
      </c>
      <c r="I226" s="100" t="str">
        <f>$I$35&amp;"-"&amp;$J$35</f>
        <v>84-96</v>
      </c>
      <c r="J226" s="100" t="str">
        <f>$J$35&amp;"-"&amp;$K$35</f>
        <v>96-108</v>
      </c>
      <c r="K226" s="100" t="str">
        <f>$K$35&amp;"-"&amp;$L$35</f>
        <v>108-120</v>
      </c>
      <c r="L226" s="100" t="str">
        <f>$L$35&amp;"-Ult"</f>
        <v>120-Ult</v>
      </c>
      <c r="M226" s="92" t="str">
        <f>$A$35</f>
        <v>Fiscal Accident Year Data Ending</v>
      </c>
      <c r="N226" s="92"/>
      <c r="O226" s="100" t="str">
        <f>$C$35&amp;"-"&amp;$D$35</f>
        <v>12-24</v>
      </c>
      <c r="P226" s="100" t="str">
        <f>$D$35&amp;"-"&amp;$E$35</f>
        <v>24-36</v>
      </c>
      <c r="Q226" s="100" t="str">
        <f>$E$35&amp;"-"&amp;$F$35</f>
        <v>36-48</v>
      </c>
      <c r="R226" s="100" t="str">
        <f>$F$35&amp;"-"&amp;$G$35</f>
        <v>48-60</v>
      </c>
      <c r="S226" s="100" t="str">
        <f>$G$35&amp;"-"&amp;$H$35</f>
        <v>60-72</v>
      </c>
      <c r="T226" s="100" t="str">
        <f>$H$35&amp;"-"&amp;$I$35</f>
        <v>72-84</v>
      </c>
      <c r="U226" s="100" t="str">
        <f>$I$35&amp;"-"&amp;$J$35</f>
        <v>84-96</v>
      </c>
      <c r="V226" s="100" t="str">
        <f>$J$35&amp;"-"&amp;$K$35</f>
        <v>96-108</v>
      </c>
      <c r="W226" s="100" t="str">
        <f>$K$35&amp;"-"&amp;$L$35</f>
        <v>108-120</v>
      </c>
      <c r="X226" s="100" t="str">
        <f>$L$35&amp;"-Ult"</f>
        <v>120-Ult</v>
      </c>
      <c r="Y226" s="92" t="str">
        <f>$A$35</f>
        <v>Fiscal Accident Year Data Ending</v>
      </c>
      <c r="Z226" s="92"/>
      <c r="AA226" s="100" t="str">
        <f>$C$35&amp;"-"&amp;$D$35</f>
        <v>12-24</v>
      </c>
      <c r="AB226" s="100" t="str">
        <f>$D$35&amp;"-"&amp;$E$35</f>
        <v>24-36</v>
      </c>
      <c r="AC226" s="100" t="str">
        <f>$E$35&amp;"-"&amp;$F$35</f>
        <v>36-48</v>
      </c>
      <c r="AD226" s="100" t="str">
        <f>$F$35&amp;"-"&amp;$G$35</f>
        <v>48-60</v>
      </c>
      <c r="AE226" s="100" t="str">
        <f>$G$35&amp;"-"&amp;$H$35</f>
        <v>60-72</v>
      </c>
      <c r="AF226" s="100" t="str">
        <f>$H$35&amp;"-"&amp;$I$35</f>
        <v>72-84</v>
      </c>
      <c r="AG226" s="100" t="str">
        <f>$I$35&amp;"-"&amp;$J$35</f>
        <v>84-96</v>
      </c>
      <c r="AH226" s="100" t="str">
        <f>$J$35&amp;"-"&amp;$K$35</f>
        <v>96-108</v>
      </c>
      <c r="AI226" s="100" t="str">
        <f>$K$35&amp;"-"&amp;$L$35</f>
        <v>108-120</v>
      </c>
      <c r="AJ226" s="100" t="str">
        <f>$L$35&amp;"-Ult"</f>
        <v>120-Ult</v>
      </c>
      <c r="AK226" s="92" t="str">
        <f>$A$35</f>
        <v>Fiscal Accident Year Data Ending</v>
      </c>
      <c r="AL226" s="92"/>
      <c r="AM226" s="100" t="str">
        <f>$C$35&amp;"-"&amp;$D$35</f>
        <v>12-24</v>
      </c>
      <c r="AN226" s="100" t="str">
        <f>$D$35&amp;"-"&amp;$E$35</f>
        <v>24-36</v>
      </c>
      <c r="AO226" s="100" t="str">
        <f>$E$35&amp;"-"&amp;$F$35</f>
        <v>36-48</v>
      </c>
      <c r="AP226" s="100" t="str">
        <f>$F$35&amp;"-"&amp;$G$35</f>
        <v>48-60</v>
      </c>
      <c r="AQ226" s="100" t="str">
        <f>$G$35&amp;"-"&amp;$H$35</f>
        <v>60-72</v>
      </c>
      <c r="AR226" s="100" t="str">
        <f>$H$35&amp;"-"&amp;$I$35</f>
        <v>72-84</v>
      </c>
      <c r="AS226" s="100" t="str">
        <f>$I$35&amp;"-"&amp;$J$35</f>
        <v>84-96</v>
      </c>
      <c r="AT226" s="100" t="str">
        <f>$J$35&amp;"-"&amp;$K$35</f>
        <v>96-108</v>
      </c>
      <c r="AU226" s="100" t="str">
        <f>$K$35&amp;"-"&amp;$L$35</f>
        <v>108-120</v>
      </c>
      <c r="AV226" s="100" t="str">
        <f>$L$35&amp;"-Ult"</f>
        <v>120-Ult</v>
      </c>
      <c r="AW226" s="92" t="str">
        <f>$A$35</f>
        <v>Fiscal Accident Year Data Ending</v>
      </c>
      <c r="AX226" s="92"/>
      <c r="AY226" s="100" t="str">
        <f>$C$35&amp;"-"&amp;$D$35</f>
        <v>12-24</v>
      </c>
      <c r="AZ226" s="100" t="str">
        <f>$D$35&amp;"-"&amp;$E$35</f>
        <v>24-36</v>
      </c>
      <c r="BA226" s="100" t="str">
        <f>$E$35&amp;"-"&amp;$F$35</f>
        <v>36-48</v>
      </c>
      <c r="BB226" s="100" t="str">
        <f>$F$35&amp;"-"&amp;$G$35</f>
        <v>48-60</v>
      </c>
      <c r="BC226" s="100" t="str">
        <f>$G$35&amp;"-"&amp;$H$35</f>
        <v>60-72</v>
      </c>
      <c r="BD226" s="100" t="str">
        <f>$H$35&amp;"-"&amp;$I$35</f>
        <v>72-84</v>
      </c>
      <c r="BE226" s="100" t="str">
        <f>$I$35&amp;"-"&amp;$J$35</f>
        <v>84-96</v>
      </c>
      <c r="BF226" s="100" t="str">
        <f>$J$35&amp;"-"&amp;$K$35</f>
        <v>96-108</v>
      </c>
      <c r="BG226" s="100" t="str">
        <f>$K$35&amp;"-"&amp;$L$35</f>
        <v>108-120</v>
      </c>
      <c r="BH226" s="100" t="str">
        <f>$L$35&amp;"-Ult"</f>
        <v>120-Ult</v>
      </c>
      <c r="BI226" s="92" t="str">
        <f>$A$35</f>
        <v>Fiscal Accident Year Data Ending</v>
      </c>
      <c r="BJ226" s="92"/>
      <c r="BK226" s="100" t="str">
        <f>$C$35&amp;"-"&amp;$D$35</f>
        <v>12-24</v>
      </c>
      <c r="BL226" s="100" t="str">
        <f>$D$35&amp;"-"&amp;$E$35</f>
        <v>24-36</v>
      </c>
      <c r="BM226" s="100" t="str">
        <f>$E$35&amp;"-"&amp;$F$35</f>
        <v>36-48</v>
      </c>
      <c r="BN226" s="100" t="str">
        <f>$F$35&amp;"-"&amp;$G$35</f>
        <v>48-60</v>
      </c>
      <c r="BO226" s="100" t="str">
        <f>$G$35&amp;"-"&amp;$H$35</f>
        <v>60-72</v>
      </c>
      <c r="BP226" s="100" t="str">
        <f>$H$35&amp;"-"&amp;$I$35</f>
        <v>72-84</v>
      </c>
      <c r="BQ226" s="100" t="str">
        <f>$I$35&amp;"-"&amp;$J$35</f>
        <v>84-96</v>
      </c>
      <c r="BR226" s="100" t="str">
        <f>$J$35&amp;"-"&amp;$K$35</f>
        <v>96-108</v>
      </c>
      <c r="BS226" s="100" t="str">
        <f>$K$35&amp;"-"&amp;$L$35</f>
        <v>108-120</v>
      </c>
      <c r="BT226" s="100" t="str">
        <f>$L$35&amp;"-Ult"</f>
        <v>120-Ult</v>
      </c>
      <c r="BU226" s="92" t="str">
        <f>$A$35</f>
        <v>Fiscal Accident Year Data Ending</v>
      </c>
      <c r="BV226" s="92"/>
      <c r="BW226" s="100" t="str">
        <f>$C$35&amp;"-"&amp;$D$35</f>
        <v>12-24</v>
      </c>
      <c r="BX226" s="100" t="str">
        <f>$D$35&amp;"-"&amp;$E$35</f>
        <v>24-36</v>
      </c>
      <c r="BY226" s="100" t="str">
        <f>$E$35&amp;"-"&amp;$F$35</f>
        <v>36-48</v>
      </c>
      <c r="BZ226" s="100" t="str">
        <f>$F$35&amp;"-"&amp;$G$35</f>
        <v>48-60</v>
      </c>
      <c r="CA226" s="100" t="str">
        <f>$G$35&amp;"-"&amp;$H$35</f>
        <v>60-72</v>
      </c>
      <c r="CB226" s="100" t="str">
        <f>$H$35&amp;"-"&amp;$I$35</f>
        <v>72-84</v>
      </c>
      <c r="CC226" s="100" t="str">
        <f>$I$35&amp;"-"&amp;$J$35</f>
        <v>84-96</v>
      </c>
      <c r="CD226" s="100" t="str">
        <f>$J$35&amp;"-"&amp;$K$35</f>
        <v>96-108</v>
      </c>
      <c r="CE226" s="100" t="str">
        <f>$K$35&amp;"-"&amp;$L$35</f>
        <v>108-120</v>
      </c>
      <c r="CF226" s="100" t="str">
        <f>$L$35&amp;"-Ult"</f>
        <v>120-Ult</v>
      </c>
      <c r="CG226" s="92" t="str">
        <f>$A$35</f>
        <v>Fiscal Accident Year Data Ending</v>
      </c>
      <c r="CH226" s="92"/>
      <c r="CI226" s="100" t="str">
        <f>$C$35&amp;"-"&amp;$D$35</f>
        <v>12-24</v>
      </c>
      <c r="CJ226" s="100" t="str">
        <f>$D$35&amp;"-"&amp;$E$35</f>
        <v>24-36</v>
      </c>
      <c r="CK226" s="100" t="str">
        <f>$E$35&amp;"-"&amp;$F$35</f>
        <v>36-48</v>
      </c>
      <c r="CL226" s="100" t="str">
        <f>$F$35&amp;"-"&amp;$G$35</f>
        <v>48-60</v>
      </c>
      <c r="CM226" s="100" t="str">
        <f>$G$35&amp;"-"&amp;$H$35</f>
        <v>60-72</v>
      </c>
      <c r="CN226" s="100" t="str">
        <f>$H$35&amp;"-"&amp;$I$35</f>
        <v>72-84</v>
      </c>
      <c r="CO226" s="100" t="str">
        <f>$I$35&amp;"-"&amp;$J$35</f>
        <v>84-96</v>
      </c>
      <c r="CP226" s="100" t="str">
        <f>$J$35&amp;"-"&amp;$K$35</f>
        <v>96-108</v>
      </c>
      <c r="CQ226" s="100" t="str">
        <f>$K$35&amp;"-"&amp;$L$35</f>
        <v>108-120</v>
      </c>
      <c r="CR226" s="100" t="str">
        <f>$L$35&amp;"-Ult"</f>
        <v>120-Ult</v>
      </c>
      <c r="CS226" s="92" t="str">
        <f>$A$35</f>
        <v>Fiscal Accident Year Data Ending</v>
      </c>
      <c r="CT226" s="92"/>
      <c r="CU226" s="100" t="str">
        <f>$C$35&amp;"-"&amp;$D$35</f>
        <v>12-24</v>
      </c>
      <c r="CV226" s="100" t="str">
        <f>$D$35&amp;"-"&amp;$E$35</f>
        <v>24-36</v>
      </c>
      <c r="CW226" s="100" t="str">
        <f>$E$35&amp;"-"&amp;$F$35</f>
        <v>36-48</v>
      </c>
      <c r="CX226" s="100" t="str">
        <f>$F$35&amp;"-"&amp;$G$35</f>
        <v>48-60</v>
      </c>
      <c r="CY226" s="100" t="str">
        <f>$G$35&amp;"-"&amp;$H$35</f>
        <v>60-72</v>
      </c>
      <c r="CZ226" s="100" t="str">
        <f>$H$35&amp;"-"&amp;$I$35</f>
        <v>72-84</v>
      </c>
      <c r="DA226" s="100" t="str">
        <f>$I$35&amp;"-"&amp;$J$35</f>
        <v>84-96</v>
      </c>
      <c r="DB226" s="100" t="str">
        <f>$J$35&amp;"-"&amp;$K$35</f>
        <v>96-108</v>
      </c>
      <c r="DC226" s="100" t="str">
        <f>$K$35&amp;"-"&amp;$L$35</f>
        <v>108-120</v>
      </c>
      <c r="DD226" s="100" t="str">
        <f>$L$35&amp;"-Ult"</f>
        <v>120-Ult</v>
      </c>
      <c r="DE226" s="92" t="str">
        <f>$A$35</f>
        <v>Fiscal Accident Year Data Ending</v>
      </c>
      <c r="DF226" s="92"/>
      <c r="DG226" s="100" t="str">
        <f>$C$35&amp;"-"&amp;$D$35</f>
        <v>12-24</v>
      </c>
      <c r="DH226" s="100" t="str">
        <f>$D$35&amp;"-"&amp;$E$35</f>
        <v>24-36</v>
      </c>
      <c r="DI226" s="100" t="str">
        <f>$E$35&amp;"-"&amp;$F$35</f>
        <v>36-48</v>
      </c>
      <c r="DJ226" s="100" t="str">
        <f>$F$35&amp;"-"&amp;$G$35</f>
        <v>48-60</v>
      </c>
      <c r="DK226" s="100" t="str">
        <f>$G$35&amp;"-"&amp;$H$35</f>
        <v>60-72</v>
      </c>
      <c r="DL226" s="100" t="str">
        <f>$H$35&amp;"-"&amp;$I$35</f>
        <v>72-84</v>
      </c>
      <c r="DM226" s="100" t="str">
        <f>$I$35&amp;"-"&amp;$J$35</f>
        <v>84-96</v>
      </c>
      <c r="DN226" s="100" t="str">
        <f>$J$35&amp;"-"&amp;$K$35</f>
        <v>96-108</v>
      </c>
      <c r="DO226" s="100" t="str">
        <f>$K$35&amp;"-"&amp;$L$35</f>
        <v>108-120</v>
      </c>
      <c r="DP226" s="100" t="str">
        <f>$L$35&amp;"-Ult"</f>
        <v>120-Ult</v>
      </c>
    </row>
    <row r="227" spans="1:120" x14ac:dyDescent="0.25">
      <c r="A227" s="91">
        <f>$A$36</f>
        <v>20132</v>
      </c>
      <c r="B227" s="105"/>
      <c r="C227" s="90">
        <f>IFERROR(D214/C214,"")</f>
        <v>1.0584899711302287</v>
      </c>
      <c r="D227" s="90">
        <f t="shared" ref="D227:K227" si="401">IFERROR(E214/D214,"")</f>
        <v>1.0245573296661614</v>
      </c>
      <c r="E227" s="90">
        <f t="shared" si="401"/>
        <v>1.0024316773549553</v>
      </c>
      <c r="F227" s="90">
        <f t="shared" si="401"/>
        <v>0.99729073174638894</v>
      </c>
      <c r="G227" s="90">
        <f t="shared" si="401"/>
        <v>1.00049369141996</v>
      </c>
      <c r="H227" s="90">
        <f t="shared" si="401"/>
        <v>1.0036564530472347</v>
      </c>
      <c r="I227" s="90">
        <f t="shared" si="401"/>
        <v>1.0045967740984676</v>
      </c>
      <c r="J227" s="90">
        <f t="shared" si="401"/>
        <v>1.0004359871183579</v>
      </c>
      <c r="K227" s="90">
        <f t="shared" si="401"/>
        <v>1.0026480067906178</v>
      </c>
      <c r="L227" s="22"/>
      <c r="M227" s="91">
        <f>$A$36</f>
        <v>20132</v>
      </c>
      <c r="N227" s="105"/>
      <c r="O227" s="90" t="str">
        <f>IFERROR(P214/O214,"")</f>
        <v/>
      </c>
      <c r="P227" s="90" t="str">
        <f t="shared" ref="P227:W227" si="402">IFERROR(Q214/P214,"")</f>
        <v/>
      </c>
      <c r="Q227" s="90" t="str">
        <f t="shared" si="402"/>
        <v/>
      </c>
      <c r="R227" s="90" t="str">
        <f t="shared" si="402"/>
        <v/>
      </c>
      <c r="S227" s="90" t="str">
        <f t="shared" si="402"/>
        <v/>
      </c>
      <c r="T227" s="90" t="str">
        <f t="shared" si="402"/>
        <v/>
      </c>
      <c r="U227" s="90" t="str">
        <f t="shared" si="402"/>
        <v/>
      </c>
      <c r="V227" s="90" t="str">
        <f t="shared" si="402"/>
        <v/>
      </c>
      <c r="W227" s="90" t="str">
        <f t="shared" si="402"/>
        <v/>
      </c>
      <c r="X227" s="22"/>
      <c r="Y227" s="91">
        <f>$A$36</f>
        <v>20132</v>
      </c>
      <c r="Z227" s="105"/>
      <c r="AA227" s="90" t="str">
        <f>IFERROR(AB214/AA214,"")</f>
        <v/>
      </c>
      <c r="AB227" s="90" t="str">
        <f t="shared" ref="AB227:AI227" si="403">IFERROR(AC214/AB214,"")</f>
        <v/>
      </c>
      <c r="AC227" s="90" t="str">
        <f t="shared" si="403"/>
        <v/>
      </c>
      <c r="AD227" s="90" t="str">
        <f t="shared" si="403"/>
        <v/>
      </c>
      <c r="AE227" s="90" t="str">
        <f t="shared" si="403"/>
        <v/>
      </c>
      <c r="AF227" s="90" t="str">
        <f t="shared" si="403"/>
        <v/>
      </c>
      <c r="AG227" s="90" t="str">
        <f t="shared" si="403"/>
        <v/>
      </c>
      <c r="AH227" s="90" t="str">
        <f t="shared" si="403"/>
        <v/>
      </c>
      <c r="AI227" s="90" t="str">
        <f t="shared" si="403"/>
        <v/>
      </c>
      <c r="AJ227" s="22"/>
      <c r="AK227" s="91">
        <f>$A$36</f>
        <v>20132</v>
      </c>
      <c r="AL227" s="105"/>
      <c r="AM227" s="90" t="str">
        <f>IFERROR(AN214/AM214,"")</f>
        <v/>
      </c>
      <c r="AN227" s="90" t="str">
        <f t="shared" ref="AN227:AU227" si="404">IFERROR(AO214/AN214,"")</f>
        <v/>
      </c>
      <c r="AO227" s="90" t="str">
        <f t="shared" si="404"/>
        <v/>
      </c>
      <c r="AP227" s="90" t="str">
        <f t="shared" si="404"/>
        <v/>
      </c>
      <c r="AQ227" s="90" t="str">
        <f t="shared" si="404"/>
        <v/>
      </c>
      <c r="AR227" s="90" t="str">
        <f t="shared" si="404"/>
        <v/>
      </c>
      <c r="AS227" s="90" t="str">
        <f t="shared" si="404"/>
        <v/>
      </c>
      <c r="AT227" s="90" t="str">
        <f t="shared" si="404"/>
        <v/>
      </c>
      <c r="AU227" s="90" t="str">
        <f t="shared" si="404"/>
        <v/>
      </c>
      <c r="AV227" s="22"/>
      <c r="AW227" s="91">
        <f>$A$36</f>
        <v>20132</v>
      </c>
      <c r="AX227" s="105"/>
      <c r="AY227" s="90" t="str">
        <f>IFERROR(AZ214/AY214,"")</f>
        <v/>
      </c>
      <c r="AZ227" s="90" t="str">
        <f t="shared" ref="AZ227:BG227" si="405">IFERROR(BA214/AZ214,"")</f>
        <v/>
      </c>
      <c r="BA227" s="90" t="str">
        <f t="shared" si="405"/>
        <v/>
      </c>
      <c r="BB227" s="90" t="str">
        <f t="shared" si="405"/>
        <v/>
      </c>
      <c r="BC227" s="90" t="str">
        <f t="shared" si="405"/>
        <v/>
      </c>
      <c r="BD227" s="90" t="str">
        <f t="shared" si="405"/>
        <v/>
      </c>
      <c r="BE227" s="90" t="str">
        <f t="shared" si="405"/>
        <v/>
      </c>
      <c r="BF227" s="90" t="str">
        <f t="shared" si="405"/>
        <v/>
      </c>
      <c r="BG227" s="90" t="str">
        <f t="shared" si="405"/>
        <v/>
      </c>
      <c r="BH227" s="22"/>
      <c r="BI227" s="91">
        <f>$A$36</f>
        <v>20132</v>
      </c>
      <c r="BJ227" s="105"/>
      <c r="BK227" s="90" t="str">
        <f>IFERROR(BL214/BK214,"")</f>
        <v/>
      </c>
      <c r="BL227" s="90" t="str">
        <f t="shared" ref="BL227:BS227" si="406">IFERROR(BM214/BL214,"")</f>
        <v/>
      </c>
      <c r="BM227" s="90" t="str">
        <f t="shared" si="406"/>
        <v/>
      </c>
      <c r="BN227" s="90" t="str">
        <f t="shared" si="406"/>
        <v/>
      </c>
      <c r="BO227" s="90" t="str">
        <f t="shared" si="406"/>
        <v/>
      </c>
      <c r="BP227" s="90" t="str">
        <f t="shared" si="406"/>
        <v/>
      </c>
      <c r="BQ227" s="90" t="str">
        <f t="shared" si="406"/>
        <v/>
      </c>
      <c r="BR227" s="90" t="str">
        <f t="shared" si="406"/>
        <v/>
      </c>
      <c r="BS227" s="90" t="str">
        <f t="shared" si="406"/>
        <v/>
      </c>
      <c r="BT227" s="22"/>
      <c r="BU227" s="91">
        <f>$A$36</f>
        <v>20132</v>
      </c>
      <c r="BV227" s="105"/>
      <c r="BW227" s="90" t="str">
        <f>IFERROR(BX214/BW214,"")</f>
        <v/>
      </c>
      <c r="BX227" s="90" t="str">
        <f t="shared" ref="BX227:CE227" si="407">IFERROR(BY214/BX214,"")</f>
        <v/>
      </c>
      <c r="BY227" s="90" t="str">
        <f t="shared" si="407"/>
        <v/>
      </c>
      <c r="BZ227" s="90" t="str">
        <f t="shared" si="407"/>
        <v/>
      </c>
      <c r="CA227" s="90" t="str">
        <f t="shared" si="407"/>
        <v/>
      </c>
      <c r="CB227" s="90" t="str">
        <f t="shared" si="407"/>
        <v/>
      </c>
      <c r="CC227" s="90" t="str">
        <f t="shared" si="407"/>
        <v/>
      </c>
      <c r="CD227" s="90" t="str">
        <f t="shared" si="407"/>
        <v/>
      </c>
      <c r="CE227" s="90" t="str">
        <f t="shared" si="407"/>
        <v/>
      </c>
      <c r="CF227" s="22"/>
      <c r="CG227" s="91">
        <f>$A$36</f>
        <v>20132</v>
      </c>
      <c r="CH227" s="105"/>
      <c r="CI227" s="90" t="str">
        <f>IFERROR(CJ214/CI214,"")</f>
        <v/>
      </c>
      <c r="CJ227" s="90" t="str">
        <f t="shared" ref="CJ227:CQ227" si="408">IFERROR(CK214/CJ214,"")</f>
        <v/>
      </c>
      <c r="CK227" s="90" t="str">
        <f t="shared" si="408"/>
        <v/>
      </c>
      <c r="CL227" s="90" t="str">
        <f t="shared" si="408"/>
        <v/>
      </c>
      <c r="CM227" s="90" t="str">
        <f t="shared" si="408"/>
        <v/>
      </c>
      <c r="CN227" s="90" t="str">
        <f t="shared" si="408"/>
        <v/>
      </c>
      <c r="CO227" s="90" t="str">
        <f t="shared" si="408"/>
        <v/>
      </c>
      <c r="CP227" s="90" t="str">
        <f t="shared" si="408"/>
        <v/>
      </c>
      <c r="CQ227" s="90" t="str">
        <f t="shared" si="408"/>
        <v/>
      </c>
      <c r="CR227" s="22"/>
      <c r="CS227" s="91">
        <f>$A$36</f>
        <v>20132</v>
      </c>
      <c r="CT227" s="105"/>
      <c r="CU227" s="90" t="str">
        <f>IFERROR(CV214/CU214,"")</f>
        <v/>
      </c>
      <c r="CV227" s="90" t="str">
        <f t="shared" ref="CV227:DC227" si="409">IFERROR(CW214/CV214,"")</f>
        <v/>
      </c>
      <c r="CW227" s="90" t="str">
        <f t="shared" si="409"/>
        <v/>
      </c>
      <c r="CX227" s="90" t="str">
        <f t="shared" si="409"/>
        <v/>
      </c>
      <c r="CY227" s="90" t="str">
        <f t="shared" si="409"/>
        <v/>
      </c>
      <c r="CZ227" s="90" t="str">
        <f t="shared" si="409"/>
        <v/>
      </c>
      <c r="DA227" s="90" t="str">
        <f t="shared" si="409"/>
        <v/>
      </c>
      <c r="DB227" s="90" t="str">
        <f t="shared" si="409"/>
        <v/>
      </c>
      <c r="DC227" s="90" t="str">
        <f t="shared" si="409"/>
        <v/>
      </c>
      <c r="DD227" s="22"/>
      <c r="DE227" s="91">
        <f>$A$36</f>
        <v>20132</v>
      </c>
      <c r="DF227" s="105"/>
      <c r="DG227" s="90" t="str">
        <f>IFERROR(DH214/DG214,"")</f>
        <v/>
      </c>
      <c r="DH227" s="90" t="str">
        <f t="shared" ref="DH227:DO227" si="410">IFERROR(DI214/DH214,"")</f>
        <v/>
      </c>
      <c r="DI227" s="90" t="str">
        <f t="shared" si="410"/>
        <v/>
      </c>
      <c r="DJ227" s="90" t="str">
        <f t="shared" si="410"/>
        <v/>
      </c>
      <c r="DK227" s="90" t="str">
        <f t="shared" si="410"/>
        <v/>
      </c>
      <c r="DL227" s="90" t="str">
        <f t="shared" si="410"/>
        <v/>
      </c>
      <c r="DM227" s="90" t="str">
        <f t="shared" si="410"/>
        <v/>
      </c>
      <c r="DN227" s="90" t="str">
        <f t="shared" si="410"/>
        <v/>
      </c>
      <c r="DO227" s="90" t="str">
        <f t="shared" si="410"/>
        <v/>
      </c>
      <c r="DP227" s="22"/>
    </row>
    <row r="228" spans="1:120" x14ac:dyDescent="0.25">
      <c r="A228" s="91">
        <f>$A$37</f>
        <v>20142</v>
      </c>
      <c r="B228" s="105"/>
      <c r="C228" s="90">
        <f t="shared" ref="C228:J235" si="411">IFERROR(D215/C215,"")</f>
        <v>1.053701251396602</v>
      </c>
      <c r="D228" s="90">
        <f t="shared" si="411"/>
        <v>1.0346694306675701</v>
      </c>
      <c r="E228" s="90">
        <f t="shared" si="411"/>
        <v>0.99558526034071204</v>
      </c>
      <c r="F228" s="90">
        <f t="shared" si="411"/>
        <v>1.0045628386232195</v>
      </c>
      <c r="G228" s="90">
        <f t="shared" si="411"/>
        <v>1.0043508731860151</v>
      </c>
      <c r="H228" s="90">
        <f t="shared" si="411"/>
        <v>1.0051348153366593</v>
      </c>
      <c r="I228" s="90">
        <f t="shared" si="411"/>
        <v>1.0179780528491502</v>
      </c>
      <c r="J228" s="90">
        <f t="shared" si="411"/>
        <v>1.0116028966583865</v>
      </c>
      <c r="K228" s="22"/>
      <c r="L228" s="22"/>
      <c r="M228" s="91">
        <f>$A$37</f>
        <v>20142</v>
      </c>
      <c r="N228" s="105"/>
      <c r="O228" s="90" t="str">
        <f t="shared" ref="O228:V235" si="412">IFERROR(P215/O215,"")</f>
        <v/>
      </c>
      <c r="P228" s="90" t="str">
        <f t="shared" si="412"/>
        <v/>
      </c>
      <c r="Q228" s="90" t="str">
        <f t="shared" si="412"/>
        <v/>
      </c>
      <c r="R228" s="90" t="str">
        <f t="shared" si="412"/>
        <v/>
      </c>
      <c r="S228" s="90" t="str">
        <f t="shared" si="412"/>
        <v/>
      </c>
      <c r="T228" s="90" t="str">
        <f t="shared" si="412"/>
        <v/>
      </c>
      <c r="U228" s="90" t="str">
        <f t="shared" si="412"/>
        <v/>
      </c>
      <c r="V228" s="90" t="str">
        <f t="shared" si="412"/>
        <v/>
      </c>
      <c r="W228" s="22"/>
      <c r="X228" s="22"/>
      <c r="Y228" s="91">
        <f>$A$37</f>
        <v>20142</v>
      </c>
      <c r="Z228" s="105"/>
      <c r="AA228" s="90" t="str">
        <f t="shared" ref="AA228:AH235" si="413">IFERROR(AB215/AA215,"")</f>
        <v/>
      </c>
      <c r="AB228" s="90" t="str">
        <f t="shared" si="413"/>
        <v/>
      </c>
      <c r="AC228" s="90" t="str">
        <f t="shared" si="413"/>
        <v/>
      </c>
      <c r="AD228" s="90" t="str">
        <f t="shared" si="413"/>
        <v/>
      </c>
      <c r="AE228" s="90" t="str">
        <f t="shared" si="413"/>
        <v/>
      </c>
      <c r="AF228" s="90" t="str">
        <f t="shared" si="413"/>
        <v/>
      </c>
      <c r="AG228" s="90" t="str">
        <f t="shared" si="413"/>
        <v/>
      </c>
      <c r="AH228" s="90" t="str">
        <f t="shared" si="413"/>
        <v/>
      </c>
      <c r="AI228" s="22"/>
      <c r="AJ228" s="22"/>
      <c r="AK228" s="91">
        <f>$A$37</f>
        <v>20142</v>
      </c>
      <c r="AL228" s="105"/>
      <c r="AM228" s="90" t="str">
        <f t="shared" ref="AM228:AT235" si="414">IFERROR(AN215/AM215,"")</f>
        <v/>
      </c>
      <c r="AN228" s="90" t="str">
        <f t="shared" si="414"/>
        <v/>
      </c>
      <c r="AO228" s="90" t="str">
        <f t="shared" si="414"/>
        <v/>
      </c>
      <c r="AP228" s="90" t="str">
        <f t="shared" si="414"/>
        <v/>
      </c>
      <c r="AQ228" s="90" t="str">
        <f t="shared" si="414"/>
        <v/>
      </c>
      <c r="AR228" s="90" t="str">
        <f t="shared" si="414"/>
        <v/>
      </c>
      <c r="AS228" s="90" t="str">
        <f t="shared" si="414"/>
        <v/>
      </c>
      <c r="AT228" s="90" t="str">
        <f t="shared" si="414"/>
        <v/>
      </c>
      <c r="AU228" s="22"/>
      <c r="AV228" s="22"/>
      <c r="AW228" s="91">
        <f>$A$37</f>
        <v>20142</v>
      </c>
      <c r="AX228" s="105"/>
      <c r="AY228" s="90" t="str">
        <f t="shared" ref="AY228:BF235" si="415">IFERROR(AZ215/AY215,"")</f>
        <v/>
      </c>
      <c r="AZ228" s="90" t="str">
        <f t="shared" si="415"/>
        <v/>
      </c>
      <c r="BA228" s="90" t="str">
        <f t="shared" si="415"/>
        <v/>
      </c>
      <c r="BB228" s="90" t="str">
        <f t="shared" si="415"/>
        <v/>
      </c>
      <c r="BC228" s="90" t="str">
        <f t="shared" si="415"/>
        <v/>
      </c>
      <c r="BD228" s="90" t="str">
        <f t="shared" si="415"/>
        <v/>
      </c>
      <c r="BE228" s="90" t="str">
        <f t="shared" si="415"/>
        <v/>
      </c>
      <c r="BF228" s="90" t="str">
        <f t="shared" si="415"/>
        <v/>
      </c>
      <c r="BG228" s="22"/>
      <c r="BH228" s="22"/>
      <c r="BI228" s="91">
        <f>$A$37</f>
        <v>20142</v>
      </c>
      <c r="BJ228" s="105"/>
      <c r="BK228" s="90" t="str">
        <f t="shared" ref="BK228:BR235" si="416">IFERROR(BL215/BK215,"")</f>
        <v/>
      </c>
      <c r="BL228" s="90" t="str">
        <f t="shared" si="416"/>
        <v/>
      </c>
      <c r="BM228" s="90" t="str">
        <f t="shared" si="416"/>
        <v/>
      </c>
      <c r="BN228" s="90" t="str">
        <f t="shared" si="416"/>
        <v/>
      </c>
      <c r="BO228" s="90" t="str">
        <f t="shared" si="416"/>
        <v/>
      </c>
      <c r="BP228" s="90" t="str">
        <f t="shared" si="416"/>
        <v/>
      </c>
      <c r="BQ228" s="90" t="str">
        <f t="shared" si="416"/>
        <v/>
      </c>
      <c r="BR228" s="90" t="str">
        <f t="shared" si="416"/>
        <v/>
      </c>
      <c r="BS228" s="22"/>
      <c r="BT228" s="22"/>
      <c r="BU228" s="91">
        <f>$A$37</f>
        <v>20142</v>
      </c>
      <c r="BV228" s="105"/>
      <c r="BW228" s="90" t="str">
        <f t="shared" ref="BW228:CD235" si="417">IFERROR(BX215/BW215,"")</f>
        <v/>
      </c>
      <c r="BX228" s="90" t="str">
        <f t="shared" si="417"/>
        <v/>
      </c>
      <c r="BY228" s="90" t="str">
        <f t="shared" si="417"/>
        <v/>
      </c>
      <c r="BZ228" s="90" t="str">
        <f t="shared" si="417"/>
        <v/>
      </c>
      <c r="CA228" s="90" t="str">
        <f t="shared" si="417"/>
        <v/>
      </c>
      <c r="CB228" s="90" t="str">
        <f t="shared" si="417"/>
        <v/>
      </c>
      <c r="CC228" s="90" t="str">
        <f t="shared" si="417"/>
        <v/>
      </c>
      <c r="CD228" s="90" t="str">
        <f t="shared" si="417"/>
        <v/>
      </c>
      <c r="CE228" s="22"/>
      <c r="CF228" s="22"/>
      <c r="CG228" s="91">
        <f>$A$37</f>
        <v>20142</v>
      </c>
      <c r="CH228" s="105"/>
      <c r="CI228" s="90" t="str">
        <f t="shared" ref="CI228:CP235" si="418">IFERROR(CJ215/CI215,"")</f>
        <v/>
      </c>
      <c r="CJ228" s="90" t="str">
        <f t="shared" si="418"/>
        <v/>
      </c>
      <c r="CK228" s="90" t="str">
        <f t="shared" si="418"/>
        <v/>
      </c>
      <c r="CL228" s="90" t="str">
        <f t="shared" si="418"/>
        <v/>
      </c>
      <c r="CM228" s="90" t="str">
        <f t="shared" si="418"/>
        <v/>
      </c>
      <c r="CN228" s="90" t="str">
        <f t="shared" si="418"/>
        <v/>
      </c>
      <c r="CO228" s="90" t="str">
        <f t="shared" si="418"/>
        <v/>
      </c>
      <c r="CP228" s="90" t="str">
        <f t="shared" si="418"/>
        <v/>
      </c>
      <c r="CQ228" s="22"/>
      <c r="CR228" s="22"/>
      <c r="CS228" s="91">
        <f>$A$37</f>
        <v>20142</v>
      </c>
      <c r="CT228" s="105"/>
      <c r="CU228" s="90" t="str">
        <f t="shared" ref="CU228:DB235" si="419">IFERROR(CV215/CU215,"")</f>
        <v/>
      </c>
      <c r="CV228" s="90" t="str">
        <f t="shared" si="419"/>
        <v/>
      </c>
      <c r="CW228" s="90" t="str">
        <f t="shared" si="419"/>
        <v/>
      </c>
      <c r="CX228" s="90" t="str">
        <f t="shared" si="419"/>
        <v/>
      </c>
      <c r="CY228" s="90" t="str">
        <f t="shared" si="419"/>
        <v/>
      </c>
      <c r="CZ228" s="90" t="str">
        <f t="shared" si="419"/>
        <v/>
      </c>
      <c r="DA228" s="90" t="str">
        <f t="shared" si="419"/>
        <v/>
      </c>
      <c r="DB228" s="90" t="str">
        <f t="shared" si="419"/>
        <v/>
      </c>
      <c r="DC228" s="22"/>
      <c r="DD228" s="22"/>
      <c r="DE228" s="91">
        <f>$A$37</f>
        <v>20142</v>
      </c>
      <c r="DF228" s="105"/>
      <c r="DG228" s="90" t="str">
        <f t="shared" ref="DG228:DN235" si="420">IFERROR(DH215/DG215,"")</f>
        <v/>
      </c>
      <c r="DH228" s="90" t="str">
        <f t="shared" si="420"/>
        <v/>
      </c>
      <c r="DI228" s="90" t="str">
        <f t="shared" si="420"/>
        <v/>
      </c>
      <c r="DJ228" s="90" t="str">
        <f t="shared" si="420"/>
        <v/>
      </c>
      <c r="DK228" s="90" t="str">
        <f t="shared" si="420"/>
        <v/>
      </c>
      <c r="DL228" s="90" t="str">
        <f t="shared" si="420"/>
        <v/>
      </c>
      <c r="DM228" s="90" t="str">
        <f t="shared" si="420"/>
        <v/>
      </c>
      <c r="DN228" s="90" t="str">
        <f t="shared" si="420"/>
        <v/>
      </c>
      <c r="DO228" s="22"/>
      <c r="DP228" s="22"/>
    </row>
    <row r="229" spans="1:120" x14ac:dyDescent="0.25">
      <c r="A229" s="91">
        <f>$A$38</f>
        <v>20152</v>
      </c>
      <c r="B229" s="105"/>
      <c r="C229" s="90">
        <f t="shared" si="411"/>
        <v>1.0650825359896841</v>
      </c>
      <c r="D229" s="90">
        <f t="shared" si="411"/>
        <v>1.0355757429235752</v>
      </c>
      <c r="E229" s="90">
        <f t="shared" si="411"/>
        <v>1.0342893373557287</v>
      </c>
      <c r="F229" s="90">
        <f t="shared" si="411"/>
        <v>1.0117618984751311</v>
      </c>
      <c r="G229" s="90">
        <f t="shared" si="411"/>
        <v>1.0141576858923631</v>
      </c>
      <c r="H229" s="90">
        <f t="shared" si="411"/>
        <v>1.0128627037058033</v>
      </c>
      <c r="I229" s="90">
        <f t="shared" si="411"/>
        <v>1.0252070578239108</v>
      </c>
      <c r="J229" s="22"/>
      <c r="K229" s="22"/>
      <c r="L229" s="22"/>
      <c r="M229" s="91">
        <f>$A$38</f>
        <v>20152</v>
      </c>
      <c r="N229" s="105"/>
      <c r="O229" s="90" t="str">
        <f t="shared" si="412"/>
        <v/>
      </c>
      <c r="P229" s="90" t="str">
        <f t="shared" si="412"/>
        <v/>
      </c>
      <c r="Q229" s="90" t="str">
        <f t="shared" si="412"/>
        <v/>
      </c>
      <c r="R229" s="90" t="str">
        <f t="shared" si="412"/>
        <v/>
      </c>
      <c r="S229" s="90" t="str">
        <f t="shared" si="412"/>
        <v/>
      </c>
      <c r="T229" s="90" t="str">
        <f t="shared" si="412"/>
        <v/>
      </c>
      <c r="U229" s="90" t="str">
        <f t="shared" si="412"/>
        <v/>
      </c>
      <c r="V229" s="22"/>
      <c r="W229" s="22"/>
      <c r="X229" s="22"/>
      <c r="Y229" s="91">
        <f>$A$38</f>
        <v>20152</v>
      </c>
      <c r="Z229" s="105"/>
      <c r="AA229" s="90" t="str">
        <f t="shared" si="413"/>
        <v/>
      </c>
      <c r="AB229" s="90" t="str">
        <f t="shared" si="413"/>
        <v/>
      </c>
      <c r="AC229" s="90" t="str">
        <f t="shared" si="413"/>
        <v/>
      </c>
      <c r="AD229" s="90" t="str">
        <f t="shared" si="413"/>
        <v/>
      </c>
      <c r="AE229" s="90" t="str">
        <f t="shared" si="413"/>
        <v/>
      </c>
      <c r="AF229" s="90" t="str">
        <f t="shared" si="413"/>
        <v/>
      </c>
      <c r="AG229" s="90" t="str">
        <f t="shared" si="413"/>
        <v/>
      </c>
      <c r="AH229" s="22"/>
      <c r="AI229" s="22"/>
      <c r="AJ229" s="22"/>
      <c r="AK229" s="91">
        <f>$A$38</f>
        <v>20152</v>
      </c>
      <c r="AL229" s="105"/>
      <c r="AM229" s="90" t="str">
        <f t="shared" si="414"/>
        <v/>
      </c>
      <c r="AN229" s="90" t="str">
        <f t="shared" si="414"/>
        <v/>
      </c>
      <c r="AO229" s="90" t="str">
        <f t="shared" si="414"/>
        <v/>
      </c>
      <c r="AP229" s="90" t="str">
        <f t="shared" si="414"/>
        <v/>
      </c>
      <c r="AQ229" s="90" t="str">
        <f t="shared" si="414"/>
        <v/>
      </c>
      <c r="AR229" s="90" t="str">
        <f t="shared" si="414"/>
        <v/>
      </c>
      <c r="AS229" s="90" t="str">
        <f t="shared" si="414"/>
        <v/>
      </c>
      <c r="AT229" s="22"/>
      <c r="AU229" s="22"/>
      <c r="AV229" s="22"/>
      <c r="AW229" s="91">
        <f>$A$38</f>
        <v>20152</v>
      </c>
      <c r="AX229" s="105"/>
      <c r="AY229" s="90" t="str">
        <f t="shared" si="415"/>
        <v/>
      </c>
      <c r="AZ229" s="90" t="str">
        <f t="shared" si="415"/>
        <v/>
      </c>
      <c r="BA229" s="90" t="str">
        <f t="shared" si="415"/>
        <v/>
      </c>
      <c r="BB229" s="90" t="str">
        <f t="shared" si="415"/>
        <v/>
      </c>
      <c r="BC229" s="90" t="str">
        <f t="shared" si="415"/>
        <v/>
      </c>
      <c r="BD229" s="90" t="str">
        <f t="shared" si="415"/>
        <v/>
      </c>
      <c r="BE229" s="90" t="str">
        <f t="shared" si="415"/>
        <v/>
      </c>
      <c r="BF229" s="22"/>
      <c r="BG229" s="22"/>
      <c r="BH229" s="22"/>
      <c r="BI229" s="91">
        <f>$A$38</f>
        <v>20152</v>
      </c>
      <c r="BJ229" s="105"/>
      <c r="BK229" s="90" t="str">
        <f t="shared" si="416"/>
        <v/>
      </c>
      <c r="BL229" s="90" t="str">
        <f t="shared" si="416"/>
        <v/>
      </c>
      <c r="BM229" s="90" t="str">
        <f t="shared" si="416"/>
        <v/>
      </c>
      <c r="BN229" s="90" t="str">
        <f t="shared" si="416"/>
        <v/>
      </c>
      <c r="BO229" s="90" t="str">
        <f t="shared" si="416"/>
        <v/>
      </c>
      <c r="BP229" s="90" t="str">
        <f t="shared" si="416"/>
        <v/>
      </c>
      <c r="BQ229" s="90" t="str">
        <f t="shared" si="416"/>
        <v/>
      </c>
      <c r="BR229" s="22"/>
      <c r="BS229" s="22"/>
      <c r="BT229" s="22"/>
      <c r="BU229" s="91">
        <f>$A$38</f>
        <v>20152</v>
      </c>
      <c r="BV229" s="105"/>
      <c r="BW229" s="90" t="str">
        <f t="shared" si="417"/>
        <v/>
      </c>
      <c r="BX229" s="90" t="str">
        <f t="shared" si="417"/>
        <v/>
      </c>
      <c r="BY229" s="90" t="str">
        <f t="shared" si="417"/>
        <v/>
      </c>
      <c r="BZ229" s="90" t="str">
        <f t="shared" si="417"/>
        <v/>
      </c>
      <c r="CA229" s="90" t="str">
        <f t="shared" si="417"/>
        <v/>
      </c>
      <c r="CB229" s="90" t="str">
        <f t="shared" si="417"/>
        <v/>
      </c>
      <c r="CC229" s="90" t="str">
        <f t="shared" si="417"/>
        <v/>
      </c>
      <c r="CD229" s="22"/>
      <c r="CE229" s="22"/>
      <c r="CF229" s="22"/>
      <c r="CG229" s="91">
        <f>$A$38</f>
        <v>20152</v>
      </c>
      <c r="CH229" s="105"/>
      <c r="CI229" s="90" t="str">
        <f t="shared" si="418"/>
        <v/>
      </c>
      <c r="CJ229" s="90" t="str">
        <f t="shared" si="418"/>
        <v/>
      </c>
      <c r="CK229" s="90" t="str">
        <f t="shared" si="418"/>
        <v/>
      </c>
      <c r="CL229" s="90" t="str">
        <f t="shared" si="418"/>
        <v/>
      </c>
      <c r="CM229" s="90" t="str">
        <f t="shared" si="418"/>
        <v/>
      </c>
      <c r="CN229" s="90" t="str">
        <f t="shared" si="418"/>
        <v/>
      </c>
      <c r="CO229" s="90" t="str">
        <f t="shared" si="418"/>
        <v/>
      </c>
      <c r="CP229" s="22"/>
      <c r="CQ229" s="22"/>
      <c r="CR229" s="22"/>
      <c r="CS229" s="91">
        <f>$A$38</f>
        <v>20152</v>
      </c>
      <c r="CT229" s="105"/>
      <c r="CU229" s="90" t="str">
        <f t="shared" si="419"/>
        <v/>
      </c>
      <c r="CV229" s="90" t="str">
        <f t="shared" si="419"/>
        <v/>
      </c>
      <c r="CW229" s="90" t="str">
        <f t="shared" si="419"/>
        <v/>
      </c>
      <c r="CX229" s="90" t="str">
        <f t="shared" si="419"/>
        <v/>
      </c>
      <c r="CY229" s="90" t="str">
        <f t="shared" si="419"/>
        <v/>
      </c>
      <c r="CZ229" s="90" t="str">
        <f t="shared" si="419"/>
        <v/>
      </c>
      <c r="DA229" s="90" t="str">
        <f t="shared" si="419"/>
        <v/>
      </c>
      <c r="DB229" s="22"/>
      <c r="DC229" s="22"/>
      <c r="DD229" s="22"/>
      <c r="DE229" s="91">
        <f>$A$38</f>
        <v>20152</v>
      </c>
      <c r="DF229" s="105"/>
      <c r="DG229" s="90" t="str">
        <f t="shared" si="420"/>
        <v/>
      </c>
      <c r="DH229" s="90" t="str">
        <f t="shared" si="420"/>
        <v/>
      </c>
      <c r="DI229" s="90" t="str">
        <f t="shared" si="420"/>
        <v/>
      </c>
      <c r="DJ229" s="90" t="str">
        <f t="shared" si="420"/>
        <v/>
      </c>
      <c r="DK229" s="90" t="str">
        <f t="shared" si="420"/>
        <v/>
      </c>
      <c r="DL229" s="90" t="str">
        <f t="shared" si="420"/>
        <v/>
      </c>
      <c r="DM229" s="90" t="str">
        <f t="shared" si="420"/>
        <v/>
      </c>
      <c r="DN229" s="22"/>
      <c r="DO229" s="22"/>
      <c r="DP229" s="22"/>
    </row>
    <row r="230" spans="1:120" x14ac:dyDescent="0.25">
      <c r="A230" s="91">
        <f>$A$39</f>
        <v>20162</v>
      </c>
      <c r="B230" s="105"/>
      <c r="C230" s="90">
        <f t="shared" si="411"/>
        <v>1.0599842153533794</v>
      </c>
      <c r="D230" s="90">
        <f t="shared" si="411"/>
        <v>1.0380110518760246</v>
      </c>
      <c r="E230" s="90">
        <f t="shared" si="411"/>
        <v>1.0271804633737396</v>
      </c>
      <c r="F230" s="90">
        <f t="shared" si="411"/>
        <v>1.0099133026398426</v>
      </c>
      <c r="G230" s="90">
        <f t="shared" si="411"/>
        <v>1.0091930162780949</v>
      </c>
      <c r="H230" s="90">
        <f t="shared" si="411"/>
        <v>1.0052278859226262</v>
      </c>
      <c r="I230" s="22"/>
      <c r="J230" s="22"/>
      <c r="K230" s="22"/>
      <c r="L230" s="22"/>
      <c r="M230" s="91">
        <f>$A$39</f>
        <v>20162</v>
      </c>
      <c r="N230" s="105"/>
      <c r="O230" s="90" t="str">
        <f t="shared" si="412"/>
        <v/>
      </c>
      <c r="P230" s="90" t="str">
        <f t="shared" si="412"/>
        <v/>
      </c>
      <c r="Q230" s="90" t="str">
        <f t="shared" si="412"/>
        <v/>
      </c>
      <c r="R230" s="90" t="str">
        <f t="shared" si="412"/>
        <v/>
      </c>
      <c r="S230" s="90" t="str">
        <f t="shared" si="412"/>
        <v/>
      </c>
      <c r="T230" s="90" t="str">
        <f t="shared" si="412"/>
        <v/>
      </c>
      <c r="U230" s="22"/>
      <c r="V230" s="22"/>
      <c r="W230" s="22"/>
      <c r="X230" s="22"/>
      <c r="Y230" s="91">
        <f>$A$39</f>
        <v>20162</v>
      </c>
      <c r="Z230" s="105"/>
      <c r="AA230" s="90" t="str">
        <f t="shared" si="413"/>
        <v/>
      </c>
      <c r="AB230" s="90" t="str">
        <f t="shared" si="413"/>
        <v/>
      </c>
      <c r="AC230" s="90" t="str">
        <f t="shared" si="413"/>
        <v/>
      </c>
      <c r="AD230" s="90" t="str">
        <f t="shared" si="413"/>
        <v/>
      </c>
      <c r="AE230" s="90" t="str">
        <f t="shared" si="413"/>
        <v/>
      </c>
      <c r="AF230" s="90" t="str">
        <f t="shared" si="413"/>
        <v/>
      </c>
      <c r="AG230" s="22"/>
      <c r="AH230" s="22"/>
      <c r="AI230" s="22"/>
      <c r="AJ230" s="22"/>
      <c r="AK230" s="91">
        <f>$A$39</f>
        <v>20162</v>
      </c>
      <c r="AL230" s="105"/>
      <c r="AM230" s="90" t="str">
        <f t="shared" si="414"/>
        <v/>
      </c>
      <c r="AN230" s="90" t="str">
        <f t="shared" si="414"/>
        <v/>
      </c>
      <c r="AO230" s="90" t="str">
        <f t="shared" si="414"/>
        <v/>
      </c>
      <c r="AP230" s="90" t="str">
        <f t="shared" si="414"/>
        <v/>
      </c>
      <c r="AQ230" s="90" t="str">
        <f t="shared" si="414"/>
        <v/>
      </c>
      <c r="AR230" s="90" t="str">
        <f t="shared" si="414"/>
        <v/>
      </c>
      <c r="AS230" s="22"/>
      <c r="AT230" s="22"/>
      <c r="AU230" s="22"/>
      <c r="AV230" s="22"/>
      <c r="AW230" s="91">
        <f>$A$39</f>
        <v>20162</v>
      </c>
      <c r="AX230" s="105"/>
      <c r="AY230" s="90" t="str">
        <f t="shared" si="415"/>
        <v/>
      </c>
      <c r="AZ230" s="90" t="str">
        <f t="shared" si="415"/>
        <v/>
      </c>
      <c r="BA230" s="90" t="str">
        <f t="shared" si="415"/>
        <v/>
      </c>
      <c r="BB230" s="90" t="str">
        <f t="shared" si="415"/>
        <v/>
      </c>
      <c r="BC230" s="90" t="str">
        <f t="shared" si="415"/>
        <v/>
      </c>
      <c r="BD230" s="90" t="str">
        <f t="shared" si="415"/>
        <v/>
      </c>
      <c r="BE230" s="22"/>
      <c r="BF230" s="22"/>
      <c r="BG230" s="22"/>
      <c r="BH230" s="22"/>
      <c r="BI230" s="91">
        <f>$A$39</f>
        <v>20162</v>
      </c>
      <c r="BJ230" s="105"/>
      <c r="BK230" s="90" t="str">
        <f t="shared" si="416"/>
        <v/>
      </c>
      <c r="BL230" s="90" t="str">
        <f t="shared" si="416"/>
        <v/>
      </c>
      <c r="BM230" s="90" t="str">
        <f t="shared" si="416"/>
        <v/>
      </c>
      <c r="BN230" s="90" t="str">
        <f t="shared" si="416"/>
        <v/>
      </c>
      <c r="BO230" s="90" t="str">
        <f t="shared" si="416"/>
        <v/>
      </c>
      <c r="BP230" s="90" t="str">
        <f t="shared" si="416"/>
        <v/>
      </c>
      <c r="BQ230" s="22"/>
      <c r="BR230" s="22"/>
      <c r="BS230" s="22"/>
      <c r="BT230" s="22"/>
      <c r="BU230" s="91">
        <f>$A$39</f>
        <v>20162</v>
      </c>
      <c r="BV230" s="105"/>
      <c r="BW230" s="90" t="str">
        <f t="shared" si="417"/>
        <v/>
      </c>
      <c r="BX230" s="90" t="str">
        <f t="shared" si="417"/>
        <v/>
      </c>
      <c r="BY230" s="90" t="str">
        <f t="shared" si="417"/>
        <v/>
      </c>
      <c r="BZ230" s="90" t="str">
        <f t="shared" si="417"/>
        <v/>
      </c>
      <c r="CA230" s="90" t="str">
        <f t="shared" si="417"/>
        <v/>
      </c>
      <c r="CB230" s="90" t="str">
        <f t="shared" si="417"/>
        <v/>
      </c>
      <c r="CC230" s="22"/>
      <c r="CD230" s="22"/>
      <c r="CE230" s="22"/>
      <c r="CF230" s="22"/>
      <c r="CG230" s="91">
        <f>$A$39</f>
        <v>20162</v>
      </c>
      <c r="CH230" s="105"/>
      <c r="CI230" s="90" t="str">
        <f t="shared" si="418"/>
        <v/>
      </c>
      <c r="CJ230" s="90" t="str">
        <f t="shared" si="418"/>
        <v/>
      </c>
      <c r="CK230" s="90" t="str">
        <f t="shared" si="418"/>
        <v/>
      </c>
      <c r="CL230" s="90" t="str">
        <f t="shared" si="418"/>
        <v/>
      </c>
      <c r="CM230" s="90" t="str">
        <f t="shared" si="418"/>
        <v/>
      </c>
      <c r="CN230" s="90" t="str">
        <f t="shared" si="418"/>
        <v/>
      </c>
      <c r="CO230" s="22"/>
      <c r="CP230" s="22"/>
      <c r="CQ230" s="22"/>
      <c r="CR230" s="22"/>
      <c r="CS230" s="91">
        <f>$A$39</f>
        <v>20162</v>
      </c>
      <c r="CT230" s="105"/>
      <c r="CU230" s="90" t="str">
        <f t="shared" si="419"/>
        <v/>
      </c>
      <c r="CV230" s="90" t="str">
        <f t="shared" si="419"/>
        <v/>
      </c>
      <c r="CW230" s="90" t="str">
        <f t="shared" si="419"/>
        <v/>
      </c>
      <c r="CX230" s="90" t="str">
        <f t="shared" si="419"/>
        <v/>
      </c>
      <c r="CY230" s="90" t="str">
        <f t="shared" si="419"/>
        <v/>
      </c>
      <c r="CZ230" s="90" t="str">
        <f t="shared" si="419"/>
        <v/>
      </c>
      <c r="DA230" s="22"/>
      <c r="DB230" s="22"/>
      <c r="DC230" s="22"/>
      <c r="DD230" s="22"/>
      <c r="DE230" s="91">
        <f>$A$39</f>
        <v>20162</v>
      </c>
      <c r="DF230" s="105"/>
      <c r="DG230" s="90" t="str">
        <f t="shared" si="420"/>
        <v/>
      </c>
      <c r="DH230" s="90" t="str">
        <f t="shared" si="420"/>
        <v/>
      </c>
      <c r="DI230" s="90" t="str">
        <f t="shared" si="420"/>
        <v/>
      </c>
      <c r="DJ230" s="90" t="str">
        <f t="shared" si="420"/>
        <v/>
      </c>
      <c r="DK230" s="90" t="str">
        <f t="shared" si="420"/>
        <v/>
      </c>
      <c r="DL230" s="90" t="str">
        <f t="shared" si="420"/>
        <v/>
      </c>
      <c r="DM230" s="22"/>
      <c r="DN230" s="22"/>
      <c r="DO230" s="22"/>
      <c r="DP230" s="22"/>
    </row>
    <row r="231" spans="1:120" x14ac:dyDescent="0.25">
      <c r="A231" s="91">
        <f>$A$40</f>
        <v>20172</v>
      </c>
      <c r="B231" s="105"/>
      <c r="C231" s="90">
        <f t="shared" si="411"/>
        <v>1.0998266509716579</v>
      </c>
      <c r="D231" s="90">
        <f t="shared" si="411"/>
        <v>1.0322381716902094</v>
      </c>
      <c r="E231" s="90">
        <f t="shared" si="411"/>
        <v>1.020205341072604</v>
      </c>
      <c r="F231" s="90">
        <f t="shared" si="411"/>
        <v>1.0140749768429176</v>
      </c>
      <c r="G231" s="90">
        <f t="shared" si="411"/>
        <v>1.0202331973404821</v>
      </c>
      <c r="H231" s="22"/>
      <c r="I231" s="22"/>
      <c r="J231" s="22"/>
      <c r="K231" s="22"/>
      <c r="L231" s="22"/>
      <c r="M231" s="91">
        <f>$A$40</f>
        <v>20172</v>
      </c>
      <c r="N231" s="105"/>
      <c r="O231" s="90" t="str">
        <f t="shared" si="412"/>
        <v/>
      </c>
      <c r="P231" s="90" t="str">
        <f t="shared" si="412"/>
        <v/>
      </c>
      <c r="Q231" s="90" t="str">
        <f t="shared" si="412"/>
        <v/>
      </c>
      <c r="R231" s="90" t="str">
        <f t="shared" si="412"/>
        <v/>
      </c>
      <c r="S231" s="90" t="str">
        <f t="shared" si="412"/>
        <v/>
      </c>
      <c r="T231" s="22"/>
      <c r="U231" s="22"/>
      <c r="V231" s="22"/>
      <c r="W231" s="22"/>
      <c r="X231" s="22"/>
      <c r="Y231" s="91">
        <f>$A$40</f>
        <v>20172</v>
      </c>
      <c r="Z231" s="105"/>
      <c r="AA231" s="90" t="str">
        <f t="shared" si="413"/>
        <v/>
      </c>
      <c r="AB231" s="90" t="str">
        <f t="shared" si="413"/>
        <v/>
      </c>
      <c r="AC231" s="90" t="str">
        <f t="shared" si="413"/>
        <v/>
      </c>
      <c r="AD231" s="90" t="str">
        <f t="shared" si="413"/>
        <v/>
      </c>
      <c r="AE231" s="90" t="str">
        <f t="shared" si="413"/>
        <v/>
      </c>
      <c r="AF231" s="22"/>
      <c r="AG231" s="22"/>
      <c r="AH231" s="22"/>
      <c r="AI231" s="22"/>
      <c r="AJ231" s="22"/>
      <c r="AK231" s="91">
        <f>$A$40</f>
        <v>20172</v>
      </c>
      <c r="AL231" s="105"/>
      <c r="AM231" s="90" t="str">
        <f t="shared" si="414"/>
        <v/>
      </c>
      <c r="AN231" s="90" t="str">
        <f t="shared" si="414"/>
        <v/>
      </c>
      <c r="AO231" s="90" t="str">
        <f t="shared" si="414"/>
        <v/>
      </c>
      <c r="AP231" s="90" t="str">
        <f t="shared" si="414"/>
        <v/>
      </c>
      <c r="AQ231" s="90" t="str">
        <f t="shared" si="414"/>
        <v/>
      </c>
      <c r="AR231" s="22"/>
      <c r="AS231" s="22"/>
      <c r="AT231" s="22"/>
      <c r="AU231" s="22"/>
      <c r="AV231" s="22"/>
      <c r="AW231" s="91">
        <f>$A$40</f>
        <v>20172</v>
      </c>
      <c r="AX231" s="105"/>
      <c r="AY231" s="90" t="str">
        <f t="shared" si="415"/>
        <v/>
      </c>
      <c r="AZ231" s="90" t="str">
        <f t="shared" si="415"/>
        <v/>
      </c>
      <c r="BA231" s="90" t="str">
        <f t="shared" si="415"/>
        <v/>
      </c>
      <c r="BB231" s="90" t="str">
        <f t="shared" si="415"/>
        <v/>
      </c>
      <c r="BC231" s="90" t="str">
        <f t="shared" si="415"/>
        <v/>
      </c>
      <c r="BD231" s="22"/>
      <c r="BE231" s="22"/>
      <c r="BF231" s="22"/>
      <c r="BG231" s="22"/>
      <c r="BH231" s="22"/>
      <c r="BI231" s="91">
        <f>$A$40</f>
        <v>20172</v>
      </c>
      <c r="BJ231" s="105"/>
      <c r="BK231" s="90" t="str">
        <f t="shared" si="416"/>
        <v/>
      </c>
      <c r="BL231" s="90" t="str">
        <f t="shared" si="416"/>
        <v/>
      </c>
      <c r="BM231" s="90" t="str">
        <f t="shared" si="416"/>
        <v/>
      </c>
      <c r="BN231" s="90" t="str">
        <f t="shared" si="416"/>
        <v/>
      </c>
      <c r="BO231" s="90" t="str">
        <f t="shared" si="416"/>
        <v/>
      </c>
      <c r="BP231" s="22"/>
      <c r="BQ231" s="22"/>
      <c r="BR231" s="22"/>
      <c r="BS231" s="22"/>
      <c r="BT231" s="22"/>
      <c r="BU231" s="91">
        <f>$A$40</f>
        <v>20172</v>
      </c>
      <c r="BV231" s="105"/>
      <c r="BW231" s="90" t="str">
        <f t="shared" si="417"/>
        <v/>
      </c>
      <c r="BX231" s="90" t="str">
        <f t="shared" si="417"/>
        <v/>
      </c>
      <c r="BY231" s="90" t="str">
        <f t="shared" si="417"/>
        <v/>
      </c>
      <c r="BZ231" s="90" t="str">
        <f t="shared" si="417"/>
        <v/>
      </c>
      <c r="CA231" s="90" t="str">
        <f t="shared" si="417"/>
        <v/>
      </c>
      <c r="CB231" s="22"/>
      <c r="CC231" s="22"/>
      <c r="CD231" s="22"/>
      <c r="CE231" s="22"/>
      <c r="CF231" s="22"/>
      <c r="CG231" s="91">
        <f>$A$40</f>
        <v>20172</v>
      </c>
      <c r="CH231" s="105"/>
      <c r="CI231" s="90" t="str">
        <f t="shared" si="418"/>
        <v/>
      </c>
      <c r="CJ231" s="90" t="str">
        <f t="shared" si="418"/>
        <v/>
      </c>
      <c r="CK231" s="90" t="str">
        <f t="shared" si="418"/>
        <v/>
      </c>
      <c r="CL231" s="90" t="str">
        <f t="shared" si="418"/>
        <v/>
      </c>
      <c r="CM231" s="90" t="str">
        <f t="shared" si="418"/>
        <v/>
      </c>
      <c r="CN231" s="22"/>
      <c r="CO231" s="22"/>
      <c r="CP231" s="22"/>
      <c r="CQ231" s="22"/>
      <c r="CR231" s="22"/>
      <c r="CS231" s="91">
        <f>$A$40</f>
        <v>20172</v>
      </c>
      <c r="CT231" s="105"/>
      <c r="CU231" s="90" t="str">
        <f t="shared" si="419"/>
        <v/>
      </c>
      <c r="CV231" s="90" t="str">
        <f t="shared" si="419"/>
        <v/>
      </c>
      <c r="CW231" s="90" t="str">
        <f t="shared" si="419"/>
        <v/>
      </c>
      <c r="CX231" s="90" t="str">
        <f t="shared" si="419"/>
        <v/>
      </c>
      <c r="CY231" s="90" t="str">
        <f t="shared" si="419"/>
        <v/>
      </c>
      <c r="CZ231" s="22"/>
      <c r="DA231" s="22"/>
      <c r="DB231" s="22"/>
      <c r="DC231" s="22"/>
      <c r="DD231" s="22"/>
      <c r="DE231" s="91">
        <f>$A$40</f>
        <v>20172</v>
      </c>
      <c r="DF231" s="105"/>
      <c r="DG231" s="90" t="str">
        <f t="shared" si="420"/>
        <v/>
      </c>
      <c r="DH231" s="90" t="str">
        <f t="shared" si="420"/>
        <v/>
      </c>
      <c r="DI231" s="90" t="str">
        <f t="shared" si="420"/>
        <v/>
      </c>
      <c r="DJ231" s="90" t="str">
        <f t="shared" si="420"/>
        <v/>
      </c>
      <c r="DK231" s="90" t="str">
        <f t="shared" si="420"/>
        <v/>
      </c>
      <c r="DL231" s="22"/>
      <c r="DM231" s="22"/>
      <c r="DN231" s="22"/>
      <c r="DO231" s="22"/>
      <c r="DP231" s="22"/>
    </row>
    <row r="232" spans="1:120" x14ac:dyDescent="0.25">
      <c r="A232" s="91">
        <f>$A$41</f>
        <v>20182</v>
      </c>
      <c r="B232" s="105"/>
      <c r="C232" s="90">
        <f t="shared" si="411"/>
        <v>1.1338102360646214</v>
      </c>
      <c r="D232" s="90">
        <f t="shared" si="411"/>
        <v>1.0275450000351449</v>
      </c>
      <c r="E232" s="90">
        <f t="shared" si="411"/>
        <v>1.0394262284705553</v>
      </c>
      <c r="F232" s="90">
        <f t="shared" si="411"/>
        <v>1.0237197332422923</v>
      </c>
      <c r="G232" s="22"/>
      <c r="H232" s="22"/>
      <c r="I232" s="22"/>
      <c r="J232" s="22"/>
      <c r="K232" s="22"/>
      <c r="L232" s="22"/>
      <c r="M232" s="91">
        <f>$A$41</f>
        <v>20182</v>
      </c>
      <c r="N232" s="105"/>
      <c r="O232" s="90" t="str">
        <f t="shared" si="412"/>
        <v/>
      </c>
      <c r="P232" s="90" t="str">
        <f t="shared" si="412"/>
        <v/>
      </c>
      <c r="Q232" s="90" t="str">
        <f t="shared" si="412"/>
        <v/>
      </c>
      <c r="R232" s="90" t="str">
        <f t="shared" si="412"/>
        <v/>
      </c>
      <c r="S232" s="22"/>
      <c r="T232" s="22"/>
      <c r="U232" s="22"/>
      <c r="V232" s="22"/>
      <c r="W232" s="22"/>
      <c r="X232" s="22"/>
      <c r="Y232" s="91">
        <f>$A$41</f>
        <v>20182</v>
      </c>
      <c r="Z232" s="105"/>
      <c r="AA232" s="90" t="str">
        <f t="shared" si="413"/>
        <v/>
      </c>
      <c r="AB232" s="90" t="str">
        <f t="shared" si="413"/>
        <v/>
      </c>
      <c r="AC232" s="90" t="str">
        <f t="shared" si="413"/>
        <v/>
      </c>
      <c r="AD232" s="90" t="str">
        <f t="shared" si="413"/>
        <v/>
      </c>
      <c r="AE232" s="22"/>
      <c r="AF232" s="22"/>
      <c r="AG232" s="22"/>
      <c r="AH232" s="22"/>
      <c r="AI232" s="22"/>
      <c r="AJ232" s="22"/>
      <c r="AK232" s="91">
        <f>$A$41</f>
        <v>20182</v>
      </c>
      <c r="AL232" s="105"/>
      <c r="AM232" s="90" t="str">
        <f t="shared" si="414"/>
        <v/>
      </c>
      <c r="AN232" s="90" t="str">
        <f t="shared" si="414"/>
        <v/>
      </c>
      <c r="AO232" s="90" t="str">
        <f t="shared" si="414"/>
        <v/>
      </c>
      <c r="AP232" s="90" t="str">
        <f t="shared" si="414"/>
        <v/>
      </c>
      <c r="AQ232" s="22"/>
      <c r="AR232" s="22"/>
      <c r="AS232" s="22"/>
      <c r="AT232" s="22"/>
      <c r="AU232" s="22"/>
      <c r="AV232" s="22"/>
      <c r="AW232" s="91">
        <f>$A$41</f>
        <v>20182</v>
      </c>
      <c r="AX232" s="105"/>
      <c r="AY232" s="90" t="str">
        <f t="shared" si="415"/>
        <v/>
      </c>
      <c r="AZ232" s="90" t="str">
        <f t="shared" si="415"/>
        <v/>
      </c>
      <c r="BA232" s="90" t="str">
        <f t="shared" si="415"/>
        <v/>
      </c>
      <c r="BB232" s="90" t="str">
        <f t="shared" si="415"/>
        <v/>
      </c>
      <c r="BC232" s="22"/>
      <c r="BD232" s="22"/>
      <c r="BE232" s="22"/>
      <c r="BF232" s="22"/>
      <c r="BG232" s="22"/>
      <c r="BH232" s="22"/>
      <c r="BI232" s="91">
        <f>$A$41</f>
        <v>20182</v>
      </c>
      <c r="BJ232" s="105"/>
      <c r="BK232" s="90" t="str">
        <f t="shared" si="416"/>
        <v/>
      </c>
      <c r="BL232" s="90" t="str">
        <f t="shared" si="416"/>
        <v/>
      </c>
      <c r="BM232" s="90" t="str">
        <f t="shared" si="416"/>
        <v/>
      </c>
      <c r="BN232" s="90" t="str">
        <f t="shared" si="416"/>
        <v/>
      </c>
      <c r="BO232" s="22"/>
      <c r="BP232" s="22"/>
      <c r="BQ232" s="22"/>
      <c r="BR232" s="22"/>
      <c r="BS232" s="22"/>
      <c r="BT232" s="22"/>
      <c r="BU232" s="91">
        <f>$A$41</f>
        <v>20182</v>
      </c>
      <c r="BV232" s="105"/>
      <c r="BW232" s="90" t="str">
        <f t="shared" si="417"/>
        <v/>
      </c>
      <c r="BX232" s="90" t="str">
        <f t="shared" si="417"/>
        <v/>
      </c>
      <c r="BY232" s="90" t="str">
        <f t="shared" si="417"/>
        <v/>
      </c>
      <c r="BZ232" s="90" t="str">
        <f t="shared" si="417"/>
        <v/>
      </c>
      <c r="CA232" s="22"/>
      <c r="CB232" s="22"/>
      <c r="CC232" s="22"/>
      <c r="CD232" s="22"/>
      <c r="CE232" s="22"/>
      <c r="CF232" s="22"/>
      <c r="CG232" s="91">
        <f>$A$41</f>
        <v>20182</v>
      </c>
      <c r="CH232" s="105"/>
      <c r="CI232" s="90" t="str">
        <f t="shared" si="418"/>
        <v/>
      </c>
      <c r="CJ232" s="90" t="str">
        <f t="shared" si="418"/>
        <v/>
      </c>
      <c r="CK232" s="90" t="str">
        <f t="shared" si="418"/>
        <v/>
      </c>
      <c r="CL232" s="90" t="str">
        <f t="shared" si="418"/>
        <v/>
      </c>
      <c r="CM232" s="22"/>
      <c r="CN232" s="22"/>
      <c r="CO232" s="22"/>
      <c r="CP232" s="22"/>
      <c r="CQ232" s="22"/>
      <c r="CR232" s="22"/>
      <c r="CS232" s="91">
        <f>$A$41</f>
        <v>20182</v>
      </c>
      <c r="CT232" s="105"/>
      <c r="CU232" s="90" t="str">
        <f t="shared" si="419"/>
        <v/>
      </c>
      <c r="CV232" s="90" t="str">
        <f t="shared" si="419"/>
        <v/>
      </c>
      <c r="CW232" s="90" t="str">
        <f t="shared" si="419"/>
        <v/>
      </c>
      <c r="CX232" s="90" t="str">
        <f t="shared" si="419"/>
        <v/>
      </c>
      <c r="CY232" s="22"/>
      <c r="CZ232" s="22"/>
      <c r="DA232" s="22"/>
      <c r="DB232" s="22"/>
      <c r="DC232" s="22"/>
      <c r="DD232" s="22"/>
      <c r="DE232" s="91">
        <f>$A$41</f>
        <v>20182</v>
      </c>
      <c r="DF232" s="105"/>
      <c r="DG232" s="90" t="str">
        <f t="shared" si="420"/>
        <v/>
      </c>
      <c r="DH232" s="90" t="str">
        <f t="shared" si="420"/>
        <v/>
      </c>
      <c r="DI232" s="90" t="str">
        <f t="shared" si="420"/>
        <v/>
      </c>
      <c r="DJ232" s="90" t="str">
        <f t="shared" si="420"/>
        <v/>
      </c>
      <c r="DK232" s="22"/>
      <c r="DL232" s="22"/>
      <c r="DM232" s="22"/>
      <c r="DN232" s="22"/>
      <c r="DO232" s="22"/>
      <c r="DP232" s="22"/>
    </row>
    <row r="233" spans="1:120" x14ac:dyDescent="0.25">
      <c r="A233" s="91">
        <f>$A$42</f>
        <v>20192</v>
      </c>
      <c r="B233" s="105"/>
      <c r="C233" s="90">
        <f t="shared" si="411"/>
        <v>1.1494372451322661</v>
      </c>
      <c r="D233" s="90">
        <f t="shared" si="411"/>
        <v>1.0664115848238112</v>
      </c>
      <c r="E233" s="90">
        <f t="shared" si="411"/>
        <v>1.0436721114247816</v>
      </c>
      <c r="F233" s="22"/>
      <c r="G233" s="22"/>
      <c r="H233" s="22"/>
      <c r="I233" s="22"/>
      <c r="J233" s="22"/>
      <c r="K233" s="22"/>
      <c r="L233" s="22"/>
      <c r="M233" s="91">
        <f>$A$42</f>
        <v>20192</v>
      </c>
      <c r="N233" s="105"/>
      <c r="O233" s="90" t="str">
        <f t="shared" si="412"/>
        <v/>
      </c>
      <c r="P233" s="90" t="str">
        <f t="shared" si="412"/>
        <v/>
      </c>
      <c r="Q233" s="90" t="str">
        <f t="shared" si="412"/>
        <v/>
      </c>
      <c r="R233" s="22"/>
      <c r="S233" s="22"/>
      <c r="T233" s="22"/>
      <c r="U233" s="22"/>
      <c r="V233" s="22"/>
      <c r="W233" s="22"/>
      <c r="X233" s="22"/>
      <c r="Y233" s="91">
        <f>$A$42</f>
        <v>20192</v>
      </c>
      <c r="Z233" s="105"/>
      <c r="AA233" s="90" t="str">
        <f t="shared" si="413"/>
        <v/>
      </c>
      <c r="AB233" s="90" t="str">
        <f t="shared" si="413"/>
        <v/>
      </c>
      <c r="AC233" s="90" t="str">
        <f t="shared" si="413"/>
        <v/>
      </c>
      <c r="AD233" s="22"/>
      <c r="AE233" s="22"/>
      <c r="AF233" s="22"/>
      <c r="AG233" s="22"/>
      <c r="AH233" s="22"/>
      <c r="AI233" s="22"/>
      <c r="AJ233" s="22"/>
      <c r="AK233" s="91">
        <f>$A$42</f>
        <v>20192</v>
      </c>
      <c r="AL233" s="105"/>
      <c r="AM233" s="90" t="str">
        <f t="shared" si="414"/>
        <v/>
      </c>
      <c r="AN233" s="90" t="str">
        <f t="shared" si="414"/>
        <v/>
      </c>
      <c r="AO233" s="90" t="str">
        <f t="shared" si="414"/>
        <v/>
      </c>
      <c r="AP233" s="22"/>
      <c r="AQ233" s="22"/>
      <c r="AR233" s="22"/>
      <c r="AS233" s="22"/>
      <c r="AT233" s="22"/>
      <c r="AU233" s="22"/>
      <c r="AV233" s="22"/>
      <c r="AW233" s="91">
        <f>$A$42</f>
        <v>20192</v>
      </c>
      <c r="AX233" s="105"/>
      <c r="AY233" s="90" t="str">
        <f t="shared" si="415"/>
        <v/>
      </c>
      <c r="AZ233" s="90" t="str">
        <f t="shared" si="415"/>
        <v/>
      </c>
      <c r="BA233" s="90" t="str">
        <f t="shared" si="415"/>
        <v/>
      </c>
      <c r="BB233" s="22"/>
      <c r="BC233" s="22"/>
      <c r="BD233" s="22"/>
      <c r="BE233" s="22"/>
      <c r="BF233" s="22"/>
      <c r="BG233" s="22"/>
      <c r="BH233" s="22"/>
      <c r="BI233" s="91">
        <f>$A$42</f>
        <v>20192</v>
      </c>
      <c r="BJ233" s="105"/>
      <c r="BK233" s="90" t="str">
        <f t="shared" si="416"/>
        <v/>
      </c>
      <c r="BL233" s="90" t="str">
        <f t="shared" si="416"/>
        <v/>
      </c>
      <c r="BM233" s="90" t="str">
        <f t="shared" si="416"/>
        <v/>
      </c>
      <c r="BN233" s="22"/>
      <c r="BO233" s="22"/>
      <c r="BP233" s="22"/>
      <c r="BQ233" s="22"/>
      <c r="BR233" s="22"/>
      <c r="BS233" s="22"/>
      <c r="BT233" s="22"/>
      <c r="BU233" s="91">
        <f>$A$42</f>
        <v>20192</v>
      </c>
      <c r="BV233" s="105"/>
      <c r="BW233" s="90" t="str">
        <f t="shared" si="417"/>
        <v/>
      </c>
      <c r="BX233" s="90" t="str">
        <f t="shared" si="417"/>
        <v/>
      </c>
      <c r="BY233" s="90" t="str">
        <f t="shared" si="417"/>
        <v/>
      </c>
      <c r="BZ233" s="22"/>
      <c r="CA233" s="22"/>
      <c r="CB233" s="22"/>
      <c r="CC233" s="22"/>
      <c r="CD233" s="22"/>
      <c r="CE233" s="22"/>
      <c r="CF233" s="22"/>
      <c r="CG233" s="91">
        <f>$A$42</f>
        <v>20192</v>
      </c>
      <c r="CH233" s="105"/>
      <c r="CI233" s="90" t="str">
        <f t="shared" si="418"/>
        <v/>
      </c>
      <c r="CJ233" s="90" t="str">
        <f t="shared" si="418"/>
        <v/>
      </c>
      <c r="CK233" s="90" t="str">
        <f t="shared" si="418"/>
        <v/>
      </c>
      <c r="CL233" s="22"/>
      <c r="CM233" s="22"/>
      <c r="CN233" s="22"/>
      <c r="CO233" s="22"/>
      <c r="CP233" s="22"/>
      <c r="CQ233" s="22"/>
      <c r="CR233" s="22"/>
      <c r="CS233" s="91">
        <f>$A$42</f>
        <v>20192</v>
      </c>
      <c r="CT233" s="105"/>
      <c r="CU233" s="90" t="str">
        <f t="shared" si="419"/>
        <v/>
      </c>
      <c r="CV233" s="90" t="str">
        <f t="shared" si="419"/>
        <v/>
      </c>
      <c r="CW233" s="90" t="str">
        <f t="shared" si="419"/>
        <v/>
      </c>
      <c r="CX233" s="22"/>
      <c r="CY233" s="22"/>
      <c r="CZ233" s="22"/>
      <c r="DA233" s="22"/>
      <c r="DB233" s="22"/>
      <c r="DC233" s="22"/>
      <c r="DD233" s="22"/>
      <c r="DE233" s="91">
        <f>$A$42</f>
        <v>20192</v>
      </c>
      <c r="DF233" s="105"/>
      <c r="DG233" s="90" t="str">
        <f t="shared" si="420"/>
        <v/>
      </c>
      <c r="DH233" s="90" t="str">
        <f t="shared" si="420"/>
        <v/>
      </c>
      <c r="DI233" s="90" t="str">
        <f t="shared" si="420"/>
        <v/>
      </c>
      <c r="DJ233" s="22"/>
      <c r="DK233" s="22"/>
      <c r="DL233" s="22"/>
      <c r="DM233" s="22"/>
      <c r="DN233" s="22"/>
      <c r="DO233" s="22"/>
      <c r="DP233" s="22"/>
    </row>
    <row r="234" spans="1:120" x14ac:dyDescent="0.25">
      <c r="A234" s="91">
        <f>$A$43</f>
        <v>20202</v>
      </c>
      <c r="B234" s="105"/>
      <c r="C234" s="90">
        <f t="shared" si="411"/>
        <v>1.136676370669609</v>
      </c>
      <c r="D234" s="90">
        <f t="shared" si="411"/>
        <v>1.0869522389591519</v>
      </c>
      <c r="E234" s="22"/>
      <c r="F234" s="22"/>
      <c r="G234" s="22"/>
      <c r="H234" s="22"/>
      <c r="I234" s="22"/>
      <c r="J234" s="22"/>
      <c r="K234" s="22"/>
      <c r="L234" s="22"/>
      <c r="M234" s="91">
        <f>$A$43</f>
        <v>20202</v>
      </c>
      <c r="N234" s="105"/>
      <c r="O234" s="90" t="str">
        <f t="shared" si="412"/>
        <v/>
      </c>
      <c r="P234" s="90" t="str">
        <f t="shared" si="412"/>
        <v/>
      </c>
      <c r="Q234" s="22"/>
      <c r="R234" s="22"/>
      <c r="S234" s="22"/>
      <c r="T234" s="22"/>
      <c r="U234" s="22"/>
      <c r="V234" s="22"/>
      <c r="W234" s="22"/>
      <c r="X234" s="22"/>
      <c r="Y234" s="91">
        <f>$A$43</f>
        <v>20202</v>
      </c>
      <c r="Z234" s="105"/>
      <c r="AA234" s="90" t="str">
        <f t="shared" si="413"/>
        <v/>
      </c>
      <c r="AB234" s="90" t="str">
        <f t="shared" si="413"/>
        <v/>
      </c>
      <c r="AC234" s="22"/>
      <c r="AD234" s="22"/>
      <c r="AE234" s="22"/>
      <c r="AF234" s="22"/>
      <c r="AG234" s="22"/>
      <c r="AH234" s="22"/>
      <c r="AI234" s="22"/>
      <c r="AJ234" s="22"/>
      <c r="AK234" s="91">
        <f>$A$43</f>
        <v>20202</v>
      </c>
      <c r="AL234" s="105"/>
      <c r="AM234" s="90" t="str">
        <f t="shared" si="414"/>
        <v/>
      </c>
      <c r="AN234" s="90" t="str">
        <f t="shared" si="414"/>
        <v/>
      </c>
      <c r="AO234" s="22"/>
      <c r="AP234" s="22"/>
      <c r="AQ234" s="22"/>
      <c r="AR234" s="22"/>
      <c r="AS234" s="22"/>
      <c r="AT234" s="22"/>
      <c r="AU234" s="22"/>
      <c r="AV234" s="22"/>
      <c r="AW234" s="91">
        <f>$A$43</f>
        <v>20202</v>
      </c>
      <c r="AX234" s="105"/>
      <c r="AY234" s="90" t="str">
        <f t="shared" si="415"/>
        <v/>
      </c>
      <c r="AZ234" s="90" t="str">
        <f t="shared" si="415"/>
        <v/>
      </c>
      <c r="BA234" s="22"/>
      <c r="BB234" s="22"/>
      <c r="BC234" s="22"/>
      <c r="BD234" s="22"/>
      <c r="BE234" s="22"/>
      <c r="BF234" s="22"/>
      <c r="BG234" s="22"/>
      <c r="BH234" s="22"/>
      <c r="BI234" s="91">
        <f>$A$43</f>
        <v>20202</v>
      </c>
      <c r="BJ234" s="105"/>
      <c r="BK234" s="90" t="str">
        <f t="shared" si="416"/>
        <v/>
      </c>
      <c r="BL234" s="90" t="str">
        <f t="shared" si="416"/>
        <v/>
      </c>
      <c r="BM234" s="22"/>
      <c r="BN234" s="22"/>
      <c r="BO234" s="22"/>
      <c r="BP234" s="22"/>
      <c r="BQ234" s="22"/>
      <c r="BR234" s="22"/>
      <c r="BS234" s="22"/>
      <c r="BT234" s="22"/>
      <c r="BU234" s="91">
        <f>$A$43</f>
        <v>20202</v>
      </c>
      <c r="BV234" s="105"/>
      <c r="BW234" s="90" t="str">
        <f t="shared" si="417"/>
        <v/>
      </c>
      <c r="BX234" s="90" t="str">
        <f t="shared" si="417"/>
        <v/>
      </c>
      <c r="BY234" s="22"/>
      <c r="BZ234" s="22"/>
      <c r="CA234" s="22"/>
      <c r="CB234" s="22"/>
      <c r="CC234" s="22"/>
      <c r="CD234" s="22"/>
      <c r="CE234" s="22"/>
      <c r="CF234" s="22"/>
      <c r="CG234" s="91">
        <f>$A$43</f>
        <v>20202</v>
      </c>
      <c r="CH234" s="105"/>
      <c r="CI234" s="90" t="str">
        <f t="shared" si="418"/>
        <v/>
      </c>
      <c r="CJ234" s="90" t="str">
        <f t="shared" si="418"/>
        <v/>
      </c>
      <c r="CK234" s="22"/>
      <c r="CL234" s="22"/>
      <c r="CM234" s="22"/>
      <c r="CN234" s="22"/>
      <c r="CO234" s="22"/>
      <c r="CP234" s="22"/>
      <c r="CQ234" s="22"/>
      <c r="CR234" s="22"/>
      <c r="CS234" s="91">
        <f>$A$43</f>
        <v>20202</v>
      </c>
      <c r="CT234" s="105"/>
      <c r="CU234" s="90" t="str">
        <f t="shared" si="419"/>
        <v/>
      </c>
      <c r="CV234" s="90" t="str">
        <f t="shared" si="419"/>
        <v/>
      </c>
      <c r="CW234" s="22"/>
      <c r="CX234" s="22"/>
      <c r="CY234" s="22"/>
      <c r="CZ234" s="22"/>
      <c r="DA234" s="22"/>
      <c r="DB234" s="22"/>
      <c r="DC234" s="22"/>
      <c r="DD234" s="22"/>
      <c r="DE234" s="91">
        <f>$A$43</f>
        <v>20202</v>
      </c>
      <c r="DF234" s="105"/>
      <c r="DG234" s="90" t="str">
        <f t="shared" si="420"/>
        <v/>
      </c>
      <c r="DH234" s="90" t="str">
        <f t="shared" si="420"/>
        <v/>
      </c>
      <c r="DI234" s="22"/>
      <c r="DJ234" s="22"/>
      <c r="DK234" s="22"/>
      <c r="DL234" s="22"/>
      <c r="DM234" s="22"/>
      <c r="DN234" s="22"/>
      <c r="DO234" s="22"/>
      <c r="DP234" s="22"/>
    </row>
    <row r="235" spans="1:120" x14ac:dyDescent="0.25">
      <c r="A235" s="91">
        <f>$A$44</f>
        <v>20212</v>
      </c>
      <c r="B235" s="105"/>
      <c r="C235" s="90">
        <f t="shared" si="411"/>
        <v>1.1992315315158686</v>
      </c>
      <c r="D235" s="22"/>
      <c r="E235" s="22"/>
      <c r="F235" s="22"/>
      <c r="G235" s="22"/>
      <c r="H235" s="22"/>
      <c r="I235" s="22"/>
      <c r="J235" s="22"/>
      <c r="K235" s="22"/>
      <c r="L235" s="22"/>
      <c r="M235" s="91">
        <f>$A$44</f>
        <v>20212</v>
      </c>
      <c r="N235" s="105"/>
      <c r="O235" s="90" t="str">
        <f t="shared" si="412"/>
        <v/>
      </c>
      <c r="P235" s="22"/>
      <c r="Q235" s="22"/>
      <c r="R235" s="22"/>
      <c r="S235" s="22"/>
      <c r="T235" s="22"/>
      <c r="U235" s="22"/>
      <c r="V235" s="22"/>
      <c r="W235" s="22"/>
      <c r="X235" s="22"/>
      <c r="Y235" s="91">
        <f>$A$44</f>
        <v>20212</v>
      </c>
      <c r="Z235" s="105"/>
      <c r="AA235" s="90" t="str">
        <f t="shared" si="413"/>
        <v/>
      </c>
      <c r="AB235" s="22"/>
      <c r="AC235" s="22"/>
      <c r="AD235" s="22"/>
      <c r="AE235" s="22"/>
      <c r="AF235" s="22"/>
      <c r="AG235" s="22"/>
      <c r="AH235" s="22"/>
      <c r="AI235" s="22"/>
      <c r="AJ235" s="22"/>
      <c r="AK235" s="91">
        <f>$A$44</f>
        <v>20212</v>
      </c>
      <c r="AL235" s="105"/>
      <c r="AM235" s="90" t="str">
        <f t="shared" si="414"/>
        <v/>
      </c>
      <c r="AN235" s="22"/>
      <c r="AO235" s="22"/>
      <c r="AP235" s="22"/>
      <c r="AQ235" s="22"/>
      <c r="AR235" s="22"/>
      <c r="AS235" s="22"/>
      <c r="AT235" s="22"/>
      <c r="AU235" s="22"/>
      <c r="AV235" s="22"/>
      <c r="AW235" s="91">
        <f>$A$44</f>
        <v>20212</v>
      </c>
      <c r="AX235" s="105"/>
      <c r="AY235" s="90" t="str">
        <f t="shared" si="415"/>
        <v/>
      </c>
      <c r="AZ235" s="22"/>
      <c r="BA235" s="22"/>
      <c r="BB235" s="22"/>
      <c r="BC235" s="22"/>
      <c r="BD235" s="22"/>
      <c r="BE235" s="22"/>
      <c r="BF235" s="22"/>
      <c r="BG235" s="22"/>
      <c r="BH235" s="22"/>
      <c r="BI235" s="91">
        <f>$A$44</f>
        <v>20212</v>
      </c>
      <c r="BJ235" s="105"/>
      <c r="BK235" s="90" t="str">
        <f t="shared" si="416"/>
        <v/>
      </c>
      <c r="BL235" s="22"/>
      <c r="BM235" s="22"/>
      <c r="BN235" s="22"/>
      <c r="BO235" s="22"/>
      <c r="BP235" s="22"/>
      <c r="BQ235" s="22"/>
      <c r="BR235" s="22"/>
      <c r="BS235" s="22"/>
      <c r="BT235" s="22"/>
      <c r="BU235" s="91">
        <f>$A$44</f>
        <v>20212</v>
      </c>
      <c r="BV235" s="105"/>
      <c r="BW235" s="90" t="str">
        <f t="shared" si="417"/>
        <v/>
      </c>
      <c r="BX235" s="22"/>
      <c r="BY235" s="22"/>
      <c r="BZ235" s="22"/>
      <c r="CA235" s="22"/>
      <c r="CB235" s="22"/>
      <c r="CC235" s="22"/>
      <c r="CD235" s="22"/>
      <c r="CE235" s="22"/>
      <c r="CF235" s="22"/>
      <c r="CG235" s="91">
        <f>$A$44</f>
        <v>20212</v>
      </c>
      <c r="CH235" s="105"/>
      <c r="CI235" s="90" t="str">
        <f t="shared" si="418"/>
        <v/>
      </c>
      <c r="CJ235" s="22"/>
      <c r="CK235" s="22"/>
      <c r="CL235" s="22"/>
      <c r="CM235" s="22"/>
      <c r="CN235" s="22"/>
      <c r="CO235" s="22"/>
      <c r="CP235" s="22"/>
      <c r="CQ235" s="22"/>
      <c r="CR235" s="22"/>
      <c r="CS235" s="91">
        <f>$A$44</f>
        <v>20212</v>
      </c>
      <c r="CT235" s="105"/>
      <c r="CU235" s="90" t="str">
        <f t="shared" si="419"/>
        <v/>
      </c>
      <c r="CV235" s="22"/>
      <c r="CW235" s="22"/>
      <c r="CX235" s="22"/>
      <c r="CY235" s="22"/>
      <c r="CZ235" s="22"/>
      <c r="DA235" s="22"/>
      <c r="DB235" s="22"/>
      <c r="DC235" s="22"/>
      <c r="DD235" s="22"/>
      <c r="DE235" s="91">
        <f>$A$44</f>
        <v>20212</v>
      </c>
      <c r="DF235" s="105"/>
      <c r="DG235" s="90" t="str">
        <f t="shared" si="420"/>
        <v/>
      </c>
      <c r="DH235" s="22"/>
      <c r="DI235" s="22"/>
      <c r="DJ235" s="22"/>
      <c r="DK235" s="22"/>
      <c r="DL235" s="22"/>
      <c r="DM235" s="22"/>
      <c r="DN235" s="22"/>
      <c r="DO235" s="22"/>
      <c r="DP235" s="22"/>
    </row>
    <row r="236" spans="1:120" x14ac:dyDescent="0.25">
      <c r="A236" s="108"/>
      <c r="B236" s="108"/>
      <c r="C236" s="108"/>
      <c r="D236" s="108"/>
      <c r="E236" s="108"/>
      <c r="F236" s="108"/>
      <c r="G236" s="108"/>
      <c r="H236" s="108"/>
      <c r="I236" s="108"/>
      <c r="J236" s="108"/>
      <c r="K236" s="108"/>
      <c r="L236" s="109" t="s">
        <v>38</v>
      </c>
      <c r="M236" s="108"/>
      <c r="N236" s="108"/>
      <c r="O236" s="108"/>
      <c r="P236" s="108"/>
      <c r="Q236" s="108"/>
      <c r="R236" s="108"/>
      <c r="S236" s="108"/>
      <c r="T236" s="108"/>
      <c r="U236" s="108"/>
      <c r="V236" s="108"/>
      <c r="W236" s="108"/>
      <c r="X236" s="109" t="s">
        <v>38</v>
      </c>
      <c r="Y236" s="108"/>
      <c r="Z236" s="108"/>
      <c r="AA236" s="108"/>
      <c r="AB236" s="108"/>
      <c r="AC236" s="108"/>
      <c r="AD236" s="108"/>
      <c r="AE236" s="108"/>
      <c r="AF236" s="108"/>
      <c r="AG236" s="108"/>
      <c r="AH236" s="108"/>
      <c r="AI236" s="108"/>
      <c r="AJ236" s="109" t="s">
        <v>38</v>
      </c>
      <c r="AK236" s="108"/>
      <c r="AL236" s="108"/>
      <c r="AM236" s="108"/>
      <c r="AN236" s="108"/>
      <c r="AO236" s="108"/>
      <c r="AP236" s="108"/>
      <c r="AQ236" s="108"/>
      <c r="AR236" s="108"/>
      <c r="AS236" s="108"/>
      <c r="AT236" s="108"/>
      <c r="AU236" s="108"/>
      <c r="AV236" s="109" t="s">
        <v>38</v>
      </c>
      <c r="AW236" s="108"/>
      <c r="AX236" s="108"/>
      <c r="AY236" s="108"/>
      <c r="AZ236" s="108"/>
      <c r="BA236" s="108"/>
      <c r="BB236" s="108"/>
      <c r="BC236" s="108"/>
      <c r="BD236" s="108"/>
      <c r="BE236" s="108"/>
      <c r="BF236" s="108"/>
      <c r="BG236" s="108"/>
      <c r="BH236" s="109" t="s">
        <v>38</v>
      </c>
      <c r="BI236" s="108"/>
      <c r="BJ236" s="108"/>
      <c r="BK236" s="108"/>
      <c r="BL236" s="108"/>
      <c r="BM236" s="108"/>
      <c r="BN236" s="108"/>
      <c r="BO236" s="108"/>
      <c r="BP236" s="108"/>
      <c r="BQ236" s="108"/>
      <c r="BR236" s="108"/>
      <c r="BS236" s="108"/>
      <c r="BT236" s="109" t="s">
        <v>38</v>
      </c>
      <c r="BU236" s="108"/>
      <c r="BV236" s="108"/>
      <c r="BW236" s="108"/>
      <c r="BX236" s="108"/>
      <c r="BY236" s="108"/>
      <c r="BZ236" s="108"/>
      <c r="CA236" s="108"/>
      <c r="CB236" s="108"/>
      <c r="CC236" s="108"/>
      <c r="CD236" s="108"/>
      <c r="CE236" s="108"/>
      <c r="CF236" s="109" t="s">
        <v>38</v>
      </c>
      <c r="CG236" s="108"/>
      <c r="CH236" s="108"/>
      <c r="CI236" s="108"/>
      <c r="CJ236" s="108"/>
      <c r="CK236" s="108"/>
      <c r="CL236" s="108"/>
      <c r="CM236" s="108"/>
      <c r="CN236" s="108"/>
      <c r="CO236" s="108"/>
      <c r="CP236" s="108"/>
      <c r="CQ236" s="108"/>
      <c r="CR236" s="109" t="s">
        <v>38</v>
      </c>
      <c r="CS236" s="108"/>
      <c r="CT236" s="108"/>
      <c r="CU236" s="108"/>
      <c r="CV236" s="108"/>
      <c r="CW236" s="108"/>
      <c r="CX236" s="108"/>
      <c r="CY236" s="108"/>
      <c r="CZ236" s="108"/>
      <c r="DA236" s="108"/>
      <c r="DB236" s="108"/>
      <c r="DC236" s="108"/>
      <c r="DD236" s="109" t="s">
        <v>38</v>
      </c>
      <c r="DE236" s="108"/>
      <c r="DF236" s="108"/>
      <c r="DG236" s="108"/>
      <c r="DH236" s="108"/>
      <c r="DI236" s="108"/>
      <c r="DJ236" s="108"/>
      <c r="DK236" s="108"/>
      <c r="DL236" s="108"/>
      <c r="DM236" s="108"/>
      <c r="DN236" s="108"/>
      <c r="DO236" s="108"/>
      <c r="DP236" s="109" t="s">
        <v>38</v>
      </c>
    </row>
    <row r="237" spans="1:120" x14ac:dyDescent="0.25">
      <c r="A237" s="11" t="s">
        <v>37</v>
      </c>
      <c r="B237" s="107"/>
      <c r="C237" s="93">
        <f>IFERROR(SUM(D220:D222)/SUM(C220:C222),1)</f>
        <v>1.1620049531123535</v>
      </c>
      <c r="D237" s="93">
        <f>IFERROR(SUM(E219:E221)/SUM(D219:D221),1)</f>
        <v>1.0615584122486308</v>
      </c>
      <c r="E237" s="93">
        <f>IFERROR(SUM(F218:F220)/SUM(E218:E220),1)</f>
        <v>1.0336872346647503</v>
      </c>
      <c r="F237" s="93">
        <f>IFERROR(SUM(G217:G219)/SUM(F217:F219),1)</f>
        <v>1.0154962061168225</v>
      </c>
      <c r="G237" s="93">
        <f>IFERROR(SUM(H216:H218)/SUM(G216:G218),1)</f>
        <v>1.0148076840945284</v>
      </c>
      <c r="H237" s="93">
        <f>IFERROR(SUM(I215:I217)/SUM(H215:H217),1)</f>
        <v>1.0077732886272726</v>
      </c>
      <c r="I237" s="93">
        <f>IFERROR(SUM(J214:J216)/SUM(I214:I216),1)</f>
        <v>1.0162422281195631</v>
      </c>
      <c r="J237" s="93">
        <f>IFERROR(SUM(K214:K215)/SUM(J214:J215),1)</f>
        <v>1.0060499174584936</v>
      </c>
      <c r="K237" s="93">
        <f>IFERROR(SUM(L214:L214)/SUM(K214:K214),1)</f>
        <v>1.0026480067906178</v>
      </c>
      <c r="L237" s="93">
        <v>1</v>
      </c>
      <c r="M237" s="285" t="s">
        <v>37</v>
      </c>
      <c r="N237" s="107"/>
      <c r="O237" s="93">
        <f>IFERROR(SUM(P220:P222)/SUM(O220:O222),1)</f>
        <v>1</v>
      </c>
      <c r="P237" s="93">
        <f>IFERROR(SUM(Q219:Q221)/SUM(P219:P221),1)</f>
        <v>1</v>
      </c>
      <c r="Q237" s="93">
        <f>IFERROR(SUM(R218:R220)/SUM(Q218:Q220),1)</f>
        <v>1</v>
      </c>
      <c r="R237" s="93">
        <f>IFERROR(SUM(S217:S219)/SUM(R217:R219),1)</f>
        <v>1</v>
      </c>
      <c r="S237" s="93">
        <f>IFERROR(SUM(T216:T218)/SUM(S216:S218),1)</f>
        <v>1</v>
      </c>
      <c r="T237" s="93">
        <f>IFERROR(SUM(U215:U217)/SUM(T215:T217),1)</f>
        <v>1</v>
      </c>
      <c r="U237" s="93">
        <f>IFERROR(SUM(V214:V216)/SUM(U214:U216),1)</f>
        <v>1</v>
      </c>
      <c r="V237" s="93">
        <f>IFERROR(SUM(W214:W215)/SUM(V214:V215),1)</f>
        <v>1</v>
      </c>
      <c r="W237" s="93">
        <f>IFERROR(SUM(X214:X214)/SUM(W214:W214),1)</f>
        <v>1</v>
      </c>
      <c r="X237" s="93">
        <v>1</v>
      </c>
      <c r="Y237" s="285" t="s">
        <v>37</v>
      </c>
      <c r="Z237" s="107"/>
      <c r="AA237" s="93">
        <f>IFERROR(SUM(AB220:AB222)/SUM(AA220:AA222),1)</f>
        <v>1</v>
      </c>
      <c r="AB237" s="93">
        <f>IFERROR(SUM(AC219:AC221)/SUM(AB219:AB221),1)</f>
        <v>1</v>
      </c>
      <c r="AC237" s="93">
        <f>IFERROR(SUM(AD218:AD220)/SUM(AC218:AC220),1)</f>
        <v>1</v>
      </c>
      <c r="AD237" s="93">
        <f>IFERROR(SUM(AE217:AE219)/SUM(AD217:AD219),1)</f>
        <v>1</v>
      </c>
      <c r="AE237" s="93">
        <f>IFERROR(SUM(AF216:AF218)/SUM(AE216:AE218),1)</f>
        <v>1</v>
      </c>
      <c r="AF237" s="93">
        <f>IFERROR(SUM(AG215:AG217)/SUM(AF215:AF217),1)</f>
        <v>1</v>
      </c>
      <c r="AG237" s="93">
        <f>IFERROR(SUM(AH214:AH216)/SUM(AG214:AG216),1)</f>
        <v>1</v>
      </c>
      <c r="AH237" s="93">
        <f>IFERROR(SUM(AI214:AI215)/SUM(AH214:AH215),1)</f>
        <v>1</v>
      </c>
      <c r="AI237" s="93">
        <f>IFERROR(SUM(AJ214:AJ214)/SUM(AI214:AI214),1)</f>
        <v>1</v>
      </c>
      <c r="AJ237" s="93">
        <v>1</v>
      </c>
      <c r="AK237" s="285" t="s">
        <v>37</v>
      </c>
      <c r="AL237" s="107"/>
      <c r="AM237" s="93">
        <f>IFERROR(SUM(AN220:AN222)/SUM(AM220:AM222),1)</f>
        <v>1</v>
      </c>
      <c r="AN237" s="93">
        <f>IFERROR(SUM(AO219:AO221)/SUM(AN219:AN221),1)</f>
        <v>1</v>
      </c>
      <c r="AO237" s="93">
        <f>IFERROR(SUM(AP218:AP220)/SUM(AO218:AO220),1)</f>
        <v>1</v>
      </c>
      <c r="AP237" s="93">
        <f>IFERROR(SUM(AQ217:AQ219)/SUM(AP217:AP219),1)</f>
        <v>1</v>
      </c>
      <c r="AQ237" s="93">
        <f>IFERROR(SUM(AR216:AR218)/SUM(AQ216:AQ218),1)</f>
        <v>1</v>
      </c>
      <c r="AR237" s="93">
        <f>IFERROR(SUM(AS215:AS217)/SUM(AR215:AR217),1)</f>
        <v>1</v>
      </c>
      <c r="AS237" s="93">
        <f>IFERROR(SUM(AT214:AT216)/SUM(AS214:AS216),1)</f>
        <v>1</v>
      </c>
      <c r="AT237" s="93">
        <f>IFERROR(SUM(AU214:AU215)/SUM(AT214:AT215),1)</f>
        <v>1</v>
      </c>
      <c r="AU237" s="93">
        <f>IFERROR(SUM(AV214:AV214)/SUM(AU214:AU214),1)</f>
        <v>1</v>
      </c>
      <c r="AV237" s="93">
        <v>1</v>
      </c>
      <c r="AW237" s="285" t="s">
        <v>37</v>
      </c>
      <c r="AX237" s="107"/>
      <c r="AY237" s="93">
        <f>IFERROR(SUM(AZ220:AZ222)/SUM(AY220:AY222),1)</f>
        <v>1</v>
      </c>
      <c r="AZ237" s="93">
        <f>IFERROR(SUM(BA219:BA221)/SUM(AZ219:AZ221),1)</f>
        <v>1</v>
      </c>
      <c r="BA237" s="93">
        <f>IFERROR(SUM(BB218:BB220)/SUM(BA218:BA220),1)</f>
        <v>1</v>
      </c>
      <c r="BB237" s="93">
        <f>IFERROR(SUM(BC217:BC219)/SUM(BB217:BB219),1)</f>
        <v>1</v>
      </c>
      <c r="BC237" s="93">
        <f>IFERROR(SUM(BD216:BD218)/SUM(BC216:BC218),1)</f>
        <v>1</v>
      </c>
      <c r="BD237" s="93">
        <f>IFERROR(SUM(BE215:BE217)/SUM(BD215:BD217),1)</f>
        <v>1</v>
      </c>
      <c r="BE237" s="93">
        <f>IFERROR(SUM(BF214:BF216)/SUM(BE214:BE216),1)</f>
        <v>1</v>
      </c>
      <c r="BF237" s="93">
        <f>IFERROR(SUM(BG214:BG215)/SUM(BF214:BF215),1)</f>
        <v>1</v>
      </c>
      <c r="BG237" s="93">
        <f>IFERROR(SUM(BH214:BH214)/SUM(BG214:BG214),1)</f>
        <v>1</v>
      </c>
      <c r="BH237" s="93">
        <v>1</v>
      </c>
      <c r="BI237" s="285" t="s">
        <v>37</v>
      </c>
      <c r="BJ237" s="107"/>
      <c r="BK237" s="93">
        <f>IFERROR(SUM(BL220:BL222)/SUM(BK220:BK222),1)</f>
        <v>1</v>
      </c>
      <c r="BL237" s="93">
        <f>IFERROR(SUM(BM219:BM221)/SUM(BL219:BL221),1)</f>
        <v>1</v>
      </c>
      <c r="BM237" s="93">
        <f>IFERROR(SUM(BN218:BN220)/SUM(BM218:BM220),1)</f>
        <v>1</v>
      </c>
      <c r="BN237" s="93">
        <f>IFERROR(SUM(BO217:BO219)/SUM(BN217:BN219),1)</f>
        <v>1</v>
      </c>
      <c r="BO237" s="93">
        <f>IFERROR(SUM(BP216:BP218)/SUM(BO216:BO218),1)</f>
        <v>1</v>
      </c>
      <c r="BP237" s="93">
        <f>IFERROR(SUM(BQ215:BQ217)/SUM(BP215:BP217),1)</f>
        <v>1</v>
      </c>
      <c r="BQ237" s="93">
        <f>IFERROR(SUM(BR214:BR216)/SUM(BQ214:BQ216),1)</f>
        <v>1</v>
      </c>
      <c r="BR237" s="93">
        <f>IFERROR(SUM(BS214:BS215)/SUM(BR214:BR215),1)</f>
        <v>1</v>
      </c>
      <c r="BS237" s="93">
        <f>IFERROR(SUM(BT214:BT214)/SUM(BS214:BS214),1)</f>
        <v>1</v>
      </c>
      <c r="BT237" s="93">
        <v>1</v>
      </c>
      <c r="BU237" s="285" t="s">
        <v>37</v>
      </c>
      <c r="BV237" s="107"/>
      <c r="BW237" s="93">
        <f>IFERROR(SUM(BX220:BX222)/SUM(BW220:BW222),1)</f>
        <v>1</v>
      </c>
      <c r="BX237" s="93">
        <f>IFERROR(SUM(BY219:BY221)/SUM(BX219:BX221),1)</f>
        <v>1</v>
      </c>
      <c r="BY237" s="93">
        <f>IFERROR(SUM(BZ218:BZ220)/SUM(BY218:BY220),1)</f>
        <v>1</v>
      </c>
      <c r="BZ237" s="93">
        <f>IFERROR(SUM(CA217:CA219)/SUM(BZ217:BZ219),1)</f>
        <v>1</v>
      </c>
      <c r="CA237" s="93">
        <f>IFERROR(SUM(CB216:CB218)/SUM(CA216:CA218),1)</f>
        <v>1</v>
      </c>
      <c r="CB237" s="93">
        <f>IFERROR(SUM(CC215:CC217)/SUM(CB215:CB217),1)</f>
        <v>1</v>
      </c>
      <c r="CC237" s="93">
        <f>IFERROR(SUM(CD214:CD216)/SUM(CC214:CC216),1)</f>
        <v>1</v>
      </c>
      <c r="CD237" s="93">
        <f>IFERROR(SUM(CE214:CE215)/SUM(CD214:CD215),1)</f>
        <v>1</v>
      </c>
      <c r="CE237" s="93">
        <f>IFERROR(SUM(CF214:CF214)/SUM(CE214:CE214),1)</f>
        <v>1</v>
      </c>
      <c r="CF237" s="93">
        <v>1</v>
      </c>
      <c r="CG237" s="285" t="s">
        <v>37</v>
      </c>
      <c r="CH237" s="107"/>
      <c r="CI237" s="93">
        <f>IFERROR(SUM(CJ220:CJ222)/SUM(CI220:CI222),1)</f>
        <v>1</v>
      </c>
      <c r="CJ237" s="93">
        <f>IFERROR(SUM(CK219:CK221)/SUM(CJ219:CJ221),1)</f>
        <v>1</v>
      </c>
      <c r="CK237" s="93">
        <f>IFERROR(SUM(CL218:CL220)/SUM(CK218:CK220),1)</f>
        <v>1</v>
      </c>
      <c r="CL237" s="93">
        <f>IFERROR(SUM(CM217:CM219)/SUM(CL217:CL219),1)</f>
        <v>1</v>
      </c>
      <c r="CM237" s="93">
        <f>IFERROR(SUM(CN216:CN218)/SUM(CM216:CM218),1)</f>
        <v>1</v>
      </c>
      <c r="CN237" s="93">
        <f>IFERROR(SUM(CO215:CO217)/SUM(CN215:CN217),1)</f>
        <v>1</v>
      </c>
      <c r="CO237" s="93">
        <f>IFERROR(SUM(CP214:CP216)/SUM(CO214:CO216),1)</f>
        <v>1</v>
      </c>
      <c r="CP237" s="93">
        <f>IFERROR(SUM(CQ214:CQ215)/SUM(CP214:CP215),1)</f>
        <v>1</v>
      </c>
      <c r="CQ237" s="93">
        <f>IFERROR(SUM(CR214:CR214)/SUM(CQ214:CQ214),1)</f>
        <v>1</v>
      </c>
      <c r="CR237" s="93">
        <v>1</v>
      </c>
      <c r="CS237" s="285" t="s">
        <v>37</v>
      </c>
      <c r="CT237" s="107"/>
      <c r="CU237" s="93">
        <f>IFERROR(SUM(CV220:CV222)/SUM(CU220:CU222),1)</f>
        <v>1</v>
      </c>
      <c r="CV237" s="93">
        <f>IFERROR(SUM(CW219:CW221)/SUM(CV219:CV221),1)</f>
        <v>1</v>
      </c>
      <c r="CW237" s="93">
        <f>IFERROR(SUM(CX218:CX220)/SUM(CW218:CW220),1)</f>
        <v>1</v>
      </c>
      <c r="CX237" s="93">
        <f>IFERROR(SUM(CY217:CY219)/SUM(CX217:CX219),1)</f>
        <v>1</v>
      </c>
      <c r="CY237" s="93">
        <f>IFERROR(SUM(CZ216:CZ218)/SUM(CY216:CY218),1)</f>
        <v>1</v>
      </c>
      <c r="CZ237" s="93">
        <f>IFERROR(SUM(DA215:DA217)/SUM(CZ215:CZ217),1)</f>
        <v>1</v>
      </c>
      <c r="DA237" s="93">
        <f>IFERROR(SUM(DB214:DB216)/SUM(DA214:DA216),1)</f>
        <v>1</v>
      </c>
      <c r="DB237" s="93">
        <f>IFERROR(SUM(DC214:DC215)/SUM(DB214:DB215),1)</f>
        <v>1</v>
      </c>
      <c r="DC237" s="93">
        <f>IFERROR(SUM(DD214:DD214)/SUM(DC214:DC214),1)</f>
        <v>1</v>
      </c>
      <c r="DD237" s="93">
        <v>1</v>
      </c>
      <c r="DE237" s="285" t="s">
        <v>37</v>
      </c>
      <c r="DF237" s="107"/>
      <c r="DG237" s="93">
        <f>IFERROR(SUM(DH220:DH222)/SUM(DG220:DG222),1)</f>
        <v>1</v>
      </c>
      <c r="DH237" s="93">
        <f>IFERROR(SUM(DI219:DI221)/SUM(DH219:DH221),1)</f>
        <v>1</v>
      </c>
      <c r="DI237" s="93">
        <f>IFERROR(SUM(DJ218:DJ220)/SUM(DI218:DI220),1)</f>
        <v>1</v>
      </c>
      <c r="DJ237" s="93">
        <f>IFERROR(SUM(DK217:DK219)/SUM(DJ217:DJ219),1)</f>
        <v>1</v>
      </c>
      <c r="DK237" s="93">
        <f>IFERROR(SUM(DL216:DL218)/SUM(DK216:DK218),1)</f>
        <v>1</v>
      </c>
      <c r="DL237" s="93">
        <f>IFERROR(SUM(DM215:DM217)/SUM(DL215:DL217),1)</f>
        <v>1</v>
      </c>
      <c r="DM237" s="93">
        <f>IFERROR(SUM(DN214:DN216)/SUM(DM214:DM216),1)</f>
        <v>1</v>
      </c>
      <c r="DN237" s="93">
        <f>IFERROR(SUM(DO214:DO215)/SUM(DN214:DN215),1)</f>
        <v>1</v>
      </c>
      <c r="DO237" s="93">
        <f>IFERROR(SUM(DP214:DP214)/SUM(DO214:DO214),1)</f>
        <v>1</v>
      </c>
      <c r="DP237" s="93">
        <v>1</v>
      </c>
    </row>
    <row r="238" spans="1:120" ht="15.75" thickBot="1" x14ac:dyDescent="0.3">
      <c r="A238" s="11" t="s">
        <v>40</v>
      </c>
      <c r="B238" s="107"/>
      <c r="C238" s="93">
        <f>IF(C237=0,1,C237)</f>
        <v>1.1620049531123535</v>
      </c>
      <c r="D238" s="93">
        <f t="shared" ref="D238:K238" si="421">IF(D237=0,1,D237)</f>
        <v>1.0615584122486308</v>
      </c>
      <c r="E238" s="93">
        <f t="shared" si="421"/>
        <v>1.0336872346647503</v>
      </c>
      <c r="F238" s="93">
        <f t="shared" si="421"/>
        <v>1.0154962061168225</v>
      </c>
      <c r="G238" s="93">
        <f t="shared" si="421"/>
        <v>1.0148076840945284</v>
      </c>
      <c r="H238" s="93">
        <f t="shared" si="421"/>
        <v>1.0077732886272726</v>
      </c>
      <c r="I238" s="93">
        <f t="shared" si="421"/>
        <v>1.0162422281195631</v>
      </c>
      <c r="J238" s="93">
        <f t="shared" si="421"/>
        <v>1.0060499174584936</v>
      </c>
      <c r="K238" s="93">
        <f t="shared" si="421"/>
        <v>1.0026480067906178</v>
      </c>
      <c r="L238" s="93">
        <f>IF(L237=0,1,L237)</f>
        <v>1</v>
      </c>
      <c r="M238" s="285" t="s">
        <v>40</v>
      </c>
      <c r="N238" s="107"/>
      <c r="O238" s="93">
        <f>IF(O237=0,1,O237)</f>
        <v>1</v>
      </c>
      <c r="P238" s="93">
        <f t="shared" ref="P238:W238" si="422">IF(P237=0,1,P237)</f>
        <v>1</v>
      </c>
      <c r="Q238" s="93">
        <f t="shared" si="422"/>
        <v>1</v>
      </c>
      <c r="R238" s="93">
        <f t="shared" si="422"/>
        <v>1</v>
      </c>
      <c r="S238" s="93">
        <f t="shared" si="422"/>
        <v>1</v>
      </c>
      <c r="T238" s="93">
        <f t="shared" si="422"/>
        <v>1</v>
      </c>
      <c r="U238" s="93">
        <f t="shared" si="422"/>
        <v>1</v>
      </c>
      <c r="V238" s="93">
        <f t="shared" si="422"/>
        <v>1</v>
      </c>
      <c r="W238" s="93">
        <f t="shared" si="422"/>
        <v>1</v>
      </c>
      <c r="X238" s="93">
        <f>IF(X237=0,1,X237)</f>
        <v>1</v>
      </c>
      <c r="Y238" s="285" t="s">
        <v>40</v>
      </c>
      <c r="Z238" s="107"/>
      <c r="AA238" s="93">
        <f>IF(AA237=0,1,AA237)</f>
        <v>1</v>
      </c>
      <c r="AB238" s="93">
        <f t="shared" ref="AB238:AI238" si="423">IF(AB237=0,1,AB237)</f>
        <v>1</v>
      </c>
      <c r="AC238" s="93">
        <f t="shared" si="423"/>
        <v>1</v>
      </c>
      <c r="AD238" s="93">
        <f t="shared" si="423"/>
        <v>1</v>
      </c>
      <c r="AE238" s="93">
        <f t="shared" si="423"/>
        <v>1</v>
      </c>
      <c r="AF238" s="93">
        <f t="shared" si="423"/>
        <v>1</v>
      </c>
      <c r="AG238" s="93">
        <f t="shared" si="423"/>
        <v>1</v>
      </c>
      <c r="AH238" s="93">
        <f t="shared" si="423"/>
        <v>1</v>
      </c>
      <c r="AI238" s="93">
        <f t="shared" si="423"/>
        <v>1</v>
      </c>
      <c r="AJ238" s="93">
        <f>IF(AJ237=0,1,AJ237)</f>
        <v>1</v>
      </c>
      <c r="AK238" s="285" t="s">
        <v>40</v>
      </c>
      <c r="AL238" s="107"/>
      <c r="AM238" s="93">
        <f>IF(AM237=0,1,AM237)</f>
        <v>1</v>
      </c>
      <c r="AN238" s="93">
        <f t="shared" ref="AN238:AU238" si="424">IF(AN237=0,1,AN237)</f>
        <v>1</v>
      </c>
      <c r="AO238" s="93">
        <f t="shared" si="424"/>
        <v>1</v>
      </c>
      <c r="AP238" s="93">
        <f t="shared" si="424"/>
        <v>1</v>
      </c>
      <c r="AQ238" s="93">
        <f t="shared" si="424"/>
        <v>1</v>
      </c>
      <c r="AR238" s="93">
        <f t="shared" si="424"/>
        <v>1</v>
      </c>
      <c r="AS238" s="93">
        <f t="shared" si="424"/>
        <v>1</v>
      </c>
      <c r="AT238" s="93">
        <f t="shared" si="424"/>
        <v>1</v>
      </c>
      <c r="AU238" s="93">
        <f t="shared" si="424"/>
        <v>1</v>
      </c>
      <c r="AV238" s="93">
        <f>IF(AV237=0,1,AV237)</f>
        <v>1</v>
      </c>
      <c r="AW238" s="285" t="s">
        <v>40</v>
      </c>
      <c r="AX238" s="107"/>
      <c r="AY238" s="93">
        <f>IF(AY237=0,1,AY237)</f>
        <v>1</v>
      </c>
      <c r="AZ238" s="93">
        <f t="shared" ref="AZ238:BG238" si="425">IF(AZ237=0,1,AZ237)</f>
        <v>1</v>
      </c>
      <c r="BA238" s="93">
        <f t="shared" si="425"/>
        <v>1</v>
      </c>
      <c r="BB238" s="93">
        <f t="shared" si="425"/>
        <v>1</v>
      </c>
      <c r="BC238" s="93">
        <f t="shared" si="425"/>
        <v>1</v>
      </c>
      <c r="BD238" s="93">
        <f t="shared" si="425"/>
        <v>1</v>
      </c>
      <c r="BE238" s="93">
        <f t="shared" si="425"/>
        <v>1</v>
      </c>
      <c r="BF238" s="93">
        <f t="shared" si="425"/>
        <v>1</v>
      </c>
      <c r="BG238" s="93">
        <f t="shared" si="425"/>
        <v>1</v>
      </c>
      <c r="BH238" s="93">
        <f>IF(BH237=0,1,BH237)</f>
        <v>1</v>
      </c>
      <c r="BI238" s="285" t="s">
        <v>40</v>
      </c>
      <c r="BJ238" s="107"/>
      <c r="BK238" s="93">
        <f>IF(BK237=0,1,BK237)</f>
        <v>1</v>
      </c>
      <c r="BL238" s="93">
        <f t="shared" ref="BL238:BS238" si="426">IF(BL237=0,1,BL237)</f>
        <v>1</v>
      </c>
      <c r="BM238" s="93">
        <f t="shared" si="426"/>
        <v>1</v>
      </c>
      <c r="BN238" s="93">
        <f t="shared" si="426"/>
        <v>1</v>
      </c>
      <c r="BO238" s="93">
        <f t="shared" si="426"/>
        <v>1</v>
      </c>
      <c r="BP238" s="93">
        <f t="shared" si="426"/>
        <v>1</v>
      </c>
      <c r="BQ238" s="93">
        <f t="shared" si="426"/>
        <v>1</v>
      </c>
      <c r="BR238" s="93">
        <f t="shared" si="426"/>
        <v>1</v>
      </c>
      <c r="BS238" s="93">
        <f t="shared" si="426"/>
        <v>1</v>
      </c>
      <c r="BT238" s="93">
        <f>IF(BT237=0,1,BT237)</f>
        <v>1</v>
      </c>
      <c r="BU238" s="285" t="s">
        <v>40</v>
      </c>
      <c r="BV238" s="107"/>
      <c r="BW238" s="93">
        <f>IF(BW237=0,1,BW237)</f>
        <v>1</v>
      </c>
      <c r="BX238" s="93">
        <f t="shared" ref="BX238:CE238" si="427">IF(BX237=0,1,BX237)</f>
        <v>1</v>
      </c>
      <c r="BY238" s="93">
        <f t="shared" si="427"/>
        <v>1</v>
      </c>
      <c r="BZ238" s="93">
        <f t="shared" si="427"/>
        <v>1</v>
      </c>
      <c r="CA238" s="93">
        <f t="shared" si="427"/>
        <v>1</v>
      </c>
      <c r="CB238" s="93">
        <f t="shared" si="427"/>
        <v>1</v>
      </c>
      <c r="CC238" s="93">
        <f t="shared" si="427"/>
        <v>1</v>
      </c>
      <c r="CD238" s="93">
        <f t="shared" si="427"/>
        <v>1</v>
      </c>
      <c r="CE238" s="93">
        <f t="shared" si="427"/>
        <v>1</v>
      </c>
      <c r="CF238" s="93">
        <f>IF(CF237=0,1,CF237)</f>
        <v>1</v>
      </c>
      <c r="CG238" s="285" t="s">
        <v>40</v>
      </c>
      <c r="CH238" s="107"/>
      <c r="CI238" s="93">
        <f>IF(CI237=0,1,CI237)</f>
        <v>1</v>
      </c>
      <c r="CJ238" s="93">
        <f t="shared" ref="CJ238:CQ238" si="428">IF(CJ237=0,1,CJ237)</f>
        <v>1</v>
      </c>
      <c r="CK238" s="93">
        <f t="shared" si="428"/>
        <v>1</v>
      </c>
      <c r="CL238" s="93">
        <f t="shared" si="428"/>
        <v>1</v>
      </c>
      <c r="CM238" s="93">
        <f t="shared" si="428"/>
        <v>1</v>
      </c>
      <c r="CN238" s="93">
        <f t="shared" si="428"/>
        <v>1</v>
      </c>
      <c r="CO238" s="93">
        <f t="shared" si="428"/>
        <v>1</v>
      </c>
      <c r="CP238" s="93">
        <f t="shared" si="428"/>
        <v>1</v>
      </c>
      <c r="CQ238" s="93">
        <f t="shared" si="428"/>
        <v>1</v>
      </c>
      <c r="CR238" s="93">
        <f>IF(CR237=0,1,CR237)</f>
        <v>1</v>
      </c>
      <c r="CS238" s="285" t="s">
        <v>40</v>
      </c>
      <c r="CT238" s="107"/>
      <c r="CU238" s="93">
        <f>IF(CU237=0,1,CU237)</f>
        <v>1</v>
      </c>
      <c r="CV238" s="93">
        <f t="shared" ref="CV238:DC238" si="429">IF(CV237=0,1,CV237)</f>
        <v>1</v>
      </c>
      <c r="CW238" s="93">
        <f t="shared" si="429"/>
        <v>1</v>
      </c>
      <c r="CX238" s="93">
        <f t="shared" si="429"/>
        <v>1</v>
      </c>
      <c r="CY238" s="93">
        <f t="shared" si="429"/>
        <v>1</v>
      </c>
      <c r="CZ238" s="93">
        <f t="shared" si="429"/>
        <v>1</v>
      </c>
      <c r="DA238" s="93">
        <f t="shared" si="429"/>
        <v>1</v>
      </c>
      <c r="DB238" s="93">
        <f t="shared" si="429"/>
        <v>1</v>
      </c>
      <c r="DC238" s="93">
        <f t="shared" si="429"/>
        <v>1</v>
      </c>
      <c r="DD238" s="93">
        <f>IF(DD237=0,1,DD237)</f>
        <v>1</v>
      </c>
      <c r="DE238" s="285" t="s">
        <v>40</v>
      </c>
      <c r="DF238" s="107"/>
      <c r="DG238" s="93">
        <f>IF(DG237=0,1,DG237)</f>
        <v>1</v>
      </c>
      <c r="DH238" s="93">
        <f t="shared" ref="DH238:DO238" si="430">IF(DH237=0,1,DH237)</f>
        <v>1</v>
      </c>
      <c r="DI238" s="93">
        <f t="shared" si="430"/>
        <v>1</v>
      </c>
      <c r="DJ238" s="93">
        <f t="shared" si="430"/>
        <v>1</v>
      </c>
      <c r="DK238" s="93">
        <f t="shared" si="430"/>
        <v>1</v>
      </c>
      <c r="DL238" s="93">
        <f t="shared" si="430"/>
        <v>1</v>
      </c>
      <c r="DM238" s="93">
        <f t="shared" si="430"/>
        <v>1</v>
      </c>
      <c r="DN238" s="93">
        <f t="shared" si="430"/>
        <v>1</v>
      </c>
      <c r="DO238" s="93">
        <f t="shared" si="430"/>
        <v>1</v>
      </c>
      <c r="DP238" s="93">
        <f>IF(DP237=0,1,DP237)</f>
        <v>1</v>
      </c>
    </row>
    <row r="239" spans="1:120" ht="15.75" thickBot="1" x14ac:dyDescent="0.3">
      <c r="A239" s="111" t="s">
        <v>39</v>
      </c>
      <c r="B239" s="115"/>
      <c r="C239" s="113">
        <f>PRODUCT(C238:L238)</f>
        <v>1.3574729543802107</v>
      </c>
      <c r="D239" s="113">
        <f>PRODUCT(D238:L238)</f>
        <v>1.1682161515269871</v>
      </c>
      <c r="E239" s="113">
        <f>PRODUCT(E238:L238)</f>
        <v>1.1004727936284071</v>
      </c>
      <c r="F239" s="113">
        <f>PRODUCT(F238:L238)</f>
        <v>1.0646090584501773</v>
      </c>
      <c r="G239" s="113">
        <f>PRODUCT(G238:L238)</f>
        <v>1.0483634030708577</v>
      </c>
      <c r="H239" s="113">
        <f>PRODUCT(H238:L238)</f>
        <v>1.033066086808625</v>
      </c>
      <c r="I239" s="113">
        <f>PRODUCT(I238:L238)</f>
        <v>1.0250977064651166</v>
      </c>
      <c r="J239" s="113">
        <f>PRODUCT(J238:L238)</f>
        <v>1.0087139444716242</v>
      </c>
      <c r="K239" s="113">
        <f>PRODUCT(K238:L238)</f>
        <v>1.0026480067906178</v>
      </c>
      <c r="L239" s="114">
        <f>PRODUCT(L238:L238)</f>
        <v>1</v>
      </c>
      <c r="M239" s="111" t="s">
        <v>39</v>
      </c>
      <c r="N239" s="115"/>
      <c r="O239" s="113">
        <f>PRODUCT(O238:X238)</f>
        <v>1</v>
      </c>
      <c r="P239" s="113">
        <f>PRODUCT(P238:X238)</f>
        <v>1</v>
      </c>
      <c r="Q239" s="113">
        <f>PRODUCT(Q238:X238)</f>
        <v>1</v>
      </c>
      <c r="R239" s="113">
        <f>PRODUCT(R238:X238)</f>
        <v>1</v>
      </c>
      <c r="S239" s="113">
        <f>PRODUCT(S238:X238)</f>
        <v>1</v>
      </c>
      <c r="T239" s="113">
        <f>PRODUCT(T238:X238)</f>
        <v>1</v>
      </c>
      <c r="U239" s="113">
        <f>PRODUCT(U238:X238)</f>
        <v>1</v>
      </c>
      <c r="V239" s="113">
        <f>PRODUCT(V238:X238)</f>
        <v>1</v>
      </c>
      <c r="W239" s="113">
        <f>PRODUCT(W238:X238)</f>
        <v>1</v>
      </c>
      <c r="X239" s="114">
        <f>PRODUCT(X238:X238)</f>
        <v>1</v>
      </c>
      <c r="Y239" s="111" t="s">
        <v>39</v>
      </c>
      <c r="Z239" s="115"/>
      <c r="AA239" s="113">
        <f>PRODUCT(AA238:AJ238)</f>
        <v>1</v>
      </c>
      <c r="AB239" s="113">
        <f>PRODUCT(AB238:AJ238)</f>
        <v>1</v>
      </c>
      <c r="AC239" s="113">
        <f>PRODUCT(AC238:AJ238)</f>
        <v>1</v>
      </c>
      <c r="AD239" s="113">
        <f>PRODUCT(AD238:AJ238)</f>
        <v>1</v>
      </c>
      <c r="AE239" s="113">
        <f>PRODUCT(AE238:AJ238)</f>
        <v>1</v>
      </c>
      <c r="AF239" s="113">
        <f>PRODUCT(AF238:AJ238)</f>
        <v>1</v>
      </c>
      <c r="AG239" s="113">
        <f>PRODUCT(AG238:AJ238)</f>
        <v>1</v>
      </c>
      <c r="AH239" s="113">
        <f>PRODUCT(AH238:AJ238)</f>
        <v>1</v>
      </c>
      <c r="AI239" s="113">
        <f>PRODUCT(AI238:AJ238)</f>
        <v>1</v>
      </c>
      <c r="AJ239" s="114">
        <f>PRODUCT(AJ238:AJ238)</f>
        <v>1</v>
      </c>
      <c r="AK239" s="111" t="s">
        <v>39</v>
      </c>
      <c r="AL239" s="115"/>
      <c r="AM239" s="113">
        <f>PRODUCT(AM238:AV238)</f>
        <v>1</v>
      </c>
      <c r="AN239" s="113">
        <f>PRODUCT(AN238:AV238)</f>
        <v>1</v>
      </c>
      <c r="AO239" s="113">
        <f>PRODUCT(AO238:AV238)</f>
        <v>1</v>
      </c>
      <c r="AP239" s="113">
        <f>PRODUCT(AP238:AV238)</f>
        <v>1</v>
      </c>
      <c r="AQ239" s="113">
        <f>PRODUCT(AQ238:AV238)</f>
        <v>1</v>
      </c>
      <c r="AR239" s="113">
        <f>PRODUCT(AR238:AV238)</f>
        <v>1</v>
      </c>
      <c r="AS239" s="113">
        <f>PRODUCT(AS238:AV238)</f>
        <v>1</v>
      </c>
      <c r="AT239" s="113">
        <f>PRODUCT(AT238:AV238)</f>
        <v>1</v>
      </c>
      <c r="AU239" s="113">
        <f>PRODUCT(AU238:AV238)</f>
        <v>1</v>
      </c>
      <c r="AV239" s="114">
        <f>PRODUCT(AV238:AV238)</f>
        <v>1</v>
      </c>
      <c r="AW239" s="111" t="s">
        <v>39</v>
      </c>
      <c r="AX239" s="115"/>
      <c r="AY239" s="113">
        <f>PRODUCT(AY238:BH238)</f>
        <v>1</v>
      </c>
      <c r="AZ239" s="113">
        <f>PRODUCT(AZ238:BH238)</f>
        <v>1</v>
      </c>
      <c r="BA239" s="113">
        <f>PRODUCT(BA238:BH238)</f>
        <v>1</v>
      </c>
      <c r="BB239" s="113">
        <f>PRODUCT(BB238:BH238)</f>
        <v>1</v>
      </c>
      <c r="BC239" s="113">
        <f>PRODUCT(BC238:BH238)</f>
        <v>1</v>
      </c>
      <c r="BD239" s="113">
        <f>PRODUCT(BD238:BH238)</f>
        <v>1</v>
      </c>
      <c r="BE239" s="113">
        <f>PRODUCT(BE238:BH238)</f>
        <v>1</v>
      </c>
      <c r="BF239" s="113">
        <f>PRODUCT(BF238:BH238)</f>
        <v>1</v>
      </c>
      <c r="BG239" s="113">
        <f>PRODUCT(BG238:BH238)</f>
        <v>1</v>
      </c>
      <c r="BH239" s="114">
        <f>PRODUCT(BH238:BH238)</f>
        <v>1</v>
      </c>
      <c r="BI239" s="111" t="s">
        <v>39</v>
      </c>
      <c r="BJ239" s="115"/>
      <c r="BK239" s="113">
        <f>PRODUCT(BK238:BT238)</f>
        <v>1</v>
      </c>
      <c r="BL239" s="113">
        <f>PRODUCT(BL238:BT238)</f>
        <v>1</v>
      </c>
      <c r="BM239" s="113">
        <f>PRODUCT(BM238:BT238)</f>
        <v>1</v>
      </c>
      <c r="BN239" s="113">
        <f>PRODUCT(BN238:BT238)</f>
        <v>1</v>
      </c>
      <c r="BO239" s="113">
        <f>PRODUCT(BO238:BT238)</f>
        <v>1</v>
      </c>
      <c r="BP239" s="113">
        <f>PRODUCT(BP238:BT238)</f>
        <v>1</v>
      </c>
      <c r="BQ239" s="113">
        <f>PRODUCT(BQ238:BT238)</f>
        <v>1</v>
      </c>
      <c r="BR239" s="113">
        <f>PRODUCT(BR238:BT238)</f>
        <v>1</v>
      </c>
      <c r="BS239" s="113">
        <f>PRODUCT(BS238:BT238)</f>
        <v>1</v>
      </c>
      <c r="BT239" s="114">
        <f>PRODUCT(BT238:BT238)</f>
        <v>1</v>
      </c>
      <c r="BU239" s="111" t="s">
        <v>39</v>
      </c>
      <c r="BV239" s="115"/>
      <c r="BW239" s="113">
        <f>PRODUCT(BW238:CF238)</f>
        <v>1</v>
      </c>
      <c r="BX239" s="113">
        <f>PRODUCT(BX238:CF238)</f>
        <v>1</v>
      </c>
      <c r="BY239" s="113">
        <f>PRODUCT(BY238:CF238)</f>
        <v>1</v>
      </c>
      <c r="BZ239" s="113">
        <f>PRODUCT(BZ238:CF238)</f>
        <v>1</v>
      </c>
      <c r="CA239" s="113">
        <f>PRODUCT(CA238:CF238)</f>
        <v>1</v>
      </c>
      <c r="CB239" s="113">
        <f>PRODUCT(CB238:CF238)</f>
        <v>1</v>
      </c>
      <c r="CC239" s="113">
        <f>PRODUCT(CC238:CF238)</f>
        <v>1</v>
      </c>
      <c r="CD239" s="113">
        <f>PRODUCT(CD238:CF238)</f>
        <v>1</v>
      </c>
      <c r="CE239" s="113">
        <f>PRODUCT(CE238:CF238)</f>
        <v>1</v>
      </c>
      <c r="CF239" s="114">
        <f>PRODUCT(CF238:CF238)</f>
        <v>1</v>
      </c>
      <c r="CG239" s="111" t="s">
        <v>39</v>
      </c>
      <c r="CH239" s="115"/>
      <c r="CI239" s="113">
        <f>PRODUCT(CI238:CR238)</f>
        <v>1</v>
      </c>
      <c r="CJ239" s="113">
        <f>PRODUCT(CJ238:CR238)</f>
        <v>1</v>
      </c>
      <c r="CK239" s="113">
        <f>PRODUCT(CK238:CR238)</f>
        <v>1</v>
      </c>
      <c r="CL239" s="113">
        <f>PRODUCT(CL238:CR238)</f>
        <v>1</v>
      </c>
      <c r="CM239" s="113">
        <f>PRODUCT(CM238:CR238)</f>
        <v>1</v>
      </c>
      <c r="CN239" s="113">
        <f>PRODUCT(CN238:CR238)</f>
        <v>1</v>
      </c>
      <c r="CO239" s="113">
        <f>PRODUCT(CO238:CR238)</f>
        <v>1</v>
      </c>
      <c r="CP239" s="113">
        <f>PRODUCT(CP238:CR238)</f>
        <v>1</v>
      </c>
      <c r="CQ239" s="113">
        <f>PRODUCT(CQ238:CR238)</f>
        <v>1</v>
      </c>
      <c r="CR239" s="114">
        <f>PRODUCT(CR238:CR238)</f>
        <v>1</v>
      </c>
      <c r="CS239" s="111" t="s">
        <v>39</v>
      </c>
      <c r="CT239" s="115"/>
      <c r="CU239" s="113">
        <f>PRODUCT(CU238:DD238)</f>
        <v>1</v>
      </c>
      <c r="CV239" s="113">
        <f>PRODUCT(CV238:DD238)</f>
        <v>1</v>
      </c>
      <c r="CW239" s="113">
        <f>PRODUCT(CW238:DD238)</f>
        <v>1</v>
      </c>
      <c r="CX239" s="113">
        <f>PRODUCT(CX238:DD238)</f>
        <v>1</v>
      </c>
      <c r="CY239" s="113">
        <f>PRODUCT(CY238:DD238)</f>
        <v>1</v>
      </c>
      <c r="CZ239" s="113">
        <f>PRODUCT(CZ238:DD238)</f>
        <v>1</v>
      </c>
      <c r="DA239" s="113">
        <f>PRODUCT(DA238:DD238)</f>
        <v>1</v>
      </c>
      <c r="DB239" s="113">
        <f>PRODUCT(DB238:DD238)</f>
        <v>1</v>
      </c>
      <c r="DC239" s="113">
        <f>PRODUCT(DC238:DD238)</f>
        <v>1</v>
      </c>
      <c r="DD239" s="114">
        <f>PRODUCT(DD238:DD238)</f>
        <v>1</v>
      </c>
      <c r="DE239" s="111" t="s">
        <v>39</v>
      </c>
      <c r="DF239" s="115"/>
      <c r="DG239" s="113">
        <f>PRODUCT(DG238:DP238)</f>
        <v>1</v>
      </c>
      <c r="DH239" s="113">
        <f>PRODUCT(DH238:DP238)</f>
        <v>1</v>
      </c>
      <c r="DI239" s="113">
        <f>PRODUCT(DI238:DP238)</f>
        <v>1</v>
      </c>
      <c r="DJ239" s="113">
        <f>PRODUCT(DJ238:DP238)</f>
        <v>1</v>
      </c>
      <c r="DK239" s="113">
        <f>PRODUCT(DK238:DP238)</f>
        <v>1</v>
      </c>
      <c r="DL239" s="113">
        <f>PRODUCT(DL238:DP238)</f>
        <v>1</v>
      </c>
      <c r="DM239" s="113">
        <f>PRODUCT(DM238:DP238)</f>
        <v>1</v>
      </c>
      <c r="DN239" s="113">
        <f>PRODUCT(DN238:DP238)</f>
        <v>1</v>
      </c>
      <c r="DO239" s="113">
        <f>PRODUCT(DO238:DP238)</f>
        <v>1</v>
      </c>
      <c r="DP239" s="114">
        <f>PRODUCT(DP238:DP238)</f>
        <v>1</v>
      </c>
    </row>
    <row r="240" spans="1:120" x14ac:dyDescent="0.25">
      <c r="A240" s="95" t="s">
        <v>41</v>
      </c>
      <c r="B240" s="106"/>
      <c r="C240" s="99">
        <f>C239*C223</f>
        <v>108505646.99555196</v>
      </c>
      <c r="D240" s="99">
        <f>D239*D222</f>
        <v>93539877.889635563</v>
      </c>
      <c r="E240" s="99">
        <f>E239*E221</f>
        <v>87951745.652846664</v>
      </c>
      <c r="F240" s="99">
        <f>F239*F220</f>
        <v>91802602.512395576</v>
      </c>
      <c r="G240" s="99">
        <f>G239*G219</f>
        <v>75596362.607096598</v>
      </c>
      <c r="H240" s="99">
        <f>H239*H218</f>
        <v>98177956.524754599</v>
      </c>
      <c r="I240" s="99">
        <f>I239*I217</f>
        <v>84407898.638094425</v>
      </c>
      <c r="J240" s="99">
        <f>J239*J216</f>
        <v>81166665.40276368</v>
      </c>
      <c r="K240" s="99">
        <f>K239*K215</f>
        <v>73113592.024011627</v>
      </c>
      <c r="L240" s="99">
        <f>L239*L214</f>
        <v>71521463.010000005</v>
      </c>
      <c r="M240" s="95" t="s">
        <v>41</v>
      </c>
      <c r="N240" s="106"/>
      <c r="O240" s="99">
        <f>O239*O223</f>
        <v>0</v>
      </c>
      <c r="P240" s="99">
        <f>P239*P222</f>
        <v>0</v>
      </c>
      <c r="Q240" s="99">
        <f>Q239*Q221</f>
        <v>0</v>
      </c>
      <c r="R240" s="99">
        <f>R239*R220</f>
        <v>0</v>
      </c>
      <c r="S240" s="99">
        <f>S239*S219</f>
        <v>0</v>
      </c>
      <c r="T240" s="99">
        <f>T239*T218</f>
        <v>0</v>
      </c>
      <c r="U240" s="99">
        <f>U239*U217</f>
        <v>0</v>
      </c>
      <c r="V240" s="99">
        <f>V239*V216</f>
        <v>0</v>
      </c>
      <c r="W240" s="99">
        <f>W239*W215</f>
        <v>0</v>
      </c>
      <c r="X240" s="99">
        <f>X239*X214</f>
        <v>0</v>
      </c>
      <c r="Y240" s="95" t="s">
        <v>41</v>
      </c>
      <c r="Z240" s="106"/>
      <c r="AA240" s="99">
        <f>AA239*AA223</f>
        <v>0</v>
      </c>
      <c r="AB240" s="99">
        <f>AB239*AB222</f>
        <v>0</v>
      </c>
      <c r="AC240" s="99">
        <f>AC239*AC221</f>
        <v>0</v>
      </c>
      <c r="AD240" s="99">
        <f>AD239*AD220</f>
        <v>0</v>
      </c>
      <c r="AE240" s="99">
        <f>AE239*AE219</f>
        <v>0</v>
      </c>
      <c r="AF240" s="99">
        <f>AF239*AF218</f>
        <v>0</v>
      </c>
      <c r="AG240" s="99">
        <f>AG239*AG217</f>
        <v>0</v>
      </c>
      <c r="AH240" s="99">
        <f>AH239*AH216</f>
        <v>0</v>
      </c>
      <c r="AI240" s="99">
        <f>AI239*AI215</f>
        <v>0</v>
      </c>
      <c r="AJ240" s="99">
        <f>AJ239*AJ214</f>
        <v>0</v>
      </c>
      <c r="AK240" s="95" t="s">
        <v>41</v>
      </c>
      <c r="AL240" s="106"/>
      <c r="AM240" s="99">
        <f>AM239*AM223</f>
        <v>0</v>
      </c>
      <c r="AN240" s="99">
        <f>AN239*AN222</f>
        <v>0</v>
      </c>
      <c r="AO240" s="99">
        <f>AO239*AO221</f>
        <v>0</v>
      </c>
      <c r="AP240" s="99">
        <f>AP239*AP220</f>
        <v>0</v>
      </c>
      <c r="AQ240" s="99">
        <f>AQ239*AQ219</f>
        <v>0</v>
      </c>
      <c r="AR240" s="99">
        <f>AR239*AR218</f>
        <v>0</v>
      </c>
      <c r="AS240" s="99">
        <f>AS239*AS217</f>
        <v>0</v>
      </c>
      <c r="AT240" s="99">
        <f>AT239*AT216</f>
        <v>0</v>
      </c>
      <c r="AU240" s="99">
        <f>AU239*AU215</f>
        <v>0</v>
      </c>
      <c r="AV240" s="99">
        <f>AV239*AV214</f>
        <v>0</v>
      </c>
      <c r="AW240" s="95" t="s">
        <v>41</v>
      </c>
      <c r="AX240" s="106"/>
      <c r="AY240" s="99">
        <f>AY239*AY223</f>
        <v>0</v>
      </c>
      <c r="AZ240" s="99">
        <f>AZ239*AZ222</f>
        <v>0</v>
      </c>
      <c r="BA240" s="99">
        <f>BA239*BA221</f>
        <v>0</v>
      </c>
      <c r="BB240" s="99">
        <f>BB239*BB220</f>
        <v>0</v>
      </c>
      <c r="BC240" s="99">
        <f>BC239*BC219</f>
        <v>0</v>
      </c>
      <c r="BD240" s="99">
        <f>BD239*BD218</f>
        <v>0</v>
      </c>
      <c r="BE240" s="99">
        <f>BE239*BE217</f>
        <v>0</v>
      </c>
      <c r="BF240" s="99">
        <f>BF239*BF216</f>
        <v>0</v>
      </c>
      <c r="BG240" s="99">
        <f>BG239*BG215</f>
        <v>0</v>
      </c>
      <c r="BH240" s="99">
        <f>BH239*BH214</f>
        <v>0</v>
      </c>
      <c r="BI240" s="95" t="s">
        <v>41</v>
      </c>
      <c r="BJ240" s="106"/>
      <c r="BK240" s="99">
        <f>BK239*BK223</f>
        <v>0</v>
      </c>
      <c r="BL240" s="99">
        <f>BL239*BL222</f>
        <v>0</v>
      </c>
      <c r="BM240" s="99">
        <f>BM239*BM221</f>
        <v>0</v>
      </c>
      <c r="BN240" s="99">
        <f>BN239*BN220</f>
        <v>0</v>
      </c>
      <c r="BO240" s="99">
        <f>BO239*BO219</f>
        <v>0</v>
      </c>
      <c r="BP240" s="99">
        <f>BP239*BP218</f>
        <v>0</v>
      </c>
      <c r="BQ240" s="99">
        <f>BQ239*BQ217</f>
        <v>0</v>
      </c>
      <c r="BR240" s="99">
        <f>BR239*BR216</f>
        <v>0</v>
      </c>
      <c r="BS240" s="99">
        <f>BS239*BS215</f>
        <v>0</v>
      </c>
      <c r="BT240" s="99">
        <f>BT239*BT214</f>
        <v>0</v>
      </c>
      <c r="BU240" s="95" t="s">
        <v>41</v>
      </c>
      <c r="BV240" s="106"/>
      <c r="BW240" s="99">
        <f>BW239*BW223</f>
        <v>0</v>
      </c>
      <c r="BX240" s="99">
        <f>BX239*BX222</f>
        <v>0</v>
      </c>
      <c r="BY240" s="99">
        <f>BY239*BY221</f>
        <v>0</v>
      </c>
      <c r="BZ240" s="99">
        <f>BZ239*BZ220</f>
        <v>0</v>
      </c>
      <c r="CA240" s="99">
        <f>CA239*CA219</f>
        <v>0</v>
      </c>
      <c r="CB240" s="99">
        <f>CB239*CB218</f>
        <v>0</v>
      </c>
      <c r="CC240" s="99">
        <f>CC239*CC217</f>
        <v>0</v>
      </c>
      <c r="CD240" s="99">
        <f>CD239*CD216</f>
        <v>0</v>
      </c>
      <c r="CE240" s="99">
        <f>CE239*CE215</f>
        <v>0</v>
      </c>
      <c r="CF240" s="99">
        <f>CF239*CF214</f>
        <v>0</v>
      </c>
      <c r="CG240" s="95" t="s">
        <v>41</v>
      </c>
      <c r="CH240" s="106"/>
      <c r="CI240" s="99">
        <f>CI239*CI223</f>
        <v>0</v>
      </c>
      <c r="CJ240" s="99">
        <f>CJ239*CJ222</f>
        <v>0</v>
      </c>
      <c r="CK240" s="99">
        <f>CK239*CK221</f>
        <v>0</v>
      </c>
      <c r="CL240" s="99">
        <f>CL239*CL220</f>
        <v>0</v>
      </c>
      <c r="CM240" s="99">
        <f>CM239*CM219</f>
        <v>0</v>
      </c>
      <c r="CN240" s="99">
        <f>CN239*CN218</f>
        <v>0</v>
      </c>
      <c r="CO240" s="99">
        <f>CO239*CO217</f>
        <v>0</v>
      </c>
      <c r="CP240" s="99">
        <f>CP239*CP216</f>
        <v>0</v>
      </c>
      <c r="CQ240" s="99">
        <f>CQ239*CQ215</f>
        <v>0</v>
      </c>
      <c r="CR240" s="99">
        <f>CR239*CR214</f>
        <v>0</v>
      </c>
      <c r="CS240" s="95" t="s">
        <v>41</v>
      </c>
      <c r="CT240" s="106"/>
      <c r="CU240" s="99">
        <f>CU239*CU223</f>
        <v>0</v>
      </c>
      <c r="CV240" s="99">
        <f>CV239*CV222</f>
        <v>0</v>
      </c>
      <c r="CW240" s="99">
        <f>CW239*CW221</f>
        <v>0</v>
      </c>
      <c r="CX240" s="99">
        <f>CX239*CX220</f>
        <v>0</v>
      </c>
      <c r="CY240" s="99">
        <f>CY239*CY219</f>
        <v>0</v>
      </c>
      <c r="CZ240" s="99">
        <f>CZ239*CZ218</f>
        <v>0</v>
      </c>
      <c r="DA240" s="99">
        <f>DA239*DA217</f>
        <v>0</v>
      </c>
      <c r="DB240" s="99">
        <f>DB239*DB216</f>
        <v>0</v>
      </c>
      <c r="DC240" s="99">
        <f>DC239*DC215</f>
        <v>0</v>
      </c>
      <c r="DD240" s="99">
        <f>DD239*DD214</f>
        <v>0</v>
      </c>
      <c r="DE240" s="95" t="s">
        <v>41</v>
      </c>
      <c r="DF240" s="106"/>
      <c r="DG240" s="99">
        <f>DG239*DG223</f>
        <v>0</v>
      </c>
      <c r="DH240" s="99">
        <f>DH239*DH222</f>
        <v>0</v>
      </c>
      <c r="DI240" s="99">
        <f>DI239*DI221</f>
        <v>0</v>
      </c>
      <c r="DJ240" s="99">
        <f>DJ239*DJ220</f>
        <v>0</v>
      </c>
      <c r="DK240" s="99">
        <f>DK239*DK219</f>
        <v>0</v>
      </c>
      <c r="DL240" s="99">
        <f>DL239*DL218</f>
        <v>0</v>
      </c>
      <c r="DM240" s="99">
        <f>DM239*DM217</f>
        <v>0</v>
      </c>
      <c r="DN240" s="99">
        <f>DN239*DN216</f>
        <v>0</v>
      </c>
      <c r="DO240" s="99">
        <f>DO239*DO215</f>
        <v>0</v>
      </c>
      <c r="DP240" s="99">
        <f>DP239*DP214</f>
        <v>0</v>
      </c>
    </row>
    <row r="241" spans="1:120" ht="21" x14ac:dyDescent="0.35">
      <c r="A241" s="137" t="str">
        <f>Co_Name</f>
        <v>State Farm General Insurance Company</v>
      </c>
      <c r="B241" s="68"/>
      <c r="C241" s="40"/>
      <c r="D241" s="18"/>
      <c r="E241" s="18"/>
      <c r="F241" s="18"/>
      <c r="G241" s="18"/>
      <c r="H241" s="18"/>
      <c r="I241" s="18"/>
      <c r="J241" s="18"/>
      <c r="K241" s="18"/>
      <c r="L241" s="18"/>
      <c r="M241" s="137" t="str">
        <f>Co_Name</f>
        <v>State Farm General Insurance Company</v>
      </c>
      <c r="N241" s="68"/>
      <c r="O241" s="40"/>
      <c r="P241" s="18"/>
      <c r="Q241" s="18"/>
      <c r="R241" s="18"/>
      <c r="S241" s="18"/>
      <c r="T241" s="18"/>
      <c r="U241" s="18"/>
      <c r="V241" s="18"/>
      <c r="W241" s="18"/>
      <c r="X241" s="18"/>
      <c r="Y241" s="137" t="str">
        <f>Co_Name</f>
        <v>State Farm General Insurance Company</v>
      </c>
      <c r="Z241" s="68"/>
      <c r="AA241" s="40"/>
      <c r="AB241" s="18"/>
      <c r="AC241" s="18"/>
      <c r="AD241" s="18"/>
      <c r="AE241" s="18"/>
      <c r="AF241" s="18"/>
      <c r="AG241" s="18"/>
      <c r="AH241" s="18"/>
      <c r="AI241" s="18"/>
      <c r="AJ241" s="18"/>
      <c r="AK241" s="137" t="str">
        <f>Co_Name</f>
        <v>State Farm General Insurance Company</v>
      </c>
      <c r="AL241" s="68"/>
      <c r="AM241" s="40"/>
      <c r="AN241" s="18"/>
      <c r="AO241" s="18"/>
      <c r="AP241" s="18"/>
      <c r="AQ241" s="18"/>
      <c r="AR241" s="18"/>
      <c r="AS241" s="18"/>
      <c r="AT241" s="18"/>
      <c r="AU241" s="18"/>
      <c r="AV241" s="18"/>
      <c r="AW241" s="137" t="str">
        <f>Co_Name</f>
        <v>State Farm General Insurance Company</v>
      </c>
      <c r="AX241" s="68"/>
      <c r="AY241" s="40"/>
      <c r="AZ241" s="18"/>
      <c r="BA241" s="18"/>
      <c r="BB241" s="18"/>
      <c r="BC241" s="18"/>
      <c r="BD241" s="18"/>
      <c r="BE241" s="18"/>
      <c r="BF241" s="18"/>
      <c r="BG241" s="18"/>
      <c r="BH241" s="18"/>
      <c r="BI241" s="137" t="str">
        <f>Co_Name</f>
        <v>State Farm General Insurance Company</v>
      </c>
      <c r="BJ241" s="68"/>
      <c r="BK241" s="40"/>
      <c r="BL241" s="18"/>
      <c r="BM241" s="18"/>
      <c r="BN241" s="18"/>
      <c r="BO241" s="18"/>
      <c r="BP241" s="18"/>
      <c r="BQ241" s="18"/>
      <c r="BR241" s="18"/>
      <c r="BS241" s="18"/>
      <c r="BT241" s="18"/>
      <c r="BU241" s="137" t="str">
        <f>Co_Name</f>
        <v>State Farm General Insurance Company</v>
      </c>
      <c r="BV241" s="68"/>
      <c r="BW241" s="40"/>
      <c r="BX241" s="18"/>
      <c r="BY241" s="18"/>
      <c r="BZ241" s="18"/>
      <c r="CA241" s="18"/>
      <c r="CB241" s="18"/>
      <c r="CC241" s="18"/>
      <c r="CD241" s="18"/>
      <c r="CE241" s="18"/>
      <c r="CF241" s="18"/>
      <c r="CG241" s="137" t="str">
        <f>Co_Name</f>
        <v>State Farm General Insurance Company</v>
      </c>
      <c r="CH241" s="68"/>
      <c r="CI241" s="40"/>
      <c r="CJ241" s="18"/>
      <c r="CK241" s="18"/>
      <c r="CL241" s="18"/>
      <c r="CM241" s="18"/>
      <c r="CN241" s="18"/>
      <c r="CO241" s="18"/>
      <c r="CP241" s="18"/>
      <c r="CQ241" s="18"/>
      <c r="CR241" s="18"/>
      <c r="CS241" s="137" t="str">
        <f>Co_Name</f>
        <v>State Farm General Insurance Company</v>
      </c>
      <c r="CT241" s="68"/>
      <c r="CU241" s="40"/>
      <c r="CV241" s="18"/>
      <c r="CW241" s="18"/>
      <c r="CX241" s="18"/>
      <c r="CY241" s="18"/>
      <c r="CZ241" s="18"/>
      <c r="DA241" s="18"/>
      <c r="DB241" s="18"/>
      <c r="DC241" s="18"/>
      <c r="DD241" s="18"/>
      <c r="DE241" s="137" t="str">
        <f>Co_Name</f>
        <v>State Farm General Insurance Company</v>
      </c>
      <c r="DF241" s="68"/>
      <c r="DG241" s="40"/>
      <c r="DH241" s="18"/>
      <c r="DI241" s="18"/>
      <c r="DJ241" s="18"/>
      <c r="DK241" s="18"/>
      <c r="DL241" s="18"/>
      <c r="DM241" s="18"/>
      <c r="DN241" s="18"/>
      <c r="DO241" s="18"/>
      <c r="DP241" s="18"/>
    </row>
    <row r="242" spans="1:120" ht="21" x14ac:dyDescent="0.35">
      <c r="A242" s="137" t="str">
        <f>A$2</f>
        <v>Homeowners Multiple Peril</v>
      </c>
      <c r="B242" s="68"/>
      <c r="C242" s="40"/>
      <c r="D242" s="18"/>
      <c r="E242" s="18"/>
      <c r="F242" s="18"/>
      <c r="G242" s="18"/>
      <c r="H242" s="18"/>
      <c r="I242" s="18"/>
      <c r="J242" s="18"/>
      <c r="K242" s="18"/>
      <c r="L242" s="18"/>
      <c r="M242" s="137" t="str">
        <f>M$2</f>
        <v/>
      </c>
      <c r="N242" s="68"/>
      <c r="O242" s="40"/>
      <c r="P242" s="18"/>
      <c r="Q242" s="18"/>
      <c r="R242" s="18"/>
      <c r="S242" s="18"/>
      <c r="T242" s="18"/>
      <c r="U242" s="18"/>
      <c r="V242" s="18"/>
      <c r="W242" s="18"/>
      <c r="X242" s="18"/>
      <c r="Y242" s="137" t="str">
        <f>Y$2</f>
        <v/>
      </c>
      <c r="Z242" s="68"/>
      <c r="AA242" s="40"/>
      <c r="AB242" s="18"/>
      <c r="AC242" s="18"/>
      <c r="AD242" s="18"/>
      <c r="AE242" s="18"/>
      <c r="AF242" s="18"/>
      <c r="AG242" s="18"/>
      <c r="AH242" s="18"/>
      <c r="AI242" s="18"/>
      <c r="AJ242" s="18"/>
      <c r="AK242" s="137" t="str">
        <f>AK$2</f>
        <v/>
      </c>
      <c r="AL242" s="68"/>
      <c r="AM242" s="40"/>
      <c r="AN242" s="18"/>
      <c r="AO242" s="18"/>
      <c r="AP242" s="18"/>
      <c r="AQ242" s="18"/>
      <c r="AR242" s="18"/>
      <c r="AS242" s="18"/>
      <c r="AT242" s="18"/>
      <c r="AU242" s="18"/>
      <c r="AV242" s="18"/>
      <c r="AW242" s="137" t="str">
        <f>AW$2</f>
        <v/>
      </c>
      <c r="AX242" s="68"/>
      <c r="AY242" s="40"/>
      <c r="AZ242" s="18"/>
      <c r="BA242" s="18"/>
      <c r="BB242" s="18"/>
      <c r="BC242" s="18"/>
      <c r="BD242" s="18"/>
      <c r="BE242" s="18"/>
      <c r="BF242" s="18"/>
      <c r="BG242" s="18"/>
      <c r="BH242" s="18"/>
      <c r="BI242" s="137" t="str">
        <f>BI$2</f>
        <v/>
      </c>
      <c r="BJ242" s="68"/>
      <c r="BK242" s="40"/>
      <c r="BL242" s="18"/>
      <c r="BM242" s="18"/>
      <c r="BN242" s="18"/>
      <c r="BO242" s="18"/>
      <c r="BP242" s="18"/>
      <c r="BQ242" s="18"/>
      <c r="BR242" s="18"/>
      <c r="BS242" s="18"/>
      <c r="BT242" s="18"/>
      <c r="BU242" s="137" t="str">
        <f>BU$2</f>
        <v/>
      </c>
      <c r="BV242" s="68"/>
      <c r="BW242" s="40"/>
      <c r="BX242" s="18"/>
      <c r="BY242" s="18"/>
      <c r="BZ242" s="18"/>
      <c r="CA242" s="18"/>
      <c r="CB242" s="18"/>
      <c r="CC242" s="18"/>
      <c r="CD242" s="18"/>
      <c r="CE242" s="18"/>
      <c r="CF242" s="18"/>
      <c r="CG242" s="137" t="str">
        <f>CG$2</f>
        <v/>
      </c>
      <c r="CH242" s="68"/>
      <c r="CI242" s="40"/>
      <c r="CJ242" s="18"/>
      <c r="CK242" s="18"/>
      <c r="CL242" s="18"/>
      <c r="CM242" s="18"/>
      <c r="CN242" s="18"/>
      <c r="CO242" s="18"/>
      <c r="CP242" s="18"/>
      <c r="CQ242" s="18"/>
      <c r="CR242" s="18"/>
      <c r="CS242" s="137" t="str">
        <f>CS$2</f>
        <v/>
      </c>
      <c r="CT242" s="68"/>
      <c r="CU242" s="40"/>
      <c r="CV242" s="18"/>
      <c r="CW242" s="18"/>
      <c r="CX242" s="18"/>
      <c r="CY242" s="18"/>
      <c r="CZ242" s="18"/>
      <c r="DA242" s="18"/>
      <c r="DB242" s="18"/>
      <c r="DC242" s="18"/>
      <c r="DD242" s="18"/>
      <c r="DE242" s="137" t="str">
        <f>DE$2</f>
        <v/>
      </c>
      <c r="DF242" s="68"/>
      <c r="DG242" s="40"/>
      <c r="DH242" s="18"/>
      <c r="DI242" s="18"/>
      <c r="DJ242" s="18"/>
      <c r="DK242" s="18"/>
      <c r="DL242" s="18"/>
      <c r="DM242" s="18"/>
      <c r="DN242" s="18"/>
      <c r="DO242" s="18"/>
      <c r="DP242" s="18"/>
    </row>
    <row r="243" spans="1:120" ht="21" customHeight="1" x14ac:dyDescent="0.25"/>
    <row r="244" spans="1:120" ht="21" x14ac:dyDescent="0.25">
      <c r="A244" s="48" t="s">
        <v>196</v>
      </c>
      <c r="B244" s="48"/>
      <c r="C244" s="18"/>
      <c r="D244" s="18"/>
      <c r="E244" s="18"/>
      <c r="F244" s="18"/>
      <c r="G244" s="18"/>
      <c r="H244" s="18"/>
      <c r="I244" s="18"/>
      <c r="J244" s="18"/>
      <c r="K244" s="18"/>
      <c r="L244" s="18"/>
      <c r="M244" s="48" t="s">
        <v>196</v>
      </c>
      <c r="N244" s="48"/>
      <c r="O244" s="18"/>
      <c r="P244" s="18"/>
      <c r="Q244" s="18"/>
      <c r="R244" s="18"/>
      <c r="S244" s="18"/>
      <c r="T244" s="18"/>
      <c r="U244" s="18"/>
      <c r="V244" s="18"/>
      <c r="W244" s="18"/>
      <c r="X244" s="18"/>
      <c r="Y244" s="48" t="s">
        <v>196</v>
      </c>
      <c r="Z244" s="48"/>
      <c r="AA244" s="18"/>
      <c r="AB244" s="18"/>
      <c r="AC244" s="18"/>
      <c r="AD244" s="18"/>
      <c r="AE244" s="18"/>
      <c r="AF244" s="18"/>
      <c r="AG244" s="18"/>
      <c r="AH244" s="18"/>
      <c r="AI244" s="18"/>
      <c r="AJ244" s="18"/>
      <c r="AK244" s="48" t="s">
        <v>196</v>
      </c>
      <c r="AL244" s="48"/>
      <c r="AM244" s="18"/>
      <c r="AN244" s="18"/>
      <c r="AO244" s="18"/>
      <c r="AP244" s="18"/>
      <c r="AQ244" s="18"/>
      <c r="AR244" s="18"/>
      <c r="AS244" s="18"/>
      <c r="AT244" s="18"/>
      <c r="AU244" s="18"/>
      <c r="AV244" s="18"/>
      <c r="AW244" s="48" t="s">
        <v>196</v>
      </c>
      <c r="AX244" s="48"/>
      <c r="AY244" s="18"/>
      <c r="AZ244" s="18"/>
      <c r="BA244" s="18"/>
      <c r="BB244" s="18"/>
      <c r="BC244" s="18"/>
      <c r="BD244" s="18"/>
      <c r="BE244" s="18"/>
      <c r="BF244" s="18"/>
      <c r="BG244" s="18"/>
      <c r="BH244" s="18"/>
      <c r="BI244" s="48" t="s">
        <v>196</v>
      </c>
      <c r="BJ244" s="48"/>
      <c r="BK244" s="18"/>
      <c r="BL244" s="18"/>
      <c r="BM244" s="18"/>
      <c r="BN244" s="18"/>
      <c r="BO244" s="18"/>
      <c r="BP244" s="18"/>
      <c r="BQ244" s="18"/>
      <c r="BR244" s="18"/>
      <c r="BS244" s="18"/>
      <c r="BT244" s="18"/>
      <c r="BU244" s="48" t="s">
        <v>196</v>
      </c>
      <c r="BV244" s="48"/>
      <c r="BW244" s="18"/>
      <c r="BX244" s="18"/>
      <c r="BY244" s="18"/>
      <c r="BZ244" s="18"/>
      <c r="CA244" s="18"/>
      <c r="CB244" s="18"/>
      <c r="CC244" s="18"/>
      <c r="CD244" s="18"/>
      <c r="CE244" s="18"/>
      <c r="CF244" s="18"/>
      <c r="CG244" s="48" t="s">
        <v>196</v>
      </c>
      <c r="CH244" s="48"/>
      <c r="CI244" s="18"/>
      <c r="CJ244" s="18"/>
      <c r="CK244" s="18"/>
      <c r="CL244" s="18"/>
      <c r="CM244" s="18"/>
      <c r="CN244" s="18"/>
      <c r="CO244" s="18"/>
      <c r="CP244" s="18"/>
      <c r="CQ244" s="18"/>
      <c r="CR244" s="18"/>
      <c r="CS244" s="48" t="s">
        <v>196</v>
      </c>
      <c r="CT244" s="48"/>
      <c r="CU244" s="18"/>
      <c r="CV244" s="18"/>
      <c r="CW244" s="18"/>
      <c r="CX244" s="18"/>
      <c r="CY244" s="18"/>
      <c r="CZ244" s="18"/>
      <c r="DA244" s="18"/>
      <c r="DB244" s="18"/>
      <c r="DC244" s="18"/>
      <c r="DD244" s="18"/>
      <c r="DE244" s="48" t="s">
        <v>196</v>
      </c>
      <c r="DF244" s="48"/>
      <c r="DG244" s="18"/>
      <c r="DH244" s="18"/>
      <c r="DI244" s="18"/>
      <c r="DJ244" s="18"/>
      <c r="DK244" s="18"/>
      <c r="DL244" s="18"/>
      <c r="DM244" s="18"/>
      <c r="DN244" s="18"/>
      <c r="DO244" s="18"/>
      <c r="DP244" s="18"/>
    </row>
    <row r="245" spans="1:120" x14ac:dyDescent="0.25">
      <c r="A245" s="138" t="str">
        <f>A$5</f>
        <v>Rental Dwelling</v>
      </c>
      <c r="B245" s="69"/>
      <c r="C245" s="18"/>
      <c r="D245" s="18"/>
      <c r="E245" s="18"/>
      <c r="F245" s="18"/>
      <c r="G245" s="18"/>
      <c r="H245" s="18"/>
      <c r="I245" s="18"/>
      <c r="J245" s="18"/>
      <c r="K245" s="18"/>
      <c r="L245" s="18"/>
      <c r="M245" s="138">
        <f>M$5</f>
        <v>0</v>
      </c>
      <c r="N245" s="69"/>
      <c r="O245" s="18"/>
      <c r="P245" s="18"/>
      <c r="Q245" s="18"/>
      <c r="R245" s="18"/>
      <c r="S245" s="18"/>
      <c r="T245" s="18"/>
      <c r="U245" s="18"/>
      <c r="V245" s="18"/>
      <c r="W245" s="18"/>
      <c r="X245" s="18"/>
      <c r="Y245" s="138">
        <f>Y$5</f>
        <v>0</v>
      </c>
      <c r="Z245" s="69"/>
      <c r="AA245" s="18"/>
      <c r="AB245" s="18"/>
      <c r="AC245" s="18"/>
      <c r="AD245" s="18"/>
      <c r="AE245" s="18"/>
      <c r="AF245" s="18"/>
      <c r="AG245" s="18"/>
      <c r="AH245" s="18"/>
      <c r="AI245" s="18"/>
      <c r="AJ245" s="18"/>
      <c r="AK245" s="138">
        <f>AK$5</f>
        <v>0</v>
      </c>
      <c r="AL245" s="69"/>
      <c r="AM245" s="18"/>
      <c r="AN245" s="18"/>
      <c r="AO245" s="18"/>
      <c r="AP245" s="18"/>
      <c r="AQ245" s="18"/>
      <c r="AR245" s="18"/>
      <c r="AS245" s="18"/>
      <c r="AT245" s="18"/>
      <c r="AU245" s="18"/>
      <c r="AV245" s="18"/>
      <c r="AW245" s="138">
        <f>AW$5</f>
        <v>0</v>
      </c>
      <c r="AX245" s="69"/>
      <c r="AY245" s="18"/>
      <c r="AZ245" s="18"/>
      <c r="BA245" s="18"/>
      <c r="BB245" s="18"/>
      <c r="BC245" s="18"/>
      <c r="BD245" s="18"/>
      <c r="BE245" s="18"/>
      <c r="BF245" s="18"/>
      <c r="BG245" s="18"/>
      <c r="BH245" s="18"/>
      <c r="BI245" s="138">
        <f>BI$5</f>
        <v>0</v>
      </c>
      <c r="BJ245" s="69"/>
      <c r="BK245" s="18"/>
      <c r="BL245" s="18"/>
      <c r="BM245" s="18"/>
      <c r="BN245" s="18"/>
      <c r="BO245" s="18"/>
      <c r="BP245" s="18"/>
      <c r="BQ245" s="18"/>
      <c r="BR245" s="18"/>
      <c r="BS245" s="18"/>
      <c r="BT245" s="18"/>
      <c r="BU245" s="138">
        <f>BU$5</f>
        <v>0</v>
      </c>
      <c r="BV245" s="69"/>
      <c r="BW245" s="18"/>
      <c r="BX245" s="18"/>
      <c r="BY245" s="18"/>
      <c r="BZ245" s="18"/>
      <c r="CA245" s="18"/>
      <c r="CB245" s="18"/>
      <c r="CC245" s="18"/>
      <c r="CD245" s="18"/>
      <c r="CE245" s="18"/>
      <c r="CF245" s="18"/>
      <c r="CG245" s="138">
        <f>CG$5</f>
        <v>0</v>
      </c>
      <c r="CH245" s="69"/>
      <c r="CI245" s="18"/>
      <c r="CJ245" s="18"/>
      <c r="CK245" s="18"/>
      <c r="CL245" s="18"/>
      <c r="CM245" s="18"/>
      <c r="CN245" s="18"/>
      <c r="CO245" s="18"/>
      <c r="CP245" s="18"/>
      <c r="CQ245" s="18"/>
      <c r="CR245" s="18"/>
      <c r="CS245" s="138">
        <f>CS$5</f>
        <v>0</v>
      </c>
      <c r="CT245" s="69"/>
      <c r="CU245" s="18"/>
      <c r="CV245" s="18"/>
      <c r="CW245" s="18"/>
      <c r="CX245" s="18"/>
      <c r="CY245" s="18"/>
      <c r="CZ245" s="18"/>
      <c r="DA245" s="18"/>
      <c r="DB245" s="18"/>
      <c r="DC245" s="18"/>
      <c r="DD245" s="18"/>
      <c r="DE245" s="138">
        <f>DE$5</f>
        <v>0</v>
      </c>
      <c r="DF245" s="69"/>
      <c r="DG245" s="18"/>
      <c r="DH245" s="18"/>
      <c r="DI245" s="18"/>
      <c r="DJ245" s="18"/>
      <c r="DK245" s="18"/>
      <c r="DL245" s="18"/>
      <c r="DM245" s="18"/>
      <c r="DN245" s="18"/>
      <c r="DO245" s="18"/>
      <c r="DP245" s="18"/>
    </row>
    <row r="246" spans="1:120" ht="15" customHeight="1" x14ac:dyDescent="0.25">
      <c r="A246" s="3"/>
      <c r="B246" s="3"/>
      <c r="C246" s="3"/>
      <c r="D246" s="3"/>
      <c r="E246" s="3"/>
      <c r="F246" s="310" t="str">
        <f>IFERROR(RIGHT('1.General'!I57,LEN('1.General'!I57)-2),"")</f>
        <v/>
      </c>
      <c r="G246" s="3"/>
      <c r="H246" s="18"/>
      <c r="I246" s="18"/>
      <c r="J246" s="18"/>
      <c r="K246" s="18"/>
      <c r="L246" s="18"/>
      <c r="M246" s="3"/>
      <c r="N246" s="3"/>
      <c r="O246" s="3"/>
      <c r="P246" s="3"/>
      <c r="Q246" s="3"/>
      <c r="R246" s="310" t="str">
        <f>F246</f>
        <v/>
      </c>
      <c r="S246" s="3"/>
      <c r="T246" s="18"/>
      <c r="U246" s="18"/>
      <c r="V246" s="18"/>
      <c r="W246" s="18"/>
      <c r="X246" s="18"/>
      <c r="Y246" s="3"/>
      <c r="Z246" s="3"/>
      <c r="AA246" s="3"/>
      <c r="AB246" s="3"/>
      <c r="AC246" s="3"/>
      <c r="AD246" s="310" t="str">
        <f>F246</f>
        <v/>
      </c>
      <c r="AE246" s="3"/>
      <c r="AF246" s="18"/>
      <c r="AG246" s="18"/>
      <c r="AH246" s="18"/>
      <c r="AI246" s="18"/>
      <c r="AJ246" s="18"/>
      <c r="AK246" s="3"/>
      <c r="AL246" s="3"/>
      <c r="AM246" s="3"/>
      <c r="AN246" s="3"/>
      <c r="AO246" s="3"/>
      <c r="AP246" s="310" t="str">
        <f>F246</f>
        <v/>
      </c>
      <c r="AQ246" s="3"/>
      <c r="AR246" s="18"/>
      <c r="AS246" s="18"/>
      <c r="AT246" s="18"/>
      <c r="AU246" s="18"/>
      <c r="AV246" s="18"/>
      <c r="AW246" s="3"/>
      <c r="AX246" s="3"/>
      <c r="AY246" s="3"/>
      <c r="AZ246" s="3"/>
      <c r="BA246" s="3"/>
      <c r="BB246" s="310" t="str">
        <f>F246</f>
        <v/>
      </c>
      <c r="BC246" s="3"/>
      <c r="BD246" s="18"/>
      <c r="BE246" s="18"/>
      <c r="BF246" s="18"/>
      <c r="BG246" s="18"/>
      <c r="BH246" s="18"/>
      <c r="BI246" s="3"/>
      <c r="BJ246" s="3"/>
      <c r="BK246" s="3"/>
      <c r="BL246" s="3"/>
      <c r="BM246" s="3"/>
      <c r="BN246" s="310" t="str">
        <f>F246</f>
        <v/>
      </c>
      <c r="BO246" s="3"/>
      <c r="BP246" s="18"/>
      <c r="BQ246" s="18"/>
      <c r="BR246" s="18"/>
      <c r="BS246" s="18"/>
      <c r="BT246" s="18"/>
      <c r="BU246" s="3"/>
      <c r="BV246" s="3"/>
      <c r="BW246" s="3"/>
      <c r="BX246" s="3"/>
      <c r="BY246" s="3"/>
      <c r="BZ246" s="310" t="str">
        <f>F246</f>
        <v/>
      </c>
      <c r="CA246" s="3"/>
      <c r="CB246" s="18"/>
      <c r="CC246" s="18"/>
      <c r="CD246" s="18"/>
      <c r="CE246" s="18"/>
      <c r="CF246" s="18"/>
      <c r="CG246" s="3"/>
      <c r="CH246" s="3"/>
      <c r="CI246" s="3"/>
      <c r="CJ246" s="3"/>
      <c r="CK246" s="3"/>
      <c r="CL246" s="310" t="str">
        <f>F246</f>
        <v/>
      </c>
      <c r="CM246" s="3"/>
      <c r="CN246" s="18"/>
      <c r="CO246" s="18"/>
      <c r="CP246" s="18"/>
      <c r="CQ246" s="18"/>
      <c r="CR246" s="18"/>
      <c r="CS246" s="3"/>
      <c r="CT246" s="3"/>
      <c r="CU246" s="3"/>
      <c r="CV246" s="3"/>
      <c r="CW246" s="3"/>
      <c r="CX246" s="310" t="str">
        <f>F246</f>
        <v/>
      </c>
      <c r="CY246" s="3"/>
      <c r="CZ246" s="18"/>
      <c r="DA246" s="18"/>
      <c r="DB246" s="18"/>
      <c r="DC246" s="18"/>
      <c r="DD246" s="18"/>
      <c r="DE246" s="3"/>
      <c r="DF246" s="3"/>
      <c r="DG246" s="3"/>
      <c r="DH246" s="3"/>
      <c r="DI246" s="3"/>
      <c r="DJ246" s="310" t="str">
        <f>F246</f>
        <v/>
      </c>
      <c r="DK246" s="3"/>
      <c r="DL246" s="18"/>
      <c r="DM246" s="18"/>
      <c r="DN246" s="18"/>
      <c r="DO246" s="18"/>
      <c r="DP246" s="18"/>
    </row>
    <row r="247" spans="1:120" x14ac:dyDescent="0.25">
      <c r="A247" s="102"/>
      <c r="B247" s="129"/>
      <c r="C247" s="129" t="s">
        <v>4</v>
      </c>
      <c r="D247" s="103"/>
      <c r="E247" s="103"/>
      <c r="F247" s="103"/>
      <c r="G247" s="103"/>
      <c r="H247" s="103"/>
      <c r="I247" s="103"/>
      <c r="J247" s="103"/>
      <c r="K247" s="103"/>
      <c r="L247" s="103"/>
      <c r="M247" s="102"/>
      <c r="N247" s="129"/>
      <c r="O247" s="129" t="s">
        <v>4</v>
      </c>
      <c r="P247" s="103"/>
      <c r="Q247" s="103"/>
      <c r="R247" s="103"/>
      <c r="S247" s="103"/>
      <c r="T247" s="103"/>
      <c r="U247" s="103"/>
      <c r="V247" s="103"/>
      <c r="W247" s="103"/>
      <c r="X247" s="103"/>
      <c r="Y247" s="102"/>
      <c r="Z247" s="129"/>
      <c r="AA247" s="129" t="s">
        <v>4</v>
      </c>
      <c r="AB247" s="103"/>
      <c r="AC247" s="103"/>
      <c r="AD247" s="103"/>
      <c r="AE247" s="103"/>
      <c r="AF247" s="103"/>
      <c r="AG247" s="103"/>
      <c r="AH247" s="103"/>
      <c r="AI247" s="103"/>
      <c r="AJ247" s="103"/>
      <c r="AK247" s="102"/>
      <c r="AL247" s="129"/>
      <c r="AM247" s="129" t="s">
        <v>4</v>
      </c>
      <c r="AN247" s="103"/>
      <c r="AO247" s="103"/>
      <c r="AP247" s="103"/>
      <c r="AQ247" s="103"/>
      <c r="AR247" s="103"/>
      <c r="AS247" s="103"/>
      <c r="AT247" s="103"/>
      <c r="AU247" s="103"/>
      <c r="AV247" s="103"/>
      <c r="AW247" s="102"/>
      <c r="AX247" s="129"/>
      <c r="AY247" s="129" t="s">
        <v>4</v>
      </c>
      <c r="AZ247" s="103"/>
      <c r="BA247" s="103"/>
      <c r="BB247" s="103"/>
      <c r="BC247" s="103"/>
      <c r="BD247" s="103"/>
      <c r="BE247" s="103"/>
      <c r="BF247" s="103"/>
      <c r="BG247" s="103"/>
      <c r="BH247" s="103"/>
      <c r="BI247" s="102"/>
      <c r="BJ247" s="129"/>
      <c r="BK247" s="129" t="s">
        <v>4</v>
      </c>
      <c r="BL247" s="103"/>
      <c r="BM247" s="103"/>
      <c r="BN247" s="103"/>
      <c r="BO247" s="103"/>
      <c r="BP247" s="103"/>
      <c r="BQ247" s="103"/>
      <c r="BR247" s="103"/>
      <c r="BS247" s="103"/>
      <c r="BT247" s="103"/>
      <c r="BU247" s="102"/>
      <c r="BV247" s="129"/>
      <c r="BW247" s="129" t="s">
        <v>4</v>
      </c>
      <c r="BX247" s="103"/>
      <c r="BY247" s="103"/>
      <c r="BZ247" s="103"/>
      <c r="CA247" s="103"/>
      <c r="CB247" s="103"/>
      <c r="CC247" s="103"/>
      <c r="CD247" s="103"/>
      <c r="CE247" s="103"/>
      <c r="CF247" s="103"/>
      <c r="CG247" s="102"/>
      <c r="CH247" s="129"/>
      <c r="CI247" s="129" t="s">
        <v>4</v>
      </c>
      <c r="CJ247" s="103"/>
      <c r="CK247" s="103"/>
      <c r="CL247" s="103"/>
      <c r="CM247" s="103"/>
      <c r="CN247" s="103"/>
      <c r="CO247" s="103"/>
      <c r="CP247" s="103"/>
      <c r="CQ247" s="103"/>
      <c r="CR247" s="103"/>
      <c r="CS247" s="102"/>
      <c r="CT247" s="129"/>
      <c r="CU247" s="129" t="s">
        <v>4</v>
      </c>
      <c r="CV247" s="103"/>
      <c r="CW247" s="103"/>
      <c r="CX247" s="103"/>
      <c r="CY247" s="103"/>
      <c r="CZ247" s="103"/>
      <c r="DA247" s="103"/>
      <c r="DB247" s="103"/>
      <c r="DC247" s="103"/>
      <c r="DD247" s="103"/>
      <c r="DE247" s="102"/>
      <c r="DF247" s="129"/>
      <c r="DG247" s="129" t="s">
        <v>4</v>
      </c>
      <c r="DH247" s="103"/>
      <c r="DI247" s="103"/>
      <c r="DJ247" s="103"/>
      <c r="DK247" s="103"/>
      <c r="DL247" s="103"/>
      <c r="DM247" s="103"/>
      <c r="DN247" s="103"/>
      <c r="DO247" s="103"/>
      <c r="DP247" s="103"/>
    </row>
    <row r="248" spans="1:120" ht="30" x14ac:dyDescent="0.25">
      <c r="A248" s="92" t="str">
        <f>$A$35</f>
        <v>Fiscal Accident Year Data Ending</v>
      </c>
      <c r="B248" s="98">
        <f>$B$35</f>
        <v>0</v>
      </c>
      <c r="C248" s="98" t="str">
        <f>$C$35</f>
        <v>12</v>
      </c>
      <c r="D248" s="98">
        <f>$D$35</f>
        <v>24</v>
      </c>
      <c r="E248" s="98">
        <f>$E$35</f>
        <v>36</v>
      </c>
      <c r="F248" s="98">
        <f>$F$35</f>
        <v>48</v>
      </c>
      <c r="G248" s="98">
        <f>$G$35</f>
        <v>60</v>
      </c>
      <c r="H248" s="98">
        <f>$H$35</f>
        <v>72</v>
      </c>
      <c r="I248" s="98">
        <f>$I$35</f>
        <v>84</v>
      </c>
      <c r="J248" s="98">
        <f>$J$35</f>
        <v>96</v>
      </c>
      <c r="K248" s="98">
        <f>$K$35</f>
        <v>108</v>
      </c>
      <c r="L248" s="98">
        <f>$L$35</f>
        <v>120</v>
      </c>
      <c r="M248" s="92" t="str">
        <f>$A$35</f>
        <v>Fiscal Accident Year Data Ending</v>
      </c>
      <c r="N248" s="98">
        <f>$B$35</f>
        <v>0</v>
      </c>
      <c r="O248" s="98" t="str">
        <f>$C$35</f>
        <v>12</v>
      </c>
      <c r="P248" s="98">
        <f>$D$35</f>
        <v>24</v>
      </c>
      <c r="Q248" s="98">
        <f>$E$35</f>
        <v>36</v>
      </c>
      <c r="R248" s="98">
        <f>$F$35</f>
        <v>48</v>
      </c>
      <c r="S248" s="98">
        <f>$G$35</f>
        <v>60</v>
      </c>
      <c r="T248" s="98">
        <f>$H$35</f>
        <v>72</v>
      </c>
      <c r="U248" s="98">
        <f>$I$35</f>
        <v>84</v>
      </c>
      <c r="V248" s="98">
        <f>$J$35</f>
        <v>96</v>
      </c>
      <c r="W248" s="98">
        <f>$K$35</f>
        <v>108</v>
      </c>
      <c r="X248" s="98">
        <f>$L$35</f>
        <v>120</v>
      </c>
      <c r="Y248" s="92" t="str">
        <f>$A$35</f>
        <v>Fiscal Accident Year Data Ending</v>
      </c>
      <c r="Z248" s="98">
        <f>$B$35</f>
        <v>0</v>
      </c>
      <c r="AA248" s="98" t="str">
        <f>$C$35</f>
        <v>12</v>
      </c>
      <c r="AB248" s="98">
        <f>$D$35</f>
        <v>24</v>
      </c>
      <c r="AC248" s="98">
        <f>$E$35</f>
        <v>36</v>
      </c>
      <c r="AD248" s="98">
        <f>$F$35</f>
        <v>48</v>
      </c>
      <c r="AE248" s="98">
        <f>$G$35</f>
        <v>60</v>
      </c>
      <c r="AF248" s="98">
        <f>$H$35</f>
        <v>72</v>
      </c>
      <c r="AG248" s="98">
        <f>$I$35</f>
        <v>84</v>
      </c>
      <c r="AH248" s="98">
        <f>$J$35</f>
        <v>96</v>
      </c>
      <c r="AI248" s="98">
        <f>$K$35</f>
        <v>108</v>
      </c>
      <c r="AJ248" s="98">
        <f>$L$35</f>
        <v>120</v>
      </c>
      <c r="AK248" s="92" t="str">
        <f>$A$35</f>
        <v>Fiscal Accident Year Data Ending</v>
      </c>
      <c r="AL248" s="98">
        <f>$B$35</f>
        <v>0</v>
      </c>
      <c r="AM248" s="98" t="str">
        <f>$C$35</f>
        <v>12</v>
      </c>
      <c r="AN248" s="98">
        <f>$D$35</f>
        <v>24</v>
      </c>
      <c r="AO248" s="98">
        <f>$E$35</f>
        <v>36</v>
      </c>
      <c r="AP248" s="98">
        <f>$F$35</f>
        <v>48</v>
      </c>
      <c r="AQ248" s="98">
        <f>$G$35</f>
        <v>60</v>
      </c>
      <c r="AR248" s="98">
        <f>$H$35</f>
        <v>72</v>
      </c>
      <c r="AS248" s="98">
        <f>$I$35</f>
        <v>84</v>
      </c>
      <c r="AT248" s="98">
        <f>$J$35</f>
        <v>96</v>
      </c>
      <c r="AU248" s="98">
        <f>$K$35</f>
        <v>108</v>
      </c>
      <c r="AV248" s="98">
        <f>$L$35</f>
        <v>120</v>
      </c>
      <c r="AW248" s="92" t="str">
        <f>$A$35</f>
        <v>Fiscal Accident Year Data Ending</v>
      </c>
      <c r="AX248" s="98">
        <f>$B$35</f>
        <v>0</v>
      </c>
      <c r="AY248" s="98" t="str">
        <f>$C$35</f>
        <v>12</v>
      </c>
      <c r="AZ248" s="98">
        <f>$D$35</f>
        <v>24</v>
      </c>
      <c r="BA248" s="98">
        <f>$E$35</f>
        <v>36</v>
      </c>
      <c r="BB248" s="98">
        <f>$F$35</f>
        <v>48</v>
      </c>
      <c r="BC248" s="98">
        <f>$G$35</f>
        <v>60</v>
      </c>
      <c r="BD248" s="98">
        <f>$H$35</f>
        <v>72</v>
      </c>
      <c r="BE248" s="98">
        <f>$I$35</f>
        <v>84</v>
      </c>
      <c r="BF248" s="98">
        <f>$J$35</f>
        <v>96</v>
      </c>
      <c r="BG248" s="98">
        <f>$K$35</f>
        <v>108</v>
      </c>
      <c r="BH248" s="98">
        <f>$L$35</f>
        <v>120</v>
      </c>
      <c r="BI248" s="92" t="str">
        <f>$A$35</f>
        <v>Fiscal Accident Year Data Ending</v>
      </c>
      <c r="BJ248" s="98">
        <f>$B$35</f>
        <v>0</v>
      </c>
      <c r="BK248" s="98" t="str">
        <f>$C$35</f>
        <v>12</v>
      </c>
      <c r="BL248" s="98">
        <f>$D$35</f>
        <v>24</v>
      </c>
      <c r="BM248" s="98">
        <f>$E$35</f>
        <v>36</v>
      </c>
      <c r="BN248" s="98">
        <f>$F$35</f>
        <v>48</v>
      </c>
      <c r="BO248" s="98">
        <f>$G$35</f>
        <v>60</v>
      </c>
      <c r="BP248" s="98">
        <f>$H$35</f>
        <v>72</v>
      </c>
      <c r="BQ248" s="98">
        <f>$I$35</f>
        <v>84</v>
      </c>
      <c r="BR248" s="98">
        <f>$J$35</f>
        <v>96</v>
      </c>
      <c r="BS248" s="98">
        <f>$K$35</f>
        <v>108</v>
      </c>
      <c r="BT248" s="98">
        <f>$L$35</f>
        <v>120</v>
      </c>
      <c r="BU248" s="92" t="str">
        <f>$A$35</f>
        <v>Fiscal Accident Year Data Ending</v>
      </c>
      <c r="BV248" s="98">
        <f>$B$35</f>
        <v>0</v>
      </c>
      <c r="BW248" s="98" t="str">
        <f>$C$35</f>
        <v>12</v>
      </c>
      <c r="BX248" s="98">
        <f>$D$35</f>
        <v>24</v>
      </c>
      <c r="BY248" s="98">
        <f>$E$35</f>
        <v>36</v>
      </c>
      <c r="BZ248" s="98">
        <f>$F$35</f>
        <v>48</v>
      </c>
      <c r="CA248" s="98">
        <f>$G$35</f>
        <v>60</v>
      </c>
      <c r="CB248" s="98">
        <f>$H$35</f>
        <v>72</v>
      </c>
      <c r="CC248" s="98">
        <f>$I$35</f>
        <v>84</v>
      </c>
      <c r="CD248" s="98">
        <f>$J$35</f>
        <v>96</v>
      </c>
      <c r="CE248" s="98">
        <f>$K$35</f>
        <v>108</v>
      </c>
      <c r="CF248" s="98">
        <f>$L$35</f>
        <v>120</v>
      </c>
      <c r="CG248" s="92" t="str">
        <f>$A$35</f>
        <v>Fiscal Accident Year Data Ending</v>
      </c>
      <c r="CH248" s="98">
        <f>$B$35</f>
        <v>0</v>
      </c>
      <c r="CI248" s="98" t="str">
        <f>$C$35</f>
        <v>12</v>
      </c>
      <c r="CJ248" s="98">
        <f>$D$35</f>
        <v>24</v>
      </c>
      <c r="CK248" s="98">
        <f>$E$35</f>
        <v>36</v>
      </c>
      <c r="CL248" s="98">
        <f>$F$35</f>
        <v>48</v>
      </c>
      <c r="CM248" s="98">
        <f>$G$35</f>
        <v>60</v>
      </c>
      <c r="CN248" s="98">
        <f>$H$35</f>
        <v>72</v>
      </c>
      <c r="CO248" s="98">
        <f>$I$35</f>
        <v>84</v>
      </c>
      <c r="CP248" s="98">
        <f>$J$35</f>
        <v>96</v>
      </c>
      <c r="CQ248" s="98">
        <f>$K$35</f>
        <v>108</v>
      </c>
      <c r="CR248" s="98">
        <f>$L$35</f>
        <v>120</v>
      </c>
      <c r="CS248" s="92" t="str">
        <f>$A$35</f>
        <v>Fiscal Accident Year Data Ending</v>
      </c>
      <c r="CT248" s="98">
        <f>$B$35</f>
        <v>0</v>
      </c>
      <c r="CU248" s="98" t="str">
        <f>$C$35</f>
        <v>12</v>
      </c>
      <c r="CV248" s="98">
        <f>$D$35</f>
        <v>24</v>
      </c>
      <c r="CW248" s="98">
        <f>$E$35</f>
        <v>36</v>
      </c>
      <c r="CX248" s="98">
        <f>$F$35</f>
        <v>48</v>
      </c>
      <c r="CY248" s="98">
        <f>$G$35</f>
        <v>60</v>
      </c>
      <c r="CZ248" s="98">
        <f>$H$35</f>
        <v>72</v>
      </c>
      <c r="DA248" s="98">
        <f>$I$35</f>
        <v>84</v>
      </c>
      <c r="DB248" s="98">
        <f>$J$35</f>
        <v>96</v>
      </c>
      <c r="DC248" s="98">
        <f>$K$35</f>
        <v>108</v>
      </c>
      <c r="DD248" s="98">
        <f>$L$35</f>
        <v>120</v>
      </c>
      <c r="DE248" s="92" t="str">
        <f>$A$35</f>
        <v>Fiscal Accident Year Data Ending</v>
      </c>
      <c r="DF248" s="98">
        <f>$B$35</f>
        <v>0</v>
      </c>
      <c r="DG248" s="98" t="str">
        <f>$C$35</f>
        <v>12</v>
      </c>
      <c r="DH248" s="98">
        <f>$D$35</f>
        <v>24</v>
      </c>
      <c r="DI248" s="98">
        <f>$E$35</f>
        <v>36</v>
      </c>
      <c r="DJ248" s="98">
        <f>$F$35</f>
        <v>48</v>
      </c>
      <c r="DK248" s="98">
        <f>$G$35</f>
        <v>60</v>
      </c>
      <c r="DL248" s="98">
        <f>$H$35</f>
        <v>72</v>
      </c>
      <c r="DM248" s="98">
        <f>$I$35</f>
        <v>84</v>
      </c>
      <c r="DN248" s="98">
        <f>$J$35</f>
        <v>96</v>
      </c>
      <c r="DO248" s="98">
        <f>$K$35</f>
        <v>108</v>
      </c>
      <c r="DP248" s="98">
        <f>$L$35</f>
        <v>120</v>
      </c>
    </row>
    <row r="249" spans="1:120" ht="15" customHeight="1" x14ac:dyDescent="0.25">
      <c r="A249" s="31">
        <f>$A$36</f>
        <v>20132</v>
      </c>
      <c r="B249" s="21"/>
      <c r="C249" s="21"/>
      <c r="D249" s="21"/>
      <c r="E249" s="21"/>
      <c r="F249" s="21"/>
      <c r="G249" s="21"/>
      <c r="H249" s="21"/>
      <c r="I249" s="21"/>
      <c r="J249" s="21"/>
      <c r="K249" s="21"/>
      <c r="L249" s="21"/>
      <c r="M249" s="31">
        <f>$A$36</f>
        <v>20132</v>
      </c>
      <c r="N249" s="21"/>
      <c r="O249" s="21"/>
      <c r="P249" s="21"/>
      <c r="Q249" s="21"/>
      <c r="R249" s="21"/>
      <c r="S249" s="21"/>
      <c r="T249" s="21"/>
      <c r="U249" s="21"/>
      <c r="V249" s="21"/>
      <c r="W249" s="21"/>
      <c r="X249" s="21"/>
      <c r="Y249" s="31">
        <f>$A$36</f>
        <v>20132</v>
      </c>
      <c r="Z249" s="21"/>
      <c r="AA249" s="21"/>
      <c r="AB249" s="21"/>
      <c r="AC249" s="21"/>
      <c r="AD249" s="21"/>
      <c r="AE249" s="21"/>
      <c r="AF249" s="21"/>
      <c r="AG249" s="21"/>
      <c r="AH249" s="21"/>
      <c r="AI249" s="21"/>
      <c r="AJ249" s="21"/>
      <c r="AK249" s="31">
        <f>$A$36</f>
        <v>20132</v>
      </c>
      <c r="AL249" s="21"/>
      <c r="AM249" s="21"/>
      <c r="AN249" s="21"/>
      <c r="AO249" s="21"/>
      <c r="AP249" s="21"/>
      <c r="AQ249" s="21"/>
      <c r="AR249" s="21"/>
      <c r="AS249" s="21"/>
      <c r="AT249" s="21"/>
      <c r="AU249" s="21"/>
      <c r="AV249" s="21"/>
      <c r="AW249" s="31">
        <f>$A$36</f>
        <v>20132</v>
      </c>
      <c r="AX249" s="21"/>
      <c r="AY249" s="21"/>
      <c r="AZ249" s="21"/>
      <c r="BA249" s="21"/>
      <c r="BB249" s="21"/>
      <c r="BC249" s="21"/>
      <c r="BD249" s="21"/>
      <c r="BE249" s="21"/>
      <c r="BF249" s="21"/>
      <c r="BG249" s="21"/>
      <c r="BH249" s="21"/>
      <c r="BI249" s="31">
        <f>$A$36</f>
        <v>20132</v>
      </c>
      <c r="BJ249" s="21"/>
      <c r="BK249" s="21"/>
      <c r="BL249" s="21"/>
      <c r="BM249" s="21"/>
      <c r="BN249" s="21"/>
      <c r="BO249" s="21"/>
      <c r="BP249" s="21"/>
      <c r="BQ249" s="21"/>
      <c r="BR249" s="21"/>
      <c r="BS249" s="21"/>
      <c r="BT249" s="21"/>
      <c r="BU249" s="31">
        <f>$A$36</f>
        <v>20132</v>
      </c>
      <c r="BV249" s="21"/>
      <c r="BW249" s="21"/>
      <c r="BX249" s="21"/>
      <c r="BY249" s="21"/>
      <c r="BZ249" s="21"/>
      <c r="CA249" s="21"/>
      <c r="CB249" s="21"/>
      <c r="CC249" s="21"/>
      <c r="CD249" s="21"/>
      <c r="CE249" s="21"/>
      <c r="CF249" s="21"/>
      <c r="CG249" s="31">
        <f>$A$36</f>
        <v>20132</v>
      </c>
      <c r="CH249" s="21"/>
      <c r="CI249" s="21"/>
      <c r="CJ249" s="21"/>
      <c r="CK249" s="21"/>
      <c r="CL249" s="21"/>
      <c r="CM249" s="21"/>
      <c r="CN249" s="21"/>
      <c r="CO249" s="21"/>
      <c r="CP249" s="21"/>
      <c r="CQ249" s="21"/>
      <c r="CR249" s="21"/>
      <c r="CS249" s="31">
        <f>$A$36</f>
        <v>20132</v>
      </c>
      <c r="CT249" s="21"/>
      <c r="CU249" s="21"/>
      <c r="CV249" s="21"/>
      <c r="CW249" s="21"/>
      <c r="CX249" s="21"/>
      <c r="CY249" s="21"/>
      <c r="CZ249" s="21"/>
      <c r="DA249" s="21"/>
      <c r="DB249" s="21"/>
      <c r="DC249" s="21"/>
      <c r="DD249" s="21"/>
      <c r="DE249" s="31">
        <f>$A$36</f>
        <v>20132</v>
      </c>
      <c r="DF249" s="21"/>
      <c r="DG249" s="21"/>
      <c r="DH249" s="21"/>
      <c r="DI249" s="21"/>
      <c r="DJ249" s="21"/>
      <c r="DK249" s="21"/>
      <c r="DL249" s="21"/>
      <c r="DM249" s="21"/>
      <c r="DN249" s="21"/>
      <c r="DO249" s="21"/>
      <c r="DP249" s="21"/>
    </row>
    <row r="250" spans="1:120" ht="15" customHeight="1" x14ac:dyDescent="0.25">
      <c r="A250" s="31">
        <f>$A$37</f>
        <v>20142</v>
      </c>
      <c r="B250" s="21"/>
      <c r="C250" s="21"/>
      <c r="D250" s="21"/>
      <c r="E250" s="21"/>
      <c r="F250" s="21"/>
      <c r="G250" s="21"/>
      <c r="H250" s="21"/>
      <c r="I250" s="21"/>
      <c r="J250" s="21"/>
      <c r="K250" s="21"/>
      <c r="L250" s="134"/>
      <c r="M250" s="31">
        <f>$A$37</f>
        <v>20142</v>
      </c>
      <c r="N250" s="21"/>
      <c r="O250" s="21"/>
      <c r="P250" s="21"/>
      <c r="Q250" s="21"/>
      <c r="R250" s="21"/>
      <c r="S250" s="21"/>
      <c r="T250" s="21"/>
      <c r="U250" s="21"/>
      <c r="V250" s="21"/>
      <c r="W250" s="21"/>
      <c r="X250" s="134"/>
      <c r="Y250" s="31">
        <f>$A$37</f>
        <v>20142</v>
      </c>
      <c r="Z250" s="21"/>
      <c r="AA250" s="21"/>
      <c r="AB250" s="21"/>
      <c r="AC250" s="21"/>
      <c r="AD250" s="21"/>
      <c r="AE250" s="21"/>
      <c r="AF250" s="21"/>
      <c r="AG250" s="21"/>
      <c r="AH250" s="21"/>
      <c r="AI250" s="21"/>
      <c r="AJ250" s="134"/>
      <c r="AK250" s="31">
        <f>$A$37</f>
        <v>20142</v>
      </c>
      <c r="AL250" s="21"/>
      <c r="AM250" s="21"/>
      <c r="AN250" s="21"/>
      <c r="AO250" s="21"/>
      <c r="AP250" s="21"/>
      <c r="AQ250" s="21"/>
      <c r="AR250" s="21"/>
      <c r="AS250" s="21"/>
      <c r="AT250" s="21"/>
      <c r="AU250" s="21"/>
      <c r="AV250" s="134"/>
      <c r="AW250" s="31">
        <f>$A$37</f>
        <v>20142</v>
      </c>
      <c r="AX250" s="21"/>
      <c r="AY250" s="21"/>
      <c r="AZ250" s="21"/>
      <c r="BA250" s="21"/>
      <c r="BB250" s="21"/>
      <c r="BC250" s="21"/>
      <c r="BD250" s="21"/>
      <c r="BE250" s="21"/>
      <c r="BF250" s="21"/>
      <c r="BG250" s="21"/>
      <c r="BH250" s="134"/>
      <c r="BI250" s="31">
        <f>$A$37</f>
        <v>20142</v>
      </c>
      <c r="BJ250" s="21"/>
      <c r="BK250" s="21"/>
      <c r="BL250" s="21"/>
      <c r="BM250" s="21"/>
      <c r="BN250" s="21"/>
      <c r="BO250" s="21"/>
      <c r="BP250" s="21"/>
      <c r="BQ250" s="21"/>
      <c r="BR250" s="21"/>
      <c r="BS250" s="21"/>
      <c r="BT250" s="134"/>
      <c r="BU250" s="31">
        <f>$A$37</f>
        <v>20142</v>
      </c>
      <c r="BV250" s="21"/>
      <c r="BW250" s="21"/>
      <c r="BX250" s="21"/>
      <c r="BY250" s="21"/>
      <c r="BZ250" s="21"/>
      <c r="CA250" s="21"/>
      <c r="CB250" s="21"/>
      <c r="CC250" s="21"/>
      <c r="CD250" s="21"/>
      <c r="CE250" s="21"/>
      <c r="CF250" s="134"/>
      <c r="CG250" s="31">
        <f>$A$37</f>
        <v>20142</v>
      </c>
      <c r="CH250" s="21"/>
      <c r="CI250" s="21"/>
      <c r="CJ250" s="21"/>
      <c r="CK250" s="21"/>
      <c r="CL250" s="21"/>
      <c r="CM250" s="21"/>
      <c r="CN250" s="21"/>
      <c r="CO250" s="21"/>
      <c r="CP250" s="21"/>
      <c r="CQ250" s="21"/>
      <c r="CR250" s="134"/>
      <c r="CS250" s="31">
        <f>$A$37</f>
        <v>20142</v>
      </c>
      <c r="CT250" s="21"/>
      <c r="CU250" s="21"/>
      <c r="CV250" s="21"/>
      <c r="CW250" s="21"/>
      <c r="CX250" s="21"/>
      <c r="CY250" s="21"/>
      <c r="CZ250" s="21"/>
      <c r="DA250" s="21"/>
      <c r="DB250" s="21"/>
      <c r="DC250" s="21"/>
      <c r="DD250" s="134"/>
      <c r="DE250" s="31">
        <f>$A$37</f>
        <v>20142</v>
      </c>
      <c r="DF250" s="21"/>
      <c r="DG250" s="21"/>
      <c r="DH250" s="21"/>
      <c r="DI250" s="21"/>
      <c r="DJ250" s="21"/>
      <c r="DK250" s="21"/>
      <c r="DL250" s="21"/>
      <c r="DM250" s="21"/>
      <c r="DN250" s="21"/>
      <c r="DO250" s="21"/>
      <c r="DP250" s="134"/>
    </row>
    <row r="251" spans="1:120" ht="15" customHeight="1" x14ac:dyDescent="0.25">
      <c r="A251" s="31">
        <f>$A$38</f>
        <v>20152</v>
      </c>
      <c r="B251" s="21"/>
      <c r="C251" s="21"/>
      <c r="D251" s="21"/>
      <c r="E251" s="21"/>
      <c r="F251" s="21"/>
      <c r="G251" s="21"/>
      <c r="H251" s="21"/>
      <c r="I251" s="21"/>
      <c r="J251" s="21"/>
      <c r="K251" s="134"/>
      <c r="L251" s="134"/>
      <c r="M251" s="31">
        <f>$A$38</f>
        <v>20152</v>
      </c>
      <c r="N251" s="21"/>
      <c r="O251" s="21"/>
      <c r="P251" s="21"/>
      <c r="Q251" s="21"/>
      <c r="R251" s="21"/>
      <c r="S251" s="21"/>
      <c r="T251" s="21"/>
      <c r="U251" s="21"/>
      <c r="V251" s="21"/>
      <c r="W251" s="134"/>
      <c r="X251" s="134"/>
      <c r="Y251" s="31">
        <f>$A$38</f>
        <v>20152</v>
      </c>
      <c r="Z251" s="21"/>
      <c r="AA251" s="21"/>
      <c r="AB251" s="21"/>
      <c r="AC251" s="21"/>
      <c r="AD251" s="21"/>
      <c r="AE251" s="21"/>
      <c r="AF251" s="21"/>
      <c r="AG251" s="21"/>
      <c r="AH251" s="21"/>
      <c r="AI251" s="134"/>
      <c r="AJ251" s="134"/>
      <c r="AK251" s="31">
        <f>$A$38</f>
        <v>20152</v>
      </c>
      <c r="AL251" s="21"/>
      <c r="AM251" s="21"/>
      <c r="AN251" s="21"/>
      <c r="AO251" s="21"/>
      <c r="AP251" s="21"/>
      <c r="AQ251" s="21"/>
      <c r="AR251" s="21"/>
      <c r="AS251" s="21"/>
      <c r="AT251" s="21"/>
      <c r="AU251" s="134"/>
      <c r="AV251" s="134"/>
      <c r="AW251" s="31">
        <f>$A$38</f>
        <v>20152</v>
      </c>
      <c r="AX251" s="21"/>
      <c r="AY251" s="21"/>
      <c r="AZ251" s="21"/>
      <c r="BA251" s="21"/>
      <c r="BB251" s="21"/>
      <c r="BC251" s="21"/>
      <c r="BD251" s="21"/>
      <c r="BE251" s="21"/>
      <c r="BF251" s="21"/>
      <c r="BG251" s="134"/>
      <c r="BH251" s="134"/>
      <c r="BI251" s="31">
        <f>$A$38</f>
        <v>20152</v>
      </c>
      <c r="BJ251" s="21"/>
      <c r="BK251" s="21"/>
      <c r="BL251" s="21"/>
      <c r="BM251" s="21"/>
      <c r="BN251" s="21"/>
      <c r="BO251" s="21"/>
      <c r="BP251" s="21"/>
      <c r="BQ251" s="21"/>
      <c r="BR251" s="21"/>
      <c r="BS251" s="134"/>
      <c r="BT251" s="134"/>
      <c r="BU251" s="31">
        <f>$A$38</f>
        <v>20152</v>
      </c>
      <c r="BV251" s="21"/>
      <c r="BW251" s="21"/>
      <c r="BX251" s="21"/>
      <c r="BY251" s="21"/>
      <c r="BZ251" s="21"/>
      <c r="CA251" s="21"/>
      <c r="CB251" s="21"/>
      <c r="CC251" s="21"/>
      <c r="CD251" s="21"/>
      <c r="CE251" s="134"/>
      <c r="CF251" s="134"/>
      <c r="CG251" s="31">
        <f>$A$38</f>
        <v>20152</v>
      </c>
      <c r="CH251" s="21"/>
      <c r="CI251" s="21"/>
      <c r="CJ251" s="21"/>
      <c r="CK251" s="21"/>
      <c r="CL251" s="21"/>
      <c r="CM251" s="21"/>
      <c r="CN251" s="21"/>
      <c r="CO251" s="21"/>
      <c r="CP251" s="21"/>
      <c r="CQ251" s="134"/>
      <c r="CR251" s="134"/>
      <c r="CS251" s="31">
        <f>$A$38</f>
        <v>20152</v>
      </c>
      <c r="CT251" s="21"/>
      <c r="CU251" s="21"/>
      <c r="CV251" s="21"/>
      <c r="CW251" s="21"/>
      <c r="CX251" s="21"/>
      <c r="CY251" s="21"/>
      <c r="CZ251" s="21"/>
      <c r="DA251" s="21"/>
      <c r="DB251" s="21"/>
      <c r="DC251" s="134"/>
      <c r="DD251" s="134"/>
      <c r="DE251" s="31">
        <f>$A$38</f>
        <v>20152</v>
      </c>
      <c r="DF251" s="21"/>
      <c r="DG251" s="21"/>
      <c r="DH251" s="21"/>
      <c r="DI251" s="21"/>
      <c r="DJ251" s="21"/>
      <c r="DK251" s="21"/>
      <c r="DL251" s="21"/>
      <c r="DM251" s="21"/>
      <c r="DN251" s="21"/>
      <c r="DO251" s="134"/>
      <c r="DP251" s="134"/>
    </row>
    <row r="252" spans="1:120" ht="15" customHeight="1" x14ac:dyDescent="0.25">
      <c r="A252" s="31">
        <f>$A$39</f>
        <v>20162</v>
      </c>
      <c r="B252" s="21"/>
      <c r="C252" s="21"/>
      <c r="D252" s="21"/>
      <c r="E252" s="21"/>
      <c r="F252" s="21"/>
      <c r="G252" s="21"/>
      <c r="H252" s="21"/>
      <c r="I252" s="21"/>
      <c r="J252" s="134"/>
      <c r="K252" s="134"/>
      <c r="L252" s="134"/>
      <c r="M252" s="31">
        <f>$A$39</f>
        <v>20162</v>
      </c>
      <c r="N252" s="21"/>
      <c r="O252" s="21"/>
      <c r="P252" s="21"/>
      <c r="Q252" s="21"/>
      <c r="R252" s="21"/>
      <c r="S252" s="21"/>
      <c r="T252" s="21"/>
      <c r="U252" s="21"/>
      <c r="V252" s="134"/>
      <c r="W252" s="134"/>
      <c r="X252" s="134"/>
      <c r="Y252" s="31">
        <f>$A$39</f>
        <v>20162</v>
      </c>
      <c r="Z252" s="21"/>
      <c r="AA252" s="21"/>
      <c r="AB252" s="21"/>
      <c r="AC252" s="21"/>
      <c r="AD252" s="21"/>
      <c r="AE252" s="21"/>
      <c r="AF252" s="21"/>
      <c r="AG252" s="21"/>
      <c r="AH252" s="134"/>
      <c r="AI252" s="134"/>
      <c r="AJ252" s="134"/>
      <c r="AK252" s="31">
        <f>$A$39</f>
        <v>20162</v>
      </c>
      <c r="AL252" s="21"/>
      <c r="AM252" s="21"/>
      <c r="AN252" s="21"/>
      <c r="AO252" s="21"/>
      <c r="AP252" s="21"/>
      <c r="AQ252" s="21"/>
      <c r="AR252" s="21"/>
      <c r="AS252" s="21"/>
      <c r="AT252" s="134"/>
      <c r="AU252" s="134"/>
      <c r="AV252" s="134"/>
      <c r="AW252" s="31">
        <f>$A$39</f>
        <v>20162</v>
      </c>
      <c r="AX252" s="21"/>
      <c r="AY252" s="21"/>
      <c r="AZ252" s="21"/>
      <c r="BA252" s="21"/>
      <c r="BB252" s="21"/>
      <c r="BC252" s="21"/>
      <c r="BD252" s="21"/>
      <c r="BE252" s="21"/>
      <c r="BF252" s="134"/>
      <c r="BG252" s="134"/>
      <c r="BH252" s="134"/>
      <c r="BI252" s="31">
        <f>$A$39</f>
        <v>20162</v>
      </c>
      <c r="BJ252" s="21"/>
      <c r="BK252" s="21"/>
      <c r="BL252" s="21"/>
      <c r="BM252" s="21"/>
      <c r="BN252" s="21"/>
      <c r="BO252" s="21"/>
      <c r="BP252" s="21"/>
      <c r="BQ252" s="21"/>
      <c r="BR252" s="134"/>
      <c r="BS252" s="134"/>
      <c r="BT252" s="134"/>
      <c r="BU252" s="31">
        <f>$A$39</f>
        <v>20162</v>
      </c>
      <c r="BV252" s="21"/>
      <c r="BW252" s="21"/>
      <c r="BX252" s="21"/>
      <c r="BY252" s="21"/>
      <c r="BZ252" s="21"/>
      <c r="CA252" s="21"/>
      <c r="CB252" s="21"/>
      <c r="CC252" s="21"/>
      <c r="CD252" s="134"/>
      <c r="CE252" s="134"/>
      <c r="CF252" s="134"/>
      <c r="CG252" s="31">
        <f>$A$39</f>
        <v>20162</v>
      </c>
      <c r="CH252" s="21"/>
      <c r="CI252" s="21"/>
      <c r="CJ252" s="21"/>
      <c r="CK252" s="21"/>
      <c r="CL252" s="21"/>
      <c r="CM252" s="21"/>
      <c r="CN252" s="21"/>
      <c r="CO252" s="21"/>
      <c r="CP252" s="134"/>
      <c r="CQ252" s="134"/>
      <c r="CR252" s="134"/>
      <c r="CS252" s="31">
        <f>$A$39</f>
        <v>20162</v>
      </c>
      <c r="CT252" s="21"/>
      <c r="CU252" s="21"/>
      <c r="CV252" s="21"/>
      <c r="CW252" s="21"/>
      <c r="CX252" s="21"/>
      <c r="CY252" s="21"/>
      <c r="CZ252" s="21"/>
      <c r="DA252" s="21"/>
      <c r="DB252" s="134"/>
      <c r="DC252" s="134"/>
      <c r="DD252" s="134"/>
      <c r="DE252" s="31">
        <f>$A$39</f>
        <v>20162</v>
      </c>
      <c r="DF252" s="21"/>
      <c r="DG252" s="21"/>
      <c r="DH252" s="21"/>
      <c r="DI252" s="21"/>
      <c r="DJ252" s="21"/>
      <c r="DK252" s="21"/>
      <c r="DL252" s="21"/>
      <c r="DM252" s="21"/>
      <c r="DN252" s="134"/>
      <c r="DO252" s="134"/>
      <c r="DP252" s="134"/>
    </row>
    <row r="253" spans="1:120" ht="15" customHeight="1" x14ac:dyDescent="0.25">
      <c r="A253" s="31">
        <f>$A$40</f>
        <v>20172</v>
      </c>
      <c r="B253" s="21"/>
      <c r="C253" s="21"/>
      <c r="D253" s="21"/>
      <c r="E253" s="21"/>
      <c r="F253" s="21"/>
      <c r="G253" s="21"/>
      <c r="H253" s="21"/>
      <c r="I253" s="134"/>
      <c r="J253" s="134"/>
      <c r="K253" s="134"/>
      <c r="L253" s="134"/>
      <c r="M253" s="31">
        <f>$A$40</f>
        <v>20172</v>
      </c>
      <c r="N253" s="21"/>
      <c r="O253" s="21"/>
      <c r="P253" s="21"/>
      <c r="Q253" s="21"/>
      <c r="R253" s="21"/>
      <c r="S253" s="21"/>
      <c r="T253" s="21"/>
      <c r="U253" s="134"/>
      <c r="V253" s="134"/>
      <c r="W253" s="134"/>
      <c r="X253" s="134"/>
      <c r="Y253" s="31">
        <f>$A$40</f>
        <v>20172</v>
      </c>
      <c r="Z253" s="21"/>
      <c r="AA253" s="21"/>
      <c r="AB253" s="21"/>
      <c r="AC253" s="21"/>
      <c r="AD253" s="21"/>
      <c r="AE253" s="21"/>
      <c r="AF253" s="21"/>
      <c r="AG253" s="134"/>
      <c r="AH253" s="134"/>
      <c r="AI253" s="134"/>
      <c r="AJ253" s="134"/>
      <c r="AK253" s="31">
        <f>$A$40</f>
        <v>20172</v>
      </c>
      <c r="AL253" s="21"/>
      <c r="AM253" s="21"/>
      <c r="AN253" s="21"/>
      <c r="AO253" s="21"/>
      <c r="AP253" s="21"/>
      <c r="AQ253" s="21"/>
      <c r="AR253" s="21"/>
      <c r="AS253" s="134"/>
      <c r="AT253" s="134"/>
      <c r="AU253" s="134"/>
      <c r="AV253" s="134"/>
      <c r="AW253" s="31">
        <f>$A$40</f>
        <v>20172</v>
      </c>
      <c r="AX253" s="21"/>
      <c r="AY253" s="21"/>
      <c r="AZ253" s="21"/>
      <c r="BA253" s="21"/>
      <c r="BB253" s="21"/>
      <c r="BC253" s="21"/>
      <c r="BD253" s="21"/>
      <c r="BE253" s="134"/>
      <c r="BF253" s="134"/>
      <c r="BG253" s="134"/>
      <c r="BH253" s="134"/>
      <c r="BI253" s="31">
        <f>$A$40</f>
        <v>20172</v>
      </c>
      <c r="BJ253" s="21"/>
      <c r="BK253" s="21"/>
      <c r="BL253" s="21"/>
      <c r="BM253" s="21"/>
      <c r="BN253" s="21"/>
      <c r="BO253" s="21"/>
      <c r="BP253" s="21"/>
      <c r="BQ253" s="134"/>
      <c r="BR253" s="134"/>
      <c r="BS253" s="134"/>
      <c r="BT253" s="134"/>
      <c r="BU253" s="31">
        <f>$A$40</f>
        <v>20172</v>
      </c>
      <c r="BV253" s="21"/>
      <c r="BW253" s="21"/>
      <c r="BX253" s="21"/>
      <c r="BY253" s="21"/>
      <c r="BZ253" s="21"/>
      <c r="CA253" s="21"/>
      <c r="CB253" s="21"/>
      <c r="CC253" s="134"/>
      <c r="CD253" s="134"/>
      <c r="CE253" s="134"/>
      <c r="CF253" s="134"/>
      <c r="CG253" s="31">
        <f>$A$40</f>
        <v>20172</v>
      </c>
      <c r="CH253" s="21"/>
      <c r="CI253" s="21"/>
      <c r="CJ253" s="21"/>
      <c r="CK253" s="21"/>
      <c r="CL253" s="21"/>
      <c r="CM253" s="21"/>
      <c r="CN253" s="21"/>
      <c r="CO253" s="134"/>
      <c r="CP253" s="134"/>
      <c r="CQ253" s="134"/>
      <c r="CR253" s="134"/>
      <c r="CS253" s="31">
        <f>$A$40</f>
        <v>20172</v>
      </c>
      <c r="CT253" s="21"/>
      <c r="CU253" s="21"/>
      <c r="CV253" s="21"/>
      <c r="CW253" s="21"/>
      <c r="CX253" s="21"/>
      <c r="CY253" s="21"/>
      <c r="CZ253" s="21"/>
      <c r="DA253" s="134"/>
      <c r="DB253" s="134"/>
      <c r="DC253" s="134"/>
      <c r="DD253" s="134"/>
      <c r="DE253" s="31">
        <f>$A$40</f>
        <v>20172</v>
      </c>
      <c r="DF253" s="21"/>
      <c r="DG253" s="21"/>
      <c r="DH253" s="21"/>
      <c r="DI253" s="21"/>
      <c r="DJ253" s="21"/>
      <c r="DK253" s="21"/>
      <c r="DL253" s="21"/>
      <c r="DM253" s="134"/>
      <c r="DN253" s="134"/>
      <c r="DO253" s="134"/>
      <c r="DP253" s="134"/>
    </row>
    <row r="254" spans="1:120" ht="15" customHeight="1" x14ac:dyDescent="0.25">
      <c r="A254" s="31">
        <f>$A$41</f>
        <v>20182</v>
      </c>
      <c r="B254" s="21"/>
      <c r="C254" s="21"/>
      <c r="D254" s="21"/>
      <c r="E254" s="21"/>
      <c r="F254" s="21"/>
      <c r="G254" s="21"/>
      <c r="H254" s="134"/>
      <c r="I254" s="134"/>
      <c r="J254" s="134"/>
      <c r="K254" s="134"/>
      <c r="L254" s="134"/>
      <c r="M254" s="31">
        <f>$A$41</f>
        <v>20182</v>
      </c>
      <c r="N254" s="21"/>
      <c r="O254" s="21"/>
      <c r="P254" s="21"/>
      <c r="Q254" s="21"/>
      <c r="R254" s="21"/>
      <c r="S254" s="21"/>
      <c r="T254" s="134"/>
      <c r="U254" s="134"/>
      <c r="V254" s="134"/>
      <c r="W254" s="134"/>
      <c r="X254" s="134"/>
      <c r="Y254" s="31">
        <f>$A$41</f>
        <v>20182</v>
      </c>
      <c r="Z254" s="21"/>
      <c r="AA254" s="21"/>
      <c r="AB254" s="21"/>
      <c r="AC254" s="21"/>
      <c r="AD254" s="21"/>
      <c r="AE254" s="21"/>
      <c r="AF254" s="134"/>
      <c r="AG254" s="134"/>
      <c r="AH254" s="134"/>
      <c r="AI254" s="134"/>
      <c r="AJ254" s="134"/>
      <c r="AK254" s="31">
        <f>$A$41</f>
        <v>20182</v>
      </c>
      <c r="AL254" s="21"/>
      <c r="AM254" s="21"/>
      <c r="AN254" s="21"/>
      <c r="AO254" s="21"/>
      <c r="AP254" s="21"/>
      <c r="AQ254" s="21"/>
      <c r="AR254" s="134"/>
      <c r="AS254" s="134"/>
      <c r="AT254" s="134"/>
      <c r="AU254" s="134"/>
      <c r="AV254" s="134"/>
      <c r="AW254" s="31">
        <f>$A$41</f>
        <v>20182</v>
      </c>
      <c r="AX254" s="21"/>
      <c r="AY254" s="21"/>
      <c r="AZ254" s="21"/>
      <c r="BA254" s="21"/>
      <c r="BB254" s="21"/>
      <c r="BC254" s="21"/>
      <c r="BD254" s="134"/>
      <c r="BE254" s="134"/>
      <c r="BF254" s="134"/>
      <c r="BG254" s="134"/>
      <c r="BH254" s="134"/>
      <c r="BI254" s="31">
        <f>$A$41</f>
        <v>20182</v>
      </c>
      <c r="BJ254" s="21"/>
      <c r="BK254" s="21"/>
      <c r="BL254" s="21"/>
      <c r="BM254" s="21"/>
      <c r="BN254" s="21"/>
      <c r="BO254" s="21"/>
      <c r="BP254" s="134"/>
      <c r="BQ254" s="134"/>
      <c r="BR254" s="134"/>
      <c r="BS254" s="134"/>
      <c r="BT254" s="134"/>
      <c r="BU254" s="31">
        <f>$A$41</f>
        <v>20182</v>
      </c>
      <c r="BV254" s="21"/>
      <c r="BW254" s="21"/>
      <c r="BX254" s="21"/>
      <c r="BY254" s="21"/>
      <c r="BZ254" s="21"/>
      <c r="CA254" s="21"/>
      <c r="CB254" s="134"/>
      <c r="CC254" s="134"/>
      <c r="CD254" s="134"/>
      <c r="CE254" s="134"/>
      <c r="CF254" s="134"/>
      <c r="CG254" s="31">
        <f>$A$41</f>
        <v>20182</v>
      </c>
      <c r="CH254" s="21"/>
      <c r="CI254" s="21"/>
      <c r="CJ254" s="21"/>
      <c r="CK254" s="21"/>
      <c r="CL254" s="21"/>
      <c r="CM254" s="21"/>
      <c r="CN254" s="134"/>
      <c r="CO254" s="134"/>
      <c r="CP254" s="134"/>
      <c r="CQ254" s="134"/>
      <c r="CR254" s="134"/>
      <c r="CS254" s="31">
        <f>$A$41</f>
        <v>20182</v>
      </c>
      <c r="CT254" s="21"/>
      <c r="CU254" s="21"/>
      <c r="CV254" s="21"/>
      <c r="CW254" s="21"/>
      <c r="CX254" s="21"/>
      <c r="CY254" s="21"/>
      <c r="CZ254" s="134"/>
      <c r="DA254" s="134"/>
      <c r="DB254" s="134"/>
      <c r="DC254" s="134"/>
      <c r="DD254" s="134"/>
      <c r="DE254" s="31">
        <f>$A$41</f>
        <v>20182</v>
      </c>
      <c r="DF254" s="21"/>
      <c r="DG254" s="21"/>
      <c r="DH254" s="21"/>
      <c r="DI254" s="21"/>
      <c r="DJ254" s="21"/>
      <c r="DK254" s="21"/>
      <c r="DL254" s="134"/>
      <c r="DM254" s="134"/>
      <c r="DN254" s="134"/>
      <c r="DO254" s="134"/>
      <c r="DP254" s="134"/>
    </row>
    <row r="255" spans="1:120" ht="15" customHeight="1" x14ac:dyDescent="0.25">
      <c r="A255" s="31">
        <f>$A$42</f>
        <v>20192</v>
      </c>
      <c r="B255" s="21"/>
      <c r="C255" s="21"/>
      <c r="D255" s="21"/>
      <c r="E255" s="21"/>
      <c r="F255" s="21"/>
      <c r="G255" s="134"/>
      <c r="H255" s="134"/>
      <c r="I255" s="134"/>
      <c r="J255" s="134"/>
      <c r="K255" s="134"/>
      <c r="L255" s="134"/>
      <c r="M255" s="31">
        <f>$A$42</f>
        <v>20192</v>
      </c>
      <c r="N255" s="21"/>
      <c r="O255" s="21"/>
      <c r="P255" s="21"/>
      <c r="Q255" s="21"/>
      <c r="R255" s="21"/>
      <c r="S255" s="134"/>
      <c r="T255" s="134"/>
      <c r="U255" s="134"/>
      <c r="V255" s="134"/>
      <c r="W255" s="134"/>
      <c r="X255" s="134"/>
      <c r="Y255" s="31">
        <f>$A$42</f>
        <v>20192</v>
      </c>
      <c r="Z255" s="21"/>
      <c r="AA255" s="21"/>
      <c r="AB255" s="21"/>
      <c r="AC255" s="21"/>
      <c r="AD255" s="21"/>
      <c r="AE255" s="134"/>
      <c r="AF255" s="134"/>
      <c r="AG255" s="134"/>
      <c r="AH255" s="134"/>
      <c r="AI255" s="134"/>
      <c r="AJ255" s="134"/>
      <c r="AK255" s="31">
        <f>$A$42</f>
        <v>20192</v>
      </c>
      <c r="AL255" s="21"/>
      <c r="AM255" s="21"/>
      <c r="AN255" s="21"/>
      <c r="AO255" s="21"/>
      <c r="AP255" s="21"/>
      <c r="AQ255" s="134"/>
      <c r="AR255" s="134"/>
      <c r="AS255" s="134"/>
      <c r="AT255" s="134"/>
      <c r="AU255" s="134"/>
      <c r="AV255" s="134"/>
      <c r="AW255" s="31">
        <f>$A$42</f>
        <v>20192</v>
      </c>
      <c r="AX255" s="21"/>
      <c r="AY255" s="21"/>
      <c r="AZ255" s="21"/>
      <c r="BA255" s="21"/>
      <c r="BB255" s="21"/>
      <c r="BC255" s="134"/>
      <c r="BD255" s="134"/>
      <c r="BE255" s="134"/>
      <c r="BF255" s="134"/>
      <c r="BG255" s="134"/>
      <c r="BH255" s="134"/>
      <c r="BI255" s="31">
        <f>$A$42</f>
        <v>20192</v>
      </c>
      <c r="BJ255" s="21"/>
      <c r="BK255" s="21"/>
      <c r="BL255" s="21"/>
      <c r="BM255" s="21"/>
      <c r="BN255" s="21"/>
      <c r="BO255" s="134"/>
      <c r="BP255" s="134"/>
      <c r="BQ255" s="134"/>
      <c r="BR255" s="134"/>
      <c r="BS255" s="134"/>
      <c r="BT255" s="134"/>
      <c r="BU255" s="31">
        <f>$A$42</f>
        <v>20192</v>
      </c>
      <c r="BV255" s="21"/>
      <c r="BW255" s="21"/>
      <c r="BX255" s="21"/>
      <c r="BY255" s="21"/>
      <c r="BZ255" s="21"/>
      <c r="CA255" s="134"/>
      <c r="CB255" s="134"/>
      <c r="CC255" s="134"/>
      <c r="CD255" s="134"/>
      <c r="CE255" s="134"/>
      <c r="CF255" s="134"/>
      <c r="CG255" s="31">
        <f>$A$42</f>
        <v>20192</v>
      </c>
      <c r="CH255" s="21"/>
      <c r="CI255" s="21"/>
      <c r="CJ255" s="21"/>
      <c r="CK255" s="21"/>
      <c r="CL255" s="21"/>
      <c r="CM255" s="134"/>
      <c r="CN255" s="134"/>
      <c r="CO255" s="134"/>
      <c r="CP255" s="134"/>
      <c r="CQ255" s="134"/>
      <c r="CR255" s="134"/>
      <c r="CS255" s="31">
        <f>$A$42</f>
        <v>20192</v>
      </c>
      <c r="CT255" s="21"/>
      <c r="CU255" s="21"/>
      <c r="CV255" s="21"/>
      <c r="CW255" s="21"/>
      <c r="CX255" s="21"/>
      <c r="CY255" s="134"/>
      <c r="CZ255" s="134"/>
      <c r="DA255" s="134"/>
      <c r="DB255" s="134"/>
      <c r="DC255" s="134"/>
      <c r="DD255" s="134"/>
      <c r="DE255" s="31">
        <f>$A$42</f>
        <v>20192</v>
      </c>
      <c r="DF255" s="21"/>
      <c r="DG255" s="21"/>
      <c r="DH255" s="21"/>
      <c r="DI255" s="21"/>
      <c r="DJ255" s="21"/>
      <c r="DK255" s="134"/>
      <c r="DL255" s="134"/>
      <c r="DM255" s="134"/>
      <c r="DN255" s="134"/>
      <c r="DO255" s="134"/>
      <c r="DP255" s="134"/>
    </row>
    <row r="256" spans="1:120" ht="15" customHeight="1" x14ac:dyDescent="0.25">
      <c r="A256" s="31">
        <f>$A$43</f>
        <v>20202</v>
      </c>
      <c r="B256" s="21"/>
      <c r="C256" s="21"/>
      <c r="D256" s="21"/>
      <c r="E256" s="21"/>
      <c r="F256" s="134"/>
      <c r="G256" s="134"/>
      <c r="H256" s="134"/>
      <c r="I256" s="134"/>
      <c r="J256" s="134"/>
      <c r="K256" s="134"/>
      <c r="L256" s="134"/>
      <c r="M256" s="31">
        <f>$A$43</f>
        <v>20202</v>
      </c>
      <c r="N256" s="21"/>
      <c r="O256" s="21"/>
      <c r="P256" s="21"/>
      <c r="Q256" s="21"/>
      <c r="R256" s="134"/>
      <c r="S256" s="134"/>
      <c r="T256" s="134"/>
      <c r="U256" s="134"/>
      <c r="V256" s="134"/>
      <c r="W256" s="134"/>
      <c r="X256" s="134"/>
      <c r="Y256" s="31">
        <f>$A$43</f>
        <v>20202</v>
      </c>
      <c r="Z256" s="21"/>
      <c r="AA256" s="21"/>
      <c r="AB256" s="21"/>
      <c r="AC256" s="21"/>
      <c r="AD256" s="134"/>
      <c r="AE256" s="134"/>
      <c r="AF256" s="134"/>
      <c r="AG256" s="134"/>
      <c r="AH256" s="134"/>
      <c r="AI256" s="134"/>
      <c r="AJ256" s="134"/>
      <c r="AK256" s="31">
        <f>$A$43</f>
        <v>20202</v>
      </c>
      <c r="AL256" s="21"/>
      <c r="AM256" s="21"/>
      <c r="AN256" s="21"/>
      <c r="AO256" s="21"/>
      <c r="AP256" s="134"/>
      <c r="AQ256" s="134"/>
      <c r="AR256" s="134"/>
      <c r="AS256" s="134"/>
      <c r="AT256" s="134"/>
      <c r="AU256" s="134"/>
      <c r="AV256" s="134"/>
      <c r="AW256" s="31">
        <f>$A$43</f>
        <v>20202</v>
      </c>
      <c r="AX256" s="21"/>
      <c r="AY256" s="21"/>
      <c r="AZ256" s="21"/>
      <c r="BA256" s="21"/>
      <c r="BB256" s="134"/>
      <c r="BC256" s="134"/>
      <c r="BD256" s="134"/>
      <c r="BE256" s="134"/>
      <c r="BF256" s="134"/>
      <c r="BG256" s="134"/>
      <c r="BH256" s="134"/>
      <c r="BI256" s="31">
        <f>$A$43</f>
        <v>20202</v>
      </c>
      <c r="BJ256" s="21"/>
      <c r="BK256" s="21"/>
      <c r="BL256" s="21"/>
      <c r="BM256" s="21"/>
      <c r="BN256" s="134"/>
      <c r="BO256" s="134"/>
      <c r="BP256" s="134"/>
      <c r="BQ256" s="134"/>
      <c r="BR256" s="134"/>
      <c r="BS256" s="134"/>
      <c r="BT256" s="134"/>
      <c r="BU256" s="31">
        <f>$A$43</f>
        <v>20202</v>
      </c>
      <c r="BV256" s="21"/>
      <c r="BW256" s="21"/>
      <c r="BX256" s="21"/>
      <c r="BY256" s="21"/>
      <c r="BZ256" s="134"/>
      <c r="CA256" s="134"/>
      <c r="CB256" s="134"/>
      <c r="CC256" s="134"/>
      <c r="CD256" s="134"/>
      <c r="CE256" s="134"/>
      <c r="CF256" s="134"/>
      <c r="CG256" s="31">
        <f>$A$43</f>
        <v>20202</v>
      </c>
      <c r="CH256" s="21"/>
      <c r="CI256" s="21"/>
      <c r="CJ256" s="21"/>
      <c r="CK256" s="21"/>
      <c r="CL256" s="134"/>
      <c r="CM256" s="134"/>
      <c r="CN256" s="134"/>
      <c r="CO256" s="134"/>
      <c r="CP256" s="134"/>
      <c r="CQ256" s="134"/>
      <c r="CR256" s="134"/>
      <c r="CS256" s="31">
        <f>$A$43</f>
        <v>20202</v>
      </c>
      <c r="CT256" s="21"/>
      <c r="CU256" s="21"/>
      <c r="CV256" s="21"/>
      <c r="CW256" s="21"/>
      <c r="CX256" s="134"/>
      <c r="CY256" s="134"/>
      <c r="CZ256" s="134"/>
      <c r="DA256" s="134"/>
      <c r="DB256" s="134"/>
      <c r="DC256" s="134"/>
      <c r="DD256" s="134"/>
      <c r="DE256" s="31">
        <f>$A$43</f>
        <v>20202</v>
      </c>
      <c r="DF256" s="21"/>
      <c r="DG256" s="21"/>
      <c r="DH256" s="21"/>
      <c r="DI256" s="21"/>
      <c r="DJ256" s="134"/>
      <c r="DK256" s="134"/>
      <c r="DL256" s="134"/>
      <c r="DM256" s="134"/>
      <c r="DN256" s="134"/>
      <c r="DO256" s="134"/>
      <c r="DP256" s="134"/>
    </row>
    <row r="257" spans="1:120" ht="15" customHeight="1" x14ac:dyDescent="0.25">
      <c r="A257" s="31">
        <f>$A$44</f>
        <v>20212</v>
      </c>
      <c r="B257" s="21"/>
      <c r="C257" s="21"/>
      <c r="D257" s="21"/>
      <c r="E257" s="134"/>
      <c r="F257" s="134"/>
      <c r="G257" s="134"/>
      <c r="H257" s="134"/>
      <c r="I257" s="134"/>
      <c r="J257" s="134"/>
      <c r="K257" s="134"/>
      <c r="L257" s="134"/>
      <c r="M257" s="31">
        <f>$A$44</f>
        <v>20212</v>
      </c>
      <c r="N257" s="21"/>
      <c r="O257" s="21"/>
      <c r="P257" s="21"/>
      <c r="Q257" s="134"/>
      <c r="R257" s="134"/>
      <c r="S257" s="134"/>
      <c r="T257" s="134"/>
      <c r="U257" s="134"/>
      <c r="V257" s="134"/>
      <c r="W257" s="134"/>
      <c r="X257" s="134"/>
      <c r="Y257" s="31">
        <f>$A$44</f>
        <v>20212</v>
      </c>
      <c r="Z257" s="21"/>
      <c r="AA257" s="21"/>
      <c r="AB257" s="21"/>
      <c r="AC257" s="134"/>
      <c r="AD257" s="134"/>
      <c r="AE257" s="134"/>
      <c r="AF257" s="134"/>
      <c r="AG257" s="134"/>
      <c r="AH257" s="134"/>
      <c r="AI257" s="134"/>
      <c r="AJ257" s="134"/>
      <c r="AK257" s="31">
        <f>$A$44</f>
        <v>20212</v>
      </c>
      <c r="AL257" s="21"/>
      <c r="AM257" s="21"/>
      <c r="AN257" s="21"/>
      <c r="AO257" s="134"/>
      <c r="AP257" s="134"/>
      <c r="AQ257" s="134"/>
      <c r="AR257" s="134"/>
      <c r="AS257" s="134"/>
      <c r="AT257" s="134"/>
      <c r="AU257" s="134"/>
      <c r="AV257" s="134"/>
      <c r="AW257" s="31">
        <f>$A$44</f>
        <v>20212</v>
      </c>
      <c r="AX257" s="21"/>
      <c r="AY257" s="21"/>
      <c r="AZ257" s="21"/>
      <c r="BA257" s="134"/>
      <c r="BB257" s="134"/>
      <c r="BC257" s="134"/>
      <c r="BD257" s="134"/>
      <c r="BE257" s="134"/>
      <c r="BF257" s="134"/>
      <c r="BG257" s="134"/>
      <c r="BH257" s="134"/>
      <c r="BI257" s="31">
        <f>$A$44</f>
        <v>20212</v>
      </c>
      <c r="BJ257" s="21"/>
      <c r="BK257" s="21"/>
      <c r="BL257" s="21"/>
      <c r="BM257" s="134"/>
      <c r="BN257" s="134"/>
      <c r="BO257" s="134"/>
      <c r="BP257" s="134"/>
      <c r="BQ257" s="134"/>
      <c r="BR257" s="134"/>
      <c r="BS257" s="134"/>
      <c r="BT257" s="134"/>
      <c r="BU257" s="31">
        <f>$A$44</f>
        <v>20212</v>
      </c>
      <c r="BV257" s="21"/>
      <c r="BW257" s="21"/>
      <c r="BX257" s="21"/>
      <c r="BY257" s="134"/>
      <c r="BZ257" s="134"/>
      <c r="CA257" s="134"/>
      <c r="CB257" s="134"/>
      <c r="CC257" s="134"/>
      <c r="CD257" s="134"/>
      <c r="CE257" s="134"/>
      <c r="CF257" s="134"/>
      <c r="CG257" s="31">
        <f>$A$44</f>
        <v>20212</v>
      </c>
      <c r="CH257" s="21"/>
      <c r="CI257" s="21"/>
      <c r="CJ257" s="21"/>
      <c r="CK257" s="134"/>
      <c r="CL257" s="134"/>
      <c r="CM257" s="134"/>
      <c r="CN257" s="134"/>
      <c r="CO257" s="134"/>
      <c r="CP257" s="134"/>
      <c r="CQ257" s="134"/>
      <c r="CR257" s="134"/>
      <c r="CS257" s="31">
        <f>$A$44</f>
        <v>20212</v>
      </c>
      <c r="CT257" s="21"/>
      <c r="CU257" s="21"/>
      <c r="CV257" s="21"/>
      <c r="CW257" s="134"/>
      <c r="CX257" s="134"/>
      <c r="CY257" s="134"/>
      <c r="CZ257" s="134"/>
      <c r="DA257" s="134"/>
      <c r="DB257" s="134"/>
      <c r="DC257" s="134"/>
      <c r="DD257" s="134"/>
      <c r="DE257" s="31">
        <f>$A$44</f>
        <v>20212</v>
      </c>
      <c r="DF257" s="21"/>
      <c r="DG257" s="21"/>
      <c r="DH257" s="21"/>
      <c r="DI257" s="134"/>
      <c r="DJ257" s="134"/>
      <c r="DK257" s="134"/>
      <c r="DL257" s="134"/>
      <c r="DM257" s="134"/>
      <c r="DN257" s="134"/>
      <c r="DO257" s="134"/>
      <c r="DP257" s="134"/>
    </row>
    <row r="258" spans="1:120" ht="15" customHeight="1" x14ac:dyDescent="0.25">
      <c r="A258" s="31">
        <f>$A$45</f>
        <v>20222</v>
      </c>
      <c r="B258" s="21"/>
      <c r="C258" s="21"/>
      <c r="D258" s="134"/>
      <c r="E258" s="134"/>
      <c r="F258" s="134"/>
      <c r="G258" s="134"/>
      <c r="H258" s="134"/>
      <c r="I258" s="134"/>
      <c r="J258" s="134"/>
      <c r="K258" s="134"/>
      <c r="L258" s="134"/>
      <c r="M258" s="31">
        <f>$A$45</f>
        <v>20222</v>
      </c>
      <c r="N258" s="21"/>
      <c r="O258" s="21"/>
      <c r="P258" s="134"/>
      <c r="Q258" s="134"/>
      <c r="R258" s="134"/>
      <c r="S258" s="134"/>
      <c r="T258" s="134"/>
      <c r="U258" s="134"/>
      <c r="V258" s="134"/>
      <c r="W258" s="134"/>
      <c r="X258" s="134"/>
      <c r="Y258" s="31">
        <f>$A$45</f>
        <v>20222</v>
      </c>
      <c r="Z258" s="21"/>
      <c r="AA258" s="21"/>
      <c r="AB258" s="134"/>
      <c r="AC258" s="134"/>
      <c r="AD258" s="134"/>
      <c r="AE258" s="134"/>
      <c r="AF258" s="134"/>
      <c r="AG258" s="134"/>
      <c r="AH258" s="134"/>
      <c r="AI258" s="134"/>
      <c r="AJ258" s="134"/>
      <c r="AK258" s="31">
        <f>$A$45</f>
        <v>20222</v>
      </c>
      <c r="AL258" s="21"/>
      <c r="AM258" s="21"/>
      <c r="AN258" s="134"/>
      <c r="AO258" s="134"/>
      <c r="AP258" s="134"/>
      <c r="AQ258" s="134"/>
      <c r="AR258" s="134"/>
      <c r="AS258" s="134"/>
      <c r="AT258" s="134"/>
      <c r="AU258" s="134"/>
      <c r="AV258" s="134"/>
      <c r="AW258" s="31">
        <f>$A$45</f>
        <v>20222</v>
      </c>
      <c r="AX258" s="21"/>
      <c r="AY258" s="21"/>
      <c r="AZ258" s="134"/>
      <c r="BA258" s="134"/>
      <c r="BB258" s="134"/>
      <c r="BC258" s="134"/>
      <c r="BD258" s="134"/>
      <c r="BE258" s="134"/>
      <c r="BF258" s="134"/>
      <c r="BG258" s="134"/>
      <c r="BH258" s="134"/>
      <c r="BI258" s="31">
        <f>$A$45</f>
        <v>20222</v>
      </c>
      <c r="BJ258" s="21"/>
      <c r="BK258" s="21"/>
      <c r="BL258" s="134"/>
      <c r="BM258" s="134"/>
      <c r="BN258" s="134"/>
      <c r="BO258" s="134"/>
      <c r="BP258" s="134"/>
      <c r="BQ258" s="134"/>
      <c r="BR258" s="134"/>
      <c r="BS258" s="134"/>
      <c r="BT258" s="134"/>
      <c r="BU258" s="31">
        <f>$A$45</f>
        <v>20222</v>
      </c>
      <c r="BV258" s="21"/>
      <c r="BW258" s="21"/>
      <c r="BX258" s="134"/>
      <c r="BY258" s="134"/>
      <c r="BZ258" s="134"/>
      <c r="CA258" s="134"/>
      <c r="CB258" s="134"/>
      <c r="CC258" s="134"/>
      <c r="CD258" s="134"/>
      <c r="CE258" s="134"/>
      <c r="CF258" s="134"/>
      <c r="CG258" s="31">
        <f>$A$45</f>
        <v>20222</v>
      </c>
      <c r="CH258" s="21"/>
      <c r="CI258" s="21"/>
      <c r="CJ258" s="134"/>
      <c r="CK258" s="134"/>
      <c r="CL258" s="134"/>
      <c r="CM258" s="134"/>
      <c r="CN258" s="134"/>
      <c r="CO258" s="134"/>
      <c r="CP258" s="134"/>
      <c r="CQ258" s="134"/>
      <c r="CR258" s="134"/>
      <c r="CS258" s="31">
        <f>$A$45</f>
        <v>20222</v>
      </c>
      <c r="CT258" s="21"/>
      <c r="CU258" s="21"/>
      <c r="CV258" s="134"/>
      <c r="CW258" s="134"/>
      <c r="CX258" s="134"/>
      <c r="CY258" s="134"/>
      <c r="CZ258" s="134"/>
      <c r="DA258" s="134"/>
      <c r="DB258" s="134"/>
      <c r="DC258" s="134"/>
      <c r="DD258" s="134"/>
      <c r="DE258" s="31">
        <f>$A$45</f>
        <v>20222</v>
      </c>
      <c r="DF258" s="21"/>
      <c r="DG258" s="21"/>
      <c r="DH258" s="134"/>
      <c r="DI258" s="134"/>
      <c r="DJ258" s="134"/>
      <c r="DK258" s="134"/>
      <c r="DL258" s="134"/>
      <c r="DM258" s="134"/>
      <c r="DN258" s="134"/>
      <c r="DO258" s="134"/>
      <c r="DP258" s="134"/>
    </row>
    <row r="259" spans="1:120" ht="15" customHeight="1" x14ac:dyDescent="0.25">
      <c r="F259" s="310" t="str">
        <f>IF(AND(ISNUMBER(K262),K262&gt;=1.01),"Reminder: If more than ten years of development is deemed to be required, insurers can provide this data in a supplemental exhibit.","")</f>
        <v/>
      </c>
      <c r="R259" s="310" t="str">
        <f>IF(AND(ISNUMBER(W262),W262&gt;=1.01),"Reminder: If more than ten years of development is deemed to be required, insurers can provide this data in a supplemental exhibit.","")</f>
        <v/>
      </c>
      <c r="AD259" s="310" t="str">
        <f>IF(AND(ISNUMBER(AI262),AI262&gt;=1.01),"Reminder: If more than ten years of development is deemed to be required, insurers can provide this data in a supplemental exhibit.","")</f>
        <v/>
      </c>
      <c r="AP259" s="309" t="str">
        <f>IF(AND(ISNUMBER(AU262),AU262&gt;=1.01),"Reminder: If more than ten years of development is deemed to be required, insurers can provide this data in a supplemental exhibit.","")</f>
        <v/>
      </c>
      <c r="BB259" s="310" t="str">
        <f>IF(AND(ISNUMBER(BG262),BG262&gt;=1.01),"Reminder: If more than ten years of development is deemed to be required, insurers can provide this data in a supplemental exhibit.","")</f>
        <v/>
      </c>
      <c r="BN259" s="310" t="str">
        <f>IF(AND(ISNUMBER(BS262),BS262&gt;=1.01),"Reminder: If more than ten years of development is deemed to be required, insurers can provide this data in a supplemental exhibit.","")</f>
        <v/>
      </c>
      <c r="BZ259" s="310" t="str">
        <f>IF(AND(ISNUMBER(CE262),CE262&gt;=1.01),"Reminder: If more than ten years of development is deemed to be required, insurers can provide this data in a supplemental exhibit.","")</f>
        <v/>
      </c>
      <c r="CL259" s="309" t="str">
        <f>IF(AND(ISNUMBER(CQ262),CQ262&gt;=1.01),"Reminder: If more than ten years of development is deemed to be required, insurers can provide this data in a supplemental exhibit.","")</f>
        <v/>
      </c>
      <c r="CX259" s="310" t="str">
        <f>IF(AND(ISNUMBER(DC262),DC262&gt;=1.01),"Reminder: If more than ten years of development is deemed to be required, insurers can provide this data in a supplemental exhibit.","")</f>
        <v/>
      </c>
      <c r="DJ259" s="310" t="str">
        <f>IF(AND(ISNUMBER(DO262),DO262&gt;=1.01),"Reminder: If more than ten years of development is deemed to be required, insurers can provide this data in a supplemental exhibit.","")</f>
        <v/>
      </c>
    </row>
    <row r="260" spans="1:120" x14ac:dyDescent="0.25">
      <c r="A260" s="130"/>
      <c r="B260" s="131"/>
      <c r="C260" s="131" t="s">
        <v>36</v>
      </c>
      <c r="D260" s="132"/>
      <c r="E260" s="132"/>
      <c r="F260" s="132"/>
      <c r="G260" s="132"/>
      <c r="H260" s="132"/>
      <c r="I260" s="132"/>
      <c r="J260" s="132"/>
      <c r="K260" s="132"/>
      <c r="L260" s="132"/>
      <c r="M260" s="130"/>
      <c r="N260" s="131"/>
      <c r="O260" s="131" t="s">
        <v>36</v>
      </c>
      <c r="P260" s="132"/>
      <c r="Q260" s="132"/>
      <c r="R260" s="132"/>
      <c r="S260" s="132"/>
      <c r="T260" s="132"/>
      <c r="U260" s="132"/>
      <c r="V260" s="132"/>
      <c r="W260" s="132"/>
      <c r="X260" s="132"/>
      <c r="Y260" s="130"/>
      <c r="Z260" s="131"/>
      <c r="AA260" s="131" t="s">
        <v>36</v>
      </c>
      <c r="AB260" s="132"/>
      <c r="AC260" s="132"/>
      <c r="AD260" s="132"/>
      <c r="AE260" s="132"/>
      <c r="AF260" s="132"/>
      <c r="AG260" s="132"/>
      <c r="AH260" s="132"/>
      <c r="AI260" s="132"/>
      <c r="AJ260" s="132"/>
      <c r="AK260" s="130"/>
      <c r="AL260" s="131"/>
      <c r="AM260" s="131" t="s">
        <v>36</v>
      </c>
      <c r="AN260" s="132"/>
      <c r="AO260" s="132"/>
      <c r="AP260" s="132"/>
      <c r="AQ260" s="132"/>
      <c r="AR260" s="132"/>
      <c r="AS260" s="132"/>
      <c r="AT260" s="132"/>
      <c r="AU260" s="132"/>
      <c r="AV260" s="132"/>
      <c r="AW260" s="130"/>
      <c r="AX260" s="131"/>
      <c r="AY260" s="131" t="s">
        <v>36</v>
      </c>
      <c r="AZ260" s="132"/>
      <c r="BA260" s="132"/>
      <c r="BB260" s="132"/>
      <c r="BC260" s="132"/>
      <c r="BD260" s="132"/>
      <c r="BE260" s="132"/>
      <c r="BF260" s="132"/>
      <c r="BG260" s="132"/>
      <c r="BH260" s="132"/>
      <c r="BI260" s="130"/>
      <c r="BJ260" s="131"/>
      <c r="BK260" s="131" t="s">
        <v>36</v>
      </c>
      <c r="BL260" s="132"/>
      <c r="BM260" s="132"/>
      <c r="BN260" s="132"/>
      <c r="BO260" s="132"/>
      <c r="BP260" s="132"/>
      <c r="BQ260" s="132"/>
      <c r="BR260" s="132"/>
      <c r="BS260" s="132"/>
      <c r="BT260" s="132"/>
      <c r="BU260" s="130"/>
      <c r="BV260" s="131"/>
      <c r="BW260" s="131" t="s">
        <v>36</v>
      </c>
      <c r="BX260" s="132"/>
      <c r="BY260" s="132"/>
      <c r="BZ260" s="132"/>
      <c r="CA260" s="132"/>
      <c r="CB260" s="132"/>
      <c r="CC260" s="132"/>
      <c r="CD260" s="132"/>
      <c r="CE260" s="132"/>
      <c r="CF260" s="132"/>
      <c r="CG260" s="130"/>
      <c r="CH260" s="131"/>
      <c r="CI260" s="131" t="s">
        <v>36</v>
      </c>
      <c r="CJ260" s="132"/>
      <c r="CK260" s="132"/>
      <c r="CL260" s="132"/>
      <c r="CM260" s="132"/>
      <c r="CN260" s="132"/>
      <c r="CO260" s="132"/>
      <c r="CP260" s="132"/>
      <c r="CQ260" s="132"/>
      <c r="CR260" s="132"/>
      <c r="CS260" s="130"/>
      <c r="CT260" s="131"/>
      <c r="CU260" s="131" t="s">
        <v>36</v>
      </c>
      <c r="CV260" s="132"/>
      <c r="CW260" s="132"/>
      <c r="CX260" s="132"/>
      <c r="CY260" s="132"/>
      <c r="CZ260" s="132"/>
      <c r="DA260" s="132"/>
      <c r="DB260" s="132"/>
      <c r="DC260" s="132"/>
      <c r="DD260" s="132"/>
      <c r="DE260" s="130"/>
      <c r="DF260" s="131"/>
      <c r="DG260" s="131" t="s">
        <v>36</v>
      </c>
      <c r="DH260" s="132"/>
      <c r="DI260" s="132"/>
      <c r="DJ260" s="132"/>
      <c r="DK260" s="132"/>
      <c r="DL260" s="132"/>
      <c r="DM260" s="132"/>
      <c r="DN260" s="132"/>
      <c r="DO260" s="132"/>
      <c r="DP260" s="132"/>
    </row>
    <row r="261" spans="1:120" ht="30" x14ac:dyDescent="0.25">
      <c r="A261" s="92" t="str">
        <f>$A$35</f>
        <v>Fiscal Accident Year Data Ending</v>
      </c>
      <c r="B261" s="92"/>
      <c r="C261" s="100" t="str">
        <f>$C$35&amp;"-"&amp;$D$35</f>
        <v>12-24</v>
      </c>
      <c r="D261" s="100" t="str">
        <f>$D$35&amp;"-"&amp;$E$35</f>
        <v>24-36</v>
      </c>
      <c r="E261" s="100" t="str">
        <f>$E$35&amp;"-"&amp;$F$35</f>
        <v>36-48</v>
      </c>
      <c r="F261" s="100" t="str">
        <f>$F$35&amp;"-"&amp;$G$35</f>
        <v>48-60</v>
      </c>
      <c r="G261" s="100" t="str">
        <f>$G$35&amp;"-"&amp;$H$35</f>
        <v>60-72</v>
      </c>
      <c r="H261" s="100" t="str">
        <f>$H$35&amp;"-"&amp;$I$35</f>
        <v>72-84</v>
      </c>
      <c r="I261" s="100" t="str">
        <f>$I$35&amp;"-"&amp;$J$35</f>
        <v>84-96</v>
      </c>
      <c r="J261" s="100" t="str">
        <f>$J$35&amp;"-"&amp;$K$35</f>
        <v>96-108</v>
      </c>
      <c r="K261" s="100" t="str">
        <f>$K$35&amp;"-"&amp;$L$35</f>
        <v>108-120</v>
      </c>
      <c r="L261" s="100" t="str">
        <f>$L$35&amp;"-Ult"</f>
        <v>120-Ult</v>
      </c>
      <c r="M261" s="92" t="str">
        <f>$A$35</f>
        <v>Fiscal Accident Year Data Ending</v>
      </c>
      <c r="N261" s="92"/>
      <c r="O261" s="100" t="str">
        <f>$C$35&amp;"-"&amp;$D$35</f>
        <v>12-24</v>
      </c>
      <c r="P261" s="100" t="str">
        <f>$D$35&amp;"-"&amp;$E$35</f>
        <v>24-36</v>
      </c>
      <c r="Q261" s="100" t="str">
        <f>$E$35&amp;"-"&amp;$F$35</f>
        <v>36-48</v>
      </c>
      <c r="R261" s="100" t="str">
        <f>$F$35&amp;"-"&amp;$G$35</f>
        <v>48-60</v>
      </c>
      <c r="S261" s="100" t="str">
        <f>$G$35&amp;"-"&amp;$H$35</f>
        <v>60-72</v>
      </c>
      <c r="T261" s="100" t="str">
        <f>$H$35&amp;"-"&amp;$I$35</f>
        <v>72-84</v>
      </c>
      <c r="U261" s="100" t="str">
        <f>$I$35&amp;"-"&amp;$J$35</f>
        <v>84-96</v>
      </c>
      <c r="V261" s="100" t="str">
        <f>$J$35&amp;"-"&amp;$K$35</f>
        <v>96-108</v>
      </c>
      <c r="W261" s="100" t="str">
        <f>$K$35&amp;"-"&amp;$L$35</f>
        <v>108-120</v>
      </c>
      <c r="X261" s="100" t="str">
        <f>$L$35&amp;"-Ult"</f>
        <v>120-Ult</v>
      </c>
      <c r="Y261" s="92" t="str">
        <f>$A$35</f>
        <v>Fiscal Accident Year Data Ending</v>
      </c>
      <c r="Z261" s="92"/>
      <c r="AA261" s="100" t="str">
        <f>$C$35&amp;"-"&amp;$D$35</f>
        <v>12-24</v>
      </c>
      <c r="AB261" s="100" t="str">
        <f>$D$35&amp;"-"&amp;$E$35</f>
        <v>24-36</v>
      </c>
      <c r="AC261" s="100" t="str">
        <f>$E$35&amp;"-"&amp;$F$35</f>
        <v>36-48</v>
      </c>
      <c r="AD261" s="100" t="str">
        <f>$F$35&amp;"-"&amp;$G$35</f>
        <v>48-60</v>
      </c>
      <c r="AE261" s="100" t="str">
        <f>$G$35&amp;"-"&amp;$H$35</f>
        <v>60-72</v>
      </c>
      <c r="AF261" s="100" t="str">
        <f>$H$35&amp;"-"&amp;$I$35</f>
        <v>72-84</v>
      </c>
      <c r="AG261" s="100" t="str">
        <f>$I$35&amp;"-"&amp;$J$35</f>
        <v>84-96</v>
      </c>
      <c r="AH261" s="100" t="str">
        <f>$J$35&amp;"-"&amp;$K$35</f>
        <v>96-108</v>
      </c>
      <c r="AI261" s="100" t="str">
        <f>$K$35&amp;"-"&amp;$L$35</f>
        <v>108-120</v>
      </c>
      <c r="AJ261" s="100" t="str">
        <f>$L$35&amp;"-Ult"</f>
        <v>120-Ult</v>
      </c>
      <c r="AK261" s="92" t="str">
        <f>$A$35</f>
        <v>Fiscal Accident Year Data Ending</v>
      </c>
      <c r="AL261" s="92"/>
      <c r="AM261" s="100" t="str">
        <f>$C$35&amp;"-"&amp;$D$35</f>
        <v>12-24</v>
      </c>
      <c r="AN261" s="100" t="str">
        <f>$D$35&amp;"-"&amp;$E$35</f>
        <v>24-36</v>
      </c>
      <c r="AO261" s="100" t="str">
        <f>$E$35&amp;"-"&amp;$F$35</f>
        <v>36-48</v>
      </c>
      <c r="AP261" s="100" t="str">
        <f>$F$35&amp;"-"&amp;$G$35</f>
        <v>48-60</v>
      </c>
      <c r="AQ261" s="100" t="str">
        <f>$G$35&amp;"-"&amp;$H$35</f>
        <v>60-72</v>
      </c>
      <c r="AR261" s="100" t="str">
        <f>$H$35&amp;"-"&amp;$I$35</f>
        <v>72-84</v>
      </c>
      <c r="AS261" s="100" t="str">
        <f>$I$35&amp;"-"&amp;$J$35</f>
        <v>84-96</v>
      </c>
      <c r="AT261" s="100" t="str">
        <f>$J$35&amp;"-"&amp;$K$35</f>
        <v>96-108</v>
      </c>
      <c r="AU261" s="100" t="str">
        <f>$K$35&amp;"-"&amp;$L$35</f>
        <v>108-120</v>
      </c>
      <c r="AV261" s="100" t="str">
        <f>$L$35&amp;"-Ult"</f>
        <v>120-Ult</v>
      </c>
      <c r="AW261" s="92" t="str">
        <f>$A$35</f>
        <v>Fiscal Accident Year Data Ending</v>
      </c>
      <c r="AX261" s="92"/>
      <c r="AY261" s="100" t="str">
        <f>$C$35&amp;"-"&amp;$D$35</f>
        <v>12-24</v>
      </c>
      <c r="AZ261" s="100" t="str">
        <f>$D$35&amp;"-"&amp;$E$35</f>
        <v>24-36</v>
      </c>
      <c r="BA261" s="100" t="str">
        <f>$E$35&amp;"-"&amp;$F$35</f>
        <v>36-48</v>
      </c>
      <c r="BB261" s="100" t="str">
        <f>$F$35&amp;"-"&amp;$G$35</f>
        <v>48-60</v>
      </c>
      <c r="BC261" s="100" t="str">
        <f>$G$35&amp;"-"&amp;$H$35</f>
        <v>60-72</v>
      </c>
      <c r="BD261" s="100" t="str">
        <f>$H$35&amp;"-"&amp;$I$35</f>
        <v>72-84</v>
      </c>
      <c r="BE261" s="100" t="str">
        <f>$I$35&amp;"-"&amp;$J$35</f>
        <v>84-96</v>
      </c>
      <c r="BF261" s="100" t="str">
        <f>$J$35&amp;"-"&amp;$K$35</f>
        <v>96-108</v>
      </c>
      <c r="BG261" s="100" t="str">
        <f>$K$35&amp;"-"&amp;$L$35</f>
        <v>108-120</v>
      </c>
      <c r="BH261" s="100" t="str">
        <f>$L$35&amp;"-Ult"</f>
        <v>120-Ult</v>
      </c>
      <c r="BI261" s="92" t="str">
        <f>$A$35</f>
        <v>Fiscal Accident Year Data Ending</v>
      </c>
      <c r="BJ261" s="92"/>
      <c r="BK261" s="100" t="str">
        <f>$C$35&amp;"-"&amp;$D$35</f>
        <v>12-24</v>
      </c>
      <c r="BL261" s="100" t="str">
        <f>$D$35&amp;"-"&amp;$E$35</f>
        <v>24-36</v>
      </c>
      <c r="BM261" s="100" t="str">
        <f>$E$35&amp;"-"&amp;$F$35</f>
        <v>36-48</v>
      </c>
      <c r="BN261" s="100" t="str">
        <f>$F$35&amp;"-"&amp;$G$35</f>
        <v>48-60</v>
      </c>
      <c r="BO261" s="100" t="str">
        <f>$G$35&amp;"-"&amp;$H$35</f>
        <v>60-72</v>
      </c>
      <c r="BP261" s="100" t="str">
        <f>$H$35&amp;"-"&amp;$I$35</f>
        <v>72-84</v>
      </c>
      <c r="BQ261" s="100" t="str">
        <f>$I$35&amp;"-"&amp;$J$35</f>
        <v>84-96</v>
      </c>
      <c r="BR261" s="100" t="str">
        <f>$J$35&amp;"-"&amp;$K$35</f>
        <v>96-108</v>
      </c>
      <c r="BS261" s="100" t="str">
        <f>$K$35&amp;"-"&amp;$L$35</f>
        <v>108-120</v>
      </c>
      <c r="BT261" s="100" t="str">
        <f>$L$35&amp;"-Ult"</f>
        <v>120-Ult</v>
      </c>
      <c r="BU261" s="92" t="str">
        <f>$A$35</f>
        <v>Fiscal Accident Year Data Ending</v>
      </c>
      <c r="BV261" s="92"/>
      <c r="BW261" s="100" t="str">
        <f>$C$35&amp;"-"&amp;$D$35</f>
        <v>12-24</v>
      </c>
      <c r="BX261" s="100" t="str">
        <f>$D$35&amp;"-"&amp;$E$35</f>
        <v>24-36</v>
      </c>
      <c r="BY261" s="100" t="str">
        <f>$E$35&amp;"-"&amp;$F$35</f>
        <v>36-48</v>
      </c>
      <c r="BZ261" s="100" t="str">
        <f>$F$35&amp;"-"&amp;$G$35</f>
        <v>48-60</v>
      </c>
      <c r="CA261" s="100" t="str">
        <f>$G$35&amp;"-"&amp;$H$35</f>
        <v>60-72</v>
      </c>
      <c r="CB261" s="100" t="str">
        <f>$H$35&amp;"-"&amp;$I$35</f>
        <v>72-84</v>
      </c>
      <c r="CC261" s="100" t="str">
        <f>$I$35&amp;"-"&amp;$J$35</f>
        <v>84-96</v>
      </c>
      <c r="CD261" s="100" t="str">
        <f>$J$35&amp;"-"&amp;$K$35</f>
        <v>96-108</v>
      </c>
      <c r="CE261" s="100" t="str">
        <f>$K$35&amp;"-"&amp;$L$35</f>
        <v>108-120</v>
      </c>
      <c r="CF261" s="100" t="str">
        <f>$L$35&amp;"-Ult"</f>
        <v>120-Ult</v>
      </c>
      <c r="CG261" s="92" t="str">
        <f>$A$35</f>
        <v>Fiscal Accident Year Data Ending</v>
      </c>
      <c r="CH261" s="92"/>
      <c r="CI261" s="100" t="str">
        <f>$C$35&amp;"-"&amp;$D$35</f>
        <v>12-24</v>
      </c>
      <c r="CJ261" s="100" t="str">
        <f>$D$35&amp;"-"&amp;$E$35</f>
        <v>24-36</v>
      </c>
      <c r="CK261" s="100" t="str">
        <f>$E$35&amp;"-"&amp;$F$35</f>
        <v>36-48</v>
      </c>
      <c r="CL261" s="100" t="str">
        <f>$F$35&amp;"-"&amp;$G$35</f>
        <v>48-60</v>
      </c>
      <c r="CM261" s="100" t="str">
        <f>$G$35&amp;"-"&amp;$H$35</f>
        <v>60-72</v>
      </c>
      <c r="CN261" s="100" t="str">
        <f>$H$35&amp;"-"&amp;$I$35</f>
        <v>72-84</v>
      </c>
      <c r="CO261" s="100" t="str">
        <f>$I$35&amp;"-"&amp;$J$35</f>
        <v>84-96</v>
      </c>
      <c r="CP261" s="100" t="str">
        <f>$J$35&amp;"-"&amp;$K$35</f>
        <v>96-108</v>
      </c>
      <c r="CQ261" s="100" t="str">
        <f>$K$35&amp;"-"&amp;$L$35</f>
        <v>108-120</v>
      </c>
      <c r="CR261" s="100" t="str">
        <f>$L$35&amp;"-Ult"</f>
        <v>120-Ult</v>
      </c>
      <c r="CS261" s="92" t="str">
        <f>$A$35</f>
        <v>Fiscal Accident Year Data Ending</v>
      </c>
      <c r="CT261" s="92"/>
      <c r="CU261" s="100" t="str">
        <f>$C$35&amp;"-"&amp;$D$35</f>
        <v>12-24</v>
      </c>
      <c r="CV261" s="100" t="str">
        <f>$D$35&amp;"-"&amp;$E$35</f>
        <v>24-36</v>
      </c>
      <c r="CW261" s="100" t="str">
        <f>$E$35&amp;"-"&amp;$F$35</f>
        <v>36-48</v>
      </c>
      <c r="CX261" s="100" t="str">
        <f>$F$35&amp;"-"&amp;$G$35</f>
        <v>48-60</v>
      </c>
      <c r="CY261" s="100" t="str">
        <f>$G$35&amp;"-"&amp;$H$35</f>
        <v>60-72</v>
      </c>
      <c r="CZ261" s="100" t="str">
        <f>$H$35&amp;"-"&amp;$I$35</f>
        <v>72-84</v>
      </c>
      <c r="DA261" s="100" t="str">
        <f>$I$35&amp;"-"&amp;$J$35</f>
        <v>84-96</v>
      </c>
      <c r="DB261" s="100" t="str">
        <f>$J$35&amp;"-"&amp;$K$35</f>
        <v>96-108</v>
      </c>
      <c r="DC261" s="100" t="str">
        <f>$K$35&amp;"-"&amp;$L$35</f>
        <v>108-120</v>
      </c>
      <c r="DD261" s="100" t="str">
        <f>$L$35&amp;"-Ult"</f>
        <v>120-Ult</v>
      </c>
      <c r="DE261" s="92" t="str">
        <f>$A$35</f>
        <v>Fiscal Accident Year Data Ending</v>
      </c>
      <c r="DF261" s="92"/>
      <c r="DG261" s="100" t="str">
        <f>$C$35&amp;"-"&amp;$D$35</f>
        <v>12-24</v>
      </c>
      <c r="DH261" s="100" t="str">
        <f>$D$35&amp;"-"&amp;$E$35</f>
        <v>24-36</v>
      </c>
      <c r="DI261" s="100" t="str">
        <f>$E$35&amp;"-"&amp;$F$35</f>
        <v>36-48</v>
      </c>
      <c r="DJ261" s="100" t="str">
        <f>$F$35&amp;"-"&amp;$G$35</f>
        <v>48-60</v>
      </c>
      <c r="DK261" s="100" t="str">
        <f>$G$35&amp;"-"&amp;$H$35</f>
        <v>60-72</v>
      </c>
      <c r="DL261" s="100" t="str">
        <f>$H$35&amp;"-"&amp;$I$35</f>
        <v>72-84</v>
      </c>
      <c r="DM261" s="100" t="str">
        <f>$I$35&amp;"-"&amp;$J$35</f>
        <v>84-96</v>
      </c>
      <c r="DN261" s="100" t="str">
        <f>$J$35&amp;"-"&amp;$K$35</f>
        <v>96-108</v>
      </c>
      <c r="DO261" s="100" t="str">
        <f>$K$35&amp;"-"&amp;$L$35</f>
        <v>108-120</v>
      </c>
      <c r="DP261" s="100" t="str">
        <f>$L$35&amp;"-Ult"</f>
        <v>120-Ult</v>
      </c>
    </row>
    <row r="262" spans="1:120" x14ac:dyDescent="0.25">
      <c r="A262" s="91">
        <f>$A$36</f>
        <v>20132</v>
      </c>
      <c r="B262" s="105"/>
      <c r="C262" s="90" t="str">
        <f>IFERROR(D249/C249,"")</f>
        <v/>
      </c>
      <c r="D262" s="90" t="str">
        <f t="shared" ref="D262:K262" si="431">IFERROR(E249/D249,"")</f>
        <v/>
      </c>
      <c r="E262" s="90" t="str">
        <f t="shared" si="431"/>
        <v/>
      </c>
      <c r="F262" s="90" t="str">
        <f t="shared" si="431"/>
        <v/>
      </c>
      <c r="G262" s="90" t="str">
        <f t="shared" si="431"/>
        <v/>
      </c>
      <c r="H262" s="90" t="str">
        <f t="shared" si="431"/>
        <v/>
      </c>
      <c r="I262" s="90" t="str">
        <f t="shared" si="431"/>
        <v/>
      </c>
      <c r="J262" s="90" t="str">
        <f t="shared" si="431"/>
        <v/>
      </c>
      <c r="K262" s="90" t="str">
        <f t="shared" si="431"/>
        <v/>
      </c>
      <c r="L262" s="22"/>
      <c r="M262" s="91">
        <f>$A$36</f>
        <v>20132</v>
      </c>
      <c r="N262" s="105"/>
      <c r="O262" s="90" t="str">
        <f>IFERROR(P249/O249,"")</f>
        <v/>
      </c>
      <c r="P262" s="90" t="str">
        <f t="shared" ref="P262:W262" si="432">IFERROR(Q249/P249,"")</f>
        <v/>
      </c>
      <c r="Q262" s="90" t="str">
        <f t="shared" si="432"/>
        <v/>
      </c>
      <c r="R262" s="90" t="str">
        <f t="shared" si="432"/>
        <v/>
      </c>
      <c r="S262" s="90" t="str">
        <f t="shared" si="432"/>
        <v/>
      </c>
      <c r="T262" s="90" t="str">
        <f t="shared" si="432"/>
        <v/>
      </c>
      <c r="U262" s="90" t="str">
        <f t="shared" si="432"/>
        <v/>
      </c>
      <c r="V262" s="90" t="str">
        <f t="shared" si="432"/>
        <v/>
      </c>
      <c r="W262" s="90" t="str">
        <f t="shared" si="432"/>
        <v/>
      </c>
      <c r="X262" s="22"/>
      <c r="Y262" s="91">
        <f>$A$36</f>
        <v>20132</v>
      </c>
      <c r="Z262" s="105"/>
      <c r="AA262" s="90" t="str">
        <f>IFERROR(AB249/AA249,"")</f>
        <v/>
      </c>
      <c r="AB262" s="90" t="str">
        <f t="shared" ref="AB262:AI262" si="433">IFERROR(AC249/AB249,"")</f>
        <v/>
      </c>
      <c r="AC262" s="90" t="str">
        <f t="shared" si="433"/>
        <v/>
      </c>
      <c r="AD262" s="90" t="str">
        <f t="shared" si="433"/>
        <v/>
      </c>
      <c r="AE262" s="90" t="str">
        <f t="shared" si="433"/>
        <v/>
      </c>
      <c r="AF262" s="90" t="str">
        <f t="shared" si="433"/>
        <v/>
      </c>
      <c r="AG262" s="90" t="str">
        <f t="shared" si="433"/>
        <v/>
      </c>
      <c r="AH262" s="90" t="str">
        <f t="shared" si="433"/>
        <v/>
      </c>
      <c r="AI262" s="90" t="str">
        <f t="shared" si="433"/>
        <v/>
      </c>
      <c r="AJ262" s="22"/>
      <c r="AK262" s="91">
        <f>$A$36</f>
        <v>20132</v>
      </c>
      <c r="AL262" s="105"/>
      <c r="AM262" s="90" t="str">
        <f>IFERROR(AN249/AM249,"")</f>
        <v/>
      </c>
      <c r="AN262" s="90" t="str">
        <f t="shared" ref="AN262:AU262" si="434">IFERROR(AO249/AN249,"")</f>
        <v/>
      </c>
      <c r="AO262" s="90" t="str">
        <f t="shared" si="434"/>
        <v/>
      </c>
      <c r="AP262" s="90" t="str">
        <f t="shared" si="434"/>
        <v/>
      </c>
      <c r="AQ262" s="90" t="str">
        <f t="shared" si="434"/>
        <v/>
      </c>
      <c r="AR262" s="90" t="str">
        <f t="shared" si="434"/>
        <v/>
      </c>
      <c r="AS262" s="90" t="str">
        <f t="shared" si="434"/>
        <v/>
      </c>
      <c r="AT262" s="90" t="str">
        <f t="shared" si="434"/>
        <v/>
      </c>
      <c r="AU262" s="90" t="str">
        <f t="shared" si="434"/>
        <v/>
      </c>
      <c r="AV262" s="22"/>
      <c r="AW262" s="91">
        <f>$A$36</f>
        <v>20132</v>
      </c>
      <c r="AX262" s="105"/>
      <c r="AY262" s="90" t="str">
        <f>IFERROR(AZ249/AY249,"")</f>
        <v/>
      </c>
      <c r="AZ262" s="90" t="str">
        <f t="shared" ref="AZ262:BG262" si="435">IFERROR(BA249/AZ249,"")</f>
        <v/>
      </c>
      <c r="BA262" s="90" t="str">
        <f t="shared" si="435"/>
        <v/>
      </c>
      <c r="BB262" s="90" t="str">
        <f t="shared" si="435"/>
        <v/>
      </c>
      <c r="BC262" s="90" t="str">
        <f t="shared" si="435"/>
        <v/>
      </c>
      <c r="BD262" s="90" t="str">
        <f t="shared" si="435"/>
        <v/>
      </c>
      <c r="BE262" s="90" t="str">
        <f t="shared" si="435"/>
        <v/>
      </c>
      <c r="BF262" s="90" t="str">
        <f t="shared" si="435"/>
        <v/>
      </c>
      <c r="BG262" s="90" t="str">
        <f t="shared" si="435"/>
        <v/>
      </c>
      <c r="BH262" s="22"/>
      <c r="BI262" s="91">
        <f>$A$36</f>
        <v>20132</v>
      </c>
      <c r="BJ262" s="105"/>
      <c r="BK262" s="90" t="str">
        <f>IFERROR(BL249/BK249,"")</f>
        <v/>
      </c>
      <c r="BL262" s="90" t="str">
        <f t="shared" ref="BL262:BS262" si="436">IFERROR(BM249/BL249,"")</f>
        <v/>
      </c>
      <c r="BM262" s="90" t="str">
        <f t="shared" si="436"/>
        <v/>
      </c>
      <c r="BN262" s="90" t="str">
        <f t="shared" si="436"/>
        <v/>
      </c>
      <c r="BO262" s="90" t="str">
        <f t="shared" si="436"/>
        <v/>
      </c>
      <c r="BP262" s="90" t="str">
        <f t="shared" si="436"/>
        <v/>
      </c>
      <c r="BQ262" s="90" t="str">
        <f t="shared" si="436"/>
        <v/>
      </c>
      <c r="BR262" s="90" t="str">
        <f t="shared" si="436"/>
        <v/>
      </c>
      <c r="BS262" s="90" t="str">
        <f t="shared" si="436"/>
        <v/>
      </c>
      <c r="BT262" s="22"/>
      <c r="BU262" s="91">
        <f>$A$36</f>
        <v>20132</v>
      </c>
      <c r="BV262" s="105"/>
      <c r="BW262" s="90" t="str">
        <f>IFERROR(BX249/BW249,"")</f>
        <v/>
      </c>
      <c r="BX262" s="90" t="str">
        <f t="shared" ref="BX262:CE262" si="437">IFERROR(BY249/BX249,"")</f>
        <v/>
      </c>
      <c r="BY262" s="90" t="str">
        <f t="shared" si="437"/>
        <v/>
      </c>
      <c r="BZ262" s="90" t="str">
        <f t="shared" si="437"/>
        <v/>
      </c>
      <c r="CA262" s="90" t="str">
        <f t="shared" si="437"/>
        <v/>
      </c>
      <c r="CB262" s="90" t="str">
        <f t="shared" si="437"/>
        <v/>
      </c>
      <c r="CC262" s="90" t="str">
        <f t="shared" si="437"/>
        <v/>
      </c>
      <c r="CD262" s="90" t="str">
        <f t="shared" si="437"/>
        <v/>
      </c>
      <c r="CE262" s="90" t="str">
        <f t="shared" si="437"/>
        <v/>
      </c>
      <c r="CF262" s="22"/>
      <c r="CG262" s="91">
        <f>$A$36</f>
        <v>20132</v>
      </c>
      <c r="CH262" s="105"/>
      <c r="CI262" s="90" t="str">
        <f>IFERROR(CJ249/CI249,"")</f>
        <v/>
      </c>
      <c r="CJ262" s="90" t="str">
        <f t="shared" ref="CJ262:CQ262" si="438">IFERROR(CK249/CJ249,"")</f>
        <v/>
      </c>
      <c r="CK262" s="90" t="str">
        <f t="shared" si="438"/>
        <v/>
      </c>
      <c r="CL262" s="90" t="str">
        <f t="shared" si="438"/>
        <v/>
      </c>
      <c r="CM262" s="90" t="str">
        <f t="shared" si="438"/>
        <v/>
      </c>
      <c r="CN262" s="90" t="str">
        <f t="shared" si="438"/>
        <v/>
      </c>
      <c r="CO262" s="90" t="str">
        <f t="shared" si="438"/>
        <v/>
      </c>
      <c r="CP262" s="90" t="str">
        <f t="shared" si="438"/>
        <v/>
      </c>
      <c r="CQ262" s="90" t="str">
        <f t="shared" si="438"/>
        <v/>
      </c>
      <c r="CR262" s="22"/>
      <c r="CS262" s="91">
        <f>$A$36</f>
        <v>20132</v>
      </c>
      <c r="CT262" s="105"/>
      <c r="CU262" s="90" t="str">
        <f>IFERROR(CV249/CU249,"")</f>
        <v/>
      </c>
      <c r="CV262" s="90" t="str">
        <f t="shared" ref="CV262:DC262" si="439">IFERROR(CW249/CV249,"")</f>
        <v/>
      </c>
      <c r="CW262" s="90" t="str">
        <f t="shared" si="439"/>
        <v/>
      </c>
      <c r="CX262" s="90" t="str">
        <f t="shared" si="439"/>
        <v/>
      </c>
      <c r="CY262" s="90" t="str">
        <f t="shared" si="439"/>
        <v/>
      </c>
      <c r="CZ262" s="90" t="str">
        <f t="shared" si="439"/>
        <v/>
      </c>
      <c r="DA262" s="90" t="str">
        <f t="shared" si="439"/>
        <v/>
      </c>
      <c r="DB262" s="90" t="str">
        <f t="shared" si="439"/>
        <v/>
      </c>
      <c r="DC262" s="90" t="str">
        <f t="shared" si="439"/>
        <v/>
      </c>
      <c r="DD262" s="22"/>
      <c r="DE262" s="91">
        <f>$A$36</f>
        <v>20132</v>
      </c>
      <c r="DF262" s="105"/>
      <c r="DG262" s="90" t="str">
        <f>IFERROR(DH249/DG249,"")</f>
        <v/>
      </c>
      <c r="DH262" s="90" t="str">
        <f t="shared" ref="DH262:DO262" si="440">IFERROR(DI249/DH249,"")</f>
        <v/>
      </c>
      <c r="DI262" s="90" t="str">
        <f t="shared" si="440"/>
        <v/>
      </c>
      <c r="DJ262" s="90" t="str">
        <f t="shared" si="440"/>
        <v/>
      </c>
      <c r="DK262" s="90" t="str">
        <f t="shared" si="440"/>
        <v/>
      </c>
      <c r="DL262" s="90" t="str">
        <f t="shared" si="440"/>
        <v/>
      </c>
      <c r="DM262" s="90" t="str">
        <f t="shared" si="440"/>
        <v/>
      </c>
      <c r="DN262" s="90" t="str">
        <f t="shared" si="440"/>
        <v/>
      </c>
      <c r="DO262" s="90" t="str">
        <f t="shared" si="440"/>
        <v/>
      </c>
      <c r="DP262" s="22"/>
    </row>
    <row r="263" spans="1:120" x14ac:dyDescent="0.25">
      <c r="A263" s="91">
        <f>$A$37</f>
        <v>20142</v>
      </c>
      <c r="B263" s="105"/>
      <c r="C263" s="90" t="str">
        <f t="shared" ref="C263:J270" si="441">IFERROR(D250/C250,"")</f>
        <v/>
      </c>
      <c r="D263" s="90" t="str">
        <f t="shared" si="441"/>
        <v/>
      </c>
      <c r="E263" s="90" t="str">
        <f t="shared" si="441"/>
        <v/>
      </c>
      <c r="F263" s="90" t="str">
        <f t="shared" si="441"/>
        <v/>
      </c>
      <c r="G263" s="90" t="str">
        <f t="shared" si="441"/>
        <v/>
      </c>
      <c r="H263" s="90" t="str">
        <f t="shared" si="441"/>
        <v/>
      </c>
      <c r="I263" s="90" t="str">
        <f t="shared" si="441"/>
        <v/>
      </c>
      <c r="J263" s="90" t="str">
        <f t="shared" si="441"/>
        <v/>
      </c>
      <c r="K263" s="22"/>
      <c r="L263" s="22"/>
      <c r="M263" s="91">
        <f>$A$37</f>
        <v>20142</v>
      </c>
      <c r="N263" s="105"/>
      <c r="O263" s="90" t="str">
        <f t="shared" ref="O263:V270" si="442">IFERROR(P250/O250,"")</f>
        <v/>
      </c>
      <c r="P263" s="90" t="str">
        <f t="shared" si="442"/>
        <v/>
      </c>
      <c r="Q263" s="90" t="str">
        <f t="shared" si="442"/>
        <v/>
      </c>
      <c r="R263" s="90" t="str">
        <f t="shared" si="442"/>
        <v/>
      </c>
      <c r="S263" s="90" t="str">
        <f t="shared" si="442"/>
        <v/>
      </c>
      <c r="T263" s="90" t="str">
        <f t="shared" si="442"/>
        <v/>
      </c>
      <c r="U263" s="90" t="str">
        <f t="shared" si="442"/>
        <v/>
      </c>
      <c r="V263" s="90" t="str">
        <f t="shared" si="442"/>
        <v/>
      </c>
      <c r="W263" s="22"/>
      <c r="X263" s="22"/>
      <c r="Y263" s="91">
        <f>$A$37</f>
        <v>20142</v>
      </c>
      <c r="Z263" s="105"/>
      <c r="AA263" s="90" t="str">
        <f t="shared" ref="AA263:AH270" si="443">IFERROR(AB250/AA250,"")</f>
        <v/>
      </c>
      <c r="AB263" s="90" t="str">
        <f t="shared" si="443"/>
        <v/>
      </c>
      <c r="AC263" s="90" t="str">
        <f t="shared" si="443"/>
        <v/>
      </c>
      <c r="AD263" s="90" t="str">
        <f t="shared" si="443"/>
        <v/>
      </c>
      <c r="AE263" s="90" t="str">
        <f t="shared" si="443"/>
        <v/>
      </c>
      <c r="AF263" s="90" t="str">
        <f t="shared" si="443"/>
        <v/>
      </c>
      <c r="AG263" s="90" t="str">
        <f t="shared" si="443"/>
        <v/>
      </c>
      <c r="AH263" s="90" t="str">
        <f t="shared" si="443"/>
        <v/>
      </c>
      <c r="AI263" s="22"/>
      <c r="AJ263" s="22"/>
      <c r="AK263" s="91">
        <f>$A$37</f>
        <v>20142</v>
      </c>
      <c r="AL263" s="105"/>
      <c r="AM263" s="90" t="str">
        <f t="shared" ref="AM263:AT270" si="444">IFERROR(AN250/AM250,"")</f>
        <v/>
      </c>
      <c r="AN263" s="90" t="str">
        <f t="shared" si="444"/>
        <v/>
      </c>
      <c r="AO263" s="90" t="str">
        <f t="shared" si="444"/>
        <v/>
      </c>
      <c r="AP263" s="90" t="str">
        <f t="shared" si="444"/>
        <v/>
      </c>
      <c r="AQ263" s="90" t="str">
        <f t="shared" si="444"/>
        <v/>
      </c>
      <c r="AR263" s="90" t="str">
        <f t="shared" si="444"/>
        <v/>
      </c>
      <c r="AS263" s="90" t="str">
        <f t="shared" si="444"/>
        <v/>
      </c>
      <c r="AT263" s="90" t="str">
        <f t="shared" si="444"/>
        <v/>
      </c>
      <c r="AU263" s="22"/>
      <c r="AV263" s="22"/>
      <c r="AW263" s="91">
        <f>$A$37</f>
        <v>20142</v>
      </c>
      <c r="AX263" s="105"/>
      <c r="AY263" s="90" t="str">
        <f t="shared" ref="AY263:BF270" si="445">IFERROR(AZ250/AY250,"")</f>
        <v/>
      </c>
      <c r="AZ263" s="90" t="str">
        <f t="shared" si="445"/>
        <v/>
      </c>
      <c r="BA263" s="90" t="str">
        <f t="shared" si="445"/>
        <v/>
      </c>
      <c r="BB263" s="90" t="str">
        <f t="shared" si="445"/>
        <v/>
      </c>
      <c r="BC263" s="90" t="str">
        <f t="shared" si="445"/>
        <v/>
      </c>
      <c r="BD263" s="90" t="str">
        <f t="shared" si="445"/>
        <v/>
      </c>
      <c r="BE263" s="90" t="str">
        <f t="shared" si="445"/>
        <v/>
      </c>
      <c r="BF263" s="90" t="str">
        <f t="shared" si="445"/>
        <v/>
      </c>
      <c r="BG263" s="22"/>
      <c r="BH263" s="22"/>
      <c r="BI263" s="91">
        <f>$A$37</f>
        <v>20142</v>
      </c>
      <c r="BJ263" s="105"/>
      <c r="BK263" s="90" t="str">
        <f t="shared" ref="BK263:BR270" si="446">IFERROR(BL250/BK250,"")</f>
        <v/>
      </c>
      <c r="BL263" s="90" t="str">
        <f t="shared" si="446"/>
        <v/>
      </c>
      <c r="BM263" s="90" t="str">
        <f t="shared" si="446"/>
        <v/>
      </c>
      <c r="BN263" s="90" t="str">
        <f t="shared" si="446"/>
        <v/>
      </c>
      <c r="BO263" s="90" t="str">
        <f t="shared" si="446"/>
        <v/>
      </c>
      <c r="BP263" s="90" t="str">
        <f t="shared" si="446"/>
        <v/>
      </c>
      <c r="BQ263" s="90" t="str">
        <f t="shared" si="446"/>
        <v/>
      </c>
      <c r="BR263" s="90" t="str">
        <f t="shared" si="446"/>
        <v/>
      </c>
      <c r="BS263" s="22"/>
      <c r="BT263" s="22"/>
      <c r="BU263" s="91">
        <f>$A$37</f>
        <v>20142</v>
      </c>
      <c r="BV263" s="105"/>
      <c r="BW263" s="90" t="str">
        <f t="shared" ref="BW263:CD270" si="447">IFERROR(BX250/BW250,"")</f>
        <v/>
      </c>
      <c r="BX263" s="90" t="str">
        <f t="shared" si="447"/>
        <v/>
      </c>
      <c r="BY263" s="90" t="str">
        <f t="shared" si="447"/>
        <v/>
      </c>
      <c r="BZ263" s="90" t="str">
        <f t="shared" si="447"/>
        <v/>
      </c>
      <c r="CA263" s="90" t="str">
        <f t="shared" si="447"/>
        <v/>
      </c>
      <c r="CB263" s="90" t="str">
        <f t="shared" si="447"/>
        <v/>
      </c>
      <c r="CC263" s="90" t="str">
        <f t="shared" si="447"/>
        <v/>
      </c>
      <c r="CD263" s="90" t="str">
        <f t="shared" si="447"/>
        <v/>
      </c>
      <c r="CE263" s="22"/>
      <c r="CF263" s="22"/>
      <c r="CG263" s="91">
        <f>$A$37</f>
        <v>20142</v>
      </c>
      <c r="CH263" s="105"/>
      <c r="CI263" s="90" t="str">
        <f t="shared" ref="CI263:CP270" si="448">IFERROR(CJ250/CI250,"")</f>
        <v/>
      </c>
      <c r="CJ263" s="90" t="str">
        <f t="shared" si="448"/>
        <v/>
      </c>
      <c r="CK263" s="90" t="str">
        <f t="shared" si="448"/>
        <v/>
      </c>
      <c r="CL263" s="90" t="str">
        <f t="shared" si="448"/>
        <v/>
      </c>
      <c r="CM263" s="90" t="str">
        <f t="shared" si="448"/>
        <v/>
      </c>
      <c r="CN263" s="90" t="str">
        <f t="shared" si="448"/>
        <v/>
      </c>
      <c r="CO263" s="90" t="str">
        <f t="shared" si="448"/>
        <v/>
      </c>
      <c r="CP263" s="90" t="str">
        <f t="shared" si="448"/>
        <v/>
      </c>
      <c r="CQ263" s="22"/>
      <c r="CR263" s="22"/>
      <c r="CS263" s="91">
        <f>$A$37</f>
        <v>20142</v>
      </c>
      <c r="CT263" s="105"/>
      <c r="CU263" s="90" t="str">
        <f t="shared" ref="CU263:DB270" si="449">IFERROR(CV250/CU250,"")</f>
        <v/>
      </c>
      <c r="CV263" s="90" t="str">
        <f t="shared" si="449"/>
        <v/>
      </c>
      <c r="CW263" s="90" t="str">
        <f t="shared" si="449"/>
        <v/>
      </c>
      <c r="CX263" s="90" t="str">
        <f t="shared" si="449"/>
        <v/>
      </c>
      <c r="CY263" s="90" t="str">
        <f t="shared" si="449"/>
        <v/>
      </c>
      <c r="CZ263" s="90" t="str">
        <f t="shared" si="449"/>
        <v/>
      </c>
      <c r="DA263" s="90" t="str">
        <f t="shared" si="449"/>
        <v/>
      </c>
      <c r="DB263" s="90" t="str">
        <f t="shared" si="449"/>
        <v/>
      </c>
      <c r="DC263" s="22"/>
      <c r="DD263" s="22"/>
      <c r="DE263" s="91">
        <f>$A$37</f>
        <v>20142</v>
      </c>
      <c r="DF263" s="105"/>
      <c r="DG263" s="90" t="str">
        <f t="shared" ref="DG263:DN270" si="450">IFERROR(DH250/DG250,"")</f>
        <v/>
      </c>
      <c r="DH263" s="90" t="str">
        <f t="shared" si="450"/>
        <v/>
      </c>
      <c r="DI263" s="90" t="str">
        <f t="shared" si="450"/>
        <v/>
      </c>
      <c r="DJ263" s="90" t="str">
        <f t="shared" si="450"/>
        <v/>
      </c>
      <c r="DK263" s="90" t="str">
        <f t="shared" si="450"/>
        <v/>
      </c>
      <c r="DL263" s="90" t="str">
        <f t="shared" si="450"/>
        <v/>
      </c>
      <c r="DM263" s="90" t="str">
        <f t="shared" si="450"/>
        <v/>
      </c>
      <c r="DN263" s="90" t="str">
        <f t="shared" si="450"/>
        <v/>
      </c>
      <c r="DO263" s="22"/>
      <c r="DP263" s="22"/>
    </row>
    <row r="264" spans="1:120" x14ac:dyDescent="0.25">
      <c r="A264" s="91">
        <f>$A$38</f>
        <v>20152</v>
      </c>
      <c r="B264" s="105"/>
      <c r="C264" s="90" t="str">
        <f t="shared" si="441"/>
        <v/>
      </c>
      <c r="D264" s="90" t="str">
        <f t="shared" si="441"/>
        <v/>
      </c>
      <c r="E264" s="90" t="str">
        <f t="shared" si="441"/>
        <v/>
      </c>
      <c r="F264" s="90" t="str">
        <f t="shared" si="441"/>
        <v/>
      </c>
      <c r="G264" s="90" t="str">
        <f t="shared" si="441"/>
        <v/>
      </c>
      <c r="H264" s="90" t="str">
        <f t="shared" si="441"/>
        <v/>
      </c>
      <c r="I264" s="90" t="str">
        <f t="shared" si="441"/>
        <v/>
      </c>
      <c r="J264" s="22"/>
      <c r="K264" s="22"/>
      <c r="L264" s="22"/>
      <c r="M264" s="91">
        <f>$A$38</f>
        <v>20152</v>
      </c>
      <c r="N264" s="105"/>
      <c r="O264" s="90" t="str">
        <f t="shared" si="442"/>
        <v/>
      </c>
      <c r="P264" s="90" t="str">
        <f t="shared" si="442"/>
        <v/>
      </c>
      <c r="Q264" s="90" t="str">
        <f t="shared" si="442"/>
        <v/>
      </c>
      <c r="R264" s="90" t="str">
        <f t="shared" si="442"/>
        <v/>
      </c>
      <c r="S264" s="90" t="str">
        <f t="shared" si="442"/>
        <v/>
      </c>
      <c r="T264" s="90" t="str">
        <f t="shared" si="442"/>
        <v/>
      </c>
      <c r="U264" s="90" t="str">
        <f t="shared" si="442"/>
        <v/>
      </c>
      <c r="V264" s="22"/>
      <c r="W264" s="22"/>
      <c r="X264" s="22"/>
      <c r="Y264" s="91">
        <f>$A$38</f>
        <v>20152</v>
      </c>
      <c r="Z264" s="105"/>
      <c r="AA264" s="90" t="str">
        <f t="shared" si="443"/>
        <v/>
      </c>
      <c r="AB264" s="90" t="str">
        <f t="shared" si="443"/>
        <v/>
      </c>
      <c r="AC264" s="90" t="str">
        <f t="shared" si="443"/>
        <v/>
      </c>
      <c r="AD264" s="90" t="str">
        <f t="shared" si="443"/>
        <v/>
      </c>
      <c r="AE264" s="90" t="str">
        <f t="shared" si="443"/>
        <v/>
      </c>
      <c r="AF264" s="90" t="str">
        <f t="shared" si="443"/>
        <v/>
      </c>
      <c r="AG264" s="90" t="str">
        <f t="shared" si="443"/>
        <v/>
      </c>
      <c r="AH264" s="22"/>
      <c r="AI264" s="22"/>
      <c r="AJ264" s="22"/>
      <c r="AK264" s="91">
        <f>$A$38</f>
        <v>20152</v>
      </c>
      <c r="AL264" s="105"/>
      <c r="AM264" s="90" t="str">
        <f t="shared" si="444"/>
        <v/>
      </c>
      <c r="AN264" s="90" t="str">
        <f t="shared" si="444"/>
        <v/>
      </c>
      <c r="AO264" s="90" t="str">
        <f t="shared" si="444"/>
        <v/>
      </c>
      <c r="AP264" s="90" t="str">
        <f t="shared" si="444"/>
        <v/>
      </c>
      <c r="AQ264" s="90" t="str">
        <f t="shared" si="444"/>
        <v/>
      </c>
      <c r="AR264" s="90" t="str">
        <f t="shared" si="444"/>
        <v/>
      </c>
      <c r="AS264" s="90" t="str">
        <f t="shared" si="444"/>
        <v/>
      </c>
      <c r="AT264" s="22"/>
      <c r="AU264" s="22"/>
      <c r="AV264" s="22"/>
      <c r="AW264" s="91">
        <f>$A$38</f>
        <v>20152</v>
      </c>
      <c r="AX264" s="105"/>
      <c r="AY264" s="90" t="str">
        <f t="shared" si="445"/>
        <v/>
      </c>
      <c r="AZ264" s="90" t="str">
        <f t="shared" si="445"/>
        <v/>
      </c>
      <c r="BA264" s="90" t="str">
        <f t="shared" si="445"/>
        <v/>
      </c>
      <c r="BB264" s="90" t="str">
        <f t="shared" si="445"/>
        <v/>
      </c>
      <c r="BC264" s="90" t="str">
        <f t="shared" si="445"/>
        <v/>
      </c>
      <c r="BD264" s="90" t="str">
        <f t="shared" si="445"/>
        <v/>
      </c>
      <c r="BE264" s="90" t="str">
        <f t="shared" si="445"/>
        <v/>
      </c>
      <c r="BF264" s="22"/>
      <c r="BG264" s="22"/>
      <c r="BH264" s="22"/>
      <c r="BI264" s="91">
        <f>$A$38</f>
        <v>20152</v>
      </c>
      <c r="BJ264" s="105"/>
      <c r="BK264" s="90" t="str">
        <f t="shared" si="446"/>
        <v/>
      </c>
      <c r="BL264" s="90" t="str">
        <f t="shared" si="446"/>
        <v/>
      </c>
      <c r="BM264" s="90" t="str">
        <f t="shared" si="446"/>
        <v/>
      </c>
      <c r="BN264" s="90" t="str">
        <f t="shared" si="446"/>
        <v/>
      </c>
      <c r="BO264" s="90" t="str">
        <f t="shared" si="446"/>
        <v/>
      </c>
      <c r="BP264" s="90" t="str">
        <f t="shared" si="446"/>
        <v/>
      </c>
      <c r="BQ264" s="90" t="str">
        <f t="shared" si="446"/>
        <v/>
      </c>
      <c r="BR264" s="22"/>
      <c r="BS264" s="22"/>
      <c r="BT264" s="22"/>
      <c r="BU264" s="91">
        <f>$A$38</f>
        <v>20152</v>
      </c>
      <c r="BV264" s="105"/>
      <c r="BW264" s="90" t="str">
        <f t="shared" si="447"/>
        <v/>
      </c>
      <c r="BX264" s="90" t="str">
        <f t="shared" si="447"/>
        <v/>
      </c>
      <c r="BY264" s="90" t="str">
        <f t="shared" si="447"/>
        <v/>
      </c>
      <c r="BZ264" s="90" t="str">
        <f t="shared" si="447"/>
        <v/>
      </c>
      <c r="CA264" s="90" t="str">
        <f t="shared" si="447"/>
        <v/>
      </c>
      <c r="CB264" s="90" t="str">
        <f t="shared" si="447"/>
        <v/>
      </c>
      <c r="CC264" s="90" t="str">
        <f t="shared" si="447"/>
        <v/>
      </c>
      <c r="CD264" s="22"/>
      <c r="CE264" s="22"/>
      <c r="CF264" s="22"/>
      <c r="CG264" s="91">
        <f>$A$38</f>
        <v>20152</v>
      </c>
      <c r="CH264" s="105"/>
      <c r="CI264" s="90" t="str">
        <f t="shared" si="448"/>
        <v/>
      </c>
      <c r="CJ264" s="90" t="str">
        <f t="shared" si="448"/>
        <v/>
      </c>
      <c r="CK264" s="90" t="str">
        <f t="shared" si="448"/>
        <v/>
      </c>
      <c r="CL264" s="90" t="str">
        <f t="shared" si="448"/>
        <v/>
      </c>
      <c r="CM264" s="90" t="str">
        <f t="shared" si="448"/>
        <v/>
      </c>
      <c r="CN264" s="90" t="str">
        <f t="shared" si="448"/>
        <v/>
      </c>
      <c r="CO264" s="90" t="str">
        <f t="shared" si="448"/>
        <v/>
      </c>
      <c r="CP264" s="22"/>
      <c r="CQ264" s="22"/>
      <c r="CR264" s="22"/>
      <c r="CS264" s="91">
        <f>$A$38</f>
        <v>20152</v>
      </c>
      <c r="CT264" s="105"/>
      <c r="CU264" s="90" t="str">
        <f t="shared" si="449"/>
        <v/>
      </c>
      <c r="CV264" s="90" t="str">
        <f t="shared" si="449"/>
        <v/>
      </c>
      <c r="CW264" s="90" t="str">
        <f t="shared" si="449"/>
        <v/>
      </c>
      <c r="CX264" s="90" t="str">
        <f t="shared" si="449"/>
        <v/>
      </c>
      <c r="CY264" s="90" t="str">
        <f t="shared" si="449"/>
        <v/>
      </c>
      <c r="CZ264" s="90" t="str">
        <f t="shared" si="449"/>
        <v/>
      </c>
      <c r="DA264" s="90" t="str">
        <f t="shared" si="449"/>
        <v/>
      </c>
      <c r="DB264" s="22"/>
      <c r="DC264" s="22"/>
      <c r="DD264" s="22"/>
      <c r="DE264" s="91">
        <f>$A$38</f>
        <v>20152</v>
      </c>
      <c r="DF264" s="105"/>
      <c r="DG264" s="90" t="str">
        <f t="shared" si="450"/>
        <v/>
      </c>
      <c r="DH264" s="90" t="str">
        <f t="shared" si="450"/>
        <v/>
      </c>
      <c r="DI264" s="90" t="str">
        <f t="shared" si="450"/>
        <v/>
      </c>
      <c r="DJ264" s="90" t="str">
        <f t="shared" si="450"/>
        <v/>
      </c>
      <c r="DK264" s="90" t="str">
        <f t="shared" si="450"/>
        <v/>
      </c>
      <c r="DL264" s="90" t="str">
        <f t="shared" si="450"/>
        <v/>
      </c>
      <c r="DM264" s="90" t="str">
        <f t="shared" si="450"/>
        <v/>
      </c>
      <c r="DN264" s="22"/>
      <c r="DO264" s="22"/>
      <c r="DP264" s="22"/>
    </row>
    <row r="265" spans="1:120" x14ac:dyDescent="0.25">
      <c r="A265" s="91">
        <f>$A$39</f>
        <v>20162</v>
      </c>
      <c r="B265" s="105"/>
      <c r="C265" s="90" t="str">
        <f t="shared" si="441"/>
        <v/>
      </c>
      <c r="D265" s="90" t="str">
        <f t="shared" si="441"/>
        <v/>
      </c>
      <c r="E265" s="90" t="str">
        <f t="shared" si="441"/>
        <v/>
      </c>
      <c r="F265" s="90" t="str">
        <f t="shared" si="441"/>
        <v/>
      </c>
      <c r="G265" s="90" t="str">
        <f t="shared" si="441"/>
        <v/>
      </c>
      <c r="H265" s="90" t="str">
        <f t="shared" si="441"/>
        <v/>
      </c>
      <c r="I265" s="22"/>
      <c r="J265" s="22"/>
      <c r="K265" s="22"/>
      <c r="L265" s="22"/>
      <c r="M265" s="91">
        <f>$A$39</f>
        <v>20162</v>
      </c>
      <c r="N265" s="105"/>
      <c r="O265" s="90" t="str">
        <f t="shared" si="442"/>
        <v/>
      </c>
      <c r="P265" s="90" t="str">
        <f t="shared" si="442"/>
        <v/>
      </c>
      <c r="Q265" s="90" t="str">
        <f t="shared" si="442"/>
        <v/>
      </c>
      <c r="R265" s="90" t="str">
        <f t="shared" si="442"/>
        <v/>
      </c>
      <c r="S265" s="90" t="str">
        <f t="shared" si="442"/>
        <v/>
      </c>
      <c r="T265" s="90" t="str">
        <f t="shared" si="442"/>
        <v/>
      </c>
      <c r="U265" s="22"/>
      <c r="V265" s="22"/>
      <c r="W265" s="22"/>
      <c r="X265" s="22"/>
      <c r="Y265" s="91">
        <f>$A$39</f>
        <v>20162</v>
      </c>
      <c r="Z265" s="105"/>
      <c r="AA265" s="90" t="str">
        <f t="shared" si="443"/>
        <v/>
      </c>
      <c r="AB265" s="90" t="str">
        <f t="shared" si="443"/>
        <v/>
      </c>
      <c r="AC265" s="90" t="str">
        <f t="shared" si="443"/>
        <v/>
      </c>
      <c r="AD265" s="90" t="str">
        <f t="shared" si="443"/>
        <v/>
      </c>
      <c r="AE265" s="90" t="str">
        <f t="shared" si="443"/>
        <v/>
      </c>
      <c r="AF265" s="90" t="str">
        <f t="shared" si="443"/>
        <v/>
      </c>
      <c r="AG265" s="22"/>
      <c r="AH265" s="22"/>
      <c r="AI265" s="22"/>
      <c r="AJ265" s="22"/>
      <c r="AK265" s="91">
        <f>$A$39</f>
        <v>20162</v>
      </c>
      <c r="AL265" s="105"/>
      <c r="AM265" s="90" t="str">
        <f t="shared" si="444"/>
        <v/>
      </c>
      <c r="AN265" s="90" t="str">
        <f t="shared" si="444"/>
        <v/>
      </c>
      <c r="AO265" s="90" t="str">
        <f t="shared" si="444"/>
        <v/>
      </c>
      <c r="AP265" s="90" t="str">
        <f t="shared" si="444"/>
        <v/>
      </c>
      <c r="AQ265" s="90" t="str">
        <f t="shared" si="444"/>
        <v/>
      </c>
      <c r="AR265" s="90" t="str">
        <f t="shared" si="444"/>
        <v/>
      </c>
      <c r="AS265" s="22"/>
      <c r="AT265" s="22"/>
      <c r="AU265" s="22"/>
      <c r="AV265" s="22"/>
      <c r="AW265" s="91">
        <f>$A$39</f>
        <v>20162</v>
      </c>
      <c r="AX265" s="105"/>
      <c r="AY265" s="90" t="str">
        <f t="shared" si="445"/>
        <v/>
      </c>
      <c r="AZ265" s="90" t="str">
        <f t="shared" si="445"/>
        <v/>
      </c>
      <c r="BA265" s="90" t="str">
        <f t="shared" si="445"/>
        <v/>
      </c>
      <c r="BB265" s="90" t="str">
        <f t="shared" si="445"/>
        <v/>
      </c>
      <c r="BC265" s="90" t="str">
        <f t="shared" si="445"/>
        <v/>
      </c>
      <c r="BD265" s="90" t="str">
        <f t="shared" si="445"/>
        <v/>
      </c>
      <c r="BE265" s="22"/>
      <c r="BF265" s="22"/>
      <c r="BG265" s="22"/>
      <c r="BH265" s="22"/>
      <c r="BI265" s="91">
        <f>$A$39</f>
        <v>20162</v>
      </c>
      <c r="BJ265" s="105"/>
      <c r="BK265" s="90" t="str">
        <f t="shared" si="446"/>
        <v/>
      </c>
      <c r="BL265" s="90" t="str">
        <f t="shared" si="446"/>
        <v/>
      </c>
      <c r="BM265" s="90" t="str">
        <f t="shared" si="446"/>
        <v/>
      </c>
      <c r="BN265" s="90" t="str">
        <f t="shared" si="446"/>
        <v/>
      </c>
      <c r="BO265" s="90" t="str">
        <f t="shared" si="446"/>
        <v/>
      </c>
      <c r="BP265" s="90" t="str">
        <f t="shared" si="446"/>
        <v/>
      </c>
      <c r="BQ265" s="22"/>
      <c r="BR265" s="22"/>
      <c r="BS265" s="22"/>
      <c r="BT265" s="22"/>
      <c r="BU265" s="91">
        <f>$A$39</f>
        <v>20162</v>
      </c>
      <c r="BV265" s="105"/>
      <c r="BW265" s="90" t="str">
        <f t="shared" si="447"/>
        <v/>
      </c>
      <c r="BX265" s="90" t="str">
        <f t="shared" si="447"/>
        <v/>
      </c>
      <c r="BY265" s="90" t="str">
        <f t="shared" si="447"/>
        <v/>
      </c>
      <c r="BZ265" s="90" t="str">
        <f t="shared" si="447"/>
        <v/>
      </c>
      <c r="CA265" s="90" t="str">
        <f t="shared" si="447"/>
        <v/>
      </c>
      <c r="CB265" s="90" t="str">
        <f t="shared" si="447"/>
        <v/>
      </c>
      <c r="CC265" s="22"/>
      <c r="CD265" s="22"/>
      <c r="CE265" s="22"/>
      <c r="CF265" s="22"/>
      <c r="CG265" s="91">
        <f>$A$39</f>
        <v>20162</v>
      </c>
      <c r="CH265" s="105"/>
      <c r="CI265" s="90" t="str">
        <f t="shared" si="448"/>
        <v/>
      </c>
      <c r="CJ265" s="90" t="str">
        <f t="shared" si="448"/>
        <v/>
      </c>
      <c r="CK265" s="90" t="str">
        <f t="shared" si="448"/>
        <v/>
      </c>
      <c r="CL265" s="90" t="str">
        <f t="shared" si="448"/>
        <v/>
      </c>
      <c r="CM265" s="90" t="str">
        <f t="shared" si="448"/>
        <v/>
      </c>
      <c r="CN265" s="90" t="str">
        <f t="shared" si="448"/>
        <v/>
      </c>
      <c r="CO265" s="22"/>
      <c r="CP265" s="22"/>
      <c r="CQ265" s="22"/>
      <c r="CR265" s="22"/>
      <c r="CS265" s="91">
        <f>$A$39</f>
        <v>20162</v>
      </c>
      <c r="CT265" s="105"/>
      <c r="CU265" s="90" t="str">
        <f t="shared" si="449"/>
        <v/>
      </c>
      <c r="CV265" s="90" t="str">
        <f t="shared" si="449"/>
        <v/>
      </c>
      <c r="CW265" s="90" t="str">
        <f t="shared" si="449"/>
        <v/>
      </c>
      <c r="CX265" s="90" t="str">
        <f t="shared" si="449"/>
        <v/>
      </c>
      <c r="CY265" s="90" t="str">
        <f t="shared" si="449"/>
        <v/>
      </c>
      <c r="CZ265" s="90" t="str">
        <f t="shared" si="449"/>
        <v/>
      </c>
      <c r="DA265" s="22"/>
      <c r="DB265" s="22"/>
      <c r="DC265" s="22"/>
      <c r="DD265" s="22"/>
      <c r="DE265" s="91">
        <f>$A$39</f>
        <v>20162</v>
      </c>
      <c r="DF265" s="105"/>
      <c r="DG265" s="90" t="str">
        <f t="shared" si="450"/>
        <v/>
      </c>
      <c r="DH265" s="90" t="str">
        <f t="shared" si="450"/>
        <v/>
      </c>
      <c r="DI265" s="90" t="str">
        <f t="shared" si="450"/>
        <v/>
      </c>
      <c r="DJ265" s="90" t="str">
        <f t="shared" si="450"/>
        <v/>
      </c>
      <c r="DK265" s="90" t="str">
        <f t="shared" si="450"/>
        <v/>
      </c>
      <c r="DL265" s="90" t="str">
        <f t="shared" si="450"/>
        <v/>
      </c>
      <c r="DM265" s="22"/>
      <c r="DN265" s="22"/>
      <c r="DO265" s="22"/>
      <c r="DP265" s="22"/>
    </row>
    <row r="266" spans="1:120" x14ac:dyDescent="0.25">
      <c r="A266" s="91">
        <f>$A$40</f>
        <v>20172</v>
      </c>
      <c r="B266" s="105"/>
      <c r="C266" s="90" t="str">
        <f t="shared" si="441"/>
        <v/>
      </c>
      <c r="D266" s="90" t="str">
        <f t="shared" si="441"/>
        <v/>
      </c>
      <c r="E266" s="90" t="str">
        <f t="shared" si="441"/>
        <v/>
      </c>
      <c r="F266" s="90" t="str">
        <f t="shared" si="441"/>
        <v/>
      </c>
      <c r="G266" s="90" t="str">
        <f t="shared" si="441"/>
        <v/>
      </c>
      <c r="H266" s="22"/>
      <c r="I266" s="22"/>
      <c r="J266" s="22"/>
      <c r="K266" s="22"/>
      <c r="L266" s="22"/>
      <c r="M266" s="91">
        <f>$A$40</f>
        <v>20172</v>
      </c>
      <c r="N266" s="105"/>
      <c r="O266" s="90" t="str">
        <f t="shared" si="442"/>
        <v/>
      </c>
      <c r="P266" s="90" t="str">
        <f t="shared" si="442"/>
        <v/>
      </c>
      <c r="Q266" s="90" t="str">
        <f t="shared" si="442"/>
        <v/>
      </c>
      <c r="R266" s="90" t="str">
        <f t="shared" si="442"/>
        <v/>
      </c>
      <c r="S266" s="90" t="str">
        <f t="shared" si="442"/>
        <v/>
      </c>
      <c r="T266" s="22"/>
      <c r="U266" s="22"/>
      <c r="V266" s="22"/>
      <c r="W266" s="22"/>
      <c r="X266" s="22"/>
      <c r="Y266" s="91">
        <f>$A$40</f>
        <v>20172</v>
      </c>
      <c r="Z266" s="105"/>
      <c r="AA266" s="90" t="str">
        <f t="shared" si="443"/>
        <v/>
      </c>
      <c r="AB266" s="90" t="str">
        <f t="shared" si="443"/>
        <v/>
      </c>
      <c r="AC266" s="90" t="str">
        <f t="shared" si="443"/>
        <v/>
      </c>
      <c r="AD266" s="90" t="str">
        <f t="shared" si="443"/>
        <v/>
      </c>
      <c r="AE266" s="90" t="str">
        <f t="shared" si="443"/>
        <v/>
      </c>
      <c r="AF266" s="22"/>
      <c r="AG266" s="22"/>
      <c r="AH266" s="22"/>
      <c r="AI266" s="22"/>
      <c r="AJ266" s="22"/>
      <c r="AK266" s="91">
        <f>$A$40</f>
        <v>20172</v>
      </c>
      <c r="AL266" s="105"/>
      <c r="AM266" s="90" t="str">
        <f t="shared" si="444"/>
        <v/>
      </c>
      <c r="AN266" s="90" t="str">
        <f t="shared" si="444"/>
        <v/>
      </c>
      <c r="AO266" s="90" t="str">
        <f t="shared" si="444"/>
        <v/>
      </c>
      <c r="AP266" s="90" t="str">
        <f t="shared" si="444"/>
        <v/>
      </c>
      <c r="AQ266" s="90" t="str">
        <f t="shared" si="444"/>
        <v/>
      </c>
      <c r="AR266" s="22"/>
      <c r="AS266" s="22"/>
      <c r="AT266" s="22"/>
      <c r="AU266" s="22"/>
      <c r="AV266" s="22"/>
      <c r="AW266" s="91">
        <f>$A$40</f>
        <v>20172</v>
      </c>
      <c r="AX266" s="105"/>
      <c r="AY266" s="90" t="str">
        <f t="shared" si="445"/>
        <v/>
      </c>
      <c r="AZ266" s="90" t="str">
        <f t="shared" si="445"/>
        <v/>
      </c>
      <c r="BA266" s="90" t="str">
        <f t="shared" si="445"/>
        <v/>
      </c>
      <c r="BB266" s="90" t="str">
        <f t="shared" si="445"/>
        <v/>
      </c>
      <c r="BC266" s="90" t="str">
        <f t="shared" si="445"/>
        <v/>
      </c>
      <c r="BD266" s="22"/>
      <c r="BE266" s="22"/>
      <c r="BF266" s="22"/>
      <c r="BG266" s="22"/>
      <c r="BH266" s="22"/>
      <c r="BI266" s="91">
        <f>$A$40</f>
        <v>20172</v>
      </c>
      <c r="BJ266" s="105"/>
      <c r="BK266" s="90" t="str">
        <f t="shared" si="446"/>
        <v/>
      </c>
      <c r="BL266" s="90" t="str">
        <f t="shared" si="446"/>
        <v/>
      </c>
      <c r="BM266" s="90" t="str">
        <f t="shared" si="446"/>
        <v/>
      </c>
      <c r="BN266" s="90" t="str">
        <f t="shared" si="446"/>
        <v/>
      </c>
      <c r="BO266" s="90" t="str">
        <f t="shared" si="446"/>
        <v/>
      </c>
      <c r="BP266" s="22"/>
      <c r="BQ266" s="22"/>
      <c r="BR266" s="22"/>
      <c r="BS266" s="22"/>
      <c r="BT266" s="22"/>
      <c r="BU266" s="91">
        <f>$A$40</f>
        <v>20172</v>
      </c>
      <c r="BV266" s="105"/>
      <c r="BW266" s="90" t="str">
        <f t="shared" si="447"/>
        <v/>
      </c>
      <c r="BX266" s="90" t="str">
        <f t="shared" si="447"/>
        <v/>
      </c>
      <c r="BY266" s="90" t="str">
        <f t="shared" si="447"/>
        <v/>
      </c>
      <c r="BZ266" s="90" t="str">
        <f t="shared" si="447"/>
        <v/>
      </c>
      <c r="CA266" s="90" t="str">
        <f t="shared" si="447"/>
        <v/>
      </c>
      <c r="CB266" s="22"/>
      <c r="CC266" s="22"/>
      <c r="CD266" s="22"/>
      <c r="CE266" s="22"/>
      <c r="CF266" s="22"/>
      <c r="CG266" s="91">
        <f>$A$40</f>
        <v>20172</v>
      </c>
      <c r="CH266" s="105"/>
      <c r="CI266" s="90" t="str">
        <f t="shared" si="448"/>
        <v/>
      </c>
      <c r="CJ266" s="90" t="str">
        <f t="shared" si="448"/>
        <v/>
      </c>
      <c r="CK266" s="90" t="str">
        <f t="shared" si="448"/>
        <v/>
      </c>
      <c r="CL266" s="90" t="str">
        <f t="shared" si="448"/>
        <v/>
      </c>
      <c r="CM266" s="90" t="str">
        <f t="shared" si="448"/>
        <v/>
      </c>
      <c r="CN266" s="22"/>
      <c r="CO266" s="22"/>
      <c r="CP266" s="22"/>
      <c r="CQ266" s="22"/>
      <c r="CR266" s="22"/>
      <c r="CS266" s="91">
        <f>$A$40</f>
        <v>20172</v>
      </c>
      <c r="CT266" s="105"/>
      <c r="CU266" s="90" t="str">
        <f t="shared" si="449"/>
        <v/>
      </c>
      <c r="CV266" s="90" t="str">
        <f t="shared" si="449"/>
        <v/>
      </c>
      <c r="CW266" s="90" t="str">
        <f t="shared" si="449"/>
        <v/>
      </c>
      <c r="CX266" s="90" t="str">
        <f t="shared" si="449"/>
        <v/>
      </c>
      <c r="CY266" s="90" t="str">
        <f t="shared" si="449"/>
        <v/>
      </c>
      <c r="CZ266" s="22"/>
      <c r="DA266" s="22"/>
      <c r="DB266" s="22"/>
      <c r="DC266" s="22"/>
      <c r="DD266" s="22"/>
      <c r="DE266" s="91">
        <f>$A$40</f>
        <v>20172</v>
      </c>
      <c r="DF266" s="105"/>
      <c r="DG266" s="90" t="str">
        <f t="shared" si="450"/>
        <v/>
      </c>
      <c r="DH266" s="90" t="str">
        <f t="shared" si="450"/>
        <v/>
      </c>
      <c r="DI266" s="90" t="str">
        <f t="shared" si="450"/>
        <v/>
      </c>
      <c r="DJ266" s="90" t="str">
        <f t="shared" si="450"/>
        <v/>
      </c>
      <c r="DK266" s="90" t="str">
        <f t="shared" si="450"/>
        <v/>
      </c>
      <c r="DL266" s="22"/>
      <c r="DM266" s="22"/>
      <c r="DN266" s="22"/>
      <c r="DO266" s="22"/>
      <c r="DP266" s="22"/>
    </row>
    <row r="267" spans="1:120" x14ac:dyDescent="0.25">
      <c r="A267" s="91">
        <f>$A$41</f>
        <v>20182</v>
      </c>
      <c r="B267" s="105"/>
      <c r="C267" s="90" t="str">
        <f t="shared" si="441"/>
        <v/>
      </c>
      <c r="D267" s="90" t="str">
        <f t="shared" si="441"/>
        <v/>
      </c>
      <c r="E267" s="90" t="str">
        <f t="shared" si="441"/>
        <v/>
      </c>
      <c r="F267" s="90" t="str">
        <f t="shared" si="441"/>
        <v/>
      </c>
      <c r="G267" s="22"/>
      <c r="H267" s="22"/>
      <c r="I267" s="22"/>
      <c r="J267" s="22"/>
      <c r="K267" s="22"/>
      <c r="L267" s="22"/>
      <c r="M267" s="91">
        <f>$A$41</f>
        <v>20182</v>
      </c>
      <c r="N267" s="105"/>
      <c r="O267" s="90" t="str">
        <f t="shared" si="442"/>
        <v/>
      </c>
      <c r="P267" s="90" t="str">
        <f t="shared" si="442"/>
        <v/>
      </c>
      <c r="Q267" s="90" t="str">
        <f t="shared" si="442"/>
        <v/>
      </c>
      <c r="R267" s="90" t="str">
        <f t="shared" si="442"/>
        <v/>
      </c>
      <c r="S267" s="22"/>
      <c r="T267" s="22"/>
      <c r="U267" s="22"/>
      <c r="V267" s="22"/>
      <c r="W267" s="22"/>
      <c r="X267" s="22"/>
      <c r="Y267" s="91">
        <f>$A$41</f>
        <v>20182</v>
      </c>
      <c r="Z267" s="105"/>
      <c r="AA267" s="90" t="str">
        <f t="shared" si="443"/>
        <v/>
      </c>
      <c r="AB267" s="90" t="str">
        <f t="shared" si="443"/>
        <v/>
      </c>
      <c r="AC267" s="90" t="str">
        <f t="shared" si="443"/>
        <v/>
      </c>
      <c r="AD267" s="90" t="str">
        <f t="shared" si="443"/>
        <v/>
      </c>
      <c r="AE267" s="22"/>
      <c r="AF267" s="22"/>
      <c r="AG267" s="22"/>
      <c r="AH267" s="22"/>
      <c r="AI267" s="22"/>
      <c r="AJ267" s="22"/>
      <c r="AK267" s="91">
        <f>$A$41</f>
        <v>20182</v>
      </c>
      <c r="AL267" s="105"/>
      <c r="AM267" s="90" t="str">
        <f t="shared" si="444"/>
        <v/>
      </c>
      <c r="AN267" s="90" t="str">
        <f t="shared" si="444"/>
        <v/>
      </c>
      <c r="AO267" s="90" t="str">
        <f t="shared" si="444"/>
        <v/>
      </c>
      <c r="AP267" s="90" t="str">
        <f t="shared" si="444"/>
        <v/>
      </c>
      <c r="AQ267" s="22"/>
      <c r="AR267" s="22"/>
      <c r="AS267" s="22"/>
      <c r="AT267" s="22"/>
      <c r="AU267" s="22"/>
      <c r="AV267" s="22"/>
      <c r="AW267" s="91">
        <f>$A$41</f>
        <v>20182</v>
      </c>
      <c r="AX267" s="105"/>
      <c r="AY267" s="90" t="str">
        <f t="shared" si="445"/>
        <v/>
      </c>
      <c r="AZ267" s="90" t="str">
        <f t="shared" si="445"/>
        <v/>
      </c>
      <c r="BA267" s="90" t="str">
        <f t="shared" si="445"/>
        <v/>
      </c>
      <c r="BB267" s="90" t="str">
        <f t="shared" si="445"/>
        <v/>
      </c>
      <c r="BC267" s="22"/>
      <c r="BD267" s="22"/>
      <c r="BE267" s="22"/>
      <c r="BF267" s="22"/>
      <c r="BG267" s="22"/>
      <c r="BH267" s="22"/>
      <c r="BI267" s="91">
        <f>$A$41</f>
        <v>20182</v>
      </c>
      <c r="BJ267" s="105"/>
      <c r="BK267" s="90" t="str">
        <f t="shared" si="446"/>
        <v/>
      </c>
      <c r="BL267" s="90" t="str">
        <f t="shared" si="446"/>
        <v/>
      </c>
      <c r="BM267" s="90" t="str">
        <f t="shared" si="446"/>
        <v/>
      </c>
      <c r="BN267" s="90" t="str">
        <f t="shared" si="446"/>
        <v/>
      </c>
      <c r="BO267" s="22"/>
      <c r="BP267" s="22"/>
      <c r="BQ267" s="22"/>
      <c r="BR267" s="22"/>
      <c r="BS267" s="22"/>
      <c r="BT267" s="22"/>
      <c r="BU267" s="91">
        <f>$A$41</f>
        <v>20182</v>
      </c>
      <c r="BV267" s="105"/>
      <c r="BW267" s="90" t="str">
        <f t="shared" si="447"/>
        <v/>
      </c>
      <c r="BX267" s="90" t="str">
        <f t="shared" si="447"/>
        <v/>
      </c>
      <c r="BY267" s="90" t="str">
        <f t="shared" si="447"/>
        <v/>
      </c>
      <c r="BZ267" s="90" t="str">
        <f t="shared" si="447"/>
        <v/>
      </c>
      <c r="CA267" s="22"/>
      <c r="CB267" s="22"/>
      <c r="CC267" s="22"/>
      <c r="CD267" s="22"/>
      <c r="CE267" s="22"/>
      <c r="CF267" s="22"/>
      <c r="CG267" s="91">
        <f>$A$41</f>
        <v>20182</v>
      </c>
      <c r="CH267" s="105"/>
      <c r="CI267" s="90" t="str">
        <f t="shared" si="448"/>
        <v/>
      </c>
      <c r="CJ267" s="90" t="str">
        <f t="shared" si="448"/>
        <v/>
      </c>
      <c r="CK267" s="90" t="str">
        <f t="shared" si="448"/>
        <v/>
      </c>
      <c r="CL267" s="90" t="str">
        <f t="shared" si="448"/>
        <v/>
      </c>
      <c r="CM267" s="22"/>
      <c r="CN267" s="22"/>
      <c r="CO267" s="22"/>
      <c r="CP267" s="22"/>
      <c r="CQ267" s="22"/>
      <c r="CR267" s="22"/>
      <c r="CS267" s="91">
        <f>$A$41</f>
        <v>20182</v>
      </c>
      <c r="CT267" s="105"/>
      <c r="CU267" s="90" t="str">
        <f t="shared" si="449"/>
        <v/>
      </c>
      <c r="CV267" s="90" t="str">
        <f t="shared" si="449"/>
        <v/>
      </c>
      <c r="CW267" s="90" t="str">
        <f t="shared" si="449"/>
        <v/>
      </c>
      <c r="CX267" s="90" t="str">
        <f t="shared" si="449"/>
        <v/>
      </c>
      <c r="CY267" s="22"/>
      <c r="CZ267" s="22"/>
      <c r="DA267" s="22"/>
      <c r="DB267" s="22"/>
      <c r="DC267" s="22"/>
      <c r="DD267" s="22"/>
      <c r="DE267" s="91">
        <f>$A$41</f>
        <v>20182</v>
      </c>
      <c r="DF267" s="105"/>
      <c r="DG267" s="90" t="str">
        <f t="shared" si="450"/>
        <v/>
      </c>
      <c r="DH267" s="90" t="str">
        <f t="shared" si="450"/>
        <v/>
      </c>
      <c r="DI267" s="90" t="str">
        <f t="shared" si="450"/>
        <v/>
      </c>
      <c r="DJ267" s="90" t="str">
        <f t="shared" si="450"/>
        <v/>
      </c>
      <c r="DK267" s="22"/>
      <c r="DL267" s="22"/>
      <c r="DM267" s="22"/>
      <c r="DN267" s="22"/>
      <c r="DO267" s="22"/>
      <c r="DP267" s="22"/>
    </row>
    <row r="268" spans="1:120" x14ac:dyDescent="0.25">
      <c r="A268" s="91">
        <f>$A$42</f>
        <v>20192</v>
      </c>
      <c r="B268" s="105"/>
      <c r="C268" s="90" t="str">
        <f t="shared" si="441"/>
        <v/>
      </c>
      <c r="D268" s="90" t="str">
        <f t="shared" si="441"/>
        <v/>
      </c>
      <c r="E268" s="90" t="str">
        <f t="shared" si="441"/>
        <v/>
      </c>
      <c r="F268" s="22"/>
      <c r="G268" s="22"/>
      <c r="H268" s="22"/>
      <c r="I268" s="22"/>
      <c r="J268" s="22"/>
      <c r="K268" s="22"/>
      <c r="L268" s="22"/>
      <c r="M268" s="91">
        <f>$A$42</f>
        <v>20192</v>
      </c>
      <c r="N268" s="105"/>
      <c r="O268" s="90" t="str">
        <f t="shared" si="442"/>
        <v/>
      </c>
      <c r="P268" s="90" t="str">
        <f t="shared" si="442"/>
        <v/>
      </c>
      <c r="Q268" s="90" t="str">
        <f t="shared" si="442"/>
        <v/>
      </c>
      <c r="R268" s="22"/>
      <c r="S268" s="22"/>
      <c r="T268" s="22"/>
      <c r="U268" s="22"/>
      <c r="V268" s="22"/>
      <c r="W268" s="22"/>
      <c r="X268" s="22"/>
      <c r="Y268" s="91">
        <f>$A$42</f>
        <v>20192</v>
      </c>
      <c r="Z268" s="105"/>
      <c r="AA268" s="90" t="str">
        <f t="shared" si="443"/>
        <v/>
      </c>
      <c r="AB268" s="90" t="str">
        <f t="shared" si="443"/>
        <v/>
      </c>
      <c r="AC268" s="90" t="str">
        <f t="shared" si="443"/>
        <v/>
      </c>
      <c r="AD268" s="22"/>
      <c r="AE268" s="22"/>
      <c r="AF268" s="22"/>
      <c r="AG268" s="22"/>
      <c r="AH268" s="22"/>
      <c r="AI268" s="22"/>
      <c r="AJ268" s="22"/>
      <c r="AK268" s="91">
        <f>$A$42</f>
        <v>20192</v>
      </c>
      <c r="AL268" s="105"/>
      <c r="AM268" s="90" t="str">
        <f t="shared" si="444"/>
        <v/>
      </c>
      <c r="AN268" s="90" t="str">
        <f t="shared" si="444"/>
        <v/>
      </c>
      <c r="AO268" s="90" t="str">
        <f t="shared" si="444"/>
        <v/>
      </c>
      <c r="AP268" s="22"/>
      <c r="AQ268" s="22"/>
      <c r="AR268" s="22"/>
      <c r="AS268" s="22"/>
      <c r="AT268" s="22"/>
      <c r="AU268" s="22"/>
      <c r="AV268" s="22"/>
      <c r="AW268" s="91">
        <f>$A$42</f>
        <v>20192</v>
      </c>
      <c r="AX268" s="105"/>
      <c r="AY268" s="90" t="str">
        <f t="shared" si="445"/>
        <v/>
      </c>
      <c r="AZ268" s="90" t="str">
        <f t="shared" si="445"/>
        <v/>
      </c>
      <c r="BA268" s="90" t="str">
        <f t="shared" si="445"/>
        <v/>
      </c>
      <c r="BB268" s="22"/>
      <c r="BC268" s="22"/>
      <c r="BD268" s="22"/>
      <c r="BE268" s="22"/>
      <c r="BF268" s="22"/>
      <c r="BG268" s="22"/>
      <c r="BH268" s="22"/>
      <c r="BI268" s="91">
        <f>$A$42</f>
        <v>20192</v>
      </c>
      <c r="BJ268" s="105"/>
      <c r="BK268" s="90" t="str">
        <f t="shared" si="446"/>
        <v/>
      </c>
      <c r="BL268" s="90" t="str">
        <f t="shared" si="446"/>
        <v/>
      </c>
      <c r="BM268" s="90" t="str">
        <f t="shared" si="446"/>
        <v/>
      </c>
      <c r="BN268" s="22"/>
      <c r="BO268" s="22"/>
      <c r="BP268" s="22"/>
      <c r="BQ268" s="22"/>
      <c r="BR268" s="22"/>
      <c r="BS268" s="22"/>
      <c r="BT268" s="22"/>
      <c r="BU268" s="91">
        <f>$A$42</f>
        <v>20192</v>
      </c>
      <c r="BV268" s="105"/>
      <c r="BW268" s="90" t="str">
        <f t="shared" si="447"/>
        <v/>
      </c>
      <c r="BX268" s="90" t="str">
        <f t="shared" si="447"/>
        <v/>
      </c>
      <c r="BY268" s="90" t="str">
        <f t="shared" si="447"/>
        <v/>
      </c>
      <c r="BZ268" s="22"/>
      <c r="CA268" s="22"/>
      <c r="CB268" s="22"/>
      <c r="CC268" s="22"/>
      <c r="CD268" s="22"/>
      <c r="CE268" s="22"/>
      <c r="CF268" s="22"/>
      <c r="CG268" s="91">
        <f>$A$42</f>
        <v>20192</v>
      </c>
      <c r="CH268" s="105"/>
      <c r="CI268" s="90" t="str">
        <f t="shared" si="448"/>
        <v/>
      </c>
      <c r="CJ268" s="90" t="str">
        <f t="shared" si="448"/>
        <v/>
      </c>
      <c r="CK268" s="90" t="str">
        <f t="shared" si="448"/>
        <v/>
      </c>
      <c r="CL268" s="22"/>
      <c r="CM268" s="22"/>
      <c r="CN268" s="22"/>
      <c r="CO268" s="22"/>
      <c r="CP268" s="22"/>
      <c r="CQ268" s="22"/>
      <c r="CR268" s="22"/>
      <c r="CS268" s="91">
        <f>$A$42</f>
        <v>20192</v>
      </c>
      <c r="CT268" s="105"/>
      <c r="CU268" s="90" t="str">
        <f t="shared" si="449"/>
        <v/>
      </c>
      <c r="CV268" s="90" t="str">
        <f t="shared" si="449"/>
        <v/>
      </c>
      <c r="CW268" s="90" t="str">
        <f t="shared" si="449"/>
        <v/>
      </c>
      <c r="CX268" s="22"/>
      <c r="CY268" s="22"/>
      <c r="CZ268" s="22"/>
      <c r="DA268" s="22"/>
      <c r="DB268" s="22"/>
      <c r="DC268" s="22"/>
      <c r="DD268" s="22"/>
      <c r="DE268" s="91">
        <f>$A$42</f>
        <v>20192</v>
      </c>
      <c r="DF268" s="105"/>
      <c r="DG268" s="90" t="str">
        <f t="shared" si="450"/>
        <v/>
      </c>
      <c r="DH268" s="90" t="str">
        <f t="shared" si="450"/>
        <v/>
      </c>
      <c r="DI268" s="90" t="str">
        <f t="shared" si="450"/>
        <v/>
      </c>
      <c r="DJ268" s="22"/>
      <c r="DK268" s="22"/>
      <c r="DL268" s="22"/>
      <c r="DM268" s="22"/>
      <c r="DN268" s="22"/>
      <c r="DO268" s="22"/>
      <c r="DP268" s="22"/>
    </row>
    <row r="269" spans="1:120" x14ac:dyDescent="0.25">
      <c r="A269" s="91">
        <f>$A$43</f>
        <v>20202</v>
      </c>
      <c r="B269" s="105"/>
      <c r="C269" s="90" t="str">
        <f t="shared" si="441"/>
        <v/>
      </c>
      <c r="D269" s="90" t="str">
        <f t="shared" si="441"/>
        <v/>
      </c>
      <c r="E269" s="22"/>
      <c r="F269" s="22"/>
      <c r="G269" s="22"/>
      <c r="H269" s="22"/>
      <c r="I269" s="22"/>
      <c r="J269" s="22"/>
      <c r="K269" s="22"/>
      <c r="L269" s="22"/>
      <c r="M269" s="91">
        <f>$A$43</f>
        <v>20202</v>
      </c>
      <c r="N269" s="105"/>
      <c r="O269" s="90" t="str">
        <f t="shared" si="442"/>
        <v/>
      </c>
      <c r="P269" s="90" t="str">
        <f t="shared" si="442"/>
        <v/>
      </c>
      <c r="Q269" s="22"/>
      <c r="R269" s="22"/>
      <c r="S269" s="22"/>
      <c r="T269" s="22"/>
      <c r="U269" s="22"/>
      <c r="V269" s="22"/>
      <c r="W269" s="22"/>
      <c r="X269" s="22"/>
      <c r="Y269" s="91">
        <f>$A$43</f>
        <v>20202</v>
      </c>
      <c r="Z269" s="105"/>
      <c r="AA269" s="90" t="str">
        <f t="shared" si="443"/>
        <v/>
      </c>
      <c r="AB269" s="90" t="str">
        <f t="shared" si="443"/>
        <v/>
      </c>
      <c r="AC269" s="22"/>
      <c r="AD269" s="22"/>
      <c r="AE269" s="22"/>
      <c r="AF269" s="22"/>
      <c r="AG269" s="22"/>
      <c r="AH269" s="22"/>
      <c r="AI269" s="22"/>
      <c r="AJ269" s="22"/>
      <c r="AK269" s="91">
        <f>$A$43</f>
        <v>20202</v>
      </c>
      <c r="AL269" s="105"/>
      <c r="AM269" s="90" t="str">
        <f t="shared" si="444"/>
        <v/>
      </c>
      <c r="AN269" s="90" t="str">
        <f t="shared" si="444"/>
        <v/>
      </c>
      <c r="AO269" s="22"/>
      <c r="AP269" s="22"/>
      <c r="AQ269" s="22"/>
      <c r="AR269" s="22"/>
      <c r="AS269" s="22"/>
      <c r="AT269" s="22"/>
      <c r="AU269" s="22"/>
      <c r="AV269" s="22"/>
      <c r="AW269" s="91">
        <f>$A$43</f>
        <v>20202</v>
      </c>
      <c r="AX269" s="105"/>
      <c r="AY269" s="90" t="str">
        <f t="shared" si="445"/>
        <v/>
      </c>
      <c r="AZ269" s="90" t="str">
        <f t="shared" si="445"/>
        <v/>
      </c>
      <c r="BA269" s="22"/>
      <c r="BB269" s="22"/>
      <c r="BC269" s="22"/>
      <c r="BD269" s="22"/>
      <c r="BE269" s="22"/>
      <c r="BF269" s="22"/>
      <c r="BG269" s="22"/>
      <c r="BH269" s="22"/>
      <c r="BI269" s="91">
        <f>$A$43</f>
        <v>20202</v>
      </c>
      <c r="BJ269" s="105"/>
      <c r="BK269" s="90" t="str">
        <f t="shared" si="446"/>
        <v/>
      </c>
      <c r="BL269" s="90" t="str">
        <f t="shared" si="446"/>
        <v/>
      </c>
      <c r="BM269" s="22"/>
      <c r="BN269" s="22"/>
      <c r="BO269" s="22"/>
      <c r="BP269" s="22"/>
      <c r="BQ269" s="22"/>
      <c r="BR269" s="22"/>
      <c r="BS269" s="22"/>
      <c r="BT269" s="22"/>
      <c r="BU269" s="91">
        <f>$A$43</f>
        <v>20202</v>
      </c>
      <c r="BV269" s="105"/>
      <c r="BW269" s="90" t="str">
        <f t="shared" si="447"/>
        <v/>
      </c>
      <c r="BX269" s="90" t="str">
        <f t="shared" si="447"/>
        <v/>
      </c>
      <c r="BY269" s="22"/>
      <c r="BZ269" s="22"/>
      <c r="CA269" s="22"/>
      <c r="CB269" s="22"/>
      <c r="CC269" s="22"/>
      <c r="CD269" s="22"/>
      <c r="CE269" s="22"/>
      <c r="CF269" s="22"/>
      <c r="CG269" s="91">
        <f>$A$43</f>
        <v>20202</v>
      </c>
      <c r="CH269" s="105"/>
      <c r="CI269" s="90" t="str">
        <f t="shared" si="448"/>
        <v/>
      </c>
      <c r="CJ269" s="90" t="str">
        <f t="shared" si="448"/>
        <v/>
      </c>
      <c r="CK269" s="22"/>
      <c r="CL269" s="22"/>
      <c r="CM269" s="22"/>
      <c r="CN269" s="22"/>
      <c r="CO269" s="22"/>
      <c r="CP269" s="22"/>
      <c r="CQ269" s="22"/>
      <c r="CR269" s="22"/>
      <c r="CS269" s="91">
        <f>$A$43</f>
        <v>20202</v>
      </c>
      <c r="CT269" s="105"/>
      <c r="CU269" s="90" t="str">
        <f t="shared" si="449"/>
        <v/>
      </c>
      <c r="CV269" s="90" t="str">
        <f t="shared" si="449"/>
        <v/>
      </c>
      <c r="CW269" s="22"/>
      <c r="CX269" s="22"/>
      <c r="CY269" s="22"/>
      <c r="CZ269" s="22"/>
      <c r="DA269" s="22"/>
      <c r="DB269" s="22"/>
      <c r="DC269" s="22"/>
      <c r="DD269" s="22"/>
      <c r="DE269" s="91">
        <f>$A$43</f>
        <v>20202</v>
      </c>
      <c r="DF269" s="105"/>
      <c r="DG269" s="90" t="str">
        <f t="shared" si="450"/>
        <v/>
      </c>
      <c r="DH269" s="90" t="str">
        <f t="shared" si="450"/>
        <v/>
      </c>
      <c r="DI269" s="22"/>
      <c r="DJ269" s="22"/>
      <c r="DK269" s="22"/>
      <c r="DL269" s="22"/>
      <c r="DM269" s="22"/>
      <c r="DN269" s="22"/>
      <c r="DO269" s="22"/>
      <c r="DP269" s="22"/>
    </row>
    <row r="270" spans="1:120" x14ac:dyDescent="0.25">
      <c r="A270" s="91">
        <f>$A$44</f>
        <v>20212</v>
      </c>
      <c r="B270" s="105"/>
      <c r="C270" s="90" t="str">
        <f t="shared" si="441"/>
        <v/>
      </c>
      <c r="D270" s="22"/>
      <c r="E270" s="22"/>
      <c r="F270" s="22"/>
      <c r="G270" s="22"/>
      <c r="H270" s="22"/>
      <c r="I270" s="22"/>
      <c r="J270" s="22"/>
      <c r="K270" s="22"/>
      <c r="L270" s="22"/>
      <c r="M270" s="91">
        <f>$A$44</f>
        <v>20212</v>
      </c>
      <c r="N270" s="105"/>
      <c r="O270" s="90" t="str">
        <f t="shared" si="442"/>
        <v/>
      </c>
      <c r="P270" s="22"/>
      <c r="Q270" s="22"/>
      <c r="R270" s="22"/>
      <c r="S270" s="22"/>
      <c r="T270" s="22"/>
      <c r="U270" s="22"/>
      <c r="V270" s="22"/>
      <c r="W270" s="22"/>
      <c r="X270" s="22"/>
      <c r="Y270" s="91">
        <f>$A$44</f>
        <v>20212</v>
      </c>
      <c r="Z270" s="105"/>
      <c r="AA270" s="90" t="str">
        <f t="shared" si="443"/>
        <v/>
      </c>
      <c r="AB270" s="22"/>
      <c r="AC270" s="22"/>
      <c r="AD270" s="22"/>
      <c r="AE270" s="22"/>
      <c r="AF270" s="22"/>
      <c r="AG270" s="22"/>
      <c r="AH270" s="22"/>
      <c r="AI270" s="22"/>
      <c r="AJ270" s="22"/>
      <c r="AK270" s="91">
        <f>$A$44</f>
        <v>20212</v>
      </c>
      <c r="AL270" s="105"/>
      <c r="AM270" s="90" t="str">
        <f t="shared" si="444"/>
        <v/>
      </c>
      <c r="AN270" s="22"/>
      <c r="AO270" s="22"/>
      <c r="AP270" s="22"/>
      <c r="AQ270" s="22"/>
      <c r="AR270" s="22"/>
      <c r="AS270" s="22"/>
      <c r="AT270" s="22"/>
      <c r="AU270" s="22"/>
      <c r="AV270" s="22"/>
      <c r="AW270" s="91">
        <f>$A$44</f>
        <v>20212</v>
      </c>
      <c r="AX270" s="105"/>
      <c r="AY270" s="90" t="str">
        <f t="shared" si="445"/>
        <v/>
      </c>
      <c r="AZ270" s="22"/>
      <c r="BA270" s="22"/>
      <c r="BB270" s="22"/>
      <c r="BC270" s="22"/>
      <c r="BD270" s="22"/>
      <c r="BE270" s="22"/>
      <c r="BF270" s="22"/>
      <c r="BG270" s="22"/>
      <c r="BH270" s="22"/>
      <c r="BI270" s="91">
        <f>$A$44</f>
        <v>20212</v>
      </c>
      <c r="BJ270" s="105"/>
      <c r="BK270" s="90" t="str">
        <f t="shared" si="446"/>
        <v/>
      </c>
      <c r="BL270" s="22"/>
      <c r="BM270" s="22"/>
      <c r="BN270" s="22"/>
      <c r="BO270" s="22"/>
      <c r="BP270" s="22"/>
      <c r="BQ270" s="22"/>
      <c r="BR270" s="22"/>
      <c r="BS270" s="22"/>
      <c r="BT270" s="22"/>
      <c r="BU270" s="91">
        <f>$A$44</f>
        <v>20212</v>
      </c>
      <c r="BV270" s="105"/>
      <c r="BW270" s="90" t="str">
        <f t="shared" si="447"/>
        <v/>
      </c>
      <c r="BX270" s="22"/>
      <c r="BY270" s="22"/>
      <c r="BZ270" s="22"/>
      <c r="CA270" s="22"/>
      <c r="CB270" s="22"/>
      <c r="CC270" s="22"/>
      <c r="CD270" s="22"/>
      <c r="CE270" s="22"/>
      <c r="CF270" s="22"/>
      <c r="CG270" s="91">
        <f>$A$44</f>
        <v>20212</v>
      </c>
      <c r="CH270" s="105"/>
      <c r="CI270" s="90" t="str">
        <f t="shared" si="448"/>
        <v/>
      </c>
      <c r="CJ270" s="22"/>
      <c r="CK270" s="22"/>
      <c r="CL270" s="22"/>
      <c r="CM270" s="22"/>
      <c r="CN270" s="22"/>
      <c r="CO270" s="22"/>
      <c r="CP270" s="22"/>
      <c r="CQ270" s="22"/>
      <c r="CR270" s="22"/>
      <c r="CS270" s="91">
        <f>$A$44</f>
        <v>20212</v>
      </c>
      <c r="CT270" s="105"/>
      <c r="CU270" s="90" t="str">
        <f t="shared" si="449"/>
        <v/>
      </c>
      <c r="CV270" s="22"/>
      <c r="CW270" s="22"/>
      <c r="CX270" s="22"/>
      <c r="CY270" s="22"/>
      <c r="CZ270" s="22"/>
      <c r="DA270" s="22"/>
      <c r="DB270" s="22"/>
      <c r="DC270" s="22"/>
      <c r="DD270" s="22"/>
      <c r="DE270" s="91">
        <f>$A$44</f>
        <v>20212</v>
      </c>
      <c r="DF270" s="105"/>
      <c r="DG270" s="90" t="str">
        <f t="shared" si="450"/>
        <v/>
      </c>
      <c r="DH270" s="22"/>
      <c r="DI270" s="22"/>
      <c r="DJ270" s="22"/>
      <c r="DK270" s="22"/>
      <c r="DL270" s="22"/>
      <c r="DM270" s="22"/>
      <c r="DN270" s="22"/>
      <c r="DO270" s="22"/>
      <c r="DP270" s="22"/>
    </row>
    <row r="271" spans="1:120" x14ac:dyDescent="0.25">
      <c r="A271" s="108"/>
      <c r="B271" s="108"/>
      <c r="C271" s="108"/>
      <c r="D271" s="108"/>
      <c r="E271" s="108"/>
      <c r="F271" s="108"/>
      <c r="G271" s="108"/>
      <c r="H271" s="108"/>
      <c r="I271" s="108"/>
      <c r="J271" s="108"/>
      <c r="K271" s="108"/>
      <c r="L271" s="109" t="s">
        <v>38</v>
      </c>
      <c r="M271" s="108"/>
      <c r="N271" s="108"/>
      <c r="O271" s="108"/>
      <c r="P271" s="108"/>
      <c r="Q271" s="108"/>
      <c r="R271" s="108"/>
      <c r="S271" s="108"/>
      <c r="T271" s="108"/>
      <c r="U271" s="108"/>
      <c r="V271" s="108"/>
      <c r="W271" s="108"/>
      <c r="X271" s="109" t="s">
        <v>38</v>
      </c>
      <c r="Y271" s="108"/>
      <c r="Z271" s="108"/>
      <c r="AA271" s="108"/>
      <c r="AB271" s="108"/>
      <c r="AC271" s="108"/>
      <c r="AD271" s="108"/>
      <c r="AE271" s="108"/>
      <c r="AF271" s="108"/>
      <c r="AG271" s="108"/>
      <c r="AH271" s="108"/>
      <c r="AI271" s="108"/>
      <c r="AJ271" s="109" t="s">
        <v>38</v>
      </c>
      <c r="AK271" s="108"/>
      <c r="AL271" s="108"/>
      <c r="AM271" s="108"/>
      <c r="AN271" s="108"/>
      <c r="AO271" s="108"/>
      <c r="AP271" s="108"/>
      <c r="AQ271" s="108"/>
      <c r="AR271" s="108"/>
      <c r="AS271" s="108"/>
      <c r="AT271" s="108"/>
      <c r="AU271" s="108"/>
      <c r="AV271" s="109" t="s">
        <v>38</v>
      </c>
      <c r="AW271" s="108"/>
      <c r="AX271" s="108"/>
      <c r="AY271" s="108"/>
      <c r="AZ271" s="108"/>
      <c r="BA271" s="108"/>
      <c r="BB271" s="108"/>
      <c r="BC271" s="108"/>
      <c r="BD271" s="108"/>
      <c r="BE271" s="108"/>
      <c r="BF271" s="108"/>
      <c r="BG271" s="108"/>
      <c r="BH271" s="109" t="s">
        <v>38</v>
      </c>
      <c r="BI271" s="108"/>
      <c r="BJ271" s="108"/>
      <c r="BK271" s="108"/>
      <c r="BL271" s="108"/>
      <c r="BM271" s="108"/>
      <c r="BN271" s="108"/>
      <c r="BO271" s="108"/>
      <c r="BP271" s="108"/>
      <c r="BQ271" s="108"/>
      <c r="BR271" s="108"/>
      <c r="BS271" s="108"/>
      <c r="BT271" s="109" t="s">
        <v>38</v>
      </c>
      <c r="BU271" s="108"/>
      <c r="BV271" s="108"/>
      <c r="BW271" s="108"/>
      <c r="BX271" s="108"/>
      <c r="BY271" s="108"/>
      <c r="BZ271" s="108"/>
      <c r="CA271" s="108"/>
      <c r="CB271" s="108"/>
      <c r="CC271" s="108"/>
      <c r="CD271" s="108"/>
      <c r="CE271" s="108"/>
      <c r="CF271" s="109" t="s">
        <v>38</v>
      </c>
      <c r="CG271" s="108"/>
      <c r="CH271" s="108"/>
      <c r="CI271" s="108"/>
      <c r="CJ271" s="108"/>
      <c r="CK271" s="108"/>
      <c r="CL271" s="108"/>
      <c r="CM271" s="108"/>
      <c r="CN271" s="108"/>
      <c r="CO271" s="108"/>
      <c r="CP271" s="108"/>
      <c r="CQ271" s="108"/>
      <c r="CR271" s="109" t="s">
        <v>38</v>
      </c>
      <c r="CS271" s="108"/>
      <c r="CT271" s="108"/>
      <c r="CU271" s="108"/>
      <c r="CV271" s="108"/>
      <c r="CW271" s="108"/>
      <c r="CX271" s="108"/>
      <c r="CY271" s="108"/>
      <c r="CZ271" s="108"/>
      <c r="DA271" s="108"/>
      <c r="DB271" s="108"/>
      <c r="DC271" s="108"/>
      <c r="DD271" s="109" t="s">
        <v>38</v>
      </c>
      <c r="DE271" s="108"/>
      <c r="DF271" s="108"/>
      <c r="DG271" s="108"/>
      <c r="DH271" s="108"/>
      <c r="DI271" s="108"/>
      <c r="DJ271" s="108"/>
      <c r="DK271" s="108"/>
      <c r="DL271" s="108"/>
      <c r="DM271" s="108"/>
      <c r="DN271" s="108"/>
      <c r="DO271" s="108"/>
      <c r="DP271" s="109" t="s">
        <v>38</v>
      </c>
    </row>
    <row r="272" spans="1:120" x14ac:dyDescent="0.25">
      <c r="A272" s="11" t="s">
        <v>37</v>
      </c>
      <c r="B272" s="107"/>
      <c r="C272" s="93">
        <f>IFERROR(SUM(D255:D257)/SUM(C255:C257),1)</f>
        <v>1</v>
      </c>
      <c r="D272" s="93">
        <f>IFERROR(SUM(E254:E256)/SUM(D254:D256),1)</f>
        <v>1</v>
      </c>
      <c r="E272" s="93">
        <f>IFERROR(SUM(F253:F255)/SUM(E253:E255),1)</f>
        <v>1</v>
      </c>
      <c r="F272" s="93">
        <f>IFERROR(SUM(G252:G254)/SUM(F252:F254),1)</f>
        <v>1</v>
      </c>
      <c r="G272" s="93">
        <f>IFERROR(SUM(H251:H253)/SUM(G251:G253),1)</f>
        <v>1</v>
      </c>
      <c r="H272" s="93">
        <f>IFERROR(SUM(I250:I252)/SUM(H250:H252),1)</f>
        <v>1</v>
      </c>
      <c r="I272" s="93">
        <f>IFERROR(SUM(J249:J251)/SUM(I249:I251),1)</f>
        <v>1</v>
      </c>
      <c r="J272" s="93">
        <f>IFERROR(SUM(K249:K250)/SUM(J249:J250),1)</f>
        <v>1</v>
      </c>
      <c r="K272" s="93">
        <f>IFERROR(SUM(L249:L249)/SUM(K249:K249),1)</f>
        <v>1</v>
      </c>
      <c r="L272" s="93">
        <v>1</v>
      </c>
      <c r="M272" s="285" t="s">
        <v>37</v>
      </c>
      <c r="N272" s="107"/>
      <c r="O272" s="93">
        <f>IFERROR(SUM(P255:P257)/SUM(O255:O257),1)</f>
        <v>1</v>
      </c>
      <c r="P272" s="93">
        <f>IFERROR(SUM(Q254:Q256)/SUM(P254:P256),1)</f>
        <v>1</v>
      </c>
      <c r="Q272" s="93">
        <f>IFERROR(SUM(R253:R255)/SUM(Q253:Q255),1)</f>
        <v>1</v>
      </c>
      <c r="R272" s="93">
        <f>IFERROR(SUM(S252:S254)/SUM(R252:R254),1)</f>
        <v>1</v>
      </c>
      <c r="S272" s="93">
        <f>IFERROR(SUM(T251:T253)/SUM(S251:S253),1)</f>
        <v>1</v>
      </c>
      <c r="T272" s="93">
        <f>IFERROR(SUM(U250:U252)/SUM(T250:T252),1)</f>
        <v>1</v>
      </c>
      <c r="U272" s="93">
        <f>IFERROR(SUM(V249:V251)/SUM(U249:U251),1)</f>
        <v>1</v>
      </c>
      <c r="V272" s="93">
        <f>IFERROR(SUM(W249:W250)/SUM(V249:V250),1)</f>
        <v>1</v>
      </c>
      <c r="W272" s="93">
        <f>IFERROR(SUM(X249:X249)/SUM(W249:W249),1)</f>
        <v>1</v>
      </c>
      <c r="X272" s="93">
        <v>1</v>
      </c>
      <c r="Y272" s="285" t="s">
        <v>37</v>
      </c>
      <c r="Z272" s="107"/>
      <c r="AA272" s="93">
        <f>IFERROR(SUM(AB255:AB257)/SUM(AA255:AA257),1)</f>
        <v>1</v>
      </c>
      <c r="AB272" s="93">
        <f>IFERROR(SUM(AC254:AC256)/SUM(AB254:AB256),1)</f>
        <v>1</v>
      </c>
      <c r="AC272" s="93">
        <f>IFERROR(SUM(AD253:AD255)/SUM(AC253:AC255),1)</f>
        <v>1</v>
      </c>
      <c r="AD272" s="93">
        <f>IFERROR(SUM(AE252:AE254)/SUM(AD252:AD254),1)</f>
        <v>1</v>
      </c>
      <c r="AE272" s="93">
        <f>IFERROR(SUM(AF251:AF253)/SUM(AE251:AE253),1)</f>
        <v>1</v>
      </c>
      <c r="AF272" s="93">
        <f>IFERROR(SUM(AG250:AG252)/SUM(AF250:AF252),1)</f>
        <v>1</v>
      </c>
      <c r="AG272" s="93">
        <f>IFERROR(SUM(AH249:AH251)/SUM(AG249:AG251),1)</f>
        <v>1</v>
      </c>
      <c r="AH272" s="93">
        <f>IFERROR(SUM(AI249:AI250)/SUM(AH249:AH250),1)</f>
        <v>1</v>
      </c>
      <c r="AI272" s="93">
        <f>IFERROR(SUM(AJ249:AJ249)/SUM(AI249:AI249),1)</f>
        <v>1</v>
      </c>
      <c r="AJ272" s="93">
        <v>1</v>
      </c>
      <c r="AK272" s="285" t="s">
        <v>37</v>
      </c>
      <c r="AL272" s="107"/>
      <c r="AM272" s="93">
        <f>IFERROR(SUM(AN255:AN257)/SUM(AM255:AM257),1)</f>
        <v>1</v>
      </c>
      <c r="AN272" s="93">
        <f>IFERROR(SUM(AO254:AO256)/SUM(AN254:AN256),1)</f>
        <v>1</v>
      </c>
      <c r="AO272" s="93">
        <f>IFERROR(SUM(AP253:AP255)/SUM(AO253:AO255),1)</f>
        <v>1</v>
      </c>
      <c r="AP272" s="93">
        <f>IFERROR(SUM(AQ252:AQ254)/SUM(AP252:AP254),1)</f>
        <v>1</v>
      </c>
      <c r="AQ272" s="93">
        <f>IFERROR(SUM(AR251:AR253)/SUM(AQ251:AQ253),1)</f>
        <v>1</v>
      </c>
      <c r="AR272" s="93">
        <f>IFERROR(SUM(AS250:AS252)/SUM(AR250:AR252),1)</f>
        <v>1</v>
      </c>
      <c r="AS272" s="93">
        <f>IFERROR(SUM(AT249:AT251)/SUM(AS249:AS251),1)</f>
        <v>1</v>
      </c>
      <c r="AT272" s="93">
        <f>IFERROR(SUM(AU249:AU250)/SUM(AT249:AT250),1)</f>
        <v>1</v>
      </c>
      <c r="AU272" s="93">
        <f>IFERROR(SUM(AV249:AV249)/SUM(AU249:AU249),1)</f>
        <v>1</v>
      </c>
      <c r="AV272" s="93">
        <v>1</v>
      </c>
      <c r="AW272" s="285" t="s">
        <v>37</v>
      </c>
      <c r="AX272" s="107"/>
      <c r="AY272" s="93">
        <f>IFERROR(SUM(AZ255:AZ257)/SUM(AY255:AY257),1)</f>
        <v>1</v>
      </c>
      <c r="AZ272" s="93">
        <f>IFERROR(SUM(BA254:BA256)/SUM(AZ254:AZ256),1)</f>
        <v>1</v>
      </c>
      <c r="BA272" s="93">
        <f>IFERROR(SUM(BB253:BB255)/SUM(BA253:BA255),1)</f>
        <v>1</v>
      </c>
      <c r="BB272" s="93">
        <f>IFERROR(SUM(BC252:BC254)/SUM(BB252:BB254),1)</f>
        <v>1</v>
      </c>
      <c r="BC272" s="93">
        <f>IFERROR(SUM(BD251:BD253)/SUM(BC251:BC253),1)</f>
        <v>1</v>
      </c>
      <c r="BD272" s="93">
        <f>IFERROR(SUM(BE250:BE252)/SUM(BD250:BD252),1)</f>
        <v>1</v>
      </c>
      <c r="BE272" s="93">
        <f>IFERROR(SUM(BF249:BF251)/SUM(BE249:BE251),1)</f>
        <v>1</v>
      </c>
      <c r="BF272" s="93">
        <f>IFERROR(SUM(BG249:BG250)/SUM(BF249:BF250),1)</f>
        <v>1</v>
      </c>
      <c r="BG272" s="93">
        <f>IFERROR(SUM(BH249:BH249)/SUM(BG249:BG249),1)</f>
        <v>1</v>
      </c>
      <c r="BH272" s="93">
        <v>1</v>
      </c>
      <c r="BI272" s="285" t="s">
        <v>37</v>
      </c>
      <c r="BJ272" s="107"/>
      <c r="BK272" s="93">
        <f>IFERROR(SUM(BL255:BL257)/SUM(BK255:BK257),1)</f>
        <v>1</v>
      </c>
      <c r="BL272" s="93">
        <f>IFERROR(SUM(BM254:BM256)/SUM(BL254:BL256),1)</f>
        <v>1</v>
      </c>
      <c r="BM272" s="93">
        <f>IFERROR(SUM(BN253:BN255)/SUM(BM253:BM255),1)</f>
        <v>1</v>
      </c>
      <c r="BN272" s="93">
        <f>IFERROR(SUM(BO252:BO254)/SUM(BN252:BN254),1)</f>
        <v>1</v>
      </c>
      <c r="BO272" s="93">
        <f>IFERROR(SUM(BP251:BP253)/SUM(BO251:BO253),1)</f>
        <v>1</v>
      </c>
      <c r="BP272" s="93">
        <f>IFERROR(SUM(BQ250:BQ252)/SUM(BP250:BP252),1)</f>
        <v>1</v>
      </c>
      <c r="BQ272" s="93">
        <f>IFERROR(SUM(BR249:BR251)/SUM(BQ249:BQ251),1)</f>
        <v>1</v>
      </c>
      <c r="BR272" s="93">
        <f>IFERROR(SUM(BS249:BS250)/SUM(BR249:BR250),1)</f>
        <v>1</v>
      </c>
      <c r="BS272" s="93">
        <f>IFERROR(SUM(BT249:BT249)/SUM(BS249:BS249),1)</f>
        <v>1</v>
      </c>
      <c r="BT272" s="93">
        <v>1</v>
      </c>
      <c r="BU272" s="285" t="s">
        <v>37</v>
      </c>
      <c r="BV272" s="107"/>
      <c r="BW272" s="93">
        <f>IFERROR(SUM(BX255:BX257)/SUM(BW255:BW257),1)</f>
        <v>1</v>
      </c>
      <c r="BX272" s="93">
        <f>IFERROR(SUM(BY254:BY256)/SUM(BX254:BX256),1)</f>
        <v>1</v>
      </c>
      <c r="BY272" s="93">
        <f>IFERROR(SUM(BZ253:BZ255)/SUM(BY253:BY255),1)</f>
        <v>1</v>
      </c>
      <c r="BZ272" s="93">
        <f>IFERROR(SUM(CA252:CA254)/SUM(BZ252:BZ254),1)</f>
        <v>1</v>
      </c>
      <c r="CA272" s="93">
        <f>IFERROR(SUM(CB251:CB253)/SUM(CA251:CA253),1)</f>
        <v>1</v>
      </c>
      <c r="CB272" s="93">
        <f>IFERROR(SUM(CC250:CC252)/SUM(CB250:CB252),1)</f>
        <v>1</v>
      </c>
      <c r="CC272" s="93">
        <f>IFERROR(SUM(CD249:CD251)/SUM(CC249:CC251),1)</f>
        <v>1</v>
      </c>
      <c r="CD272" s="93">
        <f>IFERROR(SUM(CE249:CE250)/SUM(CD249:CD250),1)</f>
        <v>1</v>
      </c>
      <c r="CE272" s="93">
        <f>IFERROR(SUM(CF249:CF249)/SUM(CE249:CE249),1)</f>
        <v>1</v>
      </c>
      <c r="CF272" s="93">
        <v>1</v>
      </c>
      <c r="CG272" s="285" t="s">
        <v>37</v>
      </c>
      <c r="CH272" s="107"/>
      <c r="CI272" s="93">
        <f>IFERROR(SUM(CJ255:CJ257)/SUM(CI255:CI257),1)</f>
        <v>1</v>
      </c>
      <c r="CJ272" s="93">
        <f>IFERROR(SUM(CK254:CK256)/SUM(CJ254:CJ256),1)</f>
        <v>1</v>
      </c>
      <c r="CK272" s="93">
        <f>IFERROR(SUM(CL253:CL255)/SUM(CK253:CK255),1)</f>
        <v>1</v>
      </c>
      <c r="CL272" s="93">
        <f>IFERROR(SUM(CM252:CM254)/SUM(CL252:CL254),1)</f>
        <v>1</v>
      </c>
      <c r="CM272" s="93">
        <f>IFERROR(SUM(CN251:CN253)/SUM(CM251:CM253),1)</f>
        <v>1</v>
      </c>
      <c r="CN272" s="93">
        <f>IFERROR(SUM(CO250:CO252)/SUM(CN250:CN252),1)</f>
        <v>1</v>
      </c>
      <c r="CO272" s="93">
        <f>IFERROR(SUM(CP249:CP251)/SUM(CO249:CO251),1)</f>
        <v>1</v>
      </c>
      <c r="CP272" s="93">
        <f>IFERROR(SUM(CQ249:CQ250)/SUM(CP249:CP250),1)</f>
        <v>1</v>
      </c>
      <c r="CQ272" s="93">
        <f>IFERROR(SUM(CR249:CR249)/SUM(CQ249:CQ249),1)</f>
        <v>1</v>
      </c>
      <c r="CR272" s="93">
        <v>1</v>
      </c>
      <c r="CS272" s="285" t="s">
        <v>37</v>
      </c>
      <c r="CT272" s="107"/>
      <c r="CU272" s="93">
        <f>IFERROR(SUM(CV255:CV257)/SUM(CU255:CU257),1)</f>
        <v>1</v>
      </c>
      <c r="CV272" s="93">
        <f>IFERROR(SUM(CW254:CW256)/SUM(CV254:CV256),1)</f>
        <v>1</v>
      </c>
      <c r="CW272" s="93">
        <f>IFERROR(SUM(CX253:CX255)/SUM(CW253:CW255),1)</f>
        <v>1</v>
      </c>
      <c r="CX272" s="93">
        <f>IFERROR(SUM(CY252:CY254)/SUM(CX252:CX254),1)</f>
        <v>1</v>
      </c>
      <c r="CY272" s="93">
        <f>IFERROR(SUM(CZ251:CZ253)/SUM(CY251:CY253),1)</f>
        <v>1</v>
      </c>
      <c r="CZ272" s="93">
        <f>IFERROR(SUM(DA250:DA252)/SUM(CZ250:CZ252),1)</f>
        <v>1</v>
      </c>
      <c r="DA272" s="93">
        <f>IFERROR(SUM(DB249:DB251)/SUM(DA249:DA251),1)</f>
        <v>1</v>
      </c>
      <c r="DB272" s="93">
        <f>IFERROR(SUM(DC249:DC250)/SUM(DB249:DB250),1)</f>
        <v>1</v>
      </c>
      <c r="DC272" s="93">
        <f>IFERROR(SUM(DD249:DD249)/SUM(DC249:DC249),1)</f>
        <v>1</v>
      </c>
      <c r="DD272" s="93">
        <v>1</v>
      </c>
      <c r="DE272" s="285" t="s">
        <v>37</v>
      </c>
      <c r="DF272" s="107"/>
      <c r="DG272" s="93">
        <f>IFERROR(SUM(DH255:DH257)/SUM(DG255:DG257),1)</f>
        <v>1</v>
      </c>
      <c r="DH272" s="93">
        <f>IFERROR(SUM(DI254:DI256)/SUM(DH254:DH256),1)</f>
        <v>1</v>
      </c>
      <c r="DI272" s="93">
        <f>IFERROR(SUM(DJ253:DJ255)/SUM(DI253:DI255),1)</f>
        <v>1</v>
      </c>
      <c r="DJ272" s="93">
        <f>IFERROR(SUM(DK252:DK254)/SUM(DJ252:DJ254),1)</f>
        <v>1</v>
      </c>
      <c r="DK272" s="93">
        <f>IFERROR(SUM(DL251:DL253)/SUM(DK251:DK253),1)</f>
        <v>1</v>
      </c>
      <c r="DL272" s="93">
        <f>IFERROR(SUM(DM250:DM252)/SUM(DL250:DL252),1)</f>
        <v>1</v>
      </c>
      <c r="DM272" s="93">
        <f>IFERROR(SUM(DN249:DN251)/SUM(DM249:DM251),1)</f>
        <v>1</v>
      </c>
      <c r="DN272" s="93">
        <f>IFERROR(SUM(DO249:DO250)/SUM(DN249:DN250),1)</f>
        <v>1</v>
      </c>
      <c r="DO272" s="93">
        <f>IFERROR(SUM(DP249:DP249)/SUM(DO249:DO249),1)</f>
        <v>1</v>
      </c>
      <c r="DP272" s="93">
        <v>1</v>
      </c>
    </row>
    <row r="273" spans="1:120" ht="15.75" thickBot="1" x14ac:dyDescent="0.3">
      <c r="A273" s="11" t="s">
        <v>40</v>
      </c>
      <c r="B273" s="107"/>
      <c r="C273" s="93">
        <f>IF(C272=0,1,C272)</f>
        <v>1</v>
      </c>
      <c r="D273" s="93">
        <f t="shared" ref="D273:K273" si="451">IF(D272=0,1,D272)</f>
        <v>1</v>
      </c>
      <c r="E273" s="93">
        <f t="shared" si="451"/>
        <v>1</v>
      </c>
      <c r="F273" s="93">
        <f t="shared" si="451"/>
        <v>1</v>
      </c>
      <c r="G273" s="93">
        <f t="shared" si="451"/>
        <v>1</v>
      </c>
      <c r="H273" s="93">
        <f t="shared" si="451"/>
        <v>1</v>
      </c>
      <c r="I273" s="93">
        <f t="shared" si="451"/>
        <v>1</v>
      </c>
      <c r="J273" s="93">
        <f t="shared" si="451"/>
        <v>1</v>
      </c>
      <c r="K273" s="93">
        <f t="shared" si="451"/>
        <v>1</v>
      </c>
      <c r="L273" s="93">
        <f>IF(L272=0,1,L272)</f>
        <v>1</v>
      </c>
      <c r="M273" s="285" t="s">
        <v>40</v>
      </c>
      <c r="N273" s="107"/>
      <c r="O273" s="93">
        <f>IF(O272=0,1,O272)</f>
        <v>1</v>
      </c>
      <c r="P273" s="93">
        <f t="shared" ref="P273:W273" si="452">IF(P272=0,1,P272)</f>
        <v>1</v>
      </c>
      <c r="Q273" s="93">
        <f t="shared" si="452"/>
        <v>1</v>
      </c>
      <c r="R273" s="93">
        <f t="shared" si="452"/>
        <v>1</v>
      </c>
      <c r="S273" s="93">
        <f t="shared" si="452"/>
        <v>1</v>
      </c>
      <c r="T273" s="93">
        <f t="shared" si="452"/>
        <v>1</v>
      </c>
      <c r="U273" s="93">
        <f t="shared" si="452"/>
        <v>1</v>
      </c>
      <c r="V273" s="93">
        <f t="shared" si="452"/>
        <v>1</v>
      </c>
      <c r="W273" s="93">
        <f t="shared" si="452"/>
        <v>1</v>
      </c>
      <c r="X273" s="93">
        <f>IF(X272=0,1,X272)</f>
        <v>1</v>
      </c>
      <c r="Y273" s="285" t="s">
        <v>40</v>
      </c>
      <c r="Z273" s="107"/>
      <c r="AA273" s="93">
        <f>IF(AA272=0,1,AA272)</f>
        <v>1</v>
      </c>
      <c r="AB273" s="93">
        <f t="shared" ref="AB273:AI273" si="453">IF(AB272=0,1,AB272)</f>
        <v>1</v>
      </c>
      <c r="AC273" s="93">
        <f t="shared" si="453"/>
        <v>1</v>
      </c>
      <c r="AD273" s="93">
        <f t="shared" si="453"/>
        <v>1</v>
      </c>
      <c r="AE273" s="93">
        <f t="shared" si="453"/>
        <v>1</v>
      </c>
      <c r="AF273" s="93">
        <f t="shared" si="453"/>
        <v>1</v>
      </c>
      <c r="AG273" s="93">
        <f t="shared" si="453"/>
        <v>1</v>
      </c>
      <c r="AH273" s="93">
        <f t="shared" si="453"/>
        <v>1</v>
      </c>
      <c r="AI273" s="93">
        <f t="shared" si="453"/>
        <v>1</v>
      </c>
      <c r="AJ273" s="93">
        <f>IF(AJ272=0,1,AJ272)</f>
        <v>1</v>
      </c>
      <c r="AK273" s="285" t="s">
        <v>40</v>
      </c>
      <c r="AL273" s="107"/>
      <c r="AM273" s="93">
        <f>IF(AM272=0,1,AM272)</f>
        <v>1</v>
      </c>
      <c r="AN273" s="93">
        <f t="shared" ref="AN273:AU273" si="454">IF(AN272=0,1,AN272)</f>
        <v>1</v>
      </c>
      <c r="AO273" s="93">
        <f t="shared" si="454"/>
        <v>1</v>
      </c>
      <c r="AP273" s="93">
        <f t="shared" si="454"/>
        <v>1</v>
      </c>
      <c r="AQ273" s="93">
        <f t="shared" si="454"/>
        <v>1</v>
      </c>
      <c r="AR273" s="93">
        <f t="shared" si="454"/>
        <v>1</v>
      </c>
      <c r="AS273" s="93">
        <f t="shared" si="454"/>
        <v>1</v>
      </c>
      <c r="AT273" s="93">
        <f t="shared" si="454"/>
        <v>1</v>
      </c>
      <c r="AU273" s="93">
        <f t="shared" si="454"/>
        <v>1</v>
      </c>
      <c r="AV273" s="93">
        <f>IF(AV272=0,1,AV272)</f>
        <v>1</v>
      </c>
      <c r="AW273" s="285" t="s">
        <v>40</v>
      </c>
      <c r="AX273" s="107"/>
      <c r="AY273" s="93">
        <f>IF(AY272=0,1,AY272)</f>
        <v>1</v>
      </c>
      <c r="AZ273" s="93">
        <f t="shared" ref="AZ273:BG273" si="455">IF(AZ272=0,1,AZ272)</f>
        <v>1</v>
      </c>
      <c r="BA273" s="93">
        <f t="shared" si="455"/>
        <v>1</v>
      </c>
      <c r="BB273" s="93">
        <f t="shared" si="455"/>
        <v>1</v>
      </c>
      <c r="BC273" s="93">
        <f t="shared" si="455"/>
        <v>1</v>
      </c>
      <c r="BD273" s="93">
        <f t="shared" si="455"/>
        <v>1</v>
      </c>
      <c r="BE273" s="93">
        <f t="shared" si="455"/>
        <v>1</v>
      </c>
      <c r="BF273" s="93">
        <f t="shared" si="455"/>
        <v>1</v>
      </c>
      <c r="BG273" s="93">
        <f t="shared" si="455"/>
        <v>1</v>
      </c>
      <c r="BH273" s="93">
        <f>IF(BH272=0,1,BH272)</f>
        <v>1</v>
      </c>
      <c r="BI273" s="285" t="s">
        <v>40</v>
      </c>
      <c r="BJ273" s="107"/>
      <c r="BK273" s="93">
        <f>IF(BK272=0,1,BK272)</f>
        <v>1</v>
      </c>
      <c r="BL273" s="93">
        <f t="shared" ref="BL273:BS273" si="456">IF(BL272=0,1,BL272)</f>
        <v>1</v>
      </c>
      <c r="BM273" s="93">
        <f t="shared" si="456"/>
        <v>1</v>
      </c>
      <c r="BN273" s="93">
        <f t="shared" si="456"/>
        <v>1</v>
      </c>
      <c r="BO273" s="93">
        <f t="shared" si="456"/>
        <v>1</v>
      </c>
      <c r="BP273" s="93">
        <f t="shared" si="456"/>
        <v>1</v>
      </c>
      <c r="BQ273" s="93">
        <f t="shared" si="456"/>
        <v>1</v>
      </c>
      <c r="BR273" s="93">
        <f t="shared" si="456"/>
        <v>1</v>
      </c>
      <c r="BS273" s="93">
        <f t="shared" si="456"/>
        <v>1</v>
      </c>
      <c r="BT273" s="93">
        <f>IF(BT272=0,1,BT272)</f>
        <v>1</v>
      </c>
      <c r="BU273" s="285" t="s">
        <v>40</v>
      </c>
      <c r="BV273" s="107"/>
      <c r="BW273" s="93">
        <f>IF(BW272=0,1,BW272)</f>
        <v>1</v>
      </c>
      <c r="BX273" s="93">
        <f t="shared" ref="BX273:CE273" si="457">IF(BX272=0,1,BX272)</f>
        <v>1</v>
      </c>
      <c r="BY273" s="93">
        <f t="shared" si="457"/>
        <v>1</v>
      </c>
      <c r="BZ273" s="93">
        <f t="shared" si="457"/>
        <v>1</v>
      </c>
      <c r="CA273" s="93">
        <f t="shared" si="457"/>
        <v>1</v>
      </c>
      <c r="CB273" s="93">
        <f t="shared" si="457"/>
        <v>1</v>
      </c>
      <c r="CC273" s="93">
        <f t="shared" si="457"/>
        <v>1</v>
      </c>
      <c r="CD273" s="93">
        <f t="shared" si="457"/>
        <v>1</v>
      </c>
      <c r="CE273" s="93">
        <f t="shared" si="457"/>
        <v>1</v>
      </c>
      <c r="CF273" s="93">
        <f>IF(CF272=0,1,CF272)</f>
        <v>1</v>
      </c>
      <c r="CG273" s="285" t="s">
        <v>40</v>
      </c>
      <c r="CH273" s="107"/>
      <c r="CI273" s="93">
        <f>IF(CI272=0,1,CI272)</f>
        <v>1</v>
      </c>
      <c r="CJ273" s="93">
        <f t="shared" ref="CJ273:CQ273" si="458">IF(CJ272=0,1,CJ272)</f>
        <v>1</v>
      </c>
      <c r="CK273" s="93">
        <f t="shared" si="458"/>
        <v>1</v>
      </c>
      <c r="CL273" s="93">
        <f t="shared" si="458"/>
        <v>1</v>
      </c>
      <c r="CM273" s="93">
        <f t="shared" si="458"/>
        <v>1</v>
      </c>
      <c r="CN273" s="93">
        <f t="shared" si="458"/>
        <v>1</v>
      </c>
      <c r="CO273" s="93">
        <f t="shared" si="458"/>
        <v>1</v>
      </c>
      <c r="CP273" s="93">
        <f t="shared" si="458"/>
        <v>1</v>
      </c>
      <c r="CQ273" s="93">
        <f t="shared" si="458"/>
        <v>1</v>
      </c>
      <c r="CR273" s="93">
        <f>IF(CR272=0,1,CR272)</f>
        <v>1</v>
      </c>
      <c r="CS273" s="285" t="s">
        <v>40</v>
      </c>
      <c r="CT273" s="107"/>
      <c r="CU273" s="93">
        <f>IF(CU272=0,1,CU272)</f>
        <v>1</v>
      </c>
      <c r="CV273" s="93">
        <f t="shared" ref="CV273:DC273" si="459">IF(CV272=0,1,CV272)</f>
        <v>1</v>
      </c>
      <c r="CW273" s="93">
        <f t="shared" si="459"/>
        <v>1</v>
      </c>
      <c r="CX273" s="93">
        <f t="shared" si="459"/>
        <v>1</v>
      </c>
      <c r="CY273" s="93">
        <f t="shared" si="459"/>
        <v>1</v>
      </c>
      <c r="CZ273" s="93">
        <f t="shared" si="459"/>
        <v>1</v>
      </c>
      <c r="DA273" s="93">
        <f t="shared" si="459"/>
        <v>1</v>
      </c>
      <c r="DB273" s="93">
        <f t="shared" si="459"/>
        <v>1</v>
      </c>
      <c r="DC273" s="93">
        <f t="shared" si="459"/>
        <v>1</v>
      </c>
      <c r="DD273" s="93">
        <f>IF(DD272=0,1,DD272)</f>
        <v>1</v>
      </c>
      <c r="DE273" s="285" t="s">
        <v>40</v>
      </c>
      <c r="DF273" s="107"/>
      <c r="DG273" s="93">
        <f>IF(DG272=0,1,DG272)</f>
        <v>1</v>
      </c>
      <c r="DH273" s="93">
        <f t="shared" ref="DH273:DO273" si="460">IF(DH272=0,1,DH272)</f>
        <v>1</v>
      </c>
      <c r="DI273" s="93">
        <f t="shared" si="460"/>
        <v>1</v>
      </c>
      <c r="DJ273" s="93">
        <f t="shared" si="460"/>
        <v>1</v>
      </c>
      <c r="DK273" s="93">
        <f t="shared" si="460"/>
        <v>1</v>
      </c>
      <c r="DL273" s="93">
        <f t="shared" si="460"/>
        <v>1</v>
      </c>
      <c r="DM273" s="93">
        <f t="shared" si="460"/>
        <v>1</v>
      </c>
      <c r="DN273" s="93">
        <f t="shared" si="460"/>
        <v>1</v>
      </c>
      <c r="DO273" s="93">
        <f t="shared" si="460"/>
        <v>1</v>
      </c>
      <c r="DP273" s="93">
        <f>IF(DP272=0,1,DP272)</f>
        <v>1</v>
      </c>
    </row>
    <row r="274" spans="1:120" ht="15.75" thickBot="1" x14ac:dyDescent="0.3">
      <c r="A274" s="111" t="s">
        <v>39</v>
      </c>
      <c r="B274" s="115"/>
      <c r="C274" s="113">
        <f>PRODUCT(C273:L273)</f>
        <v>1</v>
      </c>
      <c r="D274" s="113">
        <f>PRODUCT(D273:L273)</f>
        <v>1</v>
      </c>
      <c r="E274" s="113">
        <f>PRODUCT(E273:L273)</f>
        <v>1</v>
      </c>
      <c r="F274" s="113">
        <f>PRODUCT(F273:L273)</f>
        <v>1</v>
      </c>
      <c r="G274" s="113">
        <f>PRODUCT(G273:L273)</f>
        <v>1</v>
      </c>
      <c r="H274" s="113">
        <f>PRODUCT(H273:L273)</f>
        <v>1</v>
      </c>
      <c r="I274" s="113">
        <f>PRODUCT(I273:L273)</f>
        <v>1</v>
      </c>
      <c r="J274" s="113">
        <f>PRODUCT(J273:L273)</f>
        <v>1</v>
      </c>
      <c r="K274" s="113">
        <f>PRODUCT(K273:L273)</f>
        <v>1</v>
      </c>
      <c r="L274" s="114">
        <f>PRODUCT(L273:L273)</f>
        <v>1</v>
      </c>
      <c r="M274" s="111" t="s">
        <v>39</v>
      </c>
      <c r="N274" s="115"/>
      <c r="O274" s="113">
        <f>PRODUCT(O273:X273)</f>
        <v>1</v>
      </c>
      <c r="P274" s="113">
        <f>PRODUCT(P273:X273)</f>
        <v>1</v>
      </c>
      <c r="Q274" s="113">
        <f>PRODUCT(Q273:X273)</f>
        <v>1</v>
      </c>
      <c r="R274" s="113">
        <f>PRODUCT(R273:X273)</f>
        <v>1</v>
      </c>
      <c r="S274" s="113">
        <f>PRODUCT(S273:X273)</f>
        <v>1</v>
      </c>
      <c r="T274" s="113">
        <f>PRODUCT(T273:X273)</f>
        <v>1</v>
      </c>
      <c r="U274" s="113">
        <f>PRODUCT(U273:X273)</f>
        <v>1</v>
      </c>
      <c r="V274" s="113">
        <f>PRODUCT(V273:X273)</f>
        <v>1</v>
      </c>
      <c r="W274" s="113">
        <f>PRODUCT(W273:X273)</f>
        <v>1</v>
      </c>
      <c r="X274" s="114">
        <f>PRODUCT(X273:X273)</f>
        <v>1</v>
      </c>
      <c r="Y274" s="111" t="s">
        <v>39</v>
      </c>
      <c r="Z274" s="115"/>
      <c r="AA274" s="113">
        <f>PRODUCT(AA273:AJ273)</f>
        <v>1</v>
      </c>
      <c r="AB274" s="113">
        <f>PRODUCT(AB273:AJ273)</f>
        <v>1</v>
      </c>
      <c r="AC274" s="113">
        <f>PRODUCT(AC273:AJ273)</f>
        <v>1</v>
      </c>
      <c r="AD274" s="113">
        <f>PRODUCT(AD273:AJ273)</f>
        <v>1</v>
      </c>
      <c r="AE274" s="113">
        <f>PRODUCT(AE273:AJ273)</f>
        <v>1</v>
      </c>
      <c r="AF274" s="113">
        <f>PRODUCT(AF273:AJ273)</f>
        <v>1</v>
      </c>
      <c r="AG274" s="113">
        <f>PRODUCT(AG273:AJ273)</f>
        <v>1</v>
      </c>
      <c r="AH274" s="113">
        <f>PRODUCT(AH273:AJ273)</f>
        <v>1</v>
      </c>
      <c r="AI274" s="113">
        <f>PRODUCT(AI273:AJ273)</f>
        <v>1</v>
      </c>
      <c r="AJ274" s="114">
        <f>PRODUCT(AJ273:AJ273)</f>
        <v>1</v>
      </c>
      <c r="AK274" s="111" t="s">
        <v>39</v>
      </c>
      <c r="AL274" s="115"/>
      <c r="AM274" s="113">
        <f>PRODUCT(AM273:AV273)</f>
        <v>1</v>
      </c>
      <c r="AN274" s="113">
        <f>PRODUCT(AN273:AV273)</f>
        <v>1</v>
      </c>
      <c r="AO274" s="113">
        <f>PRODUCT(AO273:AV273)</f>
        <v>1</v>
      </c>
      <c r="AP274" s="113">
        <f>PRODUCT(AP273:AV273)</f>
        <v>1</v>
      </c>
      <c r="AQ274" s="113">
        <f>PRODUCT(AQ273:AV273)</f>
        <v>1</v>
      </c>
      <c r="AR274" s="113">
        <f>PRODUCT(AR273:AV273)</f>
        <v>1</v>
      </c>
      <c r="AS274" s="113">
        <f>PRODUCT(AS273:AV273)</f>
        <v>1</v>
      </c>
      <c r="AT274" s="113">
        <f>PRODUCT(AT273:AV273)</f>
        <v>1</v>
      </c>
      <c r="AU274" s="113">
        <f>PRODUCT(AU273:AV273)</f>
        <v>1</v>
      </c>
      <c r="AV274" s="114">
        <f>PRODUCT(AV273:AV273)</f>
        <v>1</v>
      </c>
      <c r="AW274" s="111" t="s">
        <v>39</v>
      </c>
      <c r="AX274" s="115"/>
      <c r="AY274" s="113">
        <f>PRODUCT(AY273:BH273)</f>
        <v>1</v>
      </c>
      <c r="AZ274" s="113">
        <f>PRODUCT(AZ273:BH273)</f>
        <v>1</v>
      </c>
      <c r="BA274" s="113">
        <f>PRODUCT(BA273:BH273)</f>
        <v>1</v>
      </c>
      <c r="BB274" s="113">
        <f>PRODUCT(BB273:BH273)</f>
        <v>1</v>
      </c>
      <c r="BC274" s="113">
        <f>PRODUCT(BC273:BH273)</f>
        <v>1</v>
      </c>
      <c r="BD274" s="113">
        <f>PRODUCT(BD273:BH273)</f>
        <v>1</v>
      </c>
      <c r="BE274" s="113">
        <f>PRODUCT(BE273:BH273)</f>
        <v>1</v>
      </c>
      <c r="BF274" s="113">
        <f>PRODUCT(BF273:BH273)</f>
        <v>1</v>
      </c>
      <c r="BG274" s="113">
        <f>PRODUCT(BG273:BH273)</f>
        <v>1</v>
      </c>
      <c r="BH274" s="114">
        <f>PRODUCT(BH273:BH273)</f>
        <v>1</v>
      </c>
      <c r="BI274" s="111" t="s">
        <v>39</v>
      </c>
      <c r="BJ274" s="115"/>
      <c r="BK274" s="113">
        <f>PRODUCT(BK273:BT273)</f>
        <v>1</v>
      </c>
      <c r="BL274" s="113">
        <f>PRODUCT(BL273:BT273)</f>
        <v>1</v>
      </c>
      <c r="BM274" s="113">
        <f>PRODUCT(BM273:BT273)</f>
        <v>1</v>
      </c>
      <c r="BN274" s="113">
        <f>PRODUCT(BN273:BT273)</f>
        <v>1</v>
      </c>
      <c r="BO274" s="113">
        <f>PRODUCT(BO273:BT273)</f>
        <v>1</v>
      </c>
      <c r="BP274" s="113">
        <f>PRODUCT(BP273:BT273)</f>
        <v>1</v>
      </c>
      <c r="BQ274" s="113">
        <f>PRODUCT(BQ273:BT273)</f>
        <v>1</v>
      </c>
      <c r="BR274" s="113">
        <f>PRODUCT(BR273:BT273)</f>
        <v>1</v>
      </c>
      <c r="BS274" s="113">
        <f>PRODUCT(BS273:BT273)</f>
        <v>1</v>
      </c>
      <c r="BT274" s="114">
        <f>PRODUCT(BT273:BT273)</f>
        <v>1</v>
      </c>
      <c r="BU274" s="111" t="s">
        <v>39</v>
      </c>
      <c r="BV274" s="115"/>
      <c r="BW274" s="113">
        <f>PRODUCT(BW273:CF273)</f>
        <v>1</v>
      </c>
      <c r="BX274" s="113">
        <f>PRODUCT(BX273:CF273)</f>
        <v>1</v>
      </c>
      <c r="BY274" s="113">
        <f>PRODUCT(BY273:CF273)</f>
        <v>1</v>
      </c>
      <c r="BZ274" s="113">
        <f>PRODUCT(BZ273:CF273)</f>
        <v>1</v>
      </c>
      <c r="CA274" s="113">
        <f>PRODUCT(CA273:CF273)</f>
        <v>1</v>
      </c>
      <c r="CB274" s="113">
        <f>PRODUCT(CB273:CF273)</f>
        <v>1</v>
      </c>
      <c r="CC274" s="113">
        <f>PRODUCT(CC273:CF273)</f>
        <v>1</v>
      </c>
      <c r="CD274" s="113">
        <f>PRODUCT(CD273:CF273)</f>
        <v>1</v>
      </c>
      <c r="CE274" s="113">
        <f>PRODUCT(CE273:CF273)</f>
        <v>1</v>
      </c>
      <c r="CF274" s="114">
        <f>PRODUCT(CF273:CF273)</f>
        <v>1</v>
      </c>
      <c r="CG274" s="111" t="s">
        <v>39</v>
      </c>
      <c r="CH274" s="115"/>
      <c r="CI274" s="113">
        <f>PRODUCT(CI273:CR273)</f>
        <v>1</v>
      </c>
      <c r="CJ274" s="113">
        <f>PRODUCT(CJ273:CR273)</f>
        <v>1</v>
      </c>
      <c r="CK274" s="113">
        <f>PRODUCT(CK273:CR273)</f>
        <v>1</v>
      </c>
      <c r="CL274" s="113">
        <f>PRODUCT(CL273:CR273)</f>
        <v>1</v>
      </c>
      <c r="CM274" s="113">
        <f>PRODUCT(CM273:CR273)</f>
        <v>1</v>
      </c>
      <c r="CN274" s="113">
        <f>PRODUCT(CN273:CR273)</f>
        <v>1</v>
      </c>
      <c r="CO274" s="113">
        <f>PRODUCT(CO273:CR273)</f>
        <v>1</v>
      </c>
      <c r="CP274" s="113">
        <f>PRODUCT(CP273:CR273)</f>
        <v>1</v>
      </c>
      <c r="CQ274" s="113">
        <f>PRODUCT(CQ273:CR273)</f>
        <v>1</v>
      </c>
      <c r="CR274" s="114">
        <f>PRODUCT(CR273:CR273)</f>
        <v>1</v>
      </c>
      <c r="CS274" s="111" t="s">
        <v>39</v>
      </c>
      <c r="CT274" s="115"/>
      <c r="CU274" s="113">
        <f>PRODUCT(CU273:DD273)</f>
        <v>1</v>
      </c>
      <c r="CV274" s="113">
        <f>PRODUCT(CV273:DD273)</f>
        <v>1</v>
      </c>
      <c r="CW274" s="113">
        <f>PRODUCT(CW273:DD273)</f>
        <v>1</v>
      </c>
      <c r="CX274" s="113">
        <f>PRODUCT(CX273:DD273)</f>
        <v>1</v>
      </c>
      <c r="CY274" s="113">
        <f>PRODUCT(CY273:DD273)</f>
        <v>1</v>
      </c>
      <c r="CZ274" s="113">
        <f>PRODUCT(CZ273:DD273)</f>
        <v>1</v>
      </c>
      <c r="DA274" s="113">
        <f>PRODUCT(DA273:DD273)</f>
        <v>1</v>
      </c>
      <c r="DB274" s="113">
        <f>PRODUCT(DB273:DD273)</f>
        <v>1</v>
      </c>
      <c r="DC274" s="113">
        <f>PRODUCT(DC273:DD273)</f>
        <v>1</v>
      </c>
      <c r="DD274" s="114">
        <f>PRODUCT(DD273:DD273)</f>
        <v>1</v>
      </c>
      <c r="DE274" s="111" t="s">
        <v>39</v>
      </c>
      <c r="DF274" s="115"/>
      <c r="DG274" s="113">
        <f>PRODUCT(DG273:DP273)</f>
        <v>1</v>
      </c>
      <c r="DH274" s="113">
        <f>PRODUCT(DH273:DP273)</f>
        <v>1</v>
      </c>
      <c r="DI274" s="113">
        <f>PRODUCT(DI273:DP273)</f>
        <v>1</v>
      </c>
      <c r="DJ274" s="113">
        <f>PRODUCT(DJ273:DP273)</f>
        <v>1</v>
      </c>
      <c r="DK274" s="113">
        <f>PRODUCT(DK273:DP273)</f>
        <v>1</v>
      </c>
      <c r="DL274" s="113">
        <f>PRODUCT(DL273:DP273)</f>
        <v>1</v>
      </c>
      <c r="DM274" s="113">
        <f>PRODUCT(DM273:DP273)</f>
        <v>1</v>
      </c>
      <c r="DN274" s="113">
        <f>PRODUCT(DN273:DP273)</f>
        <v>1</v>
      </c>
      <c r="DO274" s="113">
        <f>PRODUCT(DO273:DP273)</f>
        <v>1</v>
      </c>
      <c r="DP274" s="114">
        <f>PRODUCT(DP273:DP273)</f>
        <v>1</v>
      </c>
    </row>
    <row r="275" spans="1:120" x14ac:dyDescent="0.25">
      <c r="A275" s="95" t="s">
        <v>41</v>
      </c>
      <c r="B275" s="106"/>
      <c r="C275" s="99">
        <f>C274*C258</f>
        <v>0</v>
      </c>
      <c r="D275" s="99">
        <f>D274*D257</f>
        <v>0</v>
      </c>
      <c r="E275" s="99">
        <f>E274*E256</f>
        <v>0</v>
      </c>
      <c r="F275" s="99">
        <f>F274*F255</f>
        <v>0</v>
      </c>
      <c r="G275" s="99">
        <f>G274*G254</f>
        <v>0</v>
      </c>
      <c r="H275" s="99">
        <f>H274*H253</f>
        <v>0</v>
      </c>
      <c r="I275" s="99">
        <f>I274*I252</f>
        <v>0</v>
      </c>
      <c r="J275" s="99">
        <f>J274*J251</f>
        <v>0</v>
      </c>
      <c r="K275" s="99">
        <f>K274*K250</f>
        <v>0</v>
      </c>
      <c r="L275" s="99">
        <f>L274*L249</f>
        <v>0</v>
      </c>
      <c r="M275" s="95" t="s">
        <v>41</v>
      </c>
      <c r="N275" s="106"/>
      <c r="O275" s="99">
        <f>O274*O258</f>
        <v>0</v>
      </c>
      <c r="P275" s="99">
        <f>P274*P257</f>
        <v>0</v>
      </c>
      <c r="Q275" s="99">
        <f>Q274*Q256</f>
        <v>0</v>
      </c>
      <c r="R275" s="99">
        <f>R274*R255</f>
        <v>0</v>
      </c>
      <c r="S275" s="99">
        <f>S274*S254</f>
        <v>0</v>
      </c>
      <c r="T275" s="99">
        <f>T274*T253</f>
        <v>0</v>
      </c>
      <c r="U275" s="99">
        <f>U274*U252</f>
        <v>0</v>
      </c>
      <c r="V275" s="99">
        <f>V274*V251</f>
        <v>0</v>
      </c>
      <c r="W275" s="99">
        <f>W274*W250</f>
        <v>0</v>
      </c>
      <c r="X275" s="99">
        <f>X274*X249</f>
        <v>0</v>
      </c>
      <c r="Y275" s="95" t="s">
        <v>41</v>
      </c>
      <c r="Z275" s="106"/>
      <c r="AA275" s="99">
        <f>AA274*AA258</f>
        <v>0</v>
      </c>
      <c r="AB275" s="99">
        <f>AB274*AB257</f>
        <v>0</v>
      </c>
      <c r="AC275" s="99">
        <f>AC274*AC256</f>
        <v>0</v>
      </c>
      <c r="AD275" s="99">
        <f>AD274*AD255</f>
        <v>0</v>
      </c>
      <c r="AE275" s="99">
        <f>AE274*AE254</f>
        <v>0</v>
      </c>
      <c r="AF275" s="99">
        <f>AF274*AF253</f>
        <v>0</v>
      </c>
      <c r="AG275" s="99">
        <f>AG274*AG252</f>
        <v>0</v>
      </c>
      <c r="AH275" s="99">
        <f>AH274*AH251</f>
        <v>0</v>
      </c>
      <c r="AI275" s="99">
        <f>AI274*AI250</f>
        <v>0</v>
      </c>
      <c r="AJ275" s="99">
        <f>AJ274*AJ249</f>
        <v>0</v>
      </c>
      <c r="AK275" s="95" t="s">
        <v>41</v>
      </c>
      <c r="AL275" s="106"/>
      <c r="AM275" s="99">
        <f>AM274*AM258</f>
        <v>0</v>
      </c>
      <c r="AN275" s="99">
        <f>AN274*AN257</f>
        <v>0</v>
      </c>
      <c r="AO275" s="99">
        <f>AO274*AO256</f>
        <v>0</v>
      </c>
      <c r="AP275" s="99">
        <f>AP274*AP255</f>
        <v>0</v>
      </c>
      <c r="AQ275" s="99">
        <f>AQ274*AQ254</f>
        <v>0</v>
      </c>
      <c r="AR275" s="99">
        <f>AR274*AR253</f>
        <v>0</v>
      </c>
      <c r="AS275" s="99">
        <f>AS274*AS252</f>
        <v>0</v>
      </c>
      <c r="AT275" s="99">
        <f>AT274*AT251</f>
        <v>0</v>
      </c>
      <c r="AU275" s="99">
        <f>AU274*AU250</f>
        <v>0</v>
      </c>
      <c r="AV275" s="99">
        <f>AV274*AV249</f>
        <v>0</v>
      </c>
      <c r="AW275" s="95" t="s">
        <v>41</v>
      </c>
      <c r="AX275" s="106"/>
      <c r="AY275" s="99">
        <f>AY274*AY258</f>
        <v>0</v>
      </c>
      <c r="AZ275" s="99">
        <f>AZ274*AZ257</f>
        <v>0</v>
      </c>
      <c r="BA275" s="99">
        <f>BA274*BA256</f>
        <v>0</v>
      </c>
      <c r="BB275" s="99">
        <f>BB274*BB255</f>
        <v>0</v>
      </c>
      <c r="BC275" s="99">
        <f>BC274*BC254</f>
        <v>0</v>
      </c>
      <c r="BD275" s="99">
        <f>BD274*BD253</f>
        <v>0</v>
      </c>
      <c r="BE275" s="99">
        <f>BE274*BE252</f>
        <v>0</v>
      </c>
      <c r="BF275" s="99">
        <f>BF274*BF251</f>
        <v>0</v>
      </c>
      <c r="BG275" s="99">
        <f>BG274*BG250</f>
        <v>0</v>
      </c>
      <c r="BH275" s="99">
        <f>BH274*BH249</f>
        <v>0</v>
      </c>
      <c r="BI275" s="95" t="s">
        <v>41</v>
      </c>
      <c r="BJ275" s="106"/>
      <c r="BK275" s="99">
        <f>BK274*BK258</f>
        <v>0</v>
      </c>
      <c r="BL275" s="99">
        <f>BL274*BL257</f>
        <v>0</v>
      </c>
      <c r="BM275" s="99">
        <f>BM274*BM256</f>
        <v>0</v>
      </c>
      <c r="BN275" s="99">
        <f>BN274*BN255</f>
        <v>0</v>
      </c>
      <c r="BO275" s="99">
        <f>BO274*BO254</f>
        <v>0</v>
      </c>
      <c r="BP275" s="99">
        <f>BP274*BP253</f>
        <v>0</v>
      </c>
      <c r="BQ275" s="99">
        <f>BQ274*BQ252</f>
        <v>0</v>
      </c>
      <c r="BR275" s="99">
        <f>BR274*BR251</f>
        <v>0</v>
      </c>
      <c r="BS275" s="99">
        <f>BS274*BS250</f>
        <v>0</v>
      </c>
      <c r="BT275" s="99">
        <f>BT274*BT249</f>
        <v>0</v>
      </c>
      <c r="BU275" s="95" t="s">
        <v>41</v>
      </c>
      <c r="BV275" s="106"/>
      <c r="BW275" s="99">
        <f>BW274*BW258</f>
        <v>0</v>
      </c>
      <c r="BX275" s="99">
        <f>BX274*BX257</f>
        <v>0</v>
      </c>
      <c r="BY275" s="99">
        <f>BY274*BY256</f>
        <v>0</v>
      </c>
      <c r="BZ275" s="99">
        <f>BZ274*BZ255</f>
        <v>0</v>
      </c>
      <c r="CA275" s="99">
        <f>CA274*CA254</f>
        <v>0</v>
      </c>
      <c r="CB275" s="99">
        <f>CB274*CB253</f>
        <v>0</v>
      </c>
      <c r="CC275" s="99">
        <f>CC274*CC252</f>
        <v>0</v>
      </c>
      <c r="CD275" s="99">
        <f>CD274*CD251</f>
        <v>0</v>
      </c>
      <c r="CE275" s="99">
        <f>CE274*CE250</f>
        <v>0</v>
      </c>
      <c r="CF275" s="99">
        <f>CF274*CF249</f>
        <v>0</v>
      </c>
      <c r="CG275" s="95" t="s">
        <v>41</v>
      </c>
      <c r="CH275" s="106"/>
      <c r="CI275" s="99">
        <f>CI274*CI258</f>
        <v>0</v>
      </c>
      <c r="CJ275" s="99">
        <f>CJ274*CJ257</f>
        <v>0</v>
      </c>
      <c r="CK275" s="99">
        <f>CK274*CK256</f>
        <v>0</v>
      </c>
      <c r="CL275" s="99">
        <f>CL274*CL255</f>
        <v>0</v>
      </c>
      <c r="CM275" s="99">
        <f>CM274*CM254</f>
        <v>0</v>
      </c>
      <c r="CN275" s="99">
        <f>CN274*CN253</f>
        <v>0</v>
      </c>
      <c r="CO275" s="99">
        <f>CO274*CO252</f>
        <v>0</v>
      </c>
      <c r="CP275" s="99">
        <f>CP274*CP251</f>
        <v>0</v>
      </c>
      <c r="CQ275" s="99">
        <f>CQ274*CQ250</f>
        <v>0</v>
      </c>
      <c r="CR275" s="99">
        <f>CR274*CR249</f>
        <v>0</v>
      </c>
      <c r="CS275" s="95" t="s">
        <v>41</v>
      </c>
      <c r="CT275" s="106"/>
      <c r="CU275" s="99">
        <f>CU274*CU258</f>
        <v>0</v>
      </c>
      <c r="CV275" s="99">
        <f>CV274*CV257</f>
        <v>0</v>
      </c>
      <c r="CW275" s="99">
        <f>CW274*CW256</f>
        <v>0</v>
      </c>
      <c r="CX275" s="99">
        <f>CX274*CX255</f>
        <v>0</v>
      </c>
      <c r="CY275" s="99">
        <f>CY274*CY254</f>
        <v>0</v>
      </c>
      <c r="CZ275" s="99">
        <f>CZ274*CZ253</f>
        <v>0</v>
      </c>
      <c r="DA275" s="99">
        <f>DA274*DA252</f>
        <v>0</v>
      </c>
      <c r="DB275" s="99">
        <f>DB274*DB251</f>
        <v>0</v>
      </c>
      <c r="DC275" s="99">
        <f>DC274*DC250</f>
        <v>0</v>
      </c>
      <c r="DD275" s="99">
        <f>DD274*DD249</f>
        <v>0</v>
      </c>
      <c r="DE275" s="95" t="s">
        <v>41</v>
      </c>
      <c r="DF275" s="106"/>
      <c r="DG275" s="99">
        <f>DG274*DG258</f>
        <v>0</v>
      </c>
      <c r="DH275" s="99">
        <f>DH274*DH257</f>
        <v>0</v>
      </c>
      <c r="DI275" s="99">
        <f>DI274*DI256</f>
        <v>0</v>
      </c>
      <c r="DJ275" s="99">
        <f>DJ274*DJ255</f>
        <v>0</v>
      </c>
      <c r="DK275" s="99">
        <f>DK274*DK254</f>
        <v>0</v>
      </c>
      <c r="DL275" s="99">
        <f>DL274*DL253</f>
        <v>0</v>
      </c>
      <c r="DM275" s="99">
        <f>DM274*DM252</f>
        <v>0</v>
      </c>
      <c r="DN275" s="99">
        <f>DN274*DN251</f>
        <v>0</v>
      </c>
      <c r="DO275" s="99">
        <f>DO274*DO250</f>
        <v>0</v>
      </c>
      <c r="DP275" s="99">
        <f>DP274*DP249</f>
        <v>0</v>
      </c>
    </row>
    <row r="276" spans="1:120" ht="21" x14ac:dyDescent="0.35">
      <c r="A276" s="137" t="str">
        <f>Co_Name</f>
        <v>State Farm General Insurance Company</v>
      </c>
      <c r="B276" s="68"/>
      <c r="C276" s="40"/>
      <c r="D276" s="18"/>
      <c r="E276" s="18"/>
      <c r="F276" s="18"/>
      <c r="G276" s="18"/>
      <c r="H276" s="18"/>
      <c r="I276" s="18"/>
      <c r="J276" s="18"/>
      <c r="K276" s="18"/>
      <c r="L276" s="18"/>
      <c r="M276" s="137" t="str">
        <f>Co_Name</f>
        <v>State Farm General Insurance Company</v>
      </c>
      <c r="N276" s="68"/>
      <c r="O276" s="40"/>
      <c r="P276" s="18"/>
      <c r="Q276" s="18"/>
      <c r="R276" s="18"/>
      <c r="S276" s="18"/>
      <c r="T276" s="18"/>
      <c r="U276" s="18"/>
      <c r="V276" s="18"/>
      <c r="W276" s="18"/>
      <c r="X276" s="18"/>
      <c r="Y276" s="137" t="str">
        <f>Co_Name</f>
        <v>State Farm General Insurance Company</v>
      </c>
      <c r="Z276" s="68"/>
      <c r="AA276" s="40"/>
      <c r="AB276" s="18"/>
      <c r="AC276" s="18"/>
      <c r="AD276" s="18"/>
      <c r="AE276" s="18"/>
      <c r="AF276" s="18"/>
      <c r="AG276" s="18"/>
      <c r="AH276" s="18"/>
      <c r="AI276" s="18"/>
      <c r="AJ276" s="18"/>
      <c r="AK276" s="137" t="str">
        <f>Co_Name</f>
        <v>State Farm General Insurance Company</v>
      </c>
      <c r="AL276" s="68"/>
      <c r="AM276" s="40"/>
      <c r="AN276" s="18"/>
      <c r="AO276" s="18"/>
      <c r="AP276" s="18"/>
      <c r="AQ276" s="18"/>
      <c r="AR276" s="18"/>
      <c r="AS276" s="18"/>
      <c r="AT276" s="18"/>
      <c r="AU276" s="18"/>
      <c r="AV276" s="18"/>
      <c r="AW276" s="137" t="str">
        <f>Co_Name</f>
        <v>State Farm General Insurance Company</v>
      </c>
      <c r="AX276" s="68"/>
      <c r="AY276" s="40"/>
      <c r="AZ276" s="18"/>
      <c r="BA276" s="18"/>
      <c r="BB276" s="18"/>
      <c r="BC276" s="18"/>
      <c r="BD276" s="18"/>
      <c r="BE276" s="18"/>
      <c r="BF276" s="18"/>
      <c r="BG276" s="18"/>
      <c r="BH276" s="18"/>
      <c r="BI276" s="137" t="str">
        <f>Co_Name</f>
        <v>State Farm General Insurance Company</v>
      </c>
      <c r="BJ276" s="68"/>
      <c r="BK276" s="40"/>
      <c r="BL276" s="18"/>
      <c r="BM276" s="18"/>
      <c r="BN276" s="18"/>
      <c r="BO276" s="18"/>
      <c r="BP276" s="18"/>
      <c r="BQ276" s="18"/>
      <c r="BR276" s="18"/>
      <c r="BS276" s="18"/>
      <c r="BT276" s="18"/>
      <c r="BU276" s="137" t="str">
        <f>Co_Name</f>
        <v>State Farm General Insurance Company</v>
      </c>
      <c r="BV276" s="68"/>
      <c r="BW276" s="40"/>
      <c r="BX276" s="18"/>
      <c r="BY276" s="18"/>
      <c r="BZ276" s="18"/>
      <c r="CA276" s="18"/>
      <c r="CB276" s="18"/>
      <c r="CC276" s="18"/>
      <c r="CD276" s="18"/>
      <c r="CE276" s="18"/>
      <c r="CF276" s="18"/>
      <c r="CG276" s="137" t="str">
        <f>Co_Name</f>
        <v>State Farm General Insurance Company</v>
      </c>
      <c r="CH276" s="68"/>
      <c r="CI276" s="40"/>
      <c r="CJ276" s="18"/>
      <c r="CK276" s="18"/>
      <c r="CL276" s="18"/>
      <c r="CM276" s="18"/>
      <c r="CN276" s="18"/>
      <c r="CO276" s="18"/>
      <c r="CP276" s="18"/>
      <c r="CQ276" s="18"/>
      <c r="CR276" s="18"/>
      <c r="CS276" s="137" t="str">
        <f>Co_Name</f>
        <v>State Farm General Insurance Company</v>
      </c>
      <c r="CT276" s="68"/>
      <c r="CU276" s="40"/>
      <c r="CV276" s="18"/>
      <c r="CW276" s="18"/>
      <c r="CX276" s="18"/>
      <c r="CY276" s="18"/>
      <c r="CZ276" s="18"/>
      <c r="DA276" s="18"/>
      <c r="DB276" s="18"/>
      <c r="DC276" s="18"/>
      <c r="DD276" s="18"/>
      <c r="DE276" s="137" t="str">
        <f>Co_Name</f>
        <v>State Farm General Insurance Company</v>
      </c>
      <c r="DF276" s="68"/>
      <c r="DG276" s="40"/>
      <c r="DH276" s="18"/>
      <c r="DI276" s="18"/>
      <c r="DJ276" s="18"/>
      <c r="DK276" s="18"/>
      <c r="DL276" s="18"/>
      <c r="DM276" s="18"/>
      <c r="DN276" s="18"/>
      <c r="DO276" s="18"/>
      <c r="DP276" s="18"/>
    </row>
    <row r="277" spans="1:120" ht="21" x14ac:dyDescent="0.35">
      <c r="A277" s="137" t="str">
        <f>A$2</f>
        <v>Homeowners Multiple Peril</v>
      </c>
      <c r="B277" s="68"/>
      <c r="C277" s="40"/>
      <c r="D277" s="18"/>
      <c r="E277" s="18"/>
      <c r="F277" s="18"/>
      <c r="G277" s="18"/>
      <c r="H277" s="18"/>
      <c r="I277" s="18"/>
      <c r="J277" s="18"/>
      <c r="K277" s="18"/>
      <c r="L277" s="18"/>
      <c r="M277" s="137" t="str">
        <f>M$2</f>
        <v/>
      </c>
      <c r="N277" s="68"/>
      <c r="O277" s="40"/>
      <c r="P277" s="18"/>
      <c r="Q277" s="18"/>
      <c r="R277" s="18"/>
      <c r="S277" s="18"/>
      <c r="T277" s="18"/>
      <c r="U277" s="18"/>
      <c r="V277" s="18"/>
      <c r="W277" s="18"/>
      <c r="X277" s="18"/>
      <c r="Y277" s="137" t="str">
        <f>Y$2</f>
        <v/>
      </c>
      <c r="Z277" s="68"/>
      <c r="AA277" s="40"/>
      <c r="AB277" s="18"/>
      <c r="AC277" s="18"/>
      <c r="AD277" s="18"/>
      <c r="AE277" s="18"/>
      <c r="AF277" s="18"/>
      <c r="AG277" s="18"/>
      <c r="AH277" s="18"/>
      <c r="AI277" s="18"/>
      <c r="AJ277" s="18"/>
      <c r="AK277" s="137" t="str">
        <f>AK$2</f>
        <v/>
      </c>
      <c r="AL277" s="68"/>
      <c r="AM277" s="40"/>
      <c r="AN277" s="18"/>
      <c r="AO277" s="18"/>
      <c r="AP277" s="18"/>
      <c r="AQ277" s="18"/>
      <c r="AR277" s="18"/>
      <c r="AS277" s="18"/>
      <c r="AT277" s="18"/>
      <c r="AU277" s="18"/>
      <c r="AV277" s="18"/>
      <c r="AW277" s="137" t="str">
        <f>AW$2</f>
        <v/>
      </c>
      <c r="AX277" s="68"/>
      <c r="AY277" s="40"/>
      <c r="AZ277" s="18"/>
      <c r="BA277" s="18"/>
      <c r="BB277" s="18"/>
      <c r="BC277" s="18"/>
      <c r="BD277" s="18"/>
      <c r="BE277" s="18"/>
      <c r="BF277" s="18"/>
      <c r="BG277" s="18"/>
      <c r="BH277" s="18"/>
      <c r="BI277" s="137" t="str">
        <f>BI$2</f>
        <v/>
      </c>
      <c r="BJ277" s="68"/>
      <c r="BK277" s="40"/>
      <c r="BL277" s="18"/>
      <c r="BM277" s="18"/>
      <c r="BN277" s="18"/>
      <c r="BO277" s="18"/>
      <c r="BP277" s="18"/>
      <c r="BQ277" s="18"/>
      <c r="BR277" s="18"/>
      <c r="BS277" s="18"/>
      <c r="BT277" s="18"/>
      <c r="BU277" s="137" t="str">
        <f>BU$2</f>
        <v/>
      </c>
      <c r="BV277" s="68"/>
      <c r="BW277" s="40"/>
      <c r="BX277" s="18"/>
      <c r="BY277" s="18"/>
      <c r="BZ277" s="18"/>
      <c r="CA277" s="18"/>
      <c r="CB277" s="18"/>
      <c r="CC277" s="18"/>
      <c r="CD277" s="18"/>
      <c r="CE277" s="18"/>
      <c r="CF277" s="18"/>
      <c r="CG277" s="137" t="str">
        <f>CG$2</f>
        <v/>
      </c>
      <c r="CH277" s="68"/>
      <c r="CI277" s="40"/>
      <c r="CJ277" s="18"/>
      <c r="CK277" s="18"/>
      <c r="CL277" s="18"/>
      <c r="CM277" s="18"/>
      <c r="CN277" s="18"/>
      <c r="CO277" s="18"/>
      <c r="CP277" s="18"/>
      <c r="CQ277" s="18"/>
      <c r="CR277" s="18"/>
      <c r="CS277" s="137" t="str">
        <f>CS$2</f>
        <v/>
      </c>
      <c r="CT277" s="68"/>
      <c r="CU277" s="40"/>
      <c r="CV277" s="18"/>
      <c r="CW277" s="18"/>
      <c r="CX277" s="18"/>
      <c r="CY277" s="18"/>
      <c r="CZ277" s="18"/>
      <c r="DA277" s="18"/>
      <c r="DB277" s="18"/>
      <c r="DC277" s="18"/>
      <c r="DD277" s="18"/>
      <c r="DE277" s="137" t="str">
        <f>DE$2</f>
        <v/>
      </c>
      <c r="DF277" s="68"/>
      <c r="DG277" s="40"/>
      <c r="DH277" s="18"/>
      <c r="DI277" s="18"/>
      <c r="DJ277" s="18"/>
      <c r="DK277" s="18"/>
      <c r="DL277" s="18"/>
      <c r="DM277" s="18"/>
      <c r="DN277" s="18"/>
      <c r="DO277" s="18"/>
      <c r="DP277" s="18"/>
    </row>
    <row r="278" spans="1:120" ht="21" customHeight="1" x14ac:dyDescent="0.25"/>
    <row r="279" spans="1:120" ht="21" x14ac:dyDescent="0.25">
      <c r="A279" s="48" t="s">
        <v>195</v>
      </c>
      <c r="B279" s="48"/>
      <c r="C279" s="18"/>
      <c r="D279" s="18"/>
      <c r="E279" s="18"/>
      <c r="F279" s="18"/>
      <c r="G279" s="18"/>
      <c r="H279" s="18"/>
      <c r="I279" s="18"/>
      <c r="J279" s="18"/>
      <c r="K279" s="18"/>
      <c r="L279" s="18"/>
      <c r="M279" s="48" t="s">
        <v>195</v>
      </c>
      <c r="N279" s="48"/>
      <c r="O279" s="18"/>
      <c r="P279" s="18"/>
      <c r="Q279" s="18"/>
      <c r="R279" s="18"/>
      <c r="S279" s="18"/>
      <c r="T279" s="18"/>
      <c r="U279" s="18"/>
      <c r="V279" s="18"/>
      <c r="W279" s="18"/>
      <c r="X279" s="18"/>
      <c r="Y279" s="48" t="s">
        <v>195</v>
      </c>
      <c r="Z279" s="48"/>
      <c r="AA279" s="18"/>
      <c r="AB279" s="18"/>
      <c r="AC279" s="18"/>
      <c r="AD279" s="18"/>
      <c r="AE279" s="18"/>
      <c r="AF279" s="18"/>
      <c r="AG279" s="18"/>
      <c r="AH279" s="18"/>
      <c r="AI279" s="18"/>
      <c r="AJ279" s="18"/>
      <c r="AK279" s="48" t="s">
        <v>195</v>
      </c>
      <c r="AL279" s="48"/>
      <c r="AM279" s="18"/>
      <c r="AN279" s="18"/>
      <c r="AO279" s="18"/>
      <c r="AP279" s="18"/>
      <c r="AQ279" s="18"/>
      <c r="AR279" s="18"/>
      <c r="AS279" s="18"/>
      <c r="AT279" s="18"/>
      <c r="AU279" s="18"/>
      <c r="AV279" s="18"/>
      <c r="AW279" s="48" t="s">
        <v>195</v>
      </c>
      <c r="AX279" s="48"/>
      <c r="AY279" s="18"/>
      <c r="AZ279" s="18"/>
      <c r="BA279" s="18"/>
      <c r="BB279" s="18"/>
      <c r="BC279" s="18"/>
      <c r="BD279" s="18"/>
      <c r="BE279" s="18"/>
      <c r="BF279" s="18"/>
      <c r="BG279" s="18"/>
      <c r="BH279" s="18"/>
      <c r="BI279" s="48" t="s">
        <v>195</v>
      </c>
      <c r="BJ279" s="48"/>
      <c r="BK279" s="18"/>
      <c r="BL279" s="18"/>
      <c r="BM279" s="18"/>
      <c r="BN279" s="18"/>
      <c r="BO279" s="18"/>
      <c r="BP279" s="18"/>
      <c r="BQ279" s="18"/>
      <c r="BR279" s="18"/>
      <c r="BS279" s="18"/>
      <c r="BT279" s="18"/>
      <c r="BU279" s="48" t="s">
        <v>195</v>
      </c>
      <c r="BV279" s="48"/>
      <c r="BW279" s="18"/>
      <c r="BX279" s="18"/>
      <c r="BY279" s="18"/>
      <c r="BZ279" s="18"/>
      <c r="CA279" s="18"/>
      <c r="CB279" s="18"/>
      <c r="CC279" s="18"/>
      <c r="CD279" s="18"/>
      <c r="CE279" s="18"/>
      <c r="CF279" s="18"/>
      <c r="CG279" s="48" t="s">
        <v>195</v>
      </c>
      <c r="CH279" s="48"/>
      <c r="CI279" s="18"/>
      <c r="CJ279" s="18"/>
      <c r="CK279" s="18"/>
      <c r="CL279" s="18"/>
      <c r="CM279" s="18"/>
      <c r="CN279" s="18"/>
      <c r="CO279" s="18"/>
      <c r="CP279" s="18"/>
      <c r="CQ279" s="18"/>
      <c r="CR279" s="18"/>
      <c r="CS279" s="48" t="s">
        <v>195</v>
      </c>
      <c r="CT279" s="48"/>
      <c r="CU279" s="18"/>
      <c r="CV279" s="18"/>
      <c r="CW279" s="18"/>
      <c r="CX279" s="18"/>
      <c r="CY279" s="18"/>
      <c r="CZ279" s="18"/>
      <c r="DA279" s="18"/>
      <c r="DB279" s="18"/>
      <c r="DC279" s="18"/>
      <c r="DD279" s="18"/>
      <c r="DE279" s="48" t="s">
        <v>195</v>
      </c>
      <c r="DF279" s="48"/>
      <c r="DG279" s="18"/>
      <c r="DH279" s="18"/>
      <c r="DI279" s="18"/>
      <c r="DJ279" s="18"/>
      <c r="DK279" s="18"/>
      <c r="DL279" s="18"/>
      <c r="DM279" s="18"/>
      <c r="DN279" s="18"/>
      <c r="DO279" s="18"/>
      <c r="DP279" s="18"/>
    </row>
    <row r="280" spans="1:120" x14ac:dyDescent="0.25">
      <c r="A280" s="138" t="str">
        <f>A$5</f>
        <v>Rental Dwelling</v>
      </c>
      <c r="B280" s="69"/>
      <c r="C280" s="18"/>
      <c r="D280" s="18"/>
      <c r="E280" s="18"/>
      <c r="F280" s="18"/>
      <c r="G280" s="18"/>
      <c r="H280" s="18"/>
      <c r="I280" s="18"/>
      <c r="J280" s="18"/>
      <c r="K280" s="18"/>
      <c r="L280" s="18"/>
      <c r="M280" s="138">
        <f>M$5</f>
        <v>0</v>
      </c>
      <c r="N280" s="69"/>
      <c r="O280" s="18"/>
      <c r="P280" s="18"/>
      <c r="Q280" s="18"/>
      <c r="R280" s="18"/>
      <c r="S280" s="18"/>
      <c r="T280" s="18"/>
      <c r="U280" s="18"/>
      <c r="V280" s="18"/>
      <c r="W280" s="18"/>
      <c r="X280" s="18"/>
      <c r="Y280" s="138">
        <f>Y$5</f>
        <v>0</v>
      </c>
      <c r="Z280" s="69"/>
      <c r="AA280" s="18"/>
      <c r="AB280" s="18"/>
      <c r="AC280" s="18"/>
      <c r="AD280" s="18"/>
      <c r="AE280" s="18"/>
      <c r="AF280" s="18"/>
      <c r="AG280" s="18"/>
      <c r="AH280" s="18"/>
      <c r="AI280" s="18"/>
      <c r="AJ280" s="18"/>
      <c r="AK280" s="138">
        <f>AK$5</f>
        <v>0</v>
      </c>
      <c r="AL280" s="69"/>
      <c r="AM280" s="18"/>
      <c r="AN280" s="18"/>
      <c r="AO280" s="18"/>
      <c r="AP280" s="18"/>
      <c r="AQ280" s="18"/>
      <c r="AR280" s="18"/>
      <c r="AS280" s="18"/>
      <c r="AT280" s="18"/>
      <c r="AU280" s="18"/>
      <c r="AV280" s="18"/>
      <c r="AW280" s="138">
        <f>AW$5</f>
        <v>0</v>
      </c>
      <c r="AX280" s="69"/>
      <c r="AY280" s="18"/>
      <c r="AZ280" s="18"/>
      <c r="BA280" s="18"/>
      <c r="BB280" s="18"/>
      <c r="BC280" s="18"/>
      <c r="BD280" s="18"/>
      <c r="BE280" s="18"/>
      <c r="BF280" s="18"/>
      <c r="BG280" s="18"/>
      <c r="BH280" s="18"/>
      <c r="BI280" s="138">
        <f>BI$5</f>
        <v>0</v>
      </c>
      <c r="BJ280" s="69"/>
      <c r="BK280" s="18"/>
      <c r="BL280" s="18"/>
      <c r="BM280" s="18"/>
      <c r="BN280" s="18"/>
      <c r="BO280" s="18"/>
      <c r="BP280" s="18"/>
      <c r="BQ280" s="18"/>
      <c r="BR280" s="18"/>
      <c r="BS280" s="18"/>
      <c r="BT280" s="18"/>
      <c r="BU280" s="138">
        <f>BU$5</f>
        <v>0</v>
      </c>
      <c r="BV280" s="69"/>
      <c r="BW280" s="18"/>
      <c r="BX280" s="18"/>
      <c r="BY280" s="18"/>
      <c r="BZ280" s="18"/>
      <c r="CA280" s="18"/>
      <c r="CB280" s="18"/>
      <c r="CC280" s="18"/>
      <c r="CD280" s="18"/>
      <c r="CE280" s="18"/>
      <c r="CF280" s="18"/>
      <c r="CG280" s="138">
        <f>CG$5</f>
        <v>0</v>
      </c>
      <c r="CH280" s="69"/>
      <c r="CI280" s="18"/>
      <c r="CJ280" s="18"/>
      <c r="CK280" s="18"/>
      <c r="CL280" s="18"/>
      <c r="CM280" s="18"/>
      <c r="CN280" s="18"/>
      <c r="CO280" s="18"/>
      <c r="CP280" s="18"/>
      <c r="CQ280" s="18"/>
      <c r="CR280" s="18"/>
      <c r="CS280" s="138">
        <f>CS$5</f>
        <v>0</v>
      </c>
      <c r="CT280" s="69"/>
      <c r="CU280" s="18"/>
      <c r="CV280" s="18"/>
      <c r="CW280" s="18"/>
      <c r="CX280" s="18"/>
      <c r="CY280" s="18"/>
      <c r="CZ280" s="18"/>
      <c r="DA280" s="18"/>
      <c r="DB280" s="18"/>
      <c r="DC280" s="18"/>
      <c r="DD280" s="18"/>
      <c r="DE280" s="138">
        <f>DE$5</f>
        <v>0</v>
      </c>
      <c r="DF280" s="69"/>
      <c r="DG280" s="18"/>
      <c r="DH280" s="18"/>
      <c r="DI280" s="18"/>
      <c r="DJ280" s="18"/>
      <c r="DK280" s="18"/>
      <c r="DL280" s="18"/>
      <c r="DM280" s="18"/>
      <c r="DN280" s="18"/>
      <c r="DO280" s="18"/>
      <c r="DP280" s="18"/>
    </row>
    <row r="282" spans="1:120" x14ac:dyDescent="0.25">
      <c r="A282" s="102"/>
      <c r="B282" s="129"/>
      <c r="C282" s="129" t="s">
        <v>4</v>
      </c>
      <c r="D282" s="103"/>
      <c r="E282" s="103"/>
      <c r="F282" s="103"/>
      <c r="G282" s="103"/>
      <c r="H282" s="103"/>
      <c r="I282" s="103"/>
      <c r="J282" s="103"/>
      <c r="K282" s="103"/>
      <c r="L282" s="103"/>
      <c r="M282" s="102"/>
      <c r="N282" s="129"/>
      <c r="O282" s="129" t="s">
        <v>4</v>
      </c>
      <c r="P282" s="103"/>
      <c r="Q282" s="103"/>
      <c r="R282" s="103"/>
      <c r="S282" s="103"/>
      <c r="T282" s="103"/>
      <c r="U282" s="103"/>
      <c r="V282" s="103"/>
      <c r="W282" s="103"/>
      <c r="X282" s="103"/>
      <c r="Y282" s="102"/>
      <c r="Z282" s="129"/>
      <c r="AA282" s="129" t="s">
        <v>4</v>
      </c>
      <c r="AB282" s="103"/>
      <c r="AC282" s="103"/>
      <c r="AD282" s="103"/>
      <c r="AE282" s="103"/>
      <c r="AF282" s="103"/>
      <c r="AG282" s="103"/>
      <c r="AH282" s="103"/>
      <c r="AI282" s="103"/>
      <c r="AJ282" s="103"/>
      <c r="AK282" s="102"/>
      <c r="AL282" s="129"/>
      <c r="AM282" s="129" t="s">
        <v>4</v>
      </c>
      <c r="AN282" s="103"/>
      <c r="AO282" s="103"/>
      <c r="AP282" s="103"/>
      <c r="AQ282" s="103"/>
      <c r="AR282" s="103"/>
      <c r="AS282" s="103"/>
      <c r="AT282" s="103"/>
      <c r="AU282" s="103"/>
      <c r="AV282" s="103"/>
      <c r="AW282" s="102"/>
      <c r="AX282" s="129"/>
      <c r="AY282" s="129" t="s">
        <v>4</v>
      </c>
      <c r="AZ282" s="103"/>
      <c r="BA282" s="103"/>
      <c r="BB282" s="103"/>
      <c r="BC282" s="103"/>
      <c r="BD282" s="103"/>
      <c r="BE282" s="103"/>
      <c r="BF282" s="103"/>
      <c r="BG282" s="103"/>
      <c r="BH282" s="103"/>
      <c r="BI282" s="102"/>
      <c r="BJ282" s="129"/>
      <c r="BK282" s="129" t="s">
        <v>4</v>
      </c>
      <c r="BL282" s="103"/>
      <c r="BM282" s="103"/>
      <c r="BN282" s="103"/>
      <c r="BO282" s="103"/>
      <c r="BP282" s="103"/>
      <c r="BQ282" s="103"/>
      <c r="BR282" s="103"/>
      <c r="BS282" s="103"/>
      <c r="BT282" s="103"/>
      <c r="BU282" s="102"/>
      <c r="BV282" s="129"/>
      <c r="BW282" s="129" t="s">
        <v>4</v>
      </c>
      <c r="BX282" s="103"/>
      <c r="BY282" s="103"/>
      <c r="BZ282" s="103"/>
      <c r="CA282" s="103"/>
      <c r="CB282" s="103"/>
      <c r="CC282" s="103"/>
      <c r="CD282" s="103"/>
      <c r="CE282" s="103"/>
      <c r="CF282" s="103"/>
      <c r="CG282" s="102"/>
      <c r="CH282" s="129"/>
      <c r="CI282" s="129" t="s">
        <v>4</v>
      </c>
      <c r="CJ282" s="103"/>
      <c r="CK282" s="103"/>
      <c r="CL282" s="103"/>
      <c r="CM282" s="103"/>
      <c r="CN282" s="103"/>
      <c r="CO282" s="103"/>
      <c r="CP282" s="103"/>
      <c r="CQ282" s="103"/>
      <c r="CR282" s="103"/>
      <c r="CS282" s="102"/>
      <c r="CT282" s="129"/>
      <c r="CU282" s="129" t="s">
        <v>4</v>
      </c>
      <c r="CV282" s="103"/>
      <c r="CW282" s="103"/>
      <c r="CX282" s="103"/>
      <c r="CY282" s="103"/>
      <c r="CZ282" s="103"/>
      <c r="DA282" s="103"/>
      <c r="DB282" s="103"/>
      <c r="DC282" s="103"/>
      <c r="DD282" s="103"/>
      <c r="DE282" s="102"/>
      <c r="DF282" s="129"/>
      <c r="DG282" s="129" t="s">
        <v>4</v>
      </c>
      <c r="DH282" s="103"/>
      <c r="DI282" s="103"/>
      <c r="DJ282" s="103"/>
      <c r="DK282" s="103"/>
      <c r="DL282" s="103"/>
      <c r="DM282" s="103"/>
      <c r="DN282" s="103"/>
      <c r="DO282" s="103"/>
      <c r="DP282" s="103"/>
    </row>
    <row r="283" spans="1:120" ht="30" x14ac:dyDescent="0.25">
      <c r="A283" s="92" t="str">
        <f>$A$35</f>
        <v>Fiscal Accident Year Data Ending</v>
      </c>
      <c r="B283" s="98">
        <f>$B$35</f>
        <v>0</v>
      </c>
      <c r="C283" s="98" t="str">
        <f>$C$35</f>
        <v>12</v>
      </c>
      <c r="D283" s="98">
        <f>$D$35</f>
        <v>24</v>
      </c>
      <c r="E283" s="98">
        <f>$E$35</f>
        <v>36</v>
      </c>
      <c r="F283" s="98">
        <f>$F$35</f>
        <v>48</v>
      </c>
      <c r="G283" s="98">
        <f>$G$35</f>
        <v>60</v>
      </c>
      <c r="H283" s="98">
        <f>$H$35</f>
        <v>72</v>
      </c>
      <c r="I283" s="98">
        <f>$I$35</f>
        <v>84</v>
      </c>
      <c r="J283" s="98">
        <f>$J$35</f>
        <v>96</v>
      </c>
      <c r="K283" s="98">
        <f>$K$35</f>
        <v>108</v>
      </c>
      <c r="L283" s="98">
        <f>$L$35</f>
        <v>120</v>
      </c>
      <c r="M283" s="92" t="str">
        <f>$A$35</f>
        <v>Fiscal Accident Year Data Ending</v>
      </c>
      <c r="N283" s="98">
        <f>$B$35</f>
        <v>0</v>
      </c>
      <c r="O283" s="98" t="str">
        <f>$C$35</f>
        <v>12</v>
      </c>
      <c r="P283" s="98">
        <f>$D$35</f>
        <v>24</v>
      </c>
      <c r="Q283" s="98">
        <f>$E$35</f>
        <v>36</v>
      </c>
      <c r="R283" s="98">
        <f>$F$35</f>
        <v>48</v>
      </c>
      <c r="S283" s="98">
        <f>$G$35</f>
        <v>60</v>
      </c>
      <c r="T283" s="98">
        <f>$H$35</f>
        <v>72</v>
      </c>
      <c r="U283" s="98">
        <f>$I$35</f>
        <v>84</v>
      </c>
      <c r="V283" s="98">
        <f>$J$35</f>
        <v>96</v>
      </c>
      <c r="W283" s="98">
        <f>$K$35</f>
        <v>108</v>
      </c>
      <c r="X283" s="98">
        <f>$L$35</f>
        <v>120</v>
      </c>
      <c r="Y283" s="92" t="str">
        <f>$A$35</f>
        <v>Fiscal Accident Year Data Ending</v>
      </c>
      <c r="Z283" s="98">
        <f>$B$35</f>
        <v>0</v>
      </c>
      <c r="AA283" s="98" t="str">
        <f>$C$35</f>
        <v>12</v>
      </c>
      <c r="AB283" s="98">
        <f>$D$35</f>
        <v>24</v>
      </c>
      <c r="AC283" s="98">
        <f>$E$35</f>
        <v>36</v>
      </c>
      <c r="AD283" s="98">
        <f>$F$35</f>
        <v>48</v>
      </c>
      <c r="AE283" s="98">
        <f>$G$35</f>
        <v>60</v>
      </c>
      <c r="AF283" s="98">
        <f>$H$35</f>
        <v>72</v>
      </c>
      <c r="AG283" s="98">
        <f>$I$35</f>
        <v>84</v>
      </c>
      <c r="AH283" s="98">
        <f>$J$35</f>
        <v>96</v>
      </c>
      <c r="AI283" s="98">
        <f>$K$35</f>
        <v>108</v>
      </c>
      <c r="AJ283" s="98">
        <f>$L$35</f>
        <v>120</v>
      </c>
      <c r="AK283" s="92" t="str">
        <f>$A$35</f>
        <v>Fiscal Accident Year Data Ending</v>
      </c>
      <c r="AL283" s="98">
        <f>$B$35</f>
        <v>0</v>
      </c>
      <c r="AM283" s="98" t="str">
        <f>$C$35</f>
        <v>12</v>
      </c>
      <c r="AN283" s="98">
        <f>$D$35</f>
        <v>24</v>
      </c>
      <c r="AO283" s="98">
        <f>$E$35</f>
        <v>36</v>
      </c>
      <c r="AP283" s="98">
        <f>$F$35</f>
        <v>48</v>
      </c>
      <c r="AQ283" s="98">
        <f>$G$35</f>
        <v>60</v>
      </c>
      <c r="AR283" s="98">
        <f>$H$35</f>
        <v>72</v>
      </c>
      <c r="AS283" s="98">
        <f>$I$35</f>
        <v>84</v>
      </c>
      <c r="AT283" s="98">
        <f>$J$35</f>
        <v>96</v>
      </c>
      <c r="AU283" s="98">
        <f>$K$35</f>
        <v>108</v>
      </c>
      <c r="AV283" s="98">
        <f>$L$35</f>
        <v>120</v>
      </c>
      <c r="AW283" s="92" t="str">
        <f>$A$35</f>
        <v>Fiscal Accident Year Data Ending</v>
      </c>
      <c r="AX283" s="98">
        <f>$B$35</f>
        <v>0</v>
      </c>
      <c r="AY283" s="98" t="str">
        <f>$C$35</f>
        <v>12</v>
      </c>
      <c r="AZ283" s="98">
        <f>$D$35</f>
        <v>24</v>
      </c>
      <c r="BA283" s="98">
        <f>$E$35</f>
        <v>36</v>
      </c>
      <c r="BB283" s="98">
        <f>$F$35</f>
        <v>48</v>
      </c>
      <c r="BC283" s="98">
        <f>$G$35</f>
        <v>60</v>
      </c>
      <c r="BD283" s="98">
        <f>$H$35</f>
        <v>72</v>
      </c>
      <c r="BE283" s="98">
        <f>$I$35</f>
        <v>84</v>
      </c>
      <c r="BF283" s="98">
        <f>$J$35</f>
        <v>96</v>
      </c>
      <c r="BG283" s="98">
        <f>$K$35</f>
        <v>108</v>
      </c>
      <c r="BH283" s="98">
        <f>$L$35</f>
        <v>120</v>
      </c>
      <c r="BI283" s="92" t="str">
        <f>$A$35</f>
        <v>Fiscal Accident Year Data Ending</v>
      </c>
      <c r="BJ283" s="98">
        <f>$B$35</f>
        <v>0</v>
      </c>
      <c r="BK283" s="98" t="str">
        <f>$C$35</f>
        <v>12</v>
      </c>
      <c r="BL283" s="98">
        <f>$D$35</f>
        <v>24</v>
      </c>
      <c r="BM283" s="98">
        <f>$E$35</f>
        <v>36</v>
      </c>
      <c r="BN283" s="98">
        <f>$F$35</f>
        <v>48</v>
      </c>
      <c r="BO283" s="98">
        <f>$G$35</f>
        <v>60</v>
      </c>
      <c r="BP283" s="98">
        <f>$H$35</f>
        <v>72</v>
      </c>
      <c r="BQ283" s="98">
        <f>$I$35</f>
        <v>84</v>
      </c>
      <c r="BR283" s="98">
        <f>$J$35</f>
        <v>96</v>
      </c>
      <c r="BS283" s="98">
        <f>$K$35</f>
        <v>108</v>
      </c>
      <c r="BT283" s="98">
        <f>$L$35</f>
        <v>120</v>
      </c>
      <c r="BU283" s="92" t="str">
        <f>$A$35</f>
        <v>Fiscal Accident Year Data Ending</v>
      </c>
      <c r="BV283" s="98">
        <f>$B$35</f>
        <v>0</v>
      </c>
      <c r="BW283" s="98" t="str">
        <f>$C$35</f>
        <v>12</v>
      </c>
      <c r="BX283" s="98">
        <f>$D$35</f>
        <v>24</v>
      </c>
      <c r="BY283" s="98">
        <f>$E$35</f>
        <v>36</v>
      </c>
      <c r="BZ283" s="98">
        <f>$F$35</f>
        <v>48</v>
      </c>
      <c r="CA283" s="98">
        <f>$G$35</f>
        <v>60</v>
      </c>
      <c r="CB283" s="98">
        <f>$H$35</f>
        <v>72</v>
      </c>
      <c r="CC283" s="98">
        <f>$I$35</f>
        <v>84</v>
      </c>
      <c r="CD283" s="98">
        <f>$J$35</f>
        <v>96</v>
      </c>
      <c r="CE283" s="98">
        <f>$K$35</f>
        <v>108</v>
      </c>
      <c r="CF283" s="98">
        <f>$L$35</f>
        <v>120</v>
      </c>
      <c r="CG283" s="92" t="str">
        <f>$A$35</f>
        <v>Fiscal Accident Year Data Ending</v>
      </c>
      <c r="CH283" s="98">
        <f>$B$35</f>
        <v>0</v>
      </c>
      <c r="CI283" s="98" t="str">
        <f>$C$35</f>
        <v>12</v>
      </c>
      <c r="CJ283" s="98">
        <f>$D$35</f>
        <v>24</v>
      </c>
      <c r="CK283" s="98">
        <f>$E$35</f>
        <v>36</v>
      </c>
      <c r="CL283" s="98">
        <f>$F$35</f>
        <v>48</v>
      </c>
      <c r="CM283" s="98">
        <f>$G$35</f>
        <v>60</v>
      </c>
      <c r="CN283" s="98">
        <f>$H$35</f>
        <v>72</v>
      </c>
      <c r="CO283" s="98">
        <f>$I$35</f>
        <v>84</v>
      </c>
      <c r="CP283" s="98">
        <f>$J$35</f>
        <v>96</v>
      </c>
      <c r="CQ283" s="98">
        <f>$K$35</f>
        <v>108</v>
      </c>
      <c r="CR283" s="98">
        <f>$L$35</f>
        <v>120</v>
      </c>
      <c r="CS283" s="92" t="str">
        <f>$A$35</f>
        <v>Fiscal Accident Year Data Ending</v>
      </c>
      <c r="CT283" s="98">
        <f>$B$35</f>
        <v>0</v>
      </c>
      <c r="CU283" s="98" t="str">
        <f>$C$35</f>
        <v>12</v>
      </c>
      <c r="CV283" s="98">
        <f>$D$35</f>
        <v>24</v>
      </c>
      <c r="CW283" s="98">
        <f>$E$35</f>
        <v>36</v>
      </c>
      <c r="CX283" s="98">
        <f>$F$35</f>
        <v>48</v>
      </c>
      <c r="CY283" s="98">
        <f>$G$35</f>
        <v>60</v>
      </c>
      <c r="CZ283" s="98">
        <f>$H$35</f>
        <v>72</v>
      </c>
      <c r="DA283" s="98">
        <f>$I$35</f>
        <v>84</v>
      </c>
      <c r="DB283" s="98">
        <f>$J$35</f>
        <v>96</v>
      </c>
      <c r="DC283" s="98">
        <f>$K$35</f>
        <v>108</v>
      </c>
      <c r="DD283" s="98">
        <f>$L$35</f>
        <v>120</v>
      </c>
      <c r="DE283" s="92" t="str">
        <f>$A$35</f>
        <v>Fiscal Accident Year Data Ending</v>
      </c>
      <c r="DF283" s="98">
        <f>$B$35</f>
        <v>0</v>
      </c>
      <c r="DG283" s="98" t="str">
        <f>$C$35</f>
        <v>12</v>
      </c>
      <c r="DH283" s="98">
        <f>$D$35</f>
        <v>24</v>
      </c>
      <c r="DI283" s="98">
        <f>$E$35</f>
        <v>36</v>
      </c>
      <c r="DJ283" s="98">
        <f>$F$35</f>
        <v>48</v>
      </c>
      <c r="DK283" s="98">
        <f>$G$35</f>
        <v>60</v>
      </c>
      <c r="DL283" s="98">
        <f>$H$35</f>
        <v>72</v>
      </c>
      <c r="DM283" s="98">
        <f>$I$35</f>
        <v>84</v>
      </c>
      <c r="DN283" s="98">
        <f>$J$35</f>
        <v>96</v>
      </c>
      <c r="DO283" s="98">
        <f>$K$35</f>
        <v>108</v>
      </c>
      <c r="DP283" s="98">
        <f>$L$35</f>
        <v>120</v>
      </c>
    </row>
    <row r="284" spans="1:120" ht="15" customHeight="1" x14ac:dyDescent="0.25">
      <c r="A284" s="31">
        <f>$A$36</f>
        <v>20132</v>
      </c>
      <c r="B284" s="116"/>
      <c r="C284" s="117">
        <f>IFERROR(C249/C214,"")</f>
        <v>0</v>
      </c>
      <c r="D284" s="117">
        <f t="shared" ref="D284:L284" si="461">IFERROR(D249/D214,"")</f>
        <v>0</v>
      </c>
      <c r="E284" s="117">
        <f t="shared" si="461"/>
        <v>0</v>
      </c>
      <c r="F284" s="117">
        <f t="shared" si="461"/>
        <v>0</v>
      </c>
      <c r="G284" s="117">
        <f t="shared" si="461"/>
        <v>0</v>
      </c>
      <c r="H284" s="117">
        <f t="shared" si="461"/>
        <v>0</v>
      </c>
      <c r="I284" s="117">
        <f t="shared" si="461"/>
        <v>0</v>
      </c>
      <c r="J284" s="117">
        <f t="shared" si="461"/>
        <v>0</v>
      </c>
      <c r="K284" s="117">
        <f t="shared" si="461"/>
        <v>0</v>
      </c>
      <c r="L284" s="117">
        <f t="shared" si="461"/>
        <v>0</v>
      </c>
      <c r="M284" s="31">
        <f>$A$36</f>
        <v>20132</v>
      </c>
      <c r="N284" s="116"/>
      <c r="O284" s="117" t="str">
        <f>IFERROR(O249/O214,"")</f>
        <v/>
      </c>
      <c r="P284" s="117" t="str">
        <f t="shared" ref="P284:X284" si="462">IFERROR(P249/P214,"")</f>
        <v/>
      </c>
      <c r="Q284" s="117" t="str">
        <f t="shared" si="462"/>
        <v/>
      </c>
      <c r="R284" s="117" t="str">
        <f t="shared" si="462"/>
        <v/>
      </c>
      <c r="S284" s="117" t="str">
        <f t="shared" si="462"/>
        <v/>
      </c>
      <c r="T284" s="117" t="str">
        <f t="shared" si="462"/>
        <v/>
      </c>
      <c r="U284" s="117" t="str">
        <f t="shared" si="462"/>
        <v/>
      </c>
      <c r="V284" s="117" t="str">
        <f t="shared" si="462"/>
        <v/>
      </c>
      <c r="W284" s="117" t="str">
        <f t="shared" si="462"/>
        <v/>
      </c>
      <c r="X284" s="117" t="str">
        <f t="shared" si="462"/>
        <v/>
      </c>
      <c r="Y284" s="31">
        <f>$A$36</f>
        <v>20132</v>
      </c>
      <c r="Z284" s="116"/>
      <c r="AA284" s="117" t="str">
        <f>IFERROR(AA249/AA214,"")</f>
        <v/>
      </c>
      <c r="AB284" s="117" t="str">
        <f t="shared" ref="AB284:AJ284" si="463">IFERROR(AB249/AB214,"")</f>
        <v/>
      </c>
      <c r="AC284" s="117" t="str">
        <f t="shared" si="463"/>
        <v/>
      </c>
      <c r="AD284" s="117" t="str">
        <f t="shared" si="463"/>
        <v/>
      </c>
      <c r="AE284" s="117" t="str">
        <f t="shared" si="463"/>
        <v/>
      </c>
      <c r="AF284" s="117" t="str">
        <f t="shared" si="463"/>
        <v/>
      </c>
      <c r="AG284" s="117" t="str">
        <f t="shared" si="463"/>
        <v/>
      </c>
      <c r="AH284" s="117" t="str">
        <f t="shared" si="463"/>
        <v/>
      </c>
      <c r="AI284" s="117" t="str">
        <f t="shared" si="463"/>
        <v/>
      </c>
      <c r="AJ284" s="117" t="str">
        <f t="shared" si="463"/>
        <v/>
      </c>
      <c r="AK284" s="31">
        <f>$A$36</f>
        <v>20132</v>
      </c>
      <c r="AL284" s="116"/>
      <c r="AM284" s="117" t="str">
        <f>IFERROR(AM249/AM214,"")</f>
        <v/>
      </c>
      <c r="AN284" s="117" t="str">
        <f t="shared" ref="AN284:AV284" si="464">IFERROR(AN249/AN214,"")</f>
        <v/>
      </c>
      <c r="AO284" s="117" t="str">
        <f t="shared" si="464"/>
        <v/>
      </c>
      <c r="AP284" s="117" t="str">
        <f t="shared" si="464"/>
        <v/>
      </c>
      <c r="AQ284" s="117" t="str">
        <f t="shared" si="464"/>
        <v/>
      </c>
      <c r="AR284" s="117" t="str">
        <f t="shared" si="464"/>
        <v/>
      </c>
      <c r="AS284" s="117" t="str">
        <f t="shared" si="464"/>
        <v/>
      </c>
      <c r="AT284" s="117" t="str">
        <f t="shared" si="464"/>
        <v/>
      </c>
      <c r="AU284" s="117" t="str">
        <f t="shared" si="464"/>
        <v/>
      </c>
      <c r="AV284" s="117" t="str">
        <f t="shared" si="464"/>
        <v/>
      </c>
      <c r="AW284" s="31">
        <f>$A$36</f>
        <v>20132</v>
      </c>
      <c r="AX284" s="116"/>
      <c r="AY284" s="117" t="str">
        <f>IFERROR(AY249/AY214,"")</f>
        <v/>
      </c>
      <c r="AZ284" s="117" t="str">
        <f t="shared" ref="AZ284:BH284" si="465">IFERROR(AZ249/AZ214,"")</f>
        <v/>
      </c>
      <c r="BA284" s="117" t="str">
        <f t="shared" si="465"/>
        <v/>
      </c>
      <c r="BB284" s="117" t="str">
        <f t="shared" si="465"/>
        <v/>
      </c>
      <c r="BC284" s="117" t="str">
        <f t="shared" si="465"/>
        <v/>
      </c>
      <c r="BD284" s="117" t="str">
        <f t="shared" si="465"/>
        <v/>
      </c>
      <c r="BE284" s="117" t="str">
        <f t="shared" si="465"/>
        <v/>
      </c>
      <c r="BF284" s="117" t="str">
        <f t="shared" si="465"/>
        <v/>
      </c>
      <c r="BG284" s="117" t="str">
        <f t="shared" si="465"/>
        <v/>
      </c>
      <c r="BH284" s="117" t="str">
        <f t="shared" si="465"/>
        <v/>
      </c>
      <c r="BI284" s="31">
        <f>$A$36</f>
        <v>20132</v>
      </c>
      <c r="BJ284" s="116"/>
      <c r="BK284" s="117" t="str">
        <f>IFERROR(BK249/BK214,"")</f>
        <v/>
      </c>
      <c r="BL284" s="117" t="str">
        <f t="shared" ref="BL284:BT284" si="466">IFERROR(BL249/BL214,"")</f>
        <v/>
      </c>
      <c r="BM284" s="117" t="str">
        <f t="shared" si="466"/>
        <v/>
      </c>
      <c r="BN284" s="117" t="str">
        <f t="shared" si="466"/>
        <v/>
      </c>
      <c r="BO284" s="117" t="str">
        <f t="shared" si="466"/>
        <v/>
      </c>
      <c r="BP284" s="117" t="str">
        <f t="shared" si="466"/>
        <v/>
      </c>
      <c r="BQ284" s="117" t="str">
        <f t="shared" si="466"/>
        <v/>
      </c>
      <c r="BR284" s="117" t="str">
        <f t="shared" si="466"/>
        <v/>
      </c>
      <c r="BS284" s="117" t="str">
        <f t="shared" si="466"/>
        <v/>
      </c>
      <c r="BT284" s="117" t="str">
        <f t="shared" si="466"/>
        <v/>
      </c>
      <c r="BU284" s="31">
        <f>$A$36</f>
        <v>20132</v>
      </c>
      <c r="BV284" s="116"/>
      <c r="BW284" s="117" t="str">
        <f>IFERROR(BW249/BW214,"")</f>
        <v/>
      </c>
      <c r="BX284" s="117" t="str">
        <f t="shared" ref="BX284:CF284" si="467">IFERROR(BX249/BX214,"")</f>
        <v/>
      </c>
      <c r="BY284" s="117" t="str">
        <f t="shared" si="467"/>
        <v/>
      </c>
      <c r="BZ284" s="117" t="str">
        <f t="shared" si="467"/>
        <v/>
      </c>
      <c r="CA284" s="117" t="str">
        <f t="shared" si="467"/>
        <v/>
      </c>
      <c r="CB284" s="117" t="str">
        <f t="shared" si="467"/>
        <v/>
      </c>
      <c r="CC284" s="117" t="str">
        <f t="shared" si="467"/>
        <v/>
      </c>
      <c r="CD284" s="117" t="str">
        <f t="shared" si="467"/>
        <v/>
      </c>
      <c r="CE284" s="117" t="str">
        <f t="shared" si="467"/>
        <v/>
      </c>
      <c r="CF284" s="117" t="str">
        <f t="shared" si="467"/>
        <v/>
      </c>
      <c r="CG284" s="31">
        <f>$A$36</f>
        <v>20132</v>
      </c>
      <c r="CH284" s="116"/>
      <c r="CI284" s="117" t="str">
        <f>IFERROR(CI249/CI214,"")</f>
        <v/>
      </c>
      <c r="CJ284" s="117" t="str">
        <f t="shared" ref="CJ284:CR284" si="468">IFERROR(CJ249/CJ214,"")</f>
        <v/>
      </c>
      <c r="CK284" s="117" t="str">
        <f t="shared" si="468"/>
        <v/>
      </c>
      <c r="CL284" s="117" t="str">
        <f t="shared" si="468"/>
        <v/>
      </c>
      <c r="CM284" s="117" t="str">
        <f t="shared" si="468"/>
        <v/>
      </c>
      <c r="CN284" s="117" t="str">
        <f t="shared" si="468"/>
        <v/>
      </c>
      <c r="CO284" s="117" t="str">
        <f t="shared" si="468"/>
        <v/>
      </c>
      <c r="CP284" s="117" t="str">
        <f t="shared" si="468"/>
        <v/>
      </c>
      <c r="CQ284" s="117" t="str">
        <f t="shared" si="468"/>
        <v/>
      </c>
      <c r="CR284" s="117" t="str">
        <f t="shared" si="468"/>
        <v/>
      </c>
      <c r="CS284" s="31">
        <f>$A$36</f>
        <v>20132</v>
      </c>
      <c r="CT284" s="116"/>
      <c r="CU284" s="117" t="str">
        <f>IFERROR(CU249/CU214,"")</f>
        <v/>
      </c>
      <c r="CV284" s="117" t="str">
        <f t="shared" ref="CV284:DD284" si="469">IFERROR(CV249/CV214,"")</f>
        <v/>
      </c>
      <c r="CW284" s="117" t="str">
        <f t="shared" si="469"/>
        <v/>
      </c>
      <c r="CX284" s="117" t="str">
        <f t="shared" si="469"/>
        <v/>
      </c>
      <c r="CY284" s="117" t="str">
        <f t="shared" si="469"/>
        <v/>
      </c>
      <c r="CZ284" s="117" t="str">
        <f t="shared" si="469"/>
        <v/>
      </c>
      <c r="DA284" s="117" t="str">
        <f t="shared" si="469"/>
        <v/>
      </c>
      <c r="DB284" s="117" t="str">
        <f t="shared" si="469"/>
        <v/>
      </c>
      <c r="DC284" s="117" t="str">
        <f t="shared" si="469"/>
        <v/>
      </c>
      <c r="DD284" s="117" t="str">
        <f t="shared" si="469"/>
        <v/>
      </c>
      <c r="DE284" s="31">
        <f>$A$36</f>
        <v>20132</v>
      </c>
      <c r="DF284" s="116"/>
      <c r="DG284" s="117" t="str">
        <f>IFERROR(DG249/DG214,"")</f>
        <v/>
      </c>
      <c r="DH284" s="117" t="str">
        <f t="shared" ref="DH284:DP284" si="470">IFERROR(DH249/DH214,"")</f>
        <v/>
      </c>
      <c r="DI284" s="117" t="str">
        <f t="shared" si="470"/>
        <v/>
      </c>
      <c r="DJ284" s="117" t="str">
        <f t="shared" si="470"/>
        <v/>
      </c>
      <c r="DK284" s="117" t="str">
        <f t="shared" si="470"/>
        <v/>
      </c>
      <c r="DL284" s="117" t="str">
        <f t="shared" si="470"/>
        <v/>
      </c>
      <c r="DM284" s="117" t="str">
        <f t="shared" si="470"/>
        <v/>
      </c>
      <c r="DN284" s="117" t="str">
        <f t="shared" si="470"/>
        <v/>
      </c>
      <c r="DO284" s="117" t="str">
        <f t="shared" si="470"/>
        <v/>
      </c>
      <c r="DP284" s="117" t="str">
        <f t="shared" si="470"/>
        <v/>
      </c>
    </row>
    <row r="285" spans="1:120" ht="15" customHeight="1" x14ac:dyDescent="0.25">
      <c r="A285" s="31">
        <f>$A$37</f>
        <v>20142</v>
      </c>
      <c r="B285" s="116"/>
      <c r="C285" s="117">
        <f t="shared" ref="C285:K285" si="471">IFERROR(C250/C215,"")</f>
        <v>0</v>
      </c>
      <c r="D285" s="117">
        <f t="shared" si="471"/>
        <v>0</v>
      </c>
      <c r="E285" s="117">
        <f t="shared" si="471"/>
        <v>0</v>
      </c>
      <c r="F285" s="117">
        <f t="shared" si="471"/>
        <v>0</v>
      </c>
      <c r="G285" s="117">
        <f t="shared" si="471"/>
        <v>0</v>
      </c>
      <c r="H285" s="117">
        <f t="shared" si="471"/>
        <v>0</v>
      </c>
      <c r="I285" s="117">
        <f t="shared" si="471"/>
        <v>0</v>
      </c>
      <c r="J285" s="117">
        <f t="shared" si="471"/>
        <v>0</v>
      </c>
      <c r="K285" s="117">
        <f t="shared" si="471"/>
        <v>0</v>
      </c>
      <c r="L285" s="134"/>
      <c r="M285" s="31">
        <f>$A$37</f>
        <v>20142</v>
      </c>
      <c r="N285" s="116"/>
      <c r="O285" s="117" t="str">
        <f t="shared" ref="O285:W285" si="472">IFERROR(O250/O215,"")</f>
        <v/>
      </c>
      <c r="P285" s="117" t="str">
        <f t="shared" si="472"/>
        <v/>
      </c>
      <c r="Q285" s="117" t="str">
        <f t="shared" si="472"/>
        <v/>
      </c>
      <c r="R285" s="117" t="str">
        <f t="shared" si="472"/>
        <v/>
      </c>
      <c r="S285" s="117" t="str">
        <f t="shared" si="472"/>
        <v/>
      </c>
      <c r="T285" s="117" t="str">
        <f t="shared" si="472"/>
        <v/>
      </c>
      <c r="U285" s="117" t="str">
        <f t="shared" si="472"/>
        <v/>
      </c>
      <c r="V285" s="117" t="str">
        <f t="shared" si="472"/>
        <v/>
      </c>
      <c r="W285" s="117" t="str">
        <f t="shared" si="472"/>
        <v/>
      </c>
      <c r="X285" s="134"/>
      <c r="Y285" s="31">
        <f>$A$37</f>
        <v>20142</v>
      </c>
      <c r="Z285" s="116"/>
      <c r="AA285" s="117" t="str">
        <f t="shared" ref="AA285:AI285" si="473">IFERROR(AA250/AA215,"")</f>
        <v/>
      </c>
      <c r="AB285" s="117" t="str">
        <f t="shared" si="473"/>
        <v/>
      </c>
      <c r="AC285" s="117" t="str">
        <f t="shared" si="473"/>
        <v/>
      </c>
      <c r="AD285" s="117" t="str">
        <f t="shared" si="473"/>
        <v/>
      </c>
      <c r="AE285" s="117" t="str">
        <f t="shared" si="473"/>
        <v/>
      </c>
      <c r="AF285" s="117" t="str">
        <f t="shared" si="473"/>
        <v/>
      </c>
      <c r="AG285" s="117" t="str">
        <f t="shared" si="473"/>
        <v/>
      </c>
      <c r="AH285" s="117" t="str">
        <f t="shared" si="473"/>
        <v/>
      </c>
      <c r="AI285" s="117" t="str">
        <f t="shared" si="473"/>
        <v/>
      </c>
      <c r="AJ285" s="134"/>
      <c r="AK285" s="31">
        <f>$A$37</f>
        <v>20142</v>
      </c>
      <c r="AL285" s="116"/>
      <c r="AM285" s="117" t="str">
        <f t="shared" ref="AM285:AU285" si="474">IFERROR(AM250/AM215,"")</f>
        <v/>
      </c>
      <c r="AN285" s="117" t="str">
        <f t="shared" si="474"/>
        <v/>
      </c>
      <c r="AO285" s="117" t="str">
        <f t="shared" si="474"/>
        <v/>
      </c>
      <c r="AP285" s="117" t="str">
        <f t="shared" si="474"/>
        <v/>
      </c>
      <c r="AQ285" s="117" t="str">
        <f t="shared" si="474"/>
        <v/>
      </c>
      <c r="AR285" s="117" t="str">
        <f t="shared" si="474"/>
        <v/>
      </c>
      <c r="AS285" s="117" t="str">
        <f t="shared" si="474"/>
        <v/>
      </c>
      <c r="AT285" s="117" t="str">
        <f t="shared" si="474"/>
        <v/>
      </c>
      <c r="AU285" s="117" t="str">
        <f t="shared" si="474"/>
        <v/>
      </c>
      <c r="AV285" s="134"/>
      <c r="AW285" s="31">
        <f>$A$37</f>
        <v>20142</v>
      </c>
      <c r="AX285" s="116"/>
      <c r="AY285" s="117" t="str">
        <f t="shared" ref="AY285:BG285" si="475">IFERROR(AY250/AY215,"")</f>
        <v/>
      </c>
      <c r="AZ285" s="117" t="str">
        <f t="shared" si="475"/>
        <v/>
      </c>
      <c r="BA285" s="117" t="str">
        <f t="shared" si="475"/>
        <v/>
      </c>
      <c r="BB285" s="117" t="str">
        <f t="shared" si="475"/>
        <v/>
      </c>
      <c r="BC285" s="117" t="str">
        <f t="shared" si="475"/>
        <v/>
      </c>
      <c r="BD285" s="117" t="str">
        <f t="shared" si="475"/>
        <v/>
      </c>
      <c r="BE285" s="117" t="str">
        <f t="shared" si="475"/>
        <v/>
      </c>
      <c r="BF285" s="117" t="str">
        <f t="shared" si="475"/>
        <v/>
      </c>
      <c r="BG285" s="117" t="str">
        <f t="shared" si="475"/>
        <v/>
      </c>
      <c r="BH285" s="134"/>
      <c r="BI285" s="31">
        <f>$A$37</f>
        <v>20142</v>
      </c>
      <c r="BJ285" s="116"/>
      <c r="BK285" s="117" t="str">
        <f t="shared" ref="BK285:BS285" si="476">IFERROR(BK250/BK215,"")</f>
        <v/>
      </c>
      <c r="BL285" s="117" t="str">
        <f t="shared" si="476"/>
        <v/>
      </c>
      <c r="BM285" s="117" t="str">
        <f t="shared" si="476"/>
        <v/>
      </c>
      <c r="BN285" s="117" t="str">
        <f t="shared" si="476"/>
        <v/>
      </c>
      <c r="BO285" s="117" t="str">
        <f t="shared" si="476"/>
        <v/>
      </c>
      <c r="BP285" s="117" t="str">
        <f t="shared" si="476"/>
        <v/>
      </c>
      <c r="BQ285" s="117" t="str">
        <f t="shared" si="476"/>
        <v/>
      </c>
      <c r="BR285" s="117" t="str">
        <f t="shared" si="476"/>
        <v/>
      </c>
      <c r="BS285" s="117" t="str">
        <f t="shared" si="476"/>
        <v/>
      </c>
      <c r="BT285" s="134"/>
      <c r="BU285" s="31">
        <f>$A$37</f>
        <v>20142</v>
      </c>
      <c r="BV285" s="116"/>
      <c r="BW285" s="117" t="str">
        <f t="shared" ref="BW285:CE285" si="477">IFERROR(BW250/BW215,"")</f>
        <v/>
      </c>
      <c r="BX285" s="117" t="str">
        <f t="shared" si="477"/>
        <v/>
      </c>
      <c r="BY285" s="117" t="str">
        <f t="shared" si="477"/>
        <v/>
      </c>
      <c r="BZ285" s="117" t="str">
        <f t="shared" si="477"/>
        <v/>
      </c>
      <c r="CA285" s="117" t="str">
        <f t="shared" si="477"/>
        <v/>
      </c>
      <c r="CB285" s="117" t="str">
        <f t="shared" si="477"/>
        <v/>
      </c>
      <c r="CC285" s="117" t="str">
        <f t="shared" si="477"/>
        <v/>
      </c>
      <c r="CD285" s="117" t="str">
        <f t="shared" si="477"/>
        <v/>
      </c>
      <c r="CE285" s="117" t="str">
        <f t="shared" si="477"/>
        <v/>
      </c>
      <c r="CF285" s="134"/>
      <c r="CG285" s="31">
        <f>$A$37</f>
        <v>20142</v>
      </c>
      <c r="CH285" s="116"/>
      <c r="CI285" s="117" t="str">
        <f t="shared" ref="CI285:CQ285" si="478">IFERROR(CI250/CI215,"")</f>
        <v/>
      </c>
      <c r="CJ285" s="117" t="str">
        <f t="shared" si="478"/>
        <v/>
      </c>
      <c r="CK285" s="117" t="str">
        <f t="shared" si="478"/>
        <v/>
      </c>
      <c r="CL285" s="117" t="str">
        <f t="shared" si="478"/>
        <v/>
      </c>
      <c r="CM285" s="117" t="str">
        <f t="shared" si="478"/>
        <v/>
      </c>
      <c r="CN285" s="117" t="str">
        <f t="shared" si="478"/>
        <v/>
      </c>
      <c r="CO285" s="117" t="str">
        <f t="shared" si="478"/>
        <v/>
      </c>
      <c r="CP285" s="117" t="str">
        <f t="shared" si="478"/>
        <v/>
      </c>
      <c r="CQ285" s="117" t="str">
        <f t="shared" si="478"/>
        <v/>
      </c>
      <c r="CR285" s="134"/>
      <c r="CS285" s="31">
        <f>$A$37</f>
        <v>20142</v>
      </c>
      <c r="CT285" s="116"/>
      <c r="CU285" s="117" t="str">
        <f t="shared" ref="CU285:DC285" si="479">IFERROR(CU250/CU215,"")</f>
        <v/>
      </c>
      <c r="CV285" s="117" t="str">
        <f t="shared" si="479"/>
        <v/>
      </c>
      <c r="CW285" s="117" t="str">
        <f t="shared" si="479"/>
        <v/>
      </c>
      <c r="CX285" s="117" t="str">
        <f t="shared" si="479"/>
        <v/>
      </c>
      <c r="CY285" s="117" t="str">
        <f t="shared" si="479"/>
        <v/>
      </c>
      <c r="CZ285" s="117" t="str">
        <f t="shared" si="479"/>
        <v/>
      </c>
      <c r="DA285" s="117" t="str">
        <f t="shared" si="479"/>
        <v/>
      </c>
      <c r="DB285" s="117" t="str">
        <f t="shared" si="479"/>
        <v/>
      </c>
      <c r="DC285" s="117" t="str">
        <f t="shared" si="479"/>
        <v/>
      </c>
      <c r="DD285" s="134"/>
      <c r="DE285" s="31">
        <f>$A$37</f>
        <v>20142</v>
      </c>
      <c r="DF285" s="116"/>
      <c r="DG285" s="117" t="str">
        <f t="shared" ref="DG285:DO285" si="480">IFERROR(DG250/DG215,"")</f>
        <v/>
      </c>
      <c r="DH285" s="117" t="str">
        <f t="shared" si="480"/>
        <v/>
      </c>
      <c r="DI285" s="117" t="str">
        <f t="shared" si="480"/>
        <v/>
      </c>
      <c r="DJ285" s="117" t="str">
        <f t="shared" si="480"/>
        <v/>
      </c>
      <c r="DK285" s="117" t="str">
        <f t="shared" si="480"/>
        <v/>
      </c>
      <c r="DL285" s="117" t="str">
        <f t="shared" si="480"/>
        <v/>
      </c>
      <c r="DM285" s="117" t="str">
        <f t="shared" si="480"/>
        <v/>
      </c>
      <c r="DN285" s="117" t="str">
        <f t="shared" si="480"/>
        <v/>
      </c>
      <c r="DO285" s="117" t="str">
        <f t="shared" si="480"/>
        <v/>
      </c>
      <c r="DP285" s="134"/>
    </row>
    <row r="286" spans="1:120" ht="15" customHeight="1" x14ac:dyDescent="0.25">
      <c r="A286" s="31">
        <f>$A$38</f>
        <v>20152</v>
      </c>
      <c r="B286" s="116"/>
      <c r="C286" s="117">
        <f t="shared" ref="C286:J286" si="481">IFERROR(C251/C216,"")</f>
        <v>0</v>
      </c>
      <c r="D286" s="117">
        <f t="shared" si="481"/>
        <v>0</v>
      </c>
      <c r="E286" s="117">
        <f t="shared" si="481"/>
        <v>0</v>
      </c>
      <c r="F286" s="117">
        <f t="shared" si="481"/>
        <v>0</v>
      </c>
      <c r="G286" s="117">
        <f t="shared" si="481"/>
        <v>0</v>
      </c>
      <c r="H286" s="117">
        <f t="shared" si="481"/>
        <v>0</v>
      </c>
      <c r="I286" s="117">
        <f t="shared" si="481"/>
        <v>0</v>
      </c>
      <c r="J286" s="117">
        <f t="shared" si="481"/>
        <v>0</v>
      </c>
      <c r="K286" s="134"/>
      <c r="L286" s="134"/>
      <c r="M286" s="31">
        <f>$A$38</f>
        <v>20152</v>
      </c>
      <c r="N286" s="116"/>
      <c r="O286" s="117" t="str">
        <f t="shared" ref="O286:V286" si="482">IFERROR(O251/O216,"")</f>
        <v/>
      </c>
      <c r="P286" s="117" t="str">
        <f t="shared" si="482"/>
        <v/>
      </c>
      <c r="Q286" s="117" t="str">
        <f t="shared" si="482"/>
        <v/>
      </c>
      <c r="R286" s="117" t="str">
        <f t="shared" si="482"/>
        <v/>
      </c>
      <c r="S286" s="117" t="str">
        <f t="shared" si="482"/>
        <v/>
      </c>
      <c r="T286" s="117" t="str">
        <f t="shared" si="482"/>
        <v/>
      </c>
      <c r="U286" s="117" t="str">
        <f t="shared" si="482"/>
        <v/>
      </c>
      <c r="V286" s="117" t="str">
        <f t="shared" si="482"/>
        <v/>
      </c>
      <c r="W286" s="134"/>
      <c r="X286" s="134"/>
      <c r="Y286" s="31">
        <f>$A$38</f>
        <v>20152</v>
      </c>
      <c r="Z286" s="116"/>
      <c r="AA286" s="117" t="str">
        <f t="shared" ref="AA286:AH286" si="483">IFERROR(AA251/AA216,"")</f>
        <v/>
      </c>
      <c r="AB286" s="117" t="str">
        <f t="shared" si="483"/>
        <v/>
      </c>
      <c r="AC286" s="117" t="str">
        <f t="shared" si="483"/>
        <v/>
      </c>
      <c r="AD286" s="117" t="str">
        <f t="shared" si="483"/>
        <v/>
      </c>
      <c r="AE286" s="117" t="str">
        <f t="shared" si="483"/>
        <v/>
      </c>
      <c r="AF286" s="117" t="str">
        <f t="shared" si="483"/>
        <v/>
      </c>
      <c r="AG286" s="117" t="str">
        <f t="shared" si="483"/>
        <v/>
      </c>
      <c r="AH286" s="117" t="str">
        <f t="shared" si="483"/>
        <v/>
      </c>
      <c r="AI286" s="134"/>
      <c r="AJ286" s="134"/>
      <c r="AK286" s="31">
        <f>$A$38</f>
        <v>20152</v>
      </c>
      <c r="AL286" s="116"/>
      <c r="AM286" s="117" t="str">
        <f t="shared" ref="AM286:AT286" si="484">IFERROR(AM251/AM216,"")</f>
        <v/>
      </c>
      <c r="AN286" s="117" t="str">
        <f t="shared" si="484"/>
        <v/>
      </c>
      <c r="AO286" s="117" t="str">
        <f t="shared" si="484"/>
        <v/>
      </c>
      <c r="AP286" s="117" t="str">
        <f t="shared" si="484"/>
        <v/>
      </c>
      <c r="AQ286" s="117" t="str">
        <f t="shared" si="484"/>
        <v/>
      </c>
      <c r="AR286" s="117" t="str">
        <f t="shared" si="484"/>
        <v/>
      </c>
      <c r="AS286" s="117" t="str">
        <f t="shared" si="484"/>
        <v/>
      </c>
      <c r="AT286" s="117" t="str">
        <f t="shared" si="484"/>
        <v/>
      </c>
      <c r="AU286" s="134"/>
      <c r="AV286" s="134"/>
      <c r="AW286" s="31">
        <f>$A$38</f>
        <v>20152</v>
      </c>
      <c r="AX286" s="116"/>
      <c r="AY286" s="117" t="str">
        <f t="shared" ref="AY286:BF286" si="485">IFERROR(AY251/AY216,"")</f>
        <v/>
      </c>
      <c r="AZ286" s="117" t="str">
        <f t="shared" si="485"/>
        <v/>
      </c>
      <c r="BA286" s="117" t="str">
        <f t="shared" si="485"/>
        <v/>
      </c>
      <c r="BB286" s="117" t="str">
        <f t="shared" si="485"/>
        <v/>
      </c>
      <c r="BC286" s="117" t="str">
        <f t="shared" si="485"/>
        <v/>
      </c>
      <c r="BD286" s="117" t="str">
        <f t="shared" si="485"/>
        <v/>
      </c>
      <c r="BE286" s="117" t="str">
        <f t="shared" si="485"/>
        <v/>
      </c>
      <c r="BF286" s="117" t="str">
        <f t="shared" si="485"/>
        <v/>
      </c>
      <c r="BG286" s="134"/>
      <c r="BH286" s="134"/>
      <c r="BI286" s="31">
        <f>$A$38</f>
        <v>20152</v>
      </c>
      <c r="BJ286" s="116"/>
      <c r="BK286" s="117" t="str">
        <f t="shared" ref="BK286:BR286" si="486">IFERROR(BK251/BK216,"")</f>
        <v/>
      </c>
      <c r="BL286" s="117" t="str">
        <f t="shared" si="486"/>
        <v/>
      </c>
      <c r="BM286" s="117" t="str">
        <f t="shared" si="486"/>
        <v/>
      </c>
      <c r="BN286" s="117" t="str">
        <f t="shared" si="486"/>
        <v/>
      </c>
      <c r="BO286" s="117" t="str">
        <f t="shared" si="486"/>
        <v/>
      </c>
      <c r="BP286" s="117" t="str">
        <f t="shared" si="486"/>
        <v/>
      </c>
      <c r="BQ286" s="117" t="str">
        <f t="shared" si="486"/>
        <v/>
      </c>
      <c r="BR286" s="117" t="str">
        <f t="shared" si="486"/>
        <v/>
      </c>
      <c r="BS286" s="134"/>
      <c r="BT286" s="134"/>
      <c r="BU286" s="31">
        <f>$A$38</f>
        <v>20152</v>
      </c>
      <c r="BV286" s="116"/>
      <c r="BW286" s="117" t="str">
        <f t="shared" ref="BW286:CD286" si="487">IFERROR(BW251/BW216,"")</f>
        <v/>
      </c>
      <c r="BX286" s="117" t="str">
        <f t="shared" si="487"/>
        <v/>
      </c>
      <c r="BY286" s="117" t="str">
        <f t="shared" si="487"/>
        <v/>
      </c>
      <c r="BZ286" s="117" t="str">
        <f t="shared" si="487"/>
        <v/>
      </c>
      <c r="CA286" s="117" t="str">
        <f t="shared" si="487"/>
        <v/>
      </c>
      <c r="CB286" s="117" t="str">
        <f t="shared" si="487"/>
        <v/>
      </c>
      <c r="CC286" s="117" t="str">
        <f t="shared" si="487"/>
        <v/>
      </c>
      <c r="CD286" s="117" t="str">
        <f t="shared" si="487"/>
        <v/>
      </c>
      <c r="CE286" s="134"/>
      <c r="CF286" s="134"/>
      <c r="CG286" s="31">
        <f>$A$38</f>
        <v>20152</v>
      </c>
      <c r="CH286" s="116"/>
      <c r="CI286" s="117" t="str">
        <f t="shared" ref="CI286:CP286" si="488">IFERROR(CI251/CI216,"")</f>
        <v/>
      </c>
      <c r="CJ286" s="117" t="str">
        <f t="shared" si="488"/>
        <v/>
      </c>
      <c r="CK286" s="117" t="str">
        <f t="shared" si="488"/>
        <v/>
      </c>
      <c r="CL286" s="117" t="str">
        <f t="shared" si="488"/>
        <v/>
      </c>
      <c r="CM286" s="117" t="str">
        <f t="shared" si="488"/>
        <v/>
      </c>
      <c r="CN286" s="117" t="str">
        <f t="shared" si="488"/>
        <v/>
      </c>
      <c r="CO286" s="117" t="str">
        <f t="shared" si="488"/>
        <v/>
      </c>
      <c r="CP286" s="117" t="str">
        <f t="shared" si="488"/>
        <v/>
      </c>
      <c r="CQ286" s="134"/>
      <c r="CR286" s="134"/>
      <c r="CS286" s="31">
        <f>$A$38</f>
        <v>20152</v>
      </c>
      <c r="CT286" s="116"/>
      <c r="CU286" s="117" t="str">
        <f t="shared" ref="CU286:DB286" si="489">IFERROR(CU251/CU216,"")</f>
        <v/>
      </c>
      <c r="CV286" s="117" t="str">
        <f t="shared" si="489"/>
        <v/>
      </c>
      <c r="CW286" s="117" t="str">
        <f t="shared" si="489"/>
        <v/>
      </c>
      <c r="CX286" s="117" t="str">
        <f t="shared" si="489"/>
        <v/>
      </c>
      <c r="CY286" s="117" t="str">
        <f t="shared" si="489"/>
        <v/>
      </c>
      <c r="CZ286" s="117" t="str">
        <f t="shared" si="489"/>
        <v/>
      </c>
      <c r="DA286" s="117" t="str">
        <f t="shared" si="489"/>
        <v/>
      </c>
      <c r="DB286" s="117" t="str">
        <f t="shared" si="489"/>
        <v/>
      </c>
      <c r="DC286" s="134"/>
      <c r="DD286" s="134"/>
      <c r="DE286" s="31">
        <f>$A$38</f>
        <v>20152</v>
      </c>
      <c r="DF286" s="116"/>
      <c r="DG286" s="117" t="str">
        <f t="shared" ref="DG286:DN286" si="490">IFERROR(DG251/DG216,"")</f>
        <v/>
      </c>
      <c r="DH286" s="117" t="str">
        <f t="shared" si="490"/>
        <v/>
      </c>
      <c r="DI286" s="117" t="str">
        <f t="shared" si="490"/>
        <v/>
      </c>
      <c r="DJ286" s="117" t="str">
        <f t="shared" si="490"/>
        <v/>
      </c>
      <c r="DK286" s="117" t="str">
        <f t="shared" si="490"/>
        <v/>
      </c>
      <c r="DL286" s="117" t="str">
        <f t="shared" si="490"/>
        <v/>
      </c>
      <c r="DM286" s="117" t="str">
        <f t="shared" si="490"/>
        <v/>
      </c>
      <c r="DN286" s="117" t="str">
        <f t="shared" si="490"/>
        <v/>
      </c>
      <c r="DO286" s="134"/>
      <c r="DP286" s="134"/>
    </row>
    <row r="287" spans="1:120" ht="15" customHeight="1" x14ac:dyDescent="0.25">
      <c r="A287" s="31">
        <f>$A$39</f>
        <v>20162</v>
      </c>
      <c r="B287" s="116"/>
      <c r="C287" s="117">
        <f t="shared" ref="C287:I287" si="491">IFERROR(C252/C217,"")</f>
        <v>0</v>
      </c>
      <c r="D287" s="117">
        <f t="shared" si="491"/>
        <v>0</v>
      </c>
      <c r="E287" s="117">
        <f t="shared" si="491"/>
        <v>0</v>
      </c>
      <c r="F287" s="117">
        <f t="shared" si="491"/>
        <v>0</v>
      </c>
      <c r="G287" s="117">
        <f t="shared" si="491"/>
        <v>0</v>
      </c>
      <c r="H287" s="117">
        <f t="shared" si="491"/>
        <v>0</v>
      </c>
      <c r="I287" s="117">
        <f t="shared" si="491"/>
        <v>0</v>
      </c>
      <c r="J287" s="134"/>
      <c r="K287" s="134"/>
      <c r="L287" s="134"/>
      <c r="M287" s="31">
        <f>$A$39</f>
        <v>20162</v>
      </c>
      <c r="N287" s="116"/>
      <c r="O287" s="117" t="str">
        <f t="shared" ref="O287:U287" si="492">IFERROR(O252/O217,"")</f>
        <v/>
      </c>
      <c r="P287" s="117" t="str">
        <f t="shared" si="492"/>
        <v/>
      </c>
      <c r="Q287" s="117" t="str">
        <f t="shared" si="492"/>
        <v/>
      </c>
      <c r="R287" s="117" t="str">
        <f t="shared" si="492"/>
        <v/>
      </c>
      <c r="S287" s="117" t="str">
        <f t="shared" si="492"/>
        <v/>
      </c>
      <c r="T287" s="117" t="str">
        <f t="shared" si="492"/>
        <v/>
      </c>
      <c r="U287" s="117" t="str">
        <f t="shared" si="492"/>
        <v/>
      </c>
      <c r="V287" s="134"/>
      <c r="W287" s="134"/>
      <c r="X287" s="134"/>
      <c r="Y287" s="31">
        <f>$A$39</f>
        <v>20162</v>
      </c>
      <c r="Z287" s="116"/>
      <c r="AA287" s="117" t="str">
        <f t="shared" ref="AA287:AG287" si="493">IFERROR(AA252/AA217,"")</f>
        <v/>
      </c>
      <c r="AB287" s="117" t="str">
        <f t="shared" si="493"/>
        <v/>
      </c>
      <c r="AC287" s="117" t="str">
        <f t="shared" si="493"/>
        <v/>
      </c>
      <c r="AD287" s="117" t="str">
        <f t="shared" si="493"/>
        <v/>
      </c>
      <c r="AE287" s="117" t="str">
        <f t="shared" si="493"/>
        <v/>
      </c>
      <c r="AF287" s="117" t="str">
        <f t="shared" si="493"/>
        <v/>
      </c>
      <c r="AG287" s="117" t="str">
        <f t="shared" si="493"/>
        <v/>
      </c>
      <c r="AH287" s="134"/>
      <c r="AI287" s="134"/>
      <c r="AJ287" s="134"/>
      <c r="AK287" s="31">
        <f>$A$39</f>
        <v>20162</v>
      </c>
      <c r="AL287" s="116"/>
      <c r="AM287" s="117" t="str">
        <f t="shared" ref="AM287:AS287" si="494">IFERROR(AM252/AM217,"")</f>
        <v/>
      </c>
      <c r="AN287" s="117" t="str">
        <f t="shared" si="494"/>
        <v/>
      </c>
      <c r="AO287" s="117" t="str">
        <f t="shared" si="494"/>
        <v/>
      </c>
      <c r="AP287" s="117" t="str">
        <f t="shared" si="494"/>
        <v/>
      </c>
      <c r="AQ287" s="117" t="str">
        <f t="shared" si="494"/>
        <v/>
      </c>
      <c r="AR287" s="117" t="str">
        <f t="shared" si="494"/>
        <v/>
      </c>
      <c r="AS287" s="117" t="str">
        <f t="shared" si="494"/>
        <v/>
      </c>
      <c r="AT287" s="134"/>
      <c r="AU287" s="134"/>
      <c r="AV287" s="134"/>
      <c r="AW287" s="31">
        <f>$A$39</f>
        <v>20162</v>
      </c>
      <c r="AX287" s="116"/>
      <c r="AY287" s="117" t="str">
        <f t="shared" ref="AY287:BE287" si="495">IFERROR(AY252/AY217,"")</f>
        <v/>
      </c>
      <c r="AZ287" s="117" t="str">
        <f t="shared" si="495"/>
        <v/>
      </c>
      <c r="BA287" s="117" t="str">
        <f t="shared" si="495"/>
        <v/>
      </c>
      <c r="BB287" s="117" t="str">
        <f t="shared" si="495"/>
        <v/>
      </c>
      <c r="BC287" s="117" t="str">
        <f t="shared" si="495"/>
        <v/>
      </c>
      <c r="BD287" s="117" t="str">
        <f t="shared" si="495"/>
        <v/>
      </c>
      <c r="BE287" s="117" t="str">
        <f t="shared" si="495"/>
        <v/>
      </c>
      <c r="BF287" s="134"/>
      <c r="BG287" s="134"/>
      <c r="BH287" s="134"/>
      <c r="BI287" s="31">
        <f>$A$39</f>
        <v>20162</v>
      </c>
      <c r="BJ287" s="116"/>
      <c r="BK287" s="117" t="str">
        <f t="shared" ref="BK287:BQ287" si="496">IFERROR(BK252/BK217,"")</f>
        <v/>
      </c>
      <c r="BL287" s="117" t="str">
        <f t="shared" si="496"/>
        <v/>
      </c>
      <c r="BM287" s="117" t="str">
        <f t="shared" si="496"/>
        <v/>
      </c>
      <c r="BN287" s="117" t="str">
        <f t="shared" si="496"/>
        <v/>
      </c>
      <c r="BO287" s="117" t="str">
        <f t="shared" si="496"/>
        <v/>
      </c>
      <c r="BP287" s="117" t="str">
        <f t="shared" si="496"/>
        <v/>
      </c>
      <c r="BQ287" s="117" t="str">
        <f t="shared" si="496"/>
        <v/>
      </c>
      <c r="BR287" s="134"/>
      <c r="BS287" s="134"/>
      <c r="BT287" s="134"/>
      <c r="BU287" s="31">
        <f>$A$39</f>
        <v>20162</v>
      </c>
      <c r="BV287" s="116"/>
      <c r="BW287" s="117" t="str">
        <f t="shared" ref="BW287:CC287" si="497">IFERROR(BW252/BW217,"")</f>
        <v/>
      </c>
      <c r="BX287" s="117" t="str">
        <f t="shared" si="497"/>
        <v/>
      </c>
      <c r="BY287" s="117" t="str">
        <f t="shared" si="497"/>
        <v/>
      </c>
      <c r="BZ287" s="117" t="str">
        <f t="shared" si="497"/>
        <v/>
      </c>
      <c r="CA287" s="117" t="str">
        <f t="shared" si="497"/>
        <v/>
      </c>
      <c r="CB287" s="117" t="str">
        <f t="shared" si="497"/>
        <v/>
      </c>
      <c r="CC287" s="117" t="str">
        <f t="shared" si="497"/>
        <v/>
      </c>
      <c r="CD287" s="134"/>
      <c r="CE287" s="134"/>
      <c r="CF287" s="134"/>
      <c r="CG287" s="31">
        <f>$A$39</f>
        <v>20162</v>
      </c>
      <c r="CH287" s="116"/>
      <c r="CI287" s="117" t="str">
        <f t="shared" ref="CI287:CO287" si="498">IFERROR(CI252/CI217,"")</f>
        <v/>
      </c>
      <c r="CJ287" s="117" t="str">
        <f t="shared" si="498"/>
        <v/>
      </c>
      <c r="CK287" s="117" t="str">
        <f t="shared" si="498"/>
        <v/>
      </c>
      <c r="CL287" s="117" t="str">
        <f t="shared" si="498"/>
        <v/>
      </c>
      <c r="CM287" s="117" t="str">
        <f t="shared" si="498"/>
        <v/>
      </c>
      <c r="CN287" s="117" t="str">
        <f t="shared" si="498"/>
        <v/>
      </c>
      <c r="CO287" s="117" t="str">
        <f t="shared" si="498"/>
        <v/>
      </c>
      <c r="CP287" s="134"/>
      <c r="CQ287" s="134"/>
      <c r="CR287" s="134"/>
      <c r="CS287" s="31">
        <f>$A$39</f>
        <v>20162</v>
      </c>
      <c r="CT287" s="116"/>
      <c r="CU287" s="117" t="str">
        <f t="shared" ref="CU287:DA287" si="499">IFERROR(CU252/CU217,"")</f>
        <v/>
      </c>
      <c r="CV287" s="117" t="str">
        <f t="shared" si="499"/>
        <v/>
      </c>
      <c r="CW287" s="117" t="str">
        <f t="shared" si="499"/>
        <v/>
      </c>
      <c r="CX287" s="117" t="str">
        <f t="shared" si="499"/>
        <v/>
      </c>
      <c r="CY287" s="117" t="str">
        <f t="shared" si="499"/>
        <v/>
      </c>
      <c r="CZ287" s="117" t="str">
        <f t="shared" si="499"/>
        <v/>
      </c>
      <c r="DA287" s="117" t="str">
        <f t="shared" si="499"/>
        <v/>
      </c>
      <c r="DB287" s="134"/>
      <c r="DC287" s="134"/>
      <c r="DD287" s="134"/>
      <c r="DE287" s="31">
        <f>$A$39</f>
        <v>20162</v>
      </c>
      <c r="DF287" s="116"/>
      <c r="DG287" s="117" t="str">
        <f t="shared" ref="DG287:DM287" si="500">IFERROR(DG252/DG217,"")</f>
        <v/>
      </c>
      <c r="DH287" s="117" t="str">
        <f t="shared" si="500"/>
        <v/>
      </c>
      <c r="DI287" s="117" t="str">
        <f t="shared" si="500"/>
        <v/>
      </c>
      <c r="DJ287" s="117" t="str">
        <f t="shared" si="500"/>
        <v/>
      </c>
      <c r="DK287" s="117" t="str">
        <f t="shared" si="500"/>
        <v/>
      </c>
      <c r="DL287" s="117" t="str">
        <f t="shared" si="500"/>
        <v/>
      </c>
      <c r="DM287" s="117" t="str">
        <f t="shared" si="500"/>
        <v/>
      </c>
      <c r="DN287" s="134"/>
      <c r="DO287" s="134"/>
      <c r="DP287" s="134"/>
    </row>
    <row r="288" spans="1:120" ht="15" customHeight="1" x14ac:dyDescent="0.25">
      <c r="A288" s="31">
        <f>$A$40</f>
        <v>20172</v>
      </c>
      <c r="B288" s="116"/>
      <c r="C288" s="117">
        <f t="shared" ref="C288:H288" si="501">IFERROR(C253/C218,"")</f>
        <v>0</v>
      </c>
      <c r="D288" s="117">
        <f t="shared" si="501"/>
        <v>0</v>
      </c>
      <c r="E288" s="117">
        <f t="shared" si="501"/>
        <v>0</v>
      </c>
      <c r="F288" s="117">
        <f t="shared" si="501"/>
        <v>0</v>
      </c>
      <c r="G288" s="117">
        <f t="shared" si="501"/>
        <v>0</v>
      </c>
      <c r="H288" s="117">
        <f t="shared" si="501"/>
        <v>0</v>
      </c>
      <c r="I288" s="134"/>
      <c r="J288" s="134"/>
      <c r="K288" s="134"/>
      <c r="L288" s="134"/>
      <c r="M288" s="31">
        <f>$A$40</f>
        <v>20172</v>
      </c>
      <c r="N288" s="116"/>
      <c r="O288" s="117" t="str">
        <f t="shared" ref="O288:T288" si="502">IFERROR(O253/O218,"")</f>
        <v/>
      </c>
      <c r="P288" s="117" t="str">
        <f t="shared" si="502"/>
        <v/>
      </c>
      <c r="Q288" s="117" t="str">
        <f t="shared" si="502"/>
        <v/>
      </c>
      <c r="R288" s="117" t="str">
        <f t="shared" si="502"/>
        <v/>
      </c>
      <c r="S288" s="117" t="str">
        <f t="shared" si="502"/>
        <v/>
      </c>
      <c r="T288" s="117" t="str">
        <f t="shared" si="502"/>
        <v/>
      </c>
      <c r="U288" s="134"/>
      <c r="V288" s="134"/>
      <c r="W288" s="134"/>
      <c r="X288" s="134"/>
      <c r="Y288" s="31">
        <f>$A$40</f>
        <v>20172</v>
      </c>
      <c r="Z288" s="116"/>
      <c r="AA288" s="117" t="str">
        <f t="shared" ref="AA288:AF288" si="503">IFERROR(AA253/AA218,"")</f>
        <v/>
      </c>
      <c r="AB288" s="117" t="str">
        <f t="shared" si="503"/>
        <v/>
      </c>
      <c r="AC288" s="117" t="str">
        <f t="shared" si="503"/>
        <v/>
      </c>
      <c r="AD288" s="117" t="str">
        <f t="shared" si="503"/>
        <v/>
      </c>
      <c r="AE288" s="117" t="str">
        <f t="shared" si="503"/>
        <v/>
      </c>
      <c r="AF288" s="117" t="str">
        <f t="shared" si="503"/>
        <v/>
      </c>
      <c r="AG288" s="134"/>
      <c r="AH288" s="134"/>
      <c r="AI288" s="134"/>
      <c r="AJ288" s="134"/>
      <c r="AK288" s="31">
        <f>$A$40</f>
        <v>20172</v>
      </c>
      <c r="AL288" s="116"/>
      <c r="AM288" s="117" t="str">
        <f t="shared" ref="AM288:AR288" si="504">IFERROR(AM253/AM218,"")</f>
        <v/>
      </c>
      <c r="AN288" s="117" t="str">
        <f t="shared" si="504"/>
        <v/>
      </c>
      <c r="AO288" s="117" t="str">
        <f t="shared" si="504"/>
        <v/>
      </c>
      <c r="AP288" s="117" t="str">
        <f t="shared" si="504"/>
        <v/>
      </c>
      <c r="AQ288" s="117" t="str">
        <f t="shared" si="504"/>
        <v/>
      </c>
      <c r="AR288" s="117" t="str">
        <f t="shared" si="504"/>
        <v/>
      </c>
      <c r="AS288" s="134"/>
      <c r="AT288" s="134"/>
      <c r="AU288" s="134"/>
      <c r="AV288" s="134"/>
      <c r="AW288" s="31">
        <f>$A$40</f>
        <v>20172</v>
      </c>
      <c r="AX288" s="116"/>
      <c r="AY288" s="117" t="str">
        <f t="shared" ref="AY288:BD288" si="505">IFERROR(AY253/AY218,"")</f>
        <v/>
      </c>
      <c r="AZ288" s="117" t="str">
        <f t="shared" si="505"/>
        <v/>
      </c>
      <c r="BA288" s="117" t="str">
        <f t="shared" si="505"/>
        <v/>
      </c>
      <c r="BB288" s="117" t="str">
        <f t="shared" si="505"/>
        <v/>
      </c>
      <c r="BC288" s="117" t="str">
        <f t="shared" si="505"/>
        <v/>
      </c>
      <c r="BD288" s="117" t="str">
        <f t="shared" si="505"/>
        <v/>
      </c>
      <c r="BE288" s="134"/>
      <c r="BF288" s="134"/>
      <c r="BG288" s="134"/>
      <c r="BH288" s="134"/>
      <c r="BI288" s="31">
        <f>$A$40</f>
        <v>20172</v>
      </c>
      <c r="BJ288" s="116"/>
      <c r="BK288" s="117" t="str">
        <f t="shared" ref="BK288:BP288" si="506">IFERROR(BK253/BK218,"")</f>
        <v/>
      </c>
      <c r="BL288" s="117" t="str">
        <f t="shared" si="506"/>
        <v/>
      </c>
      <c r="BM288" s="117" t="str">
        <f t="shared" si="506"/>
        <v/>
      </c>
      <c r="BN288" s="117" t="str">
        <f t="shared" si="506"/>
        <v/>
      </c>
      <c r="BO288" s="117" t="str">
        <f t="shared" si="506"/>
        <v/>
      </c>
      <c r="BP288" s="117" t="str">
        <f t="shared" si="506"/>
        <v/>
      </c>
      <c r="BQ288" s="134"/>
      <c r="BR288" s="134"/>
      <c r="BS288" s="134"/>
      <c r="BT288" s="134"/>
      <c r="BU288" s="31">
        <f>$A$40</f>
        <v>20172</v>
      </c>
      <c r="BV288" s="116"/>
      <c r="BW288" s="117" t="str">
        <f t="shared" ref="BW288:CB288" si="507">IFERROR(BW253/BW218,"")</f>
        <v/>
      </c>
      <c r="BX288" s="117" t="str">
        <f t="shared" si="507"/>
        <v/>
      </c>
      <c r="BY288" s="117" t="str">
        <f t="shared" si="507"/>
        <v/>
      </c>
      <c r="BZ288" s="117" t="str">
        <f t="shared" si="507"/>
        <v/>
      </c>
      <c r="CA288" s="117" t="str">
        <f t="shared" si="507"/>
        <v/>
      </c>
      <c r="CB288" s="117" t="str">
        <f t="shared" si="507"/>
        <v/>
      </c>
      <c r="CC288" s="134"/>
      <c r="CD288" s="134"/>
      <c r="CE288" s="134"/>
      <c r="CF288" s="134"/>
      <c r="CG288" s="31">
        <f>$A$40</f>
        <v>20172</v>
      </c>
      <c r="CH288" s="116"/>
      <c r="CI288" s="117" t="str">
        <f t="shared" ref="CI288:CN288" si="508">IFERROR(CI253/CI218,"")</f>
        <v/>
      </c>
      <c r="CJ288" s="117" t="str">
        <f t="shared" si="508"/>
        <v/>
      </c>
      <c r="CK288" s="117" t="str">
        <f t="shared" si="508"/>
        <v/>
      </c>
      <c r="CL288" s="117" t="str">
        <f t="shared" si="508"/>
        <v/>
      </c>
      <c r="CM288" s="117" t="str">
        <f t="shared" si="508"/>
        <v/>
      </c>
      <c r="CN288" s="117" t="str">
        <f t="shared" si="508"/>
        <v/>
      </c>
      <c r="CO288" s="134"/>
      <c r="CP288" s="134"/>
      <c r="CQ288" s="134"/>
      <c r="CR288" s="134"/>
      <c r="CS288" s="31">
        <f>$A$40</f>
        <v>20172</v>
      </c>
      <c r="CT288" s="116"/>
      <c r="CU288" s="117" t="str">
        <f t="shared" ref="CU288:CZ288" si="509">IFERROR(CU253/CU218,"")</f>
        <v/>
      </c>
      <c r="CV288" s="117" t="str">
        <f t="shared" si="509"/>
        <v/>
      </c>
      <c r="CW288" s="117" t="str">
        <f t="shared" si="509"/>
        <v/>
      </c>
      <c r="CX288" s="117" t="str">
        <f t="shared" si="509"/>
        <v/>
      </c>
      <c r="CY288" s="117" t="str">
        <f t="shared" si="509"/>
        <v/>
      </c>
      <c r="CZ288" s="117" t="str">
        <f t="shared" si="509"/>
        <v/>
      </c>
      <c r="DA288" s="134"/>
      <c r="DB288" s="134"/>
      <c r="DC288" s="134"/>
      <c r="DD288" s="134"/>
      <c r="DE288" s="31">
        <f>$A$40</f>
        <v>20172</v>
      </c>
      <c r="DF288" s="116"/>
      <c r="DG288" s="117" t="str">
        <f t="shared" ref="DG288:DL288" si="510">IFERROR(DG253/DG218,"")</f>
        <v/>
      </c>
      <c r="DH288" s="117" t="str">
        <f t="shared" si="510"/>
        <v/>
      </c>
      <c r="DI288" s="117" t="str">
        <f t="shared" si="510"/>
        <v/>
      </c>
      <c r="DJ288" s="117" t="str">
        <f t="shared" si="510"/>
        <v/>
      </c>
      <c r="DK288" s="117" t="str">
        <f t="shared" si="510"/>
        <v/>
      </c>
      <c r="DL288" s="117" t="str">
        <f t="shared" si="510"/>
        <v/>
      </c>
      <c r="DM288" s="134"/>
      <c r="DN288" s="134"/>
      <c r="DO288" s="134"/>
      <c r="DP288" s="134"/>
    </row>
    <row r="289" spans="1:120" ht="15" customHeight="1" x14ac:dyDescent="0.25">
      <c r="A289" s="31">
        <f>$A$41</f>
        <v>20182</v>
      </c>
      <c r="B289" s="116"/>
      <c r="C289" s="117">
        <f t="shared" ref="C289:G289" si="511">IFERROR(C254/C219,"")</f>
        <v>0</v>
      </c>
      <c r="D289" s="117">
        <f t="shared" si="511"/>
        <v>0</v>
      </c>
      <c r="E289" s="117">
        <f t="shared" si="511"/>
        <v>0</v>
      </c>
      <c r="F289" s="117">
        <f t="shared" si="511"/>
        <v>0</v>
      </c>
      <c r="G289" s="117">
        <f t="shared" si="511"/>
        <v>0</v>
      </c>
      <c r="H289" s="134"/>
      <c r="I289" s="134"/>
      <c r="J289" s="134"/>
      <c r="K289" s="134"/>
      <c r="L289" s="134"/>
      <c r="M289" s="31">
        <f>$A$41</f>
        <v>20182</v>
      </c>
      <c r="N289" s="116"/>
      <c r="O289" s="117" t="str">
        <f t="shared" ref="O289:S289" si="512">IFERROR(O254/O219,"")</f>
        <v/>
      </c>
      <c r="P289" s="117" t="str">
        <f t="shared" si="512"/>
        <v/>
      </c>
      <c r="Q289" s="117" t="str">
        <f t="shared" si="512"/>
        <v/>
      </c>
      <c r="R289" s="117" t="str">
        <f t="shared" si="512"/>
        <v/>
      </c>
      <c r="S289" s="117" t="str">
        <f t="shared" si="512"/>
        <v/>
      </c>
      <c r="T289" s="134"/>
      <c r="U289" s="134"/>
      <c r="V289" s="134"/>
      <c r="W289" s="134"/>
      <c r="X289" s="134"/>
      <c r="Y289" s="31">
        <f>$A$41</f>
        <v>20182</v>
      </c>
      <c r="Z289" s="116"/>
      <c r="AA289" s="117" t="str">
        <f t="shared" ref="AA289:AE289" si="513">IFERROR(AA254/AA219,"")</f>
        <v/>
      </c>
      <c r="AB289" s="117" t="str">
        <f t="shared" si="513"/>
        <v/>
      </c>
      <c r="AC289" s="117" t="str">
        <f t="shared" si="513"/>
        <v/>
      </c>
      <c r="AD289" s="117" t="str">
        <f t="shared" si="513"/>
        <v/>
      </c>
      <c r="AE289" s="117" t="str">
        <f t="shared" si="513"/>
        <v/>
      </c>
      <c r="AF289" s="134"/>
      <c r="AG289" s="134"/>
      <c r="AH289" s="134"/>
      <c r="AI289" s="134"/>
      <c r="AJ289" s="134"/>
      <c r="AK289" s="31">
        <f>$A$41</f>
        <v>20182</v>
      </c>
      <c r="AL289" s="116"/>
      <c r="AM289" s="117" t="str">
        <f t="shared" ref="AM289:AQ289" si="514">IFERROR(AM254/AM219,"")</f>
        <v/>
      </c>
      <c r="AN289" s="117" t="str">
        <f t="shared" si="514"/>
        <v/>
      </c>
      <c r="AO289" s="117" t="str">
        <f t="shared" si="514"/>
        <v/>
      </c>
      <c r="AP289" s="117" t="str">
        <f t="shared" si="514"/>
        <v/>
      </c>
      <c r="AQ289" s="117" t="str">
        <f t="shared" si="514"/>
        <v/>
      </c>
      <c r="AR289" s="134"/>
      <c r="AS289" s="134"/>
      <c r="AT289" s="134"/>
      <c r="AU289" s="134"/>
      <c r="AV289" s="134"/>
      <c r="AW289" s="31">
        <f>$A$41</f>
        <v>20182</v>
      </c>
      <c r="AX289" s="116"/>
      <c r="AY289" s="117" t="str">
        <f t="shared" ref="AY289:BC289" si="515">IFERROR(AY254/AY219,"")</f>
        <v/>
      </c>
      <c r="AZ289" s="117" t="str">
        <f t="shared" si="515"/>
        <v/>
      </c>
      <c r="BA289" s="117" t="str">
        <f t="shared" si="515"/>
        <v/>
      </c>
      <c r="BB289" s="117" t="str">
        <f t="shared" si="515"/>
        <v/>
      </c>
      <c r="BC289" s="117" t="str">
        <f t="shared" si="515"/>
        <v/>
      </c>
      <c r="BD289" s="134"/>
      <c r="BE289" s="134"/>
      <c r="BF289" s="134"/>
      <c r="BG289" s="134"/>
      <c r="BH289" s="134"/>
      <c r="BI289" s="31">
        <f>$A$41</f>
        <v>20182</v>
      </c>
      <c r="BJ289" s="116"/>
      <c r="BK289" s="117" t="str">
        <f t="shared" ref="BK289:BO289" si="516">IFERROR(BK254/BK219,"")</f>
        <v/>
      </c>
      <c r="BL289" s="117" t="str">
        <f t="shared" si="516"/>
        <v/>
      </c>
      <c r="BM289" s="117" t="str">
        <f t="shared" si="516"/>
        <v/>
      </c>
      <c r="BN289" s="117" t="str">
        <f t="shared" si="516"/>
        <v/>
      </c>
      <c r="BO289" s="117" t="str">
        <f t="shared" si="516"/>
        <v/>
      </c>
      <c r="BP289" s="134"/>
      <c r="BQ289" s="134"/>
      <c r="BR289" s="134"/>
      <c r="BS289" s="134"/>
      <c r="BT289" s="134"/>
      <c r="BU289" s="31">
        <f>$A$41</f>
        <v>20182</v>
      </c>
      <c r="BV289" s="116"/>
      <c r="BW289" s="117" t="str">
        <f t="shared" ref="BW289:CA289" si="517">IFERROR(BW254/BW219,"")</f>
        <v/>
      </c>
      <c r="BX289" s="117" t="str">
        <f t="shared" si="517"/>
        <v/>
      </c>
      <c r="BY289" s="117" t="str">
        <f t="shared" si="517"/>
        <v/>
      </c>
      <c r="BZ289" s="117" t="str">
        <f t="shared" si="517"/>
        <v/>
      </c>
      <c r="CA289" s="117" t="str">
        <f t="shared" si="517"/>
        <v/>
      </c>
      <c r="CB289" s="134"/>
      <c r="CC289" s="134"/>
      <c r="CD289" s="134"/>
      <c r="CE289" s="134"/>
      <c r="CF289" s="134"/>
      <c r="CG289" s="31">
        <f>$A$41</f>
        <v>20182</v>
      </c>
      <c r="CH289" s="116"/>
      <c r="CI289" s="117" t="str">
        <f t="shared" ref="CI289:CM289" si="518">IFERROR(CI254/CI219,"")</f>
        <v/>
      </c>
      <c r="CJ289" s="117" t="str">
        <f t="shared" si="518"/>
        <v/>
      </c>
      <c r="CK289" s="117" t="str">
        <f t="shared" si="518"/>
        <v/>
      </c>
      <c r="CL289" s="117" t="str">
        <f t="shared" si="518"/>
        <v/>
      </c>
      <c r="CM289" s="117" t="str">
        <f t="shared" si="518"/>
        <v/>
      </c>
      <c r="CN289" s="134"/>
      <c r="CO289" s="134"/>
      <c r="CP289" s="134"/>
      <c r="CQ289" s="134"/>
      <c r="CR289" s="134"/>
      <c r="CS289" s="31">
        <f>$A$41</f>
        <v>20182</v>
      </c>
      <c r="CT289" s="116"/>
      <c r="CU289" s="117" t="str">
        <f t="shared" ref="CU289:CY289" si="519">IFERROR(CU254/CU219,"")</f>
        <v/>
      </c>
      <c r="CV289" s="117" t="str">
        <f t="shared" si="519"/>
        <v/>
      </c>
      <c r="CW289" s="117" t="str">
        <f t="shared" si="519"/>
        <v/>
      </c>
      <c r="CX289" s="117" t="str">
        <f t="shared" si="519"/>
        <v/>
      </c>
      <c r="CY289" s="117" t="str">
        <f t="shared" si="519"/>
        <v/>
      </c>
      <c r="CZ289" s="134"/>
      <c r="DA289" s="134"/>
      <c r="DB289" s="134"/>
      <c r="DC289" s="134"/>
      <c r="DD289" s="134"/>
      <c r="DE289" s="31">
        <f>$A$41</f>
        <v>20182</v>
      </c>
      <c r="DF289" s="116"/>
      <c r="DG289" s="117" t="str">
        <f t="shared" ref="DG289:DK289" si="520">IFERROR(DG254/DG219,"")</f>
        <v/>
      </c>
      <c r="DH289" s="117" t="str">
        <f t="shared" si="520"/>
        <v/>
      </c>
      <c r="DI289" s="117" t="str">
        <f t="shared" si="520"/>
        <v/>
      </c>
      <c r="DJ289" s="117" t="str">
        <f t="shared" si="520"/>
        <v/>
      </c>
      <c r="DK289" s="117" t="str">
        <f t="shared" si="520"/>
        <v/>
      </c>
      <c r="DL289" s="134"/>
      <c r="DM289" s="134"/>
      <c r="DN289" s="134"/>
      <c r="DO289" s="134"/>
      <c r="DP289" s="134"/>
    </row>
    <row r="290" spans="1:120" ht="15" customHeight="1" x14ac:dyDescent="0.25">
      <c r="A290" s="31">
        <f>$A$42</f>
        <v>20192</v>
      </c>
      <c r="B290" s="116"/>
      <c r="C290" s="117">
        <f t="shared" ref="C290:F290" si="521">IFERROR(C255/C220,"")</f>
        <v>0</v>
      </c>
      <c r="D290" s="117">
        <f t="shared" si="521"/>
        <v>0</v>
      </c>
      <c r="E290" s="117">
        <f t="shared" si="521"/>
        <v>0</v>
      </c>
      <c r="F290" s="117">
        <f t="shared" si="521"/>
        <v>0</v>
      </c>
      <c r="G290" s="134"/>
      <c r="H290" s="134"/>
      <c r="I290" s="134"/>
      <c r="J290" s="134"/>
      <c r="K290" s="134"/>
      <c r="L290" s="134"/>
      <c r="M290" s="31">
        <f>$A$42</f>
        <v>20192</v>
      </c>
      <c r="N290" s="116"/>
      <c r="O290" s="117" t="str">
        <f t="shared" ref="O290:R290" si="522">IFERROR(O255/O220,"")</f>
        <v/>
      </c>
      <c r="P290" s="117" t="str">
        <f t="shared" si="522"/>
        <v/>
      </c>
      <c r="Q290" s="117" t="str">
        <f t="shared" si="522"/>
        <v/>
      </c>
      <c r="R290" s="117" t="str">
        <f t="shared" si="522"/>
        <v/>
      </c>
      <c r="S290" s="134"/>
      <c r="T290" s="134"/>
      <c r="U290" s="134"/>
      <c r="V290" s="134"/>
      <c r="W290" s="134"/>
      <c r="X290" s="134"/>
      <c r="Y290" s="31">
        <f>$A$42</f>
        <v>20192</v>
      </c>
      <c r="Z290" s="116"/>
      <c r="AA290" s="117" t="str">
        <f t="shared" ref="AA290:AD290" si="523">IFERROR(AA255/AA220,"")</f>
        <v/>
      </c>
      <c r="AB290" s="117" t="str">
        <f t="shared" si="523"/>
        <v/>
      </c>
      <c r="AC290" s="117" t="str">
        <f t="shared" si="523"/>
        <v/>
      </c>
      <c r="AD290" s="117" t="str">
        <f t="shared" si="523"/>
        <v/>
      </c>
      <c r="AE290" s="134"/>
      <c r="AF290" s="134"/>
      <c r="AG290" s="134"/>
      <c r="AH290" s="134"/>
      <c r="AI290" s="134"/>
      <c r="AJ290" s="134"/>
      <c r="AK290" s="31">
        <f>$A$42</f>
        <v>20192</v>
      </c>
      <c r="AL290" s="116"/>
      <c r="AM290" s="117" t="str">
        <f t="shared" ref="AM290:AP290" si="524">IFERROR(AM255/AM220,"")</f>
        <v/>
      </c>
      <c r="AN290" s="117" t="str">
        <f t="shared" si="524"/>
        <v/>
      </c>
      <c r="AO290" s="117" t="str">
        <f t="shared" si="524"/>
        <v/>
      </c>
      <c r="AP290" s="117" t="str">
        <f t="shared" si="524"/>
        <v/>
      </c>
      <c r="AQ290" s="134"/>
      <c r="AR290" s="134"/>
      <c r="AS290" s="134"/>
      <c r="AT290" s="134"/>
      <c r="AU290" s="134"/>
      <c r="AV290" s="134"/>
      <c r="AW290" s="31">
        <f>$A$42</f>
        <v>20192</v>
      </c>
      <c r="AX290" s="116"/>
      <c r="AY290" s="117" t="str">
        <f t="shared" ref="AY290:BB290" si="525">IFERROR(AY255/AY220,"")</f>
        <v/>
      </c>
      <c r="AZ290" s="117" t="str">
        <f t="shared" si="525"/>
        <v/>
      </c>
      <c r="BA290" s="117" t="str">
        <f t="shared" si="525"/>
        <v/>
      </c>
      <c r="BB290" s="117" t="str">
        <f t="shared" si="525"/>
        <v/>
      </c>
      <c r="BC290" s="134"/>
      <c r="BD290" s="134"/>
      <c r="BE290" s="134"/>
      <c r="BF290" s="134"/>
      <c r="BG290" s="134"/>
      <c r="BH290" s="134"/>
      <c r="BI290" s="31">
        <f>$A$42</f>
        <v>20192</v>
      </c>
      <c r="BJ290" s="116"/>
      <c r="BK290" s="117" t="str">
        <f t="shared" ref="BK290:BN290" si="526">IFERROR(BK255/BK220,"")</f>
        <v/>
      </c>
      <c r="BL290" s="117" t="str">
        <f t="shared" si="526"/>
        <v/>
      </c>
      <c r="BM290" s="117" t="str">
        <f t="shared" si="526"/>
        <v/>
      </c>
      <c r="BN290" s="117" t="str">
        <f t="shared" si="526"/>
        <v/>
      </c>
      <c r="BO290" s="134"/>
      <c r="BP290" s="134"/>
      <c r="BQ290" s="134"/>
      <c r="BR290" s="134"/>
      <c r="BS290" s="134"/>
      <c r="BT290" s="134"/>
      <c r="BU290" s="31">
        <f>$A$42</f>
        <v>20192</v>
      </c>
      <c r="BV290" s="116"/>
      <c r="BW290" s="117" t="str">
        <f t="shared" ref="BW290:BZ290" si="527">IFERROR(BW255/BW220,"")</f>
        <v/>
      </c>
      <c r="BX290" s="117" t="str">
        <f t="shared" si="527"/>
        <v/>
      </c>
      <c r="BY290" s="117" t="str">
        <f t="shared" si="527"/>
        <v/>
      </c>
      <c r="BZ290" s="117" t="str">
        <f t="shared" si="527"/>
        <v/>
      </c>
      <c r="CA290" s="134"/>
      <c r="CB290" s="134"/>
      <c r="CC290" s="134"/>
      <c r="CD290" s="134"/>
      <c r="CE290" s="134"/>
      <c r="CF290" s="134"/>
      <c r="CG290" s="31">
        <f>$A$42</f>
        <v>20192</v>
      </c>
      <c r="CH290" s="116"/>
      <c r="CI290" s="117" t="str">
        <f t="shared" ref="CI290:CL290" si="528">IFERROR(CI255/CI220,"")</f>
        <v/>
      </c>
      <c r="CJ290" s="117" t="str">
        <f t="shared" si="528"/>
        <v/>
      </c>
      <c r="CK290" s="117" t="str">
        <f t="shared" si="528"/>
        <v/>
      </c>
      <c r="CL290" s="117" t="str">
        <f t="shared" si="528"/>
        <v/>
      </c>
      <c r="CM290" s="134"/>
      <c r="CN290" s="134"/>
      <c r="CO290" s="134"/>
      <c r="CP290" s="134"/>
      <c r="CQ290" s="134"/>
      <c r="CR290" s="134"/>
      <c r="CS290" s="31">
        <f>$A$42</f>
        <v>20192</v>
      </c>
      <c r="CT290" s="116"/>
      <c r="CU290" s="117" t="str">
        <f t="shared" ref="CU290:CX290" si="529">IFERROR(CU255/CU220,"")</f>
        <v/>
      </c>
      <c r="CV290" s="117" t="str">
        <f t="shared" si="529"/>
        <v/>
      </c>
      <c r="CW290" s="117" t="str">
        <f t="shared" si="529"/>
        <v/>
      </c>
      <c r="CX290" s="117" t="str">
        <f t="shared" si="529"/>
        <v/>
      </c>
      <c r="CY290" s="134"/>
      <c r="CZ290" s="134"/>
      <c r="DA290" s="134"/>
      <c r="DB290" s="134"/>
      <c r="DC290" s="134"/>
      <c r="DD290" s="134"/>
      <c r="DE290" s="31">
        <f>$A$42</f>
        <v>20192</v>
      </c>
      <c r="DF290" s="116"/>
      <c r="DG290" s="117" t="str">
        <f t="shared" ref="DG290:DJ290" si="530">IFERROR(DG255/DG220,"")</f>
        <v/>
      </c>
      <c r="DH290" s="117" t="str">
        <f t="shared" si="530"/>
        <v/>
      </c>
      <c r="DI290" s="117" t="str">
        <f t="shared" si="530"/>
        <v/>
      </c>
      <c r="DJ290" s="117" t="str">
        <f t="shared" si="530"/>
        <v/>
      </c>
      <c r="DK290" s="134"/>
      <c r="DL290" s="134"/>
      <c r="DM290" s="134"/>
      <c r="DN290" s="134"/>
      <c r="DO290" s="134"/>
      <c r="DP290" s="134"/>
    </row>
    <row r="291" spans="1:120" ht="15" customHeight="1" x14ac:dyDescent="0.25">
      <c r="A291" s="31">
        <f>$A$43</f>
        <v>20202</v>
      </c>
      <c r="B291" s="116"/>
      <c r="C291" s="117">
        <f t="shared" ref="C291:E293" si="531">IFERROR(C256/C221,"")</f>
        <v>0</v>
      </c>
      <c r="D291" s="117">
        <f t="shared" si="531"/>
        <v>0</v>
      </c>
      <c r="E291" s="117">
        <f t="shared" si="531"/>
        <v>0</v>
      </c>
      <c r="F291" s="134"/>
      <c r="G291" s="134"/>
      <c r="H291" s="134"/>
      <c r="I291" s="134"/>
      <c r="J291" s="134"/>
      <c r="K291" s="134"/>
      <c r="L291" s="134"/>
      <c r="M291" s="31">
        <f>$A$43</f>
        <v>20202</v>
      </c>
      <c r="N291" s="116"/>
      <c r="O291" s="117" t="str">
        <f t="shared" ref="O291:Q291" si="532">IFERROR(O256/O221,"")</f>
        <v/>
      </c>
      <c r="P291" s="117" t="str">
        <f t="shared" si="532"/>
        <v/>
      </c>
      <c r="Q291" s="117" t="str">
        <f t="shared" si="532"/>
        <v/>
      </c>
      <c r="R291" s="134"/>
      <c r="S291" s="134"/>
      <c r="T291" s="134"/>
      <c r="U291" s="134"/>
      <c r="V291" s="134"/>
      <c r="W291" s="134"/>
      <c r="X291" s="134"/>
      <c r="Y291" s="31">
        <f>$A$43</f>
        <v>20202</v>
      </c>
      <c r="Z291" s="116"/>
      <c r="AA291" s="117" t="str">
        <f t="shared" ref="AA291:AC291" si="533">IFERROR(AA256/AA221,"")</f>
        <v/>
      </c>
      <c r="AB291" s="117" t="str">
        <f t="shared" si="533"/>
        <v/>
      </c>
      <c r="AC291" s="117" t="str">
        <f t="shared" si="533"/>
        <v/>
      </c>
      <c r="AD291" s="134"/>
      <c r="AE291" s="134"/>
      <c r="AF291" s="134"/>
      <c r="AG291" s="134"/>
      <c r="AH291" s="134"/>
      <c r="AI291" s="134"/>
      <c r="AJ291" s="134"/>
      <c r="AK291" s="31">
        <f>$A$43</f>
        <v>20202</v>
      </c>
      <c r="AL291" s="116"/>
      <c r="AM291" s="117" t="str">
        <f t="shared" ref="AM291:AO291" si="534">IFERROR(AM256/AM221,"")</f>
        <v/>
      </c>
      <c r="AN291" s="117" t="str">
        <f t="shared" si="534"/>
        <v/>
      </c>
      <c r="AO291" s="117" t="str">
        <f t="shared" si="534"/>
        <v/>
      </c>
      <c r="AP291" s="134"/>
      <c r="AQ291" s="134"/>
      <c r="AR291" s="134"/>
      <c r="AS291" s="134"/>
      <c r="AT291" s="134"/>
      <c r="AU291" s="134"/>
      <c r="AV291" s="134"/>
      <c r="AW291" s="31">
        <f>$A$43</f>
        <v>20202</v>
      </c>
      <c r="AX291" s="116"/>
      <c r="AY291" s="117" t="str">
        <f t="shared" ref="AY291:BA291" si="535">IFERROR(AY256/AY221,"")</f>
        <v/>
      </c>
      <c r="AZ291" s="117" t="str">
        <f t="shared" si="535"/>
        <v/>
      </c>
      <c r="BA291" s="117" t="str">
        <f t="shared" si="535"/>
        <v/>
      </c>
      <c r="BB291" s="134"/>
      <c r="BC291" s="134"/>
      <c r="BD291" s="134"/>
      <c r="BE291" s="134"/>
      <c r="BF291" s="134"/>
      <c r="BG291" s="134"/>
      <c r="BH291" s="134"/>
      <c r="BI291" s="31">
        <f>$A$43</f>
        <v>20202</v>
      </c>
      <c r="BJ291" s="116"/>
      <c r="BK291" s="117" t="str">
        <f t="shared" ref="BK291:BM291" si="536">IFERROR(BK256/BK221,"")</f>
        <v/>
      </c>
      <c r="BL291" s="117" t="str">
        <f t="shared" si="536"/>
        <v/>
      </c>
      <c r="BM291" s="117" t="str">
        <f t="shared" si="536"/>
        <v/>
      </c>
      <c r="BN291" s="134"/>
      <c r="BO291" s="134"/>
      <c r="BP291" s="134"/>
      <c r="BQ291" s="134"/>
      <c r="BR291" s="134"/>
      <c r="BS291" s="134"/>
      <c r="BT291" s="134"/>
      <c r="BU291" s="31">
        <f>$A$43</f>
        <v>20202</v>
      </c>
      <c r="BV291" s="116"/>
      <c r="BW291" s="117" t="str">
        <f t="shared" ref="BW291:BY291" si="537">IFERROR(BW256/BW221,"")</f>
        <v/>
      </c>
      <c r="BX291" s="117" t="str">
        <f t="shared" si="537"/>
        <v/>
      </c>
      <c r="BY291" s="117" t="str">
        <f t="shared" si="537"/>
        <v/>
      </c>
      <c r="BZ291" s="134"/>
      <c r="CA291" s="134"/>
      <c r="CB291" s="134"/>
      <c r="CC291" s="134"/>
      <c r="CD291" s="134"/>
      <c r="CE291" s="134"/>
      <c r="CF291" s="134"/>
      <c r="CG291" s="31">
        <f>$A$43</f>
        <v>20202</v>
      </c>
      <c r="CH291" s="116"/>
      <c r="CI291" s="117" t="str">
        <f t="shared" ref="CI291:CK291" si="538">IFERROR(CI256/CI221,"")</f>
        <v/>
      </c>
      <c r="CJ291" s="117" t="str">
        <f t="shared" si="538"/>
        <v/>
      </c>
      <c r="CK291" s="117" t="str">
        <f t="shared" si="538"/>
        <v/>
      </c>
      <c r="CL291" s="134"/>
      <c r="CM291" s="134"/>
      <c r="CN291" s="134"/>
      <c r="CO291" s="134"/>
      <c r="CP291" s="134"/>
      <c r="CQ291" s="134"/>
      <c r="CR291" s="134"/>
      <c r="CS291" s="31">
        <f>$A$43</f>
        <v>20202</v>
      </c>
      <c r="CT291" s="116"/>
      <c r="CU291" s="117" t="str">
        <f t="shared" ref="CU291:CW291" si="539">IFERROR(CU256/CU221,"")</f>
        <v/>
      </c>
      <c r="CV291" s="117" t="str">
        <f t="shared" si="539"/>
        <v/>
      </c>
      <c r="CW291" s="117" t="str">
        <f t="shared" si="539"/>
        <v/>
      </c>
      <c r="CX291" s="134"/>
      <c r="CY291" s="134"/>
      <c r="CZ291" s="134"/>
      <c r="DA291" s="134"/>
      <c r="DB291" s="134"/>
      <c r="DC291" s="134"/>
      <c r="DD291" s="134"/>
      <c r="DE291" s="31">
        <f>$A$43</f>
        <v>20202</v>
      </c>
      <c r="DF291" s="116"/>
      <c r="DG291" s="117" t="str">
        <f t="shared" ref="DG291:DI291" si="540">IFERROR(DG256/DG221,"")</f>
        <v/>
      </c>
      <c r="DH291" s="117" t="str">
        <f t="shared" si="540"/>
        <v/>
      </c>
      <c r="DI291" s="117" t="str">
        <f t="shared" si="540"/>
        <v/>
      </c>
      <c r="DJ291" s="134"/>
      <c r="DK291" s="134"/>
      <c r="DL291" s="134"/>
      <c r="DM291" s="134"/>
      <c r="DN291" s="134"/>
      <c r="DO291" s="134"/>
      <c r="DP291" s="134"/>
    </row>
    <row r="292" spans="1:120" ht="15" customHeight="1" x14ac:dyDescent="0.25">
      <c r="A292" s="31">
        <f>$A$44</f>
        <v>20212</v>
      </c>
      <c r="B292" s="116"/>
      <c r="C292" s="117">
        <f t="shared" si="531"/>
        <v>0</v>
      </c>
      <c r="D292" s="117">
        <f>IFERROR(D257/D222,"")</f>
        <v>0</v>
      </c>
      <c r="E292" s="134"/>
      <c r="F292" s="134"/>
      <c r="G292" s="134"/>
      <c r="H292" s="134"/>
      <c r="I292" s="134"/>
      <c r="J292" s="134"/>
      <c r="K292" s="134"/>
      <c r="L292" s="134"/>
      <c r="M292" s="31">
        <f>$A$44</f>
        <v>20212</v>
      </c>
      <c r="N292" s="116"/>
      <c r="O292" s="117" t="str">
        <f t="shared" ref="O292" si="541">IFERROR(O257/O222,"")</f>
        <v/>
      </c>
      <c r="P292" s="117" t="str">
        <f>IFERROR(P257/P222,"")</f>
        <v/>
      </c>
      <c r="Q292" s="134"/>
      <c r="R292" s="134"/>
      <c r="S292" s="134"/>
      <c r="T292" s="134"/>
      <c r="U292" s="134"/>
      <c r="V292" s="134"/>
      <c r="W292" s="134"/>
      <c r="X292" s="134"/>
      <c r="Y292" s="31">
        <f>$A$44</f>
        <v>20212</v>
      </c>
      <c r="Z292" s="116"/>
      <c r="AA292" s="117" t="str">
        <f t="shared" ref="AA292" si="542">IFERROR(AA257/AA222,"")</f>
        <v/>
      </c>
      <c r="AB292" s="117" t="str">
        <f>IFERROR(AB257/AB222,"")</f>
        <v/>
      </c>
      <c r="AC292" s="134"/>
      <c r="AD292" s="134"/>
      <c r="AE292" s="134"/>
      <c r="AF292" s="134"/>
      <c r="AG292" s="134"/>
      <c r="AH292" s="134"/>
      <c r="AI292" s="134"/>
      <c r="AJ292" s="134"/>
      <c r="AK292" s="31">
        <f>$A$44</f>
        <v>20212</v>
      </c>
      <c r="AL292" s="116"/>
      <c r="AM292" s="117" t="str">
        <f t="shared" ref="AM292" si="543">IFERROR(AM257/AM222,"")</f>
        <v/>
      </c>
      <c r="AN292" s="117" t="str">
        <f>IFERROR(AN257/AN222,"")</f>
        <v/>
      </c>
      <c r="AO292" s="134"/>
      <c r="AP292" s="134"/>
      <c r="AQ292" s="134"/>
      <c r="AR292" s="134"/>
      <c r="AS292" s="134"/>
      <c r="AT292" s="134"/>
      <c r="AU292" s="134"/>
      <c r="AV292" s="134"/>
      <c r="AW292" s="31">
        <f>$A$44</f>
        <v>20212</v>
      </c>
      <c r="AX292" s="116"/>
      <c r="AY292" s="117" t="str">
        <f t="shared" ref="AY292" si="544">IFERROR(AY257/AY222,"")</f>
        <v/>
      </c>
      <c r="AZ292" s="117" t="str">
        <f>IFERROR(AZ257/AZ222,"")</f>
        <v/>
      </c>
      <c r="BA292" s="134"/>
      <c r="BB292" s="134"/>
      <c r="BC292" s="134"/>
      <c r="BD292" s="134"/>
      <c r="BE292" s="134"/>
      <c r="BF292" s="134"/>
      <c r="BG292" s="134"/>
      <c r="BH292" s="134"/>
      <c r="BI292" s="31">
        <f>$A$44</f>
        <v>20212</v>
      </c>
      <c r="BJ292" s="116"/>
      <c r="BK292" s="117" t="str">
        <f t="shared" ref="BK292" si="545">IFERROR(BK257/BK222,"")</f>
        <v/>
      </c>
      <c r="BL292" s="117" t="str">
        <f>IFERROR(BL257/BL222,"")</f>
        <v/>
      </c>
      <c r="BM292" s="134"/>
      <c r="BN292" s="134"/>
      <c r="BO292" s="134"/>
      <c r="BP292" s="134"/>
      <c r="BQ292" s="134"/>
      <c r="BR292" s="134"/>
      <c r="BS292" s="134"/>
      <c r="BT292" s="134"/>
      <c r="BU292" s="31">
        <f>$A$44</f>
        <v>20212</v>
      </c>
      <c r="BV292" s="116"/>
      <c r="BW292" s="117" t="str">
        <f t="shared" ref="BW292" si="546">IFERROR(BW257/BW222,"")</f>
        <v/>
      </c>
      <c r="BX292" s="117" t="str">
        <f>IFERROR(BX257/BX222,"")</f>
        <v/>
      </c>
      <c r="BY292" s="134"/>
      <c r="BZ292" s="134"/>
      <c r="CA292" s="134"/>
      <c r="CB292" s="134"/>
      <c r="CC292" s="134"/>
      <c r="CD292" s="134"/>
      <c r="CE292" s="134"/>
      <c r="CF292" s="134"/>
      <c r="CG292" s="31">
        <f>$A$44</f>
        <v>20212</v>
      </c>
      <c r="CH292" s="116"/>
      <c r="CI292" s="117" t="str">
        <f t="shared" ref="CI292" si="547">IFERROR(CI257/CI222,"")</f>
        <v/>
      </c>
      <c r="CJ292" s="117" t="str">
        <f>IFERROR(CJ257/CJ222,"")</f>
        <v/>
      </c>
      <c r="CK292" s="134"/>
      <c r="CL292" s="134"/>
      <c r="CM292" s="134"/>
      <c r="CN292" s="134"/>
      <c r="CO292" s="134"/>
      <c r="CP292" s="134"/>
      <c r="CQ292" s="134"/>
      <c r="CR292" s="134"/>
      <c r="CS292" s="31">
        <f>$A$44</f>
        <v>20212</v>
      </c>
      <c r="CT292" s="116"/>
      <c r="CU292" s="117" t="str">
        <f t="shared" ref="CU292" si="548">IFERROR(CU257/CU222,"")</f>
        <v/>
      </c>
      <c r="CV292" s="117" t="str">
        <f>IFERROR(CV257/CV222,"")</f>
        <v/>
      </c>
      <c r="CW292" s="134"/>
      <c r="CX292" s="134"/>
      <c r="CY292" s="134"/>
      <c r="CZ292" s="134"/>
      <c r="DA292" s="134"/>
      <c r="DB292" s="134"/>
      <c r="DC292" s="134"/>
      <c r="DD292" s="134"/>
      <c r="DE292" s="31">
        <f>$A$44</f>
        <v>20212</v>
      </c>
      <c r="DF292" s="116"/>
      <c r="DG292" s="117" t="str">
        <f t="shared" ref="DG292" si="549">IFERROR(DG257/DG222,"")</f>
        <v/>
      </c>
      <c r="DH292" s="117" t="str">
        <f>IFERROR(DH257/DH222,"")</f>
        <v/>
      </c>
      <c r="DI292" s="134"/>
      <c r="DJ292" s="134"/>
      <c r="DK292" s="134"/>
      <c r="DL292" s="134"/>
      <c r="DM292" s="134"/>
      <c r="DN292" s="134"/>
      <c r="DO292" s="134"/>
      <c r="DP292" s="134"/>
    </row>
    <row r="293" spans="1:120" ht="15" customHeight="1" x14ac:dyDescent="0.25">
      <c r="A293" s="31">
        <f>$A$45</f>
        <v>20222</v>
      </c>
      <c r="B293" s="116"/>
      <c r="C293" s="117">
        <f t="shared" si="531"/>
        <v>0</v>
      </c>
      <c r="D293" s="134"/>
      <c r="E293" s="134"/>
      <c r="F293" s="134"/>
      <c r="G293" s="134"/>
      <c r="H293" s="134"/>
      <c r="I293" s="134"/>
      <c r="J293" s="134"/>
      <c r="K293" s="134"/>
      <c r="L293" s="134"/>
      <c r="M293" s="31">
        <f>$A$45</f>
        <v>20222</v>
      </c>
      <c r="N293" s="116"/>
      <c r="O293" s="117" t="str">
        <f t="shared" ref="O293" si="550">IFERROR(O258/O223,"")</f>
        <v/>
      </c>
      <c r="P293" s="134"/>
      <c r="Q293" s="134"/>
      <c r="R293" s="134"/>
      <c r="S293" s="134"/>
      <c r="T293" s="134"/>
      <c r="U293" s="134"/>
      <c r="V293" s="134"/>
      <c r="W293" s="134"/>
      <c r="X293" s="134"/>
      <c r="Y293" s="31">
        <f>$A$45</f>
        <v>20222</v>
      </c>
      <c r="Z293" s="116"/>
      <c r="AA293" s="117" t="str">
        <f t="shared" ref="AA293" si="551">IFERROR(AA258/AA223,"")</f>
        <v/>
      </c>
      <c r="AB293" s="134"/>
      <c r="AC293" s="134"/>
      <c r="AD293" s="134"/>
      <c r="AE293" s="134"/>
      <c r="AF293" s="134"/>
      <c r="AG293" s="134"/>
      <c r="AH293" s="134"/>
      <c r="AI293" s="134"/>
      <c r="AJ293" s="134"/>
      <c r="AK293" s="31">
        <f>$A$45</f>
        <v>20222</v>
      </c>
      <c r="AL293" s="116"/>
      <c r="AM293" s="117" t="str">
        <f t="shared" ref="AM293" si="552">IFERROR(AM258/AM223,"")</f>
        <v/>
      </c>
      <c r="AN293" s="134"/>
      <c r="AO293" s="134"/>
      <c r="AP293" s="134"/>
      <c r="AQ293" s="134"/>
      <c r="AR293" s="134"/>
      <c r="AS293" s="134"/>
      <c r="AT293" s="134"/>
      <c r="AU293" s="134"/>
      <c r="AV293" s="134"/>
      <c r="AW293" s="31">
        <f>$A$45</f>
        <v>20222</v>
      </c>
      <c r="AX293" s="116"/>
      <c r="AY293" s="117" t="str">
        <f t="shared" ref="AY293" si="553">IFERROR(AY258/AY223,"")</f>
        <v/>
      </c>
      <c r="AZ293" s="134"/>
      <c r="BA293" s="134"/>
      <c r="BB293" s="134"/>
      <c r="BC293" s="134"/>
      <c r="BD293" s="134"/>
      <c r="BE293" s="134"/>
      <c r="BF293" s="134"/>
      <c r="BG293" s="134"/>
      <c r="BH293" s="134"/>
      <c r="BI293" s="31">
        <f>$A$45</f>
        <v>20222</v>
      </c>
      <c r="BJ293" s="116"/>
      <c r="BK293" s="117" t="str">
        <f t="shared" ref="BK293" si="554">IFERROR(BK258/BK223,"")</f>
        <v/>
      </c>
      <c r="BL293" s="134"/>
      <c r="BM293" s="134"/>
      <c r="BN293" s="134"/>
      <c r="BO293" s="134"/>
      <c r="BP293" s="134"/>
      <c r="BQ293" s="134"/>
      <c r="BR293" s="134"/>
      <c r="BS293" s="134"/>
      <c r="BT293" s="134"/>
      <c r="BU293" s="31">
        <f>$A$45</f>
        <v>20222</v>
      </c>
      <c r="BV293" s="116"/>
      <c r="BW293" s="117" t="str">
        <f t="shared" ref="BW293" si="555">IFERROR(BW258/BW223,"")</f>
        <v/>
      </c>
      <c r="BX293" s="134"/>
      <c r="BY293" s="134"/>
      <c r="BZ293" s="134"/>
      <c r="CA293" s="134"/>
      <c r="CB293" s="134"/>
      <c r="CC293" s="134"/>
      <c r="CD293" s="134"/>
      <c r="CE293" s="134"/>
      <c r="CF293" s="134"/>
      <c r="CG293" s="31">
        <f>$A$45</f>
        <v>20222</v>
      </c>
      <c r="CH293" s="116"/>
      <c r="CI293" s="117" t="str">
        <f t="shared" ref="CI293" si="556">IFERROR(CI258/CI223,"")</f>
        <v/>
      </c>
      <c r="CJ293" s="134"/>
      <c r="CK293" s="134"/>
      <c r="CL293" s="134"/>
      <c r="CM293" s="134"/>
      <c r="CN293" s="134"/>
      <c r="CO293" s="134"/>
      <c r="CP293" s="134"/>
      <c r="CQ293" s="134"/>
      <c r="CR293" s="134"/>
      <c r="CS293" s="31">
        <f>$A$45</f>
        <v>20222</v>
      </c>
      <c r="CT293" s="116"/>
      <c r="CU293" s="117" t="str">
        <f t="shared" ref="CU293" si="557">IFERROR(CU258/CU223,"")</f>
        <v/>
      </c>
      <c r="CV293" s="134"/>
      <c r="CW293" s="134"/>
      <c r="CX293" s="134"/>
      <c r="CY293" s="134"/>
      <c r="CZ293" s="134"/>
      <c r="DA293" s="134"/>
      <c r="DB293" s="134"/>
      <c r="DC293" s="134"/>
      <c r="DD293" s="134"/>
      <c r="DE293" s="31">
        <f>$A$45</f>
        <v>20222</v>
      </c>
      <c r="DF293" s="116"/>
      <c r="DG293" s="117" t="str">
        <f t="shared" ref="DG293" si="558">IFERROR(DG258/DG223,"")</f>
        <v/>
      </c>
      <c r="DH293" s="134"/>
      <c r="DI293" s="134"/>
      <c r="DJ293" s="134"/>
      <c r="DK293" s="134"/>
      <c r="DL293" s="134"/>
      <c r="DM293" s="134"/>
      <c r="DN293" s="134"/>
      <c r="DO293" s="134"/>
      <c r="DP293" s="134"/>
    </row>
    <row r="294" spans="1:120" ht="15" customHeight="1" x14ac:dyDescent="0.25"/>
    <row r="295" spans="1:120" x14ac:dyDescent="0.25">
      <c r="A295" s="130"/>
      <c r="B295" s="131"/>
      <c r="C295" s="131" t="s">
        <v>36</v>
      </c>
      <c r="D295" s="132"/>
      <c r="E295" s="132"/>
      <c r="F295" s="132"/>
      <c r="G295" s="132"/>
      <c r="H295" s="132"/>
      <c r="I295" s="132"/>
      <c r="J295" s="132"/>
      <c r="K295" s="132"/>
      <c r="L295" s="132"/>
      <c r="M295" s="130"/>
      <c r="N295" s="131"/>
      <c r="O295" s="131" t="s">
        <v>36</v>
      </c>
      <c r="P295" s="132"/>
      <c r="Q295" s="132"/>
      <c r="R295" s="132"/>
      <c r="S295" s="132"/>
      <c r="T295" s="132"/>
      <c r="U295" s="132"/>
      <c r="V295" s="132"/>
      <c r="W295" s="132"/>
      <c r="X295" s="132"/>
      <c r="Y295" s="130"/>
      <c r="Z295" s="131"/>
      <c r="AA295" s="131" t="s">
        <v>36</v>
      </c>
      <c r="AB295" s="132"/>
      <c r="AC295" s="132"/>
      <c r="AD295" s="132"/>
      <c r="AE295" s="132"/>
      <c r="AF295" s="132"/>
      <c r="AG295" s="132"/>
      <c r="AH295" s="132"/>
      <c r="AI295" s="132"/>
      <c r="AJ295" s="132"/>
      <c r="AK295" s="130"/>
      <c r="AL295" s="131"/>
      <c r="AM295" s="131" t="s">
        <v>36</v>
      </c>
      <c r="AN295" s="132"/>
      <c r="AO295" s="132"/>
      <c r="AP295" s="132"/>
      <c r="AQ295" s="132"/>
      <c r="AR295" s="132"/>
      <c r="AS295" s="132"/>
      <c r="AT295" s="132"/>
      <c r="AU295" s="132"/>
      <c r="AV295" s="132"/>
      <c r="AW295" s="130"/>
      <c r="AX295" s="131"/>
      <c r="AY295" s="131" t="s">
        <v>36</v>
      </c>
      <c r="AZ295" s="132"/>
      <c r="BA295" s="132"/>
      <c r="BB295" s="132"/>
      <c r="BC295" s="132"/>
      <c r="BD295" s="132"/>
      <c r="BE295" s="132"/>
      <c r="BF295" s="132"/>
      <c r="BG295" s="132"/>
      <c r="BH295" s="132"/>
      <c r="BI295" s="130"/>
      <c r="BJ295" s="131"/>
      <c r="BK295" s="131" t="s">
        <v>36</v>
      </c>
      <c r="BL295" s="132"/>
      <c r="BM295" s="132"/>
      <c r="BN295" s="132"/>
      <c r="BO295" s="132"/>
      <c r="BP295" s="132"/>
      <c r="BQ295" s="132"/>
      <c r="BR295" s="132"/>
      <c r="BS295" s="132"/>
      <c r="BT295" s="132"/>
      <c r="BU295" s="130"/>
      <c r="BV295" s="131"/>
      <c r="BW295" s="131" t="s">
        <v>36</v>
      </c>
      <c r="BX295" s="132"/>
      <c r="BY295" s="132"/>
      <c r="BZ295" s="132"/>
      <c r="CA295" s="132"/>
      <c r="CB295" s="132"/>
      <c r="CC295" s="132"/>
      <c r="CD295" s="132"/>
      <c r="CE295" s="132"/>
      <c r="CF295" s="132"/>
      <c r="CG295" s="130"/>
      <c r="CH295" s="131"/>
      <c r="CI295" s="131" t="s">
        <v>36</v>
      </c>
      <c r="CJ295" s="132"/>
      <c r="CK295" s="132"/>
      <c r="CL295" s="132"/>
      <c r="CM295" s="132"/>
      <c r="CN295" s="132"/>
      <c r="CO295" s="132"/>
      <c r="CP295" s="132"/>
      <c r="CQ295" s="132"/>
      <c r="CR295" s="132"/>
      <c r="CS295" s="130"/>
      <c r="CT295" s="131"/>
      <c r="CU295" s="131" t="s">
        <v>36</v>
      </c>
      <c r="CV295" s="132"/>
      <c r="CW295" s="132"/>
      <c r="CX295" s="132"/>
      <c r="CY295" s="132"/>
      <c r="CZ295" s="132"/>
      <c r="DA295" s="132"/>
      <c r="DB295" s="132"/>
      <c r="DC295" s="132"/>
      <c r="DD295" s="132"/>
      <c r="DE295" s="130"/>
      <c r="DF295" s="131"/>
      <c r="DG295" s="131" t="s">
        <v>36</v>
      </c>
      <c r="DH295" s="132"/>
      <c r="DI295" s="132"/>
      <c r="DJ295" s="132"/>
      <c r="DK295" s="132"/>
      <c r="DL295" s="132"/>
      <c r="DM295" s="132"/>
      <c r="DN295" s="132"/>
      <c r="DO295" s="132"/>
      <c r="DP295" s="132"/>
    </row>
    <row r="296" spans="1:120" ht="30" x14ac:dyDescent="0.25">
      <c r="A296" s="92" t="str">
        <f>$A$35</f>
        <v>Fiscal Accident Year Data Ending</v>
      </c>
      <c r="B296" s="92"/>
      <c r="C296" s="100" t="str">
        <f>$C$35&amp;"-"&amp;$D$35</f>
        <v>12-24</v>
      </c>
      <c r="D296" s="100" t="str">
        <f>$D$35&amp;"-"&amp;$E$35</f>
        <v>24-36</v>
      </c>
      <c r="E296" s="100" t="str">
        <f>$E$35&amp;"-"&amp;$F$35</f>
        <v>36-48</v>
      </c>
      <c r="F296" s="100" t="str">
        <f>$F$35&amp;"-"&amp;$G$35</f>
        <v>48-60</v>
      </c>
      <c r="G296" s="100" t="str">
        <f>$G$35&amp;"-"&amp;$H$35</f>
        <v>60-72</v>
      </c>
      <c r="H296" s="100" t="str">
        <f>$H$35&amp;"-"&amp;$I$35</f>
        <v>72-84</v>
      </c>
      <c r="I296" s="100" t="str">
        <f>$I$35&amp;"-"&amp;$J$35</f>
        <v>84-96</v>
      </c>
      <c r="J296" s="100" t="str">
        <f>$J$35&amp;"-"&amp;$K$35</f>
        <v>96-108</v>
      </c>
      <c r="K296" s="100" t="str">
        <f>$K$35&amp;"-"&amp;$L$35</f>
        <v>108-120</v>
      </c>
      <c r="L296" s="100" t="str">
        <f>$L$35&amp;"-Ult"</f>
        <v>120-Ult</v>
      </c>
      <c r="M296" s="92" t="str">
        <f>$A$35</f>
        <v>Fiscal Accident Year Data Ending</v>
      </c>
      <c r="N296" s="92"/>
      <c r="O296" s="100" t="str">
        <f>$C$35&amp;"-"&amp;$D$35</f>
        <v>12-24</v>
      </c>
      <c r="P296" s="100" t="str">
        <f>$D$35&amp;"-"&amp;$E$35</f>
        <v>24-36</v>
      </c>
      <c r="Q296" s="100" t="str">
        <f>$E$35&amp;"-"&amp;$F$35</f>
        <v>36-48</v>
      </c>
      <c r="R296" s="100" t="str">
        <f>$F$35&amp;"-"&amp;$G$35</f>
        <v>48-60</v>
      </c>
      <c r="S296" s="100" t="str">
        <f>$G$35&amp;"-"&amp;$H$35</f>
        <v>60-72</v>
      </c>
      <c r="T296" s="100" t="str">
        <f>$H$35&amp;"-"&amp;$I$35</f>
        <v>72-84</v>
      </c>
      <c r="U296" s="100" t="str">
        <f>$I$35&amp;"-"&amp;$J$35</f>
        <v>84-96</v>
      </c>
      <c r="V296" s="100" t="str">
        <f>$J$35&amp;"-"&amp;$K$35</f>
        <v>96-108</v>
      </c>
      <c r="W296" s="100" t="str">
        <f>$K$35&amp;"-"&amp;$L$35</f>
        <v>108-120</v>
      </c>
      <c r="X296" s="100" t="str">
        <f>$L$35&amp;"-Ult"</f>
        <v>120-Ult</v>
      </c>
      <c r="Y296" s="92" t="str">
        <f>$A$35</f>
        <v>Fiscal Accident Year Data Ending</v>
      </c>
      <c r="Z296" s="92"/>
      <c r="AA296" s="100" t="str">
        <f>$C$35&amp;"-"&amp;$D$35</f>
        <v>12-24</v>
      </c>
      <c r="AB296" s="100" t="str">
        <f>$D$35&amp;"-"&amp;$E$35</f>
        <v>24-36</v>
      </c>
      <c r="AC296" s="100" t="str">
        <f>$E$35&amp;"-"&amp;$F$35</f>
        <v>36-48</v>
      </c>
      <c r="AD296" s="100" t="str">
        <f>$F$35&amp;"-"&amp;$G$35</f>
        <v>48-60</v>
      </c>
      <c r="AE296" s="100" t="str">
        <f>$G$35&amp;"-"&amp;$H$35</f>
        <v>60-72</v>
      </c>
      <c r="AF296" s="100" t="str">
        <f>$H$35&amp;"-"&amp;$I$35</f>
        <v>72-84</v>
      </c>
      <c r="AG296" s="100" t="str">
        <f>$I$35&amp;"-"&amp;$J$35</f>
        <v>84-96</v>
      </c>
      <c r="AH296" s="100" t="str">
        <f>$J$35&amp;"-"&amp;$K$35</f>
        <v>96-108</v>
      </c>
      <c r="AI296" s="100" t="str">
        <f>$K$35&amp;"-"&amp;$L$35</f>
        <v>108-120</v>
      </c>
      <c r="AJ296" s="100" t="str">
        <f>$L$35&amp;"-Ult"</f>
        <v>120-Ult</v>
      </c>
      <c r="AK296" s="92" t="str">
        <f>$A$35</f>
        <v>Fiscal Accident Year Data Ending</v>
      </c>
      <c r="AL296" s="92"/>
      <c r="AM296" s="100" t="str">
        <f>$C$35&amp;"-"&amp;$D$35</f>
        <v>12-24</v>
      </c>
      <c r="AN296" s="100" t="str">
        <f>$D$35&amp;"-"&amp;$E$35</f>
        <v>24-36</v>
      </c>
      <c r="AO296" s="100" t="str">
        <f>$E$35&amp;"-"&amp;$F$35</f>
        <v>36-48</v>
      </c>
      <c r="AP296" s="100" t="str">
        <f>$F$35&amp;"-"&amp;$G$35</f>
        <v>48-60</v>
      </c>
      <c r="AQ296" s="100" t="str">
        <f>$G$35&amp;"-"&amp;$H$35</f>
        <v>60-72</v>
      </c>
      <c r="AR296" s="100" t="str">
        <f>$H$35&amp;"-"&amp;$I$35</f>
        <v>72-84</v>
      </c>
      <c r="AS296" s="100" t="str">
        <f>$I$35&amp;"-"&amp;$J$35</f>
        <v>84-96</v>
      </c>
      <c r="AT296" s="100" t="str">
        <f>$J$35&amp;"-"&amp;$K$35</f>
        <v>96-108</v>
      </c>
      <c r="AU296" s="100" t="str">
        <f>$K$35&amp;"-"&amp;$L$35</f>
        <v>108-120</v>
      </c>
      <c r="AV296" s="100" t="str">
        <f>$L$35&amp;"-Ult"</f>
        <v>120-Ult</v>
      </c>
      <c r="AW296" s="92" t="str">
        <f>$A$35</f>
        <v>Fiscal Accident Year Data Ending</v>
      </c>
      <c r="AX296" s="92"/>
      <c r="AY296" s="100" t="str">
        <f>$C$35&amp;"-"&amp;$D$35</f>
        <v>12-24</v>
      </c>
      <c r="AZ296" s="100" t="str">
        <f>$D$35&amp;"-"&amp;$E$35</f>
        <v>24-36</v>
      </c>
      <c r="BA296" s="100" t="str">
        <f>$E$35&amp;"-"&amp;$F$35</f>
        <v>36-48</v>
      </c>
      <c r="BB296" s="100" t="str">
        <f>$F$35&amp;"-"&amp;$G$35</f>
        <v>48-60</v>
      </c>
      <c r="BC296" s="100" t="str">
        <f>$G$35&amp;"-"&amp;$H$35</f>
        <v>60-72</v>
      </c>
      <c r="BD296" s="100" t="str">
        <f>$H$35&amp;"-"&amp;$I$35</f>
        <v>72-84</v>
      </c>
      <c r="BE296" s="100" t="str">
        <f>$I$35&amp;"-"&amp;$J$35</f>
        <v>84-96</v>
      </c>
      <c r="BF296" s="100" t="str">
        <f>$J$35&amp;"-"&amp;$K$35</f>
        <v>96-108</v>
      </c>
      <c r="BG296" s="100" t="str">
        <f>$K$35&amp;"-"&amp;$L$35</f>
        <v>108-120</v>
      </c>
      <c r="BH296" s="100" t="str">
        <f>$L$35&amp;"-Ult"</f>
        <v>120-Ult</v>
      </c>
      <c r="BI296" s="92" t="str">
        <f>$A$35</f>
        <v>Fiscal Accident Year Data Ending</v>
      </c>
      <c r="BJ296" s="92"/>
      <c r="BK296" s="100" t="str">
        <f>$C$35&amp;"-"&amp;$D$35</f>
        <v>12-24</v>
      </c>
      <c r="BL296" s="100" t="str">
        <f>$D$35&amp;"-"&amp;$E$35</f>
        <v>24-36</v>
      </c>
      <c r="BM296" s="100" t="str">
        <f>$E$35&amp;"-"&amp;$F$35</f>
        <v>36-48</v>
      </c>
      <c r="BN296" s="100" t="str">
        <f>$F$35&amp;"-"&amp;$G$35</f>
        <v>48-60</v>
      </c>
      <c r="BO296" s="100" t="str">
        <f>$G$35&amp;"-"&amp;$H$35</f>
        <v>60-72</v>
      </c>
      <c r="BP296" s="100" t="str">
        <f>$H$35&amp;"-"&amp;$I$35</f>
        <v>72-84</v>
      </c>
      <c r="BQ296" s="100" t="str">
        <f>$I$35&amp;"-"&amp;$J$35</f>
        <v>84-96</v>
      </c>
      <c r="BR296" s="100" t="str">
        <f>$J$35&amp;"-"&amp;$K$35</f>
        <v>96-108</v>
      </c>
      <c r="BS296" s="100" t="str">
        <f>$K$35&amp;"-"&amp;$L$35</f>
        <v>108-120</v>
      </c>
      <c r="BT296" s="100" t="str">
        <f>$L$35&amp;"-Ult"</f>
        <v>120-Ult</v>
      </c>
      <c r="BU296" s="92" t="str">
        <f>$A$35</f>
        <v>Fiscal Accident Year Data Ending</v>
      </c>
      <c r="BV296" s="92"/>
      <c r="BW296" s="100" t="str">
        <f>$C$35&amp;"-"&amp;$D$35</f>
        <v>12-24</v>
      </c>
      <c r="BX296" s="100" t="str">
        <f>$D$35&amp;"-"&amp;$E$35</f>
        <v>24-36</v>
      </c>
      <c r="BY296" s="100" t="str">
        <f>$E$35&amp;"-"&amp;$F$35</f>
        <v>36-48</v>
      </c>
      <c r="BZ296" s="100" t="str">
        <f>$F$35&amp;"-"&amp;$G$35</f>
        <v>48-60</v>
      </c>
      <c r="CA296" s="100" t="str">
        <f>$G$35&amp;"-"&amp;$H$35</f>
        <v>60-72</v>
      </c>
      <c r="CB296" s="100" t="str">
        <f>$H$35&amp;"-"&amp;$I$35</f>
        <v>72-84</v>
      </c>
      <c r="CC296" s="100" t="str">
        <f>$I$35&amp;"-"&amp;$J$35</f>
        <v>84-96</v>
      </c>
      <c r="CD296" s="100" t="str">
        <f>$J$35&amp;"-"&amp;$K$35</f>
        <v>96-108</v>
      </c>
      <c r="CE296" s="100" t="str">
        <f>$K$35&amp;"-"&amp;$L$35</f>
        <v>108-120</v>
      </c>
      <c r="CF296" s="100" t="str">
        <f>$L$35&amp;"-Ult"</f>
        <v>120-Ult</v>
      </c>
      <c r="CG296" s="92" t="str">
        <f>$A$35</f>
        <v>Fiscal Accident Year Data Ending</v>
      </c>
      <c r="CH296" s="92"/>
      <c r="CI296" s="100" t="str">
        <f>$C$35&amp;"-"&amp;$D$35</f>
        <v>12-24</v>
      </c>
      <c r="CJ296" s="100" t="str">
        <f>$D$35&amp;"-"&amp;$E$35</f>
        <v>24-36</v>
      </c>
      <c r="CK296" s="100" t="str">
        <f>$E$35&amp;"-"&amp;$F$35</f>
        <v>36-48</v>
      </c>
      <c r="CL296" s="100" t="str">
        <f>$F$35&amp;"-"&amp;$G$35</f>
        <v>48-60</v>
      </c>
      <c r="CM296" s="100" t="str">
        <f>$G$35&amp;"-"&amp;$H$35</f>
        <v>60-72</v>
      </c>
      <c r="CN296" s="100" t="str">
        <f>$H$35&amp;"-"&amp;$I$35</f>
        <v>72-84</v>
      </c>
      <c r="CO296" s="100" t="str">
        <f>$I$35&amp;"-"&amp;$J$35</f>
        <v>84-96</v>
      </c>
      <c r="CP296" s="100" t="str">
        <f>$J$35&amp;"-"&amp;$K$35</f>
        <v>96-108</v>
      </c>
      <c r="CQ296" s="100" t="str">
        <f>$K$35&amp;"-"&amp;$L$35</f>
        <v>108-120</v>
      </c>
      <c r="CR296" s="100" t="str">
        <f>$L$35&amp;"-Ult"</f>
        <v>120-Ult</v>
      </c>
      <c r="CS296" s="92" t="str">
        <f>$A$35</f>
        <v>Fiscal Accident Year Data Ending</v>
      </c>
      <c r="CT296" s="92"/>
      <c r="CU296" s="100" t="str">
        <f>$C$35&amp;"-"&amp;$D$35</f>
        <v>12-24</v>
      </c>
      <c r="CV296" s="100" t="str">
        <f>$D$35&amp;"-"&amp;$E$35</f>
        <v>24-36</v>
      </c>
      <c r="CW296" s="100" t="str">
        <f>$E$35&amp;"-"&amp;$F$35</f>
        <v>36-48</v>
      </c>
      <c r="CX296" s="100" t="str">
        <f>$F$35&amp;"-"&amp;$G$35</f>
        <v>48-60</v>
      </c>
      <c r="CY296" s="100" t="str">
        <f>$G$35&amp;"-"&amp;$H$35</f>
        <v>60-72</v>
      </c>
      <c r="CZ296" s="100" t="str">
        <f>$H$35&amp;"-"&amp;$I$35</f>
        <v>72-84</v>
      </c>
      <c r="DA296" s="100" t="str">
        <f>$I$35&amp;"-"&amp;$J$35</f>
        <v>84-96</v>
      </c>
      <c r="DB296" s="100" t="str">
        <f>$J$35&amp;"-"&amp;$K$35</f>
        <v>96-108</v>
      </c>
      <c r="DC296" s="100" t="str">
        <f>$K$35&amp;"-"&amp;$L$35</f>
        <v>108-120</v>
      </c>
      <c r="DD296" s="100" t="str">
        <f>$L$35&amp;"-Ult"</f>
        <v>120-Ult</v>
      </c>
      <c r="DE296" s="92" t="str">
        <f>$A$35</f>
        <v>Fiscal Accident Year Data Ending</v>
      </c>
      <c r="DF296" s="92"/>
      <c r="DG296" s="100" t="str">
        <f>$C$35&amp;"-"&amp;$D$35</f>
        <v>12-24</v>
      </c>
      <c r="DH296" s="100" t="str">
        <f>$D$35&amp;"-"&amp;$E$35</f>
        <v>24-36</v>
      </c>
      <c r="DI296" s="100" t="str">
        <f>$E$35&amp;"-"&amp;$F$35</f>
        <v>36-48</v>
      </c>
      <c r="DJ296" s="100" t="str">
        <f>$F$35&amp;"-"&amp;$G$35</f>
        <v>48-60</v>
      </c>
      <c r="DK296" s="100" t="str">
        <f>$G$35&amp;"-"&amp;$H$35</f>
        <v>60-72</v>
      </c>
      <c r="DL296" s="100" t="str">
        <f>$H$35&amp;"-"&amp;$I$35</f>
        <v>72-84</v>
      </c>
      <c r="DM296" s="100" t="str">
        <f>$I$35&amp;"-"&amp;$J$35</f>
        <v>84-96</v>
      </c>
      <c r="DN296" s="100" t="str">
        <f>$J$35&amp;"-"&amp;$K$35</f>
        <v>96-108</v>
      </c>
      <c r="DO296" s="100" t="str">
        <f>$K$35&amp;"-"&amp;$L$35</f>
        <v>108-120</v>
      </c>
      <c r="DP296" s="100" t="str">
        <f>$L$35&amp;"-Ult"</f>
        <v>120-Ult</v>
      </c>
    </row>
    <row r="297" spans="1:120" x14ac:dyDescent="0.25">
      <c r="A297" s="91">
        <f>$A$36</f>
        <v>20132</v>
      </c>
      <c r="B297" s="105"/>
      <c r="C297" s="90" t="str">
        <f>IFERROR(D284/C284,"")</f>
        <v/>
      </c>
      <c r="D297" s="90" t="str">
        <f t="shared" ref="D297:K297" si="559">IFERROR(E284/D284,"")</f>
        <v/>
      </c>
      <c r="E297" s="90" t="str">
        <f t="shared" si="559"/>
        <v/>
      </c>
      <c r="F297" s="90" t="str">
        <f t="shared" si="559"/>
        <v/>
      </c>
      <c r="G297" s="90" t="str">
        <f t="shared" si="559"/>
        <v/>
      </c>
      <c r="H297" s="90" t="str">
        <f t="shared" si="559"/>
        <v/>
      </c>
      <c r="I297" s="90" t="str">
        <f t="shared" si="559"/>
        <v/>
      </c>
      <c r="J297" s="90" t="str">
        <f t="shared" si="559"/>
        <v/>
      </c>
      <c r="K297" s="90" t="str">
        <f t="shared" si="559"/>
        <v/>
      </c>
      <c r="L297" s="22"/>
      <c r="M297" s="91">
        <f>$A$36</f>
        <v>20132</v>
      </c>
      <c r="N297" s="105"/>
      <c r="O297" s="90" t="str">
        <f>IFERROR(P284/O284,"")</f>
        <v/>
      </c>
      <c r="P297" s="90" t="str">
        <f t="shared" ref="P297:W297" si="560">IFERROR(Q284/P284,"")</f>
        <v/>
      </c>
      <c r="Q297" s="90" t="str">
        <f t="shared" si="560"/>
        <v/>
      </c>
      <c r="R297" s="90" t="str">
        <f t="shared" si="560"/>
        <v/>
      </c>
      <c r="S297" s="90" t="str">
        <f t="shared" si="560"/>
        <v/>
      </c>
      <c r="T297" s="90" t="str">
        <f t="shared" si="560"/>
        <v/>
      </c>
      <c r="U297" s="90" t="str">
        <f t="shared" si="560"/>
        <v/>
      </c>
      <c r="V297" s="90" t="str">
        <f t="shared" si="560"/>
        <v/>
      </c>
      <c r="W297" s="90" t="str">
        <f t="shared" si="560"/>
        <v/>
      </c>
      <c r="X297" s="22"/>
      <c r="Y297" s="91">
        <f>$A$36</f>
        <v>20132</v>
      </c>
      <c r="Z297" s="105"/>
      <c r="AA297" s="90" t="str">
        <f>IFERROR(AB284/AA284,"")</f>
        <v/>
      </c>
      <c r="AB297" s="90" t="str">
        <f t="shared" ref="AB297:AI297" si="561">IFERROR(AC284/AB284,"")</f>
        <v/>
      </c>
      <c r="AC297" s="90" t="str">
        <f t="shared" si="561"/>
        <v/>
      </c>
      <c r="AD297" s="90" t="str">
        <f t="shared" si="561"/>
        <v/>
      </c>
      <c r="AE297" s="90" t="str">
        <f t="shared" si="561"/>
        <v/>
      </c>
      <c r="AF297" s="90" t="str">
        <f t="shared" si="561"/>
        <v/>
      </c>
      <c r="AG297" s="90" t="str">
        <f t="shared" si="561"/>
        <v/>
      </c>
      <c r="AH297" s="90" t="str">
        <f t="shared" si="561"/>
        <v/>
      </c>
      <c r="AI297" s="90" t="str">
        <f t="shared" si="561"/>
        <v/>
      </c>
      <c r="AJ297" s="22"/>
      <c r="AK297" s="91">
        <f>$A$36</f>
        <v>20132</v>
      </c>
      <c r="AL297" s="105"/>
      <c r="AM297" s="90" t="str">
        <f>IFERROR(AN284/AM284,"")</f>
        <v/>
      </c>
      <c r="AN297" s="90" t="str">
        <f t="shared" ref="AN297:AU297" si="562">IFERROR(AO284/AN284,"")</f>
        <v/>
      </c>
      <c r="AO297" s="90" t="str">
        <f t="shared" si="562"/>
        <v/>
      </c>
      <c r="AP297" s="90" t="str">
        <f t="shared" si="562"/>
        <v/>
      </c>
      <c r="AQ297" s="90" t="str">
        <f t="shared" si="562"/>
        <v/>
      </c>
      <c r="AR297" s="90" t="str">
        <f t="shared" si="562"/>
        <v/>
      </c>
      <c r="AS297" s="90" t="str">
        <f t="shared" si="562"/>
        <v/>
      </c>
      <c r="AT297" s="90" t="str">
        <f t="shared" si="562"/>
        <v/>
      </c>
      <c r="AU297" s="90" t="str">
        <f t="shared" si="562"/>
        <v/>
      </c>
      <c r="AV297" s="22"/>
      <c r="AW297" s="91">
        <f>$A$36</f>
        <v>20132</v>
      </c>
      <c r="AX297" s="105"/>
      <c r="AY297" s="90" t="str">
        <f>IFERROR(AZ284/AY284,"")</f>
        <v/>
      </c>
      <c r="AZ297" s="90" t="str">
        <f t="shared" ref="AZ297:BG297" si="563">IFERROR(BA284/AZ284,"")</f>
        <v/>
      </c>
      <c r="BA297" s="90" t="str">
        <f t="shared" si="563"/>
        <v/>
      </c>
      <c r="BB297" s="90" t="str">
        <f t="shared" si="563"/>
        <v/>
      </c>
      <c r="BC297" s="90" t="str">
        <f t="shared" si="563"/>
        <v/>
      </c>
      <c r="BD297" s="90" t="str">
        <f t="shared" si="563"/>
        <v/>
      </c>
      <c r="BE297" s="90" t="str">
        <f t="shared" si="563"/>
        <v/>
      </c>
      <c r="BF297" s="90" t="str">
        <f t="shared" si="563"/>
        <v/>
      </c>
      <c r="BG297" s="90" t="str">
        <f t="shared" si="563"/>
        <v/>
      </c>
      <c r="BH297" s="22"/>
      <c r="BI297" s="91">
        <f>$A$36</f>
        <v>20132</v>
      </c>
      <c r="BJ297" s="105"/>
      <c r="BK297" s="90" t="str">
        <f>IFERROR(BL284/BK284,"")</f>
        <v/>
      </c>
      <c r="BL297" s="90" t="str">
        <f t="shared" ref="BL297:BS297" si="564">IFERROR(BM284/BL284,"")</f>
        <v/>
      </c>
      <c r="BM297" s="90" t="str">
        <f t="shared" si="564"/>
        <v/>
      </c>
      <c r="BN297" s="90" t="str">
        <f t="shared" si="564"/>
        <v/>
      </c>
      <c r="BO297" s="90" t="str">
        <f t="shared" si="564"/>
        <v/>
      </c>
      <c r="BP297" s="90" t="str">
        <f t="shared" si="564"/>
        <v/>
      </c>
      <c r="BQ297" s="90" t="str">
        <f t="shared" si="564"/>
        <v/>
      </c>
      <c r="BR297" s="90" t="str">
        <f t="shared" si="564"/>
        <v/>
      </c>
      <c r="BS297" s="90" t="str">
        <f t="shared" si="564"/>
        <v/>
      </c>
      <c r="BT297" s="22"/>
      <c r="BU297" s="91">
        <f>$A$36</f>
        <v>20132</v>
      </c>
      <c r="BV297" s="105"/>
      <c r="BW297" s="90" t="str">
        <f>IFERROR(BX284/BW284,"")</f>
        <v/>
      </c>
      <c r="BX297" s="90" t="str">
        <f t="shared" ref="BX297:CE297" si="565">IFERROR(BY284/BX284,"")</f>
        <v/>
      </c>
      <c r="BY297" s="90" t="str">
        <f t="shared" si="565"/>
        <v/>
      </c>
      <c r="BZ297" s="90" t="str">
        <f t="shared" si="565"/>
        <v/>
      </c>
      <c r="CA297" s="90" t="str">
        <f t="shared" si="565"/>
        <v/>
      </c>
      <c r="CB297" s="90" t="str">
        <f t="shared" si="565"/>
        <v/>
      </c>
      <c r="CC297" s="90" t="str">
        <f t="shared" si="565"/>
        <v/>
      </c>
      <c r="CD297" s="90" t="str">
        <f t="shared" si="565"/>
        <v/>
      </c>
      <c r="CE297" s="90" t="str">
        <f t="shared" si="565"/>
        <v/>
      </c>
      <c r="CF297" s="22"/>
      <c r="CG297" s="91">
        <f>$A$36</f>
        <v>20132</v>
      </c>
      <c r="CH297" s="105"/>
      <c r="CI297" s="90" t="str">
        <f>IFERROR(CJ284/CI284,"")</f>
        <v/>
      </c>
      <c r="CJ297" s="90" t="str">
        <f t="shared" ref="CJ297:CQ297" si="566">IFERROR(CK284/CJ284,"")</f>
        <v/>
      </c>
      <c r="CK297" s="90" t="str">
        <f t="shared" si="566"/>
        <v/>
      </c>
      <c r="CL297" s="90" t="str">
        <f t="shared" si="566"/>
        <v/>
      </c>
      <c r="CM297" s="90" t="str">
        <f t="shared" si="566"/>
        <v/>
      </c>
      <c r="CN297" s="90" t="str">
        <f t="shared" si="566"/>
        <v/>
      </c>
      <c r="CO297" s="90" t="str">
        <f t="shared" si="566"/>
        <v/>
      </c>
      <c r="CP297" s="90" t="str">
        <f t="shared" si="566"/>
        <v/>
      </c>
      <c r="CQ297" s="90" t="str">
        <f t="shared" si="566"/>
        <v/>
      </c>
      <c r="CR297" s="22"/>
      <c r="CS297" s="91">
        <f>$A$36</f>
        <v>20132</v>
      </c>
      <c r="CT297" s="105"/>
      <c r="CU297" s="90" t="str">
        <f>IFERROR(CV284/CU284,"")</f>
        <v/>
      </c>
      <c r="CV297" s="90" t="str">
        <f t="shared" ref="CV297:DC297" si="567">IFERROR(CW284/CV284,"")</f>
        <v/>
      </c>
      <c r="CW297" s="90" t="str">
        <f t="shared" si="567"/>
        <v/>
      </c>
      <c r="CX297" s="90" t="str">
        <f t="shared" si="567"/>
        <v/>
      </c>
      <c r="CY297" s="90" t="str">
        <f t="shared" si="567"/>
        <v/>
      </c>
      <c r="CZ297" s="90" t="str">
        <f t="shared" si="567"/>
        <v/>
      </c>
      <c r="DA297" s="90" t="str">
        <f t="shared" si="567"/>
        <v/>
      </c>
      <c r="DB297" s="90" t="str">
        <f t="shared" si="567"/>
        <v/>
      </c>
      <c r="DC297" s="90" t="str">
        <f t="shared" si="567"/>
        <v/>
      </c>
      <c r="DD297" s="22"/>
      <c r="DE297" s="91">
        <f>$A$36</f>
        <v>20132</v>
      </c>
      <c r="DF297" s="105"/>
      <c r="DG297" s="90" t="str">
        <f>IFERROR(DH284/DG284,"")</f>
        <v/>
      </c>
      <c r="DH297" s="90" t="str">
        <f t="shared" ref="DH297:DO297" si="568">IFERROR(DI284/DH284,"")</f>
        <v/>
      </c>
      <c r="DI297" s="90" t="str">
        <f t="shared" si="568"/>
        <v/>
      </c>
      <c r="DJ297" s="90" t="str">
        <f t="shared" si="568"/>
        <v/>
      </c>
      <c r="DK297" s="90" t="str">
        <f t="shared" si="568"/>
        <v/>
      </c>
      <c r="DL297" s="90" t="str">
        <f t="shared" si="568"/>
        <v/>
      </c>
      <c r="DM297" s="90" t="str">
        <f t="shared" si="568"/>
        <v/>
      </c>
      <c r="DN297" s="90" t="str">
        <f t="shared" si="568"/>
        <v/>
      </c>
      <c r="DO297" s="90" t="str">
        <f t="shared" si="568"/>
        <v/>
      </c>
      <c r="DP297" s="22"/>
    </row>
    <row r="298" spans="1:120" x14ac:dyDescent="0.25">
      <c r="A298" s="91">
        <f>$A$37</f>
        <v>20142</v>
      </c>
      <c r="B298" s="105"/>
      <c r="C298" s="90" t="str">
        <f t="shared" ref="C298:J305" si="569">IFERROR(D285/C285,"")</f>
        <v/>
      </c>
      <c r="D298" s="90" t="str">
        <f t="shared" si="569"/>
        <v/>
      </c>
      <c r="E298" s="90" t="str">
        <f t="shared" si="569"/>
        <v/>
      </c>
      <c r="F298" s="90" t="str">
        <f t="shared" si="569"/>
        <v/>
      </c>
      <c r="G298" s="90" t="str">
        <f t="shared" si="569"/>
        <v/>
      </c>
      <c r="H298" s="90" t="str">
        <f t="shared" si="569"/>
        <v/>
      </c>
      <c r="I298" s="90" t="str">
        <f t="shared" si="569"/>
        <v/>
      </c>
      <c r="J298" s="90" t="str">
        <f t="shared" si="569"/>
        <v/>
      </c>
      <c r="K298" s="22"/>
      <c r="L298" s="22"/>
      <c r="M298" s="91">
        <f>$A$37</f>
        <v>20142</v>
      </c>
      <c r="N298" s="105"/>
      <c r="O298" s="90" t="str">
        <f t="shared" ref="O298:V305" si="570">IFERROR(P285/O285,"")</f>
        <v/>
      </c>
      <c r="P298" s="90" t="str">
        <f t="shared" si="570"/>
        <v/>
      </c>
      <c r="Q298" s="90" t="str">
        <f t="shared" si="570"/>
        <v/>
      </c>
      <c r="R298" s="90" t="str">
        <f t="shared" si="570"/>
        <v/>
      </c>
      <c r="S298" s="90" t="str">
        <f t="shared" si="570"/>
        <v/>
      </c>
      <c r="T298" s="90" t="str">
        <f t="shared" si="570"/>
        <v/>
      </c>
      <c r="U298" s="90" t="str">
        <f t="shared" si="570"/>
        <v/>
      </c>
      <c r="V298" s="90" t="str">
        <f t="shared" si="570"/>
        <v/>
      </c>
      <c r="W298" s="22"/>
      <c r="X298" s="22"/>
      <c r="Y298" s="91">
        <f>$A$37</f>
        <v>20142</v>
      </c>
      <c r="Z298" s="105"/>
      <c r="AA298" s="90" t="str">
        <f t="shared" ref="AA298:AH305" si="571">IFERROR(AB285/AA285,"")</f>
        <v/>
      </c>
      <c r="AB298" s="90" t="str">
        <f t="shared" si="571"/>
        <v/>
      </c>
      <c r="AC298" s="90" t="str">
        <f t="shared" si="571"/>
        <v/>
      </c>
      <c r="AD298" s="90" t="str">
        <f t="shared" si="571"/>
        <v/>
      </c>
      <c r="AE298" s="90" t="str">
        <f t="shared" si="571"/>
        <v/>
      </c>
      <c r="AF298" s="90" t="str">
        <f t="shared" si="571"/>
        <v/>
      </c>
      <c r="AG298" s="90" t="str">
        <f t="shared" si="571"/>
        <v/>
      </c>
      <c r="AH298" s="90" t="str">
        <f t="shared" si="571"/>
        <v/>
      </c>
      <c r="AI298" s="22"/>
      <c r="AJ298" s="22"/>
      <c r="AK298" s="91">
        <f>$A$37</f>
        <v>20142</v>
      </c>
      <c r="AL298" s="105"/>
      <c r="AM298" s="90" t="str">
        <f t="shared" ref="AM298:AT305" si="572">IFERROR(AN285/AM285,"")</f>
        <v/>
      </c>
      <c r="AN298" s="90" t="str">
        <f t="shared" si="572"/>
        <v/>
      </c>
      <c r="AO298" s="90" t="str">
        <f t="shared" si="572"/>
        <v/>
      </c>
      <c r="AP298" s="90" t="str">
        <f t="shared" si="572"/>
        <v/>
      </c>
      <c r="AQ298" s="90" t="str">
        <f t="shared" si="572"/>
        <v/>
      </c>
      <c r="AR298" s="90" t="str">
        <f t="shared" si="572"/>
        <v/>
      </c>
      <c r="AS298" s="90" t="str">
        <f t="shared" si="572"/>
        <v/>
      </c>
      <c r="AT298" s="90" t="str">
        <f t="shared" si="572"/>
        <v/>
      </c>
      <c r="AU298" s="22"/>
      <c r="AV298" s="22"/>
      <c r="AW298" s="91">
        <f>$A$37</f>
        <v>20142</v>
      </c>
      <c r="AX298" s="105"/>
      <c r="AY298" s="90" t="str">
        <f t="shared" ref="AY298:BF305" si="573">IFERROR(AZ285/AY285,"")</f>
        <v/>
      </c>
      <c r="AZ298" s="90" t="str">
        <f t="shared" si="573"/>
        <v/>
      </c>
      <c r="BA298" s="90" t="str">
        <f t="shared" si="573"/>
        <v/>
      </c>
      <c r="BB298" s="90" t="str">
        <f t="shared" si="573"/>
        <v/>
      </c>
      <c r="BC298" s="90" t="str">
        <f t="shared" si="573"/>
        <v/>
      </c>
      <c r="BD298" s="90" t="str">
        <f t="shared" si="573"/>
        <v/>
      </c>
      <c r="BE298" s="90" t="str">
        <f t="shared" si="573"/>
        <v/>
      </c>
      <c r="BF298" s="90" t="str">
        <f t="shared" si="573"/>
        <v/>
      </c>
      <c r="BG298" s="22"/>
      <c r="BH298" s="22"/>
      <c r="BI298" s="91">
        <f>$A$37</f>
        <v>20142</v>
      </c>
      <c r="BJ298" s="105"/>
      <c r="BK298" s="90" t="str">
        <f t="shared" ref="BK298:BR305" si="574">IFERROR(BL285/BK285,"")</f>
        <v/>
      </c>
      <c r="BL298" s="90" t="str">
        <f t="shared" si="574"/>
        <v/>
      </c>
      <c r="BM298" s="90" t="str">
        <f t="shared" si="574"/>
        <v/>
      </c>
      <c r="BN298" s="90" t="str">
        <f t="shared" si="574"/>
        <v/>
      </c>
      <c r="BO298" s="90" t="str">
        <f t="shared" si="574"/>
        <v/>
      </c>
      <c r="BP298" s="90" t="str">
        <f t="shared" si="574"/>
        <v/>
      </c>
      <c r="BQ298" s="90" t="str">
        <f t="shared" si="574"/>
        <v/>
      </c>
      <c r="BR298" s="90" t="str">
        <f t="shared" si="574"/>
        <v/>
      </c>
      <c r="BS298" s="22"/>
      <c r="BT298" s="22"/>
      <c r="BU298" s="91">
        <f>$A$37</f>
        <v>20142</v>
      </c>
      <c r="BV298" s="105"/>
      <c r="BW298" s="90" t="str">
        <f t="shared" ref="BW298:CD305" si="575">IFERROR(BX285/BW285,"")</f>
        <v/>
      </c>
      <c r="BX298" s="90" t="str">
        <f t="shared" si="575"/>
        <v/>
      </c>
      <c r="BY298" s="90" t="str">
        <f t="shared" si="575"/>
        <v/>
      </c>
      <c r="BZ298" s="90" t="str">
        <f t="shared" si="575"/>
        <v/>
      </c>
      <c r="CA298" s="90" t="str">
        <f t="shared" si="575"/>
        <v/>
      </c>
      <c r="CB298" s="90" t="str">
        <f t="shared" si="575"/>
        <v/>
      </c>
      <c r="CC298" s="90" t="str">
        <f t="shared" si="575"/>
        <v/>
      </c>
      <c r="CD298" s="90" t="str">
        <f t="shared" si="575"/>
        <v/>
      </c>
      <c r="CE298" s="22"/>
      <c r="CF298" s="22"/>
      <c r="CG298" s="91">
        <f>$A$37</f>
        <v>20142</v>
      </c>
      <c r="CH298" s="105"/>
      <c r="CI298" s="90" t="str">
        <f t="shared" ref="CI298:CP305" si="576">IFERROR(CJ285/CI285,"")</f>
        <v/>
      </c>
      <c r="CJ298" s="90" t="str">
        <f t="shared" si="576"/>
        <v/>
      </c>
      <c r="CK298" s="90" t="str">
        <f t="shared" si="576"/>
        <v/>
      </c>
      <c r="CL298" s="90" t="str">
        <f t="shared" si="576"/>
        <v/>
      </c>
      <c r="CM298" s="90" t="str">
        <f t="shared" si="576"/>
        <v/>
      </c>
      <c r="CN298" s="90" t="str">
        <f t="shared" si="576"/>
        <v/>
      </c>
      <c r="CO298" s="90" t="str">
        <f t="shared" si="576"/>
        <v/>
      </c>
      <c r="CP298" s="90" t="str">
        <f t="shared" si="576"/>
        <v/>
      </c>
      <c r="CQ298" s="22"/>
      <c r="CR298" s="22"/>
      <c r="CS298" s="91">
        <f>$A$37</f>
        <v>20142</v>
      </c>
      <c r="CT298" s="105"/>
      <c r="CU298" s="90" t="str">
        <f t="shared" ref="CU298:DB305" si="577">IFERROR(CV285/CU285,"")</f>
        <v/>
      </c>
      <c r="CV298" s="90" t="str">
        <f t="shared" si="577"/>
        <v/>
      </c>
      <c r="CW298" s="90" t="str">
        <f t="shared" si="577"/>
        <v/>
      </c>
      <c r="CX298" s="90" t="str">
        <f t="shared" si="577"/>
        <v/>
      </c>
      <c r="CY298" s="90" t="str">
        <f t="shared" si="577"/>
        <v/>
      </c>
      <c r="CZ298" s="90" t="str">
        <f t="shared" si="577"/>
        <v/>
      </c>
      <c r="DA298" s="90" t="str">
        <f t="shared" si="577"/>
        <v/>
      </c>
      <c r="DB298" s="90" t="str">
        <f t="shared" si="577"/>
        <v/>
      </c>
      <c r="DC298" s="22"/>
      <c r="DD298" s="22"/>
      <c r="DE298" s="91">
        <f>$A$37</f>
        <v>20142</v>
      </c>
      <c r="DF298" s="105"/>
      <c r="DG298" s="90" t="str">
        <f t="shared" ref="DG298:DN305" si="578">IFERROR(DH285/DG285,"")</f>
        <v/>
      </c>
      <c r="DH298" s="90" t="str">
        <f t="shared" si="578"/>
        <v/>
      </c>
      <c r="DI298" s="90" t="str">
        <f t="shared" si="578"/>
        <v/>
      </c>
      <c r="DJ298" s="90" t="str">
        <f t="shared" si="578"/>
        <v/>
      </c>
      <c r="DK298" s="90" t="str">
        <f t="shared" si="578"/>
        <v/>
      </c>
      <c r="DL298" s="90" t="str">
        <f t="shared" si="578"/>
        <v/>
      </c>
      <c r="DM298" s="90" t="str">
        <f t="shared" si="578"/>
        <v/>
      </c>
      <c r="DN298" s="90" t="str">
        <f t="shared" si="578"/>
        <v/>
      </c>
      <c r="DO298" s="22"/>
      <c r="DP298" s="22"/>
    </row>
    <row r="299" spans="1:120" x14ac:dyDescent="0.25">
      <c r="A299" s="91">
        <f>$A$38</f>
        <v>20152</v>
      </c>
      <c r="B299" s="105"/>
      <c r="C299" s="90" t="str">
        <f t="shared" si="569"/>
        <v/>
      </c>
      <c r="D299" s="90" t="str">
        <f t="shared" si="569"/>
        <v/>
      </c>
      <c r="E299" s="90" t="str">
        <f t="shared" si="569"/>
        <v/>
      </c>
      <c r="F299" s="90" t="str">
        <f t="shared" si="569"/>
        <v/>
      </c>
      <c r="G299" s="90" t="str">
        <f t="shared" si="569"/>
        <v/>
      </c>
      <c r="H299" s="90" t="str">
        <f t="shared" si="569"/>
        <v/>
      </c>
      <c r="I299" s="90" t="str">
        <f t="shared" si="569"/>
        <v/>
      </c>
      <c r="J299" s="22"/>
      <c r="K299" s="22"/>
      <c r="L299" s="22"/>
      <c r="M299" s="91">
        <f>$A$38</f>
        <v>20152</v>
      </c>
      <c r="N299" s="105"/>
      <c r="O299" s="90" t="str">
        <f t="shared" si="570"/>
        <v/>
      </c>
      <c r="P299" s="90" t="str">
        <f t="shared" si="570"/>
        <v/>
      </c>
      <c r="Q299" s="90" t="str">
        <f t="shared" si="570"/>
        <v/>
      </c>
      <c r="R299" s="90" t="str">
        <f t="shared" si="570"/>
        <v/>
      </c>
      <c r="S299" s="90" t="str">
        <f t="shared" si="570"/>
        <v/>
      </c>
      <c r="T299" s="90" t="str">
        <f t="shared" si="570"/>
        <v/>
      </c>
      <c r="U299" s="90" t="str">
        <f t="shared" si="570"/>
        <v/>
      </c>
      <c r="V299" s="22"/>
      <c r="W299" s="22"/>
      <c r="X299" s="22"/>
      <c r="Y299" s="91">
        <f>$A$38</f>
        <v>20152</v>
      </c>
      <c r="Z299" s="105"/>
      <c r="AA299" s="90" t="str">
        <f t="shared" si="571"/>
        <v/>
      </c>
      <c r="AB299" s="90" t="str">
        <f t="shared" si="571"/>
        <v/>
      </c>
      <c r="AC299" s="90" t="str">
        <f t="shared" si="571"/>
        <v/>
      </c>
      <c r="AD299" s="90" t="str">
        <f t="shared" si="571"/>
        <v/>
      </c>
      <c r="AE299" s="90" t="str">
        <f t="shared" si="571"/>
        <v/>
      </c>
      <c r="AF299" s="90" t="str">
        <f t="shared" si="571"/>
        <v/>
      </c>
      <c r="AG299" s="90" t="str">
        <f t="shared" si="571"/>
        <v/>
      </c>
      <c r="AH299" s="22"/>
      <c r="AI299" s="22"/>
      <c r="AJ299" s="22"/>
      <c r="AK299" s="91">
        <f>$A$38</f>
        <v>20152</v>
      </c>
      <c r="AL299" s="105"/>
      <c r="AM299" s="90" t="str">
        <f t="shared" si="572"/>
        <v/>
      </c>
      <c r="AN299" s="90" t="str">
        <f t="shared" si="572"/>
        <v/>
      </c>
      <c r="AO299" s="90" t="str">
        <f t="shared" si="572"/>
        <v/>
      </c>
      <c r="AP299" s="90" t="str">
        <f t="shared" si="572"/>
        <v/>
      </c>
      <c r="AQ299" s="90" t="str">
        <f t="shared" si="572"/>
        <v/>
      </c>
      <c r="AR299" s="90" t="str">
        <f t="shared" si="572"/>
        <v/>
      </c>
      <c r="AS299" s="90" t="str">
        <f t="shared" si="572"/>
        <v/>
      </c>
      <c r="AT299" s="22"/>
      <c r="AU299" s="22"/>
      <c r="AV299" s="22"/>
      <c r="AW299" s="91">
        <f>$A$38</f>
        <v>20152</v>
      </c>
      <c r="AX299" s="105"/>
      <c r="AY299" s="90" t="str">
        <f t="shared" si="573"/>
        <v/>
      </c>
      <c r="AZ299" s="90" t="str">
        <f t="shared" si="573"/>
        <v/>
      </c>
      <c r="BA299" s="90" t="str">
        <f t="shared" si="573"/>
        <v/>
      </c>
      <c r="BB299" s="90" t="str">
        <f t="shared" si="573"/>
        <v/>
      </c>
      <c r="BC299" s="90" t="str">
        <f t="shared" si="573"/>
        <v/>
      </c>
      <c r="BD299" s="90" t="str">
        <f t="shared" si="573"/>
        <v/>
      </c>
      <c r="BE299" s="90" t="str">
        <f t="shared" si="573"/>
        <v/>
      </c>
      <c r="BF299" s="22"/>
      <c r="BG299" s="22"/>
      <c r="BH299" s="22"/>
      <c r="BI299" s="91">
        <f>$A$38</f>
        <v>20152</v>
      </c>
      <c r="BJ299" s="105"/>
      <c r="BK299" s="90" t="str">
        <f t="shared" si="574"/>
        <v/>
      </c>
      <c r="BL299" s="90" t="str">
        <f t="shared" si="574"/>
        <v/>
      </c>
      <c r="BM299" s="90" t="str">
        <f t="shared" si="574"/>
        <v/>
      </c>
      <c r="BN299" s="90" t="str">
        <f t="shared" si="574"/>
        <v/>
      </c>
      <c r="BO299" s="90" t="str">
        <f t="shared" si="574"/>
        <v/>
      </c>
      <c r="BP299" s="90" t="str">
        <f t="shared" si="574"/>
        <v/>
      </c>
      <c r="BQ299" s="90" t="str">
        <f t="shared" si="574"/>
        <v/>
      </c>
      <c r="BR299" s="22"/>
      <c r="BS299" s="22"/>
      <c r="BT299" s="22"/>
      <c r="BU299" s="91">
        <f>$A$38</f>
        <v>20152</v>
      </c>
      <c r="BV299" s="105"/>
      <c r="BW299" s="90" t="str">
        <f t="shared" si="575"/>
        <v/>
      </c>
      <c r="BX299" s="90" t="str">
        <f t="shared" si="575"/>
        <v/>
      </c>
      <c r="BY299" s="90" t="str">
        <f t="shared" si="575"/>
        <v/>
      </c>
      <c r="BZ299" s="90" t="str">
        <f t="shared" si="575"/>
        <v/>
      </c>
      <c r="CA299" s="90" t="str">
        <f t="shared" si="575"/>
        <v/>
      </c>
      <c r="CB299" s="90" t="str">
        <f t="shared" si="575"/>
        <v/>
      </c>
      <c r="CC299" s="90" t="str">
        <f t="shared" si="575"/>
        <v/>
      </c>
      <c r="CD299" s="22"/>
      <c r="CE299" s="22"/>
      <c r="CF299" s="22"/>
      <c r="CG299" s="91">
        <f>$A$38</f>
        <v>20152</v>
      </c>
      <c r="CH299" s="105"/>
      <c r="CI299" s="90" t="str">
        <f t="shared" si="576"/>
        <v/>
      </c>
      <c r="CJ299" s="90" t="str">
        <f t="shared" si="576"/>
        <v/>
      </c>
      <c r="CK299" s="90" t="str">
        <f t="shared" si="576"/>
        <v/>
      </c>
      <c r="CL299" s="90" t="str">
        <f t="shared" si="576"/>
        <v/>
      </c>
      <c r="CM299" s="90" t="str">
        <f t="shared" si="576"/>
        <v/>
      </c>
      <c r="CN299" s="90" t="str">
        <f t="shared" si="576"/>
        <v/>
      </c>
      <c r="CO299" s="90" t="str">
        <f t="shared" si="576"/>
        <v/>
      </c>
      <c r="CP299" s="22"/>
      <c r="CQ299" s="22"/>
      <c r="CR299" s="22"/>
      <c r="CS299" s="91">
        <f>$A$38</f>
        <v>20152</v>
      </c>
      <c r="CT299" s="105"/>
      <c r="CU299" s="90" t="str">
        <f t="shared" si="577"/>
        <v/>
      </c>
      <c r="CV299" s="90" t="str">
        <f t="shared" si="577"/>
        <v/>
      </c>
      <c r="CW299" s="90" t="str">
        <f t="shared" si="577"/>
        <v/>
      </c>
      <c r="CX299" s="90" t="str">
        <f t="shared" si="577"/>
        <v/>
      </c>
      <c r="CY299" s="90" t="str">
        <f t="shared" si="577"/>
        <v/>
      </c>
      <c r="CZ299" s="90" t="str">
        <f t="shared" si="577"/>
        <v/>
      </c>
      <c r="DA299" s="90" t="str">
        <f t="shared" si="577"/>
        <v/>
      </c>
      <c r="DB299" s="22"/>
      <c r="DC299" s="22"/>
      <c r="DD299" s="22"/>
      <c r="DE299" s="91">
        <f>$A$38</f>
        <v>20152</v>
      </c>
      <c r="DF299" s="105"/>
      <c r="DG299" s="90" t="str">
        <f t="shared" si="578"/>
        <v/>
      </c>
      <c r="DH299" s="90" t="str">
        <f t="shared" si="578"/>
        <v/>
      </c>
      <c r="DI299" s="90" t="str">
        <f t="shared" si="578"/>
        <v/>
      </c>
      <c r="DJ299" s="90" t="str">
        <f t="shared" si="578"/>
        <v/>
      </c>
      <c r="DK299" s="90" t="str">
        <f t="shared" si="578"/>
        <v/>
      </c>
      <c r="DL299" s="90" t="str">
        <f t="shared" si="578"/>
        <v/>
      </c>
      <c r="DM299" s="90" t="str">
        <f t="shared" si="578"/>
        <v/>
      </c>
      <c r="DN299" s="22"/>
      <c r="DO299" s="22"/>
      <c r="DP299" s="22"/>
    </row>
    <row r="300" spans="1:120" x14ac:dyDescent="0.25">
      <c r="A300" s="91">
        <f>$A$39</f>
        <v>20162</v>
      </c>
      <c r="B300" s="105"/>
      <c r="C300" s="90" t="str">
        <f t="shared" si="569"/>
        <v/>
      </c>
      <c r="D300" s="90" t="str">
        <f t="shared" si="569"/>
        <v/>
      </c>
      <c r="E300" s="90" t="str">
        <f t="shared" si="569"/>
        <v/>
      </c>
      <c r="F300" s="90" t="str">
        <f t="shared" si="569"/>
        <v/>
      </c>
      <c r="G300" s="90" t="str">
        <f t="shared" si="569"/>
        <v/>
      </c>
      <c r="H300" s="90" t="str">
        <f t="shared" si="569"/>
        <v/>
      </c>
      <c r="I300" s="22"/>
      <c r="J300" s="22"/>
      <c r="K300" s="22"/>
      <c r="L300" s="22"/>
      <c r="M300" s="91">
        <f>$A$39</f>
        <v>20162</v>
      </c>
      <c r="N300" s="105"/>
      <c r="O300" s="90" t="str">
        <f t="shared" si="570"/>
        <v/>
      </c>
      <c r="P300" s="90" t="str">
        <f t="shared" si="570"/>
        <v/>
      </c>
      <c r="Q300" s="90" t="str">
        <f t="shared" si="570"/>
        <v/>
      </c>
      <c r="R300" s="90" t="str">
        <f t="shared" si="570"/>
        <v/>
      </c>
      <c r="S300" s="90" t="str">
        <f t="shared" si="570"/>
        <v/>
      </c>
      <c r="T300" s="90" t="str">
        <f t="shared" si="570"/>
        <v/>
      </c>
      <c r="U300" s="22"/>
      <c r="V300" s="22"/>
      <c r="W300" s="22"/>
      <c r="X300" s="22"/>
      <c r="Y300" s="91">
        <f>$A$39</f>
        <v>20162</v>
      </c>
      <c r="Z300" s="105"/>
      <c r="AA300" s="90" t="str">
        <f t="shared" si="571"/>
        <v/>
      </c>
      <c r="AB300" s="90" t="str">
        <f t="shared" si="571"/>
        <v/>
      </c>
      <c r="AC300" s="90" t="str">
        <f t="shared" si="571"/>
        <v/>
      </c>
      <c r="AD300" s="90" t="str">
        <f t="shared" si="571"/>
        <v/>
      </c>
      <c r="AE300" s="90" t="str">
        <f t="shared" si="571"/>
        <v/>
      </c>
      <c r="AF300" s="90" t="str">
        <f t="shared" si="571"/>
        <v/>
      </c>
      <c r="AG300" s="22"/>
      <c r="AH300" s="22"/>
      <c r="AI300" s="22"/>
      <c r="AJ300" s="22"/>
      <c r="AK300" s="91">
        <f>$A$39</f>
        <v>20162</v>
      </c>
      <c r="AL300" s="105"/>
      <c r="AM300" s="90" t="str">
        <f t="shared" si="572"/>
        <v/>
      </c>
      <c r="AN300" s="90" t="str">
        <f t="shared" si="572"/>
        <v/>
      </c>
      <c r="AO300" s="90" t="str">
        <f t="shared" si="572"/>
        <v/>
      </c>
      <c r="AP300" s="90" t="str">
        <f t="shared" si="572"/>
        <v/>
      </c>
      <c r="AQ300" s="90" t="str">
        <f t="shared" si="572"/>
        <v/>
      </c>
      <c r="AR300" s="90" t="str">
        <f t="shared" si="572"/>
        <v/>
      </c>
      <c r="AS300" s="22"/>
      <c r="AT300" s="22"/>
      <c r="AU300" s="22"/>
      <c r="AV300" s="22"/>
      <c r="AW300" s="91">
        <f>$A$39</f>
        <v>20162</v>
      </c>
      <c r="AX300" s="105"/>
      <c r="AY300" s="90" t="str">
        <f t="shared" si="573"/>
        <v/>
      </c>
      <c r="AZ300" s="90" t="str">
        <f t="shared" si="573"/>
        <v/>
      </c>
      <c r="BA300" s="90" t="str">
        <f t="shared" si="573"/>
        <v/>
      </c>
      <c r="BB300" s="90" t="str">
        <f t="shared" si="573"/>
        <v/>
      </c>
      <c r="BC300" s="90" t="str">
        <f t="shared" si="573"/>
        <v/>
      </c>
      <c r="BD300" s="90" t="str">
        <f t="shared" si="573"/>
        <v/>
      </c>
      <c r="BE300" s="22"/>
      <c r="BF300" s="22"/>
      <c r="BG300" s="22"/>
      <c r="BH300" s="22"/>
      <c r="BI300" s="91">
        <f>$A$39</f>
        <v>20162</v>
      </c>
      <c r="BJ300" s="105"/>
      <c r="BK300" s="90" t="str">
        <f t="shared" si="574"/>
        <v/>
      </c>
      <c r="BL300" s="90" t="str">
        <f t="shared" si="574"/>
        <v/>
      </c>
      <c r="BM300" s="90" t="str">
        <f t="shared" si="574"/>
        <v/>
      </c>
      <c r="BN300" s="90" t="str">
        <f t="shared" si="574"/>
        <v/>
      </c>
      <c r="BO300" s="90" t="str">
        <f t="shared" si="574"/>
        <v/>
      </c>
      <c r="BP300" s="90" t="str">
        <f t="shared" si="574"/>
        <v/>
      </c>
      <c r="BQ300" s="22"/>
      <c r="BR300" s="22"/>
      <c r="BS300" s="22"/>
      <c r="BT300" s="22"/>
      <c r="BU300" s="91">
        <f>$A$39</f>
        <v>20162</v>
      </c>
      <c r="BV300" s="105"/>
      <c r="BW300" s="90" t="str">
        <f t="shared" si="575"/>
        <v/>
      </c>
      <c r="BX300" s="90" t="str">
        <f t="shared" si="575"/>
        <v/>
      </c>
      <c r="BY300" s="90" t="str">
        <f t="shared" si="575"/>
        <v/>
      </c>
      <c r="BZ300" s="90" t="str">
        <f t="shared" si="575"/>
        <v/>
      </c>
      <c r="CA300" s="90" t="str">
        <f t="shared" si="575"/>
        <v/>
      </c>
      <c r="CB300" s="90" t="str">
        <f t="shared" si="575"/>
        <v/>
      </c>
      <c r="CC300" s="22"/>
      <c r="CD300" s="22"/>
      <c r="CE300" s="22"/>
      <c r="CF300" s="22"/>
      <c r="CG300" s="91">
        <f>$A$39</f>
        <v>20162</v>
      </c>
      <c r="CH300" s="105"/>
      <c r="CI300" s="90" t="str">
        <f t="shared" si="576"/>
        <v/>
      </c>
      <c r="CJ300" s="90" t="str">
        <f t="shared" si="576"/>
        <v/>
      </c>
      <c r="CK300" s="90" t="str">
        <f t="shared" si="576"/>
        <v/>
      </c>
      <c r="CL300" s="90" t="str">
        <f t="shared" si="576"/>
        <v/>
      </c>
      <c r="CM300" s="90" t="str">
        <f t="shared" si="576"/>
        <v/>
      </c>
      <c r="CN300" s="90" t="str">
        <f t="shared" si="576"/>
        <v/>
      </c>
      <c r="CO300" s="22"/>
      <c r="CP300" s="22"/>
      <c r="CQ300" s="22"/>
      <c r="CR300" s="22"/>
      <c r="CS300" s="91">
        <f>$A$39</f>
        <v>20162</v>
      </c>
      <c r="CT300" s="105"/>
      <c r="CU300" s="90" t="str">
        <f t="shared" si="577"/>
        <v/>
      </c>
      <c r="CV300" s="90" t="str">
        <f t="shared" si="577"/>
        <v/>
      </c>
      <c r="CW300" s="90" t="str">
        <f t="shared" si="577"/>
        <v/>
      </c>
      <c r="CX300" s="90" t="str">
        <f t="shared" si="577"/>
        <v/>
      </c>
      <c r="CY300" s="90" t="str">
        <f t="shared" si="577"/>
        <v/>
      </c>
      <c r="CZ300" s="90" t="str">
        <f t="shared" si="577"/>
        <v/>
      </c>
      <c r="DA300" s="22"/>
      <c r="DB300" s="22"/>
      <c r="DC300" s="22"/>
      <c r="DD300" s="22"/>
      <c r="DE300" s="91">
        <f>$A$39</f>
        <v>20162</v>
      </c>
      <c r="DF300" s="105"/>
      <c r="DG300" s="90" t="str">
        <f t="shared" si="578"/>
        <v/>
      </c>
      <c r="DH300" s="90" t="str">
        <f t="shared" si="578"/>
        <v/>
      </c>
      <c r="DI300" s="90" t="str">
        <f t="shared" si="578"/>
        <v/>
      </c>
      <c r="DJ300" s="90" t="str">
        <f t="shared" si="578"/>
        <v/>
      </c>
      <c r="DK300" s="90" t="str">
        <f t="shared" si="578"/>
        <v/>
      </c>
      <c r="DL300" s="90" t="str">
        <f t="shared" si="578"/>
        <v/>
      </c>
      <c r="DM300" s="22"/>
      <c r="DN300" s="22"/>
      <c r="DO300" s="22"/>
      <c r="DP300" s="22"/>
    </row>
    <row r="301" spans="1:120" x14ac:dyDescent="0.25">
      <c r="A301" s="91">
        <f>$A$40</f>
        <v>20172</v>
      </c>
      <c r="B301" s="105"/>
      <c r="C301" s="90" t="str">
        <f t="shared" si="569"/>
        <v/>
      </c>
      <c r="D301" s="90" t="str">
        <f t="shared" si="569"/>
        <v/>
      </c>
      <c r="E301" s="90" t="str">
        <f t="shared" si="569"/>
        <v/>
      </c>
      <c r="F301" s="90" t="str">
        <f t="shared" si="569"/>
        <v/>
      </c>
      <c r="G301" s="90" t="str">
        <f t="shared" si="569"/>
        <v/>
      </c>
      <c r="H301" s="22"/>
      <c r="I301" s="22"/>
      <c r="J301" s="22"/>
      <c r="K301" s="22"/>
      <c r="L301" s="22"/>
      <c r="M301" s="91">
        <f>$A$40</f>
        <v>20172</v>
      </c>
      <c r="N301" s="105"/>
      <c r="O301" s="90" t="str">
        <f t="shared" si="570"/>
        <v/>
      </c>
      <c r="P301" s="90" t="str">
        <f t="shared" si="570"/>
        <v/>
      </c>
      <c r="Q301" s="90" t="str">
        <f t="shared" si="570"/>
        <v/>
      </c>
      <c r="R301" s="90" t="str">
        <f t="shared" si="570"/>
        <v/>
      </c>
      <c r="S301" s="90" t="str">
        <f t="shared" si="570"/>
        <v/>
      </c>
      <c r="T301" s="22"/>
      <c r="U301" s="22"/>
      <c r="V301" s="22"/>
      <c r="W301" s="22"/>
      <c r="X301" s="22"/>
      <c r="Y301" s="91">
        <f>$A$40</f>
        <v>20172</v>
      </c>
      <c r="Z301" s="105"/>
      <c r="AA301" s="90" t="str">
        <f t="shared" si="571"/>
        <v/>
      </c>
      <c r="AB301" s="90" t="str">
        <f t="shared" si="571"/>
        <v/>
      </c>
      <c r="AC301" s="90" t="str">
        <f t="shared" si="571"/>
        <v/>
      </c>
      <c r="AD301" s="90" t="str">
        <f t="shared" si="571"/>
        <v/>
      </c>
      <c r="AE301" s="90" t="str">
        <f t="shared" si="571"/>
        <v/>
      </c>
      <c r="AF301" s="22"/>
      <c r="AG301" s="22"/>
      <c r="AH301" s="22"/>
      <c r="AI301" s="22"/>
      <c r="AJ301" s="22"/>
      <c r="AK301" s="91">
        <f>$A$40</f>
        <v>20172</v>
      </c>
      <c r="AL301" s="105"/>
      <c r="AM301" s="90" t="str">
        <f t="shared" si="572"/>
        <v/>
      </c>
      <c r="AN301" s="90" t="str">
        <f t="shared" si="572"/>
        <v/>
      </c>
      <c r="AO301" s="90" t="str">
        <f t="shared" si="572"/>
        <v/>
      </c>
      <c r="AP301" s="90" t="str">
        <f t="shared" si="572"/>
        <v/>
      </c>
      <c r="AQ301" s="90" t="str">
        <f t="shared" si="572"/>
        <v/>
      </c>
      <c r="AR301" s="22"/>
      <c r="AS301" s="22"/>
      <c r="AT301" s="22"/>
      <c r="AU301" s="22"/>
      <c r="AV301" s="22"/>
      <c r="AW301" s="91">
        <f>$A$40</f>
        <v>20172</v>
      </c>
      <c r="AX301" s="105"/>
      <c r="AY301" s="90" t="str">
        <f t="shared" si="573"/>
        <v/>
      </c>
      <c r="AZ301" s="90" t="str">
        <f t="shared" si="573"/>
        <v/>
      </c>
      <c r="BA301" s="90" t="str">
        <f t="shared" si="573"/>
        <v/>
      </c>
      <c r="BB301" s="90" t="str">
        <f t="shared" si="573"/>
        <v/>
      </c>
      <c r="BC301" s="90" t="str">
        <f t="shared" si="573"/>
        <v/>
      </c>
      <c r="BD301" s="22"/>
      <c r="BE301" s="22"/>
      <c r="BF301" s="22"/>
      <c r="BG301" s="22"/>
      <c r="BH301" s="22"/>
      <c r="BI301" s="91">
        <f>$A$40</f>
        <v>20172</v>
      </c>
      <c r="BJ301" s="105"/>
      <c r="BK301" s="90" t="str">
        <f t="shared" si="574"/>
        <v/>
      </c>
      <c r="BL301" s="90" t="str">
        <f t="shared" si="574"/>
        <v/>
      </c>
      <c r="BM301" s="90" t="str">
        <f t="shared" si="574"/>
        <v/>
      </c>
      <c r="BN301" s="90" t="str">
        <f t="shared" si="574"/>
        <v/>
      </c>
      <c r="BO301" s="90" t="str">
        <f t="shared" si="574"/>
        <v/>
      </c>
      <c r="BP301" s="22"/>
      <c r="BQ301" s="22"/>
      <c r="BR301" s="22"/>
      <c r="BS301" s="22"/>
      <c r="BT301" s="22"/>
      <c r="BU301" s="91">
        <f>$A$40</f>
        <v>20172</v>
      </c>
      <c r="BV301" s="105"/>
      <c r="BW301" s="90" t="str">
        <f t="shared" si="575"/>
        <v/>
      </c>
      <c r="BX301" s="90" t="str">
        <f t="shared" si="575"/>
        <v/>
      </c>
      <c r="BY301" s="90" t="str">
        <f t="shared" si="575"/>
        <v/>
      </c>
      <c r="BZ301" s="90" t="str">
        <f t="shared" si="575"/>
        <v/>
      </c>
      <c r="CA301" s="90" t="str">
        <f t="shared" si="575"/>
        <v/>
      </c>
      <c r="CB301" s="22"/>
      <c r="CC301" s="22"/>
      <c r="CD301" s="22"/>
      <c r="CE301" s="22"/>
      <c r="CF301" s="22"/>
      <c r="CG301" s="91">
        <f>$A$40</f>
        <v>20172</v>
      </c>
      <c r="CH301" s="105"/>
      <c r="CI301" s="90" t="str">
        <f t="shared" si="576"/>
        <v/>
      </c>
      <c r="CJ301" s="90" t="str">
        <f t="shared" si="576"/>
        <v/>
      </c>
      <c r="CK301" s="90" t="str">
        <f t="shared" si="576"/>
        <v/>
      </c>
      <c r="CL301" s="90" t="str">
        <f t="shared" si="576"/>
        <v/>
      </c>
      <c r="CM301" s="90" t="str">
        <f t="shared" si="576"/>
        <v/>
      </c>
      <c r="CN301" s="22"/>
      <c r="CO301" s="22"/>
      <c r="CP301" s="22"/>
      <c r="CQ301" s="22"/>
      <c r="CR301" s="22"/>
      <c r="CS301" s="91">
        <f>$A$40</f>
        <v>20172</v>
      </c>
      <c r="CT301" s="105"/>
      <c r="CU301" s="90" t="str">
        <f t="shared" si="577"/>
        <v/>
      </c>
      <c r="CV301" s="90" t="str">
        <f t="shared" si="577"/>
        <v/>
      </c>
      <c r="CW301" s="90" t="str">
        <f t="shared" si="577"/>
        <v/>
      </c>
      <c r="CX301" s="90" t="str">
        <f t="shared" si="577"/>
        <v/>
      </c>
      <c r="CY301" s="90" t="str">
        <f t="shared" si="577"/>
        <v/>
      </c>
      <c r="CZ301" s="22"/>
      <c r="DA301" s="22"/>
      <c r="DB301" s="22"/>
      <c r="DC301" s="22"/>
      <c r="DD301" s="22"/>
      <c r="DE301" s="91">
        <f>$A$40</f>
        <v>20172</v>
      </c>
      <c r="DF301" s="105"/>
      <c r="DG301" s="90" t="str">
        <f t="shared" si="578"/>
        <v/>
      </c>
      <c r="DH301" s="90" t="str">
        <f t="shared" si="578"/>
        <v/>
      </c>
      <c r="DI301" s="90" t="str">
        <f t="shared" si="578"/>
        <v/>
      </c>
      <c r="DJ301" s="90" t="str">
        <f t="shared" si="578"/>
        <v/>
      </c>
      <c r="DK301" s="90" t="str">
        <f t="shared" si="578"/>
        <v/>
      </c>
      <c r="DL301" s="22"/>
      <c r="DM301" s="22"/>
      <c r="DN301" s="22"/>
      <c r="DO301" s="22"/>
      <c r="DP301" s="22"/>
    </row>
    <row r="302" spans="1:120" x14ac:dyDescent="0.25">
      <c r="A302" s="91">
        <f>$A$41</f>
        <v>20182</v>
      </c>
      <c r="B302" s="105"/>
      <c r="C302" s="90" t="str">
        <f t="shared" si="569"/>
        <v/>
      </c>
      <c r="D302" s="90" t="str">
        <f t="shared" si="569"/>
        <v/>
      </c>
      <c r="E302" s="90" t="str">
        <f t="shared" si="569"/>
        <v/>
      </c>
      <c r="F302" s="90" t="str">
        <f t="shared" si="569"/>
        <v/>
      </c>
      <c r="G302" s="22"/>
      <c r="H302" s="22"/>
      <c r="I302" s="22"/>
      <c r="J302" s="22"/>
      <c r="K302" s="22"/>
      <c r="L302" s="22"/>
      <c r="M302" s="91">
        <f>$A$41</f>
        <v>20182</v>
      </c>
      <c r="N302" s="105"/>
      <c r="O302" s="90" t="str">
        <f t="shared" si="570"/>
        <v/>
      </c>
      <c r="P302" s="90" t="str">
        <f t="shared" si="570"/>
        <v/>
      </c>
      <c r="Q302" s="90" t="str">
        <f t="shared" si="570"/>
        <v/>
      </c>
      <c r="R302" s="90" t="str">
        <f t="shared" si="570"/>
        <v/>
      </c>
      <c r="S302" s="22"/>
      <c r="T302" s="22"/>
      <c r="U302" s="22"/>
      <c r="V302" s="22"/>
      <c r="W302" s="22"/>
      <c r="X302" s="22"/>
      <c r="Y302" s="91">
        <f>$A$41</f>
        <v>20182</v>
      </c>
      <c r="Z302" s="105"/>
      <c r="AA302" s="90" t="str">
        <f t="shared" si="571"/>
        <v/>
      </c>
      <c r="AB302" s="90" t="str">
        <f t="shared" si="571"/>
        <v/>
      </c>
      <c r="AC302" s="90" t="str">
        <f t="shared" si="571"/>
        <v/>
      </c>
      <c r="AD302" s="90" t="str">
        <f t="shared" si="571"/>
        <v/>
      </c>
      <c r="AE302" s="22"/>
      <c r="AF302" s="22"/>
      <c r="AG302" s="22"/>
      <c r="AH302" s="22"/>
      <c r="AI302" s="22"/>
      <c r="AJ302" s="22"/>
      <c r="AK302" s="91">
        <f>$A$41</f>
        <v>20182</v>
      </c>
      <c r="AL302" s="105"/>
      <c r="AM302" s="90" t="str">
        <f t="shared" si="572"/>
        <v/>
      </c>
      <c r="AN302" s="90" t="str">
        <f t="shared" si="572"/>
        <v/>
      </c>
      <c r="AO302" s="90" t="str">
        <f t="shared" si="572"/>
        <v/>
      </c>
      <c r="AP302" s="90" t="str">
        <f t="shared" si="572"/>
        <v/>
      </c>
      <c r="AQ302" s="22"/>
      <c r="AR302" s="22"/>
      <c r="AS302" s="22"/>
      <c r="AT302" s="22"/>
      <c r="AU302" s="22"/>
      <c r="AV302" s="22"/>
      <c r="AW302" s="91">
        <f>$A$41</f>
        <v>20182</v>
      </c>
      <c r="AX302" s="105"/>
      <c r="AY302" s="90" t="str">
        <f t="shared" si="573"/>
        <v/>
      </c>
      <c r="AZ302" s="90" t="str">
        <f t="shared" si="573"/>
        <v/>
      </c>
      <c r="BA302" s="90" t="str">
        <f t="shared" si="573"/>
        <v/>
      </c>
      <c r="BB302" s="90" t="str">
        <f t="shared" si="573"/>
        <v/>
      </c>
      <c r="BC302" s="22"/>
      <c r="BD302" s="22"/>
      <c r="BE302" s="22"/>
      <c r="BF302" s="22"/>
      <c r="BG302" s="22"/>
      <c r="BH302" s="22"/>
      <c r="BI302" s="91">
        <f>$A$41</f>
        <v>20182</v>
      </c>
      <c r="BJ302" s="105"/>
      <c r="BK302" s="90" t="str">
        <f t="shared" si="574"/>
        <v/>
      </c>
      <c r="BL302" s="90" t="str">
        <f t="shared" si="574"/>
        <v/>
      </c>
      <c r="BM302" s="90" t="str">
        <f t="shared" si="574"/>
        <v/>
      </c>
      <c r="BN302" s="90" t="str">
        <f t="shared" si="574"/>
        <v/>
      </c>
      <c r="BO302" s="22"/>
      <c r="BP302" s="22"/>
      <c r="BQ302" s="22"/>
      <c r="BR302" s="22"/>
      <c r="BS302" s="22"/>
      <c r="BT302" s="22"/>
      <c r="BU302" s="91">
        <f>$A$41</f>
        <v>20182</v>
      </c>
      <c r="BV302" s="105"/>
      <c r="BW302" s="90" t="str">
        <f t="shared" si="575"/>
        <v/>
      </c>
      <c r="BX302" s="90" t="str">
        <f t="shared" si="575"/>
        <v/>
      </c>
      <c r="BY302" s="90" t="str">
        <f t="shared" si="575"/>
        <v/>
      </c>
      <c r="BZ302" s="90" t="str">
        <f t="shared" si="575"/>
        <v/>
      </c>
      <c r="CA302" s="22"/>
      <c r="CB302" s="22"/>
      <c r="CC302" s="22"/>
      <c r="CD302" s="22"/>
      <c r="CE302" s="22"/>
      <c r="CF302" s="22"/>
      <c r="CG302" s="91">
        <f>$A$41</f>
        <v>20182</v>
      </c>
      <c r="CH302" s="105"/>
      <c r="CI302" s="90" t="str">
        <f t="shared" si="576"/>
        <v/>
      </c>
      <c r="CJ302" s="90" t="str">
        <f t="shared" si="576"/>
        <v/>
      </c>
      <c r="CK302" s="90" t="str">
        <f t="shared" si="576"/>
        <v/>
      </c>
      <c r="CL302" s="90" t="str">
        <f t="shared" si="576"/>
        <v/>
      </c>
      <c r="CM302" s="22"/>
      <c r="CN302" s="22"/>
      <c r="CO302" s="22"/>
      <c r="CP302" s="22"/>
      <c r="CQ302" s="22"/>
      <c r="CR302" s="22"/>
      <c r="CS302" s="91">
        <f>$A$41</f>
        <v>20182</v>
      </c>
      <c r="CT302" s="105"/>
      <c r="CU302" s="90" t="str">
        <f t="shared" si="577"/>
        <v/>
      </c>
      <c r="CV302" s="90" t="str">
        <f t="shared" si="577"/>
        <v/>
      </c>
      <c r="CW302" s="90" t="str">
        <f t="shared" si="577"/>
        <v/>
      </c>
      <c r="CX302" s="90" t="str">
        <f t="shared" si="577"/>
        <v/>
      </c>
      <c r="CY302" s="22"/>
      <c r="CZ302" s="22"/>
      <c r="DA302" s="22"/>
      <c r="DB302" s="22"/>
      <c r="DC302" s="22"/>
      <c r="DD302" s="22"/>
      <c r="DE302" s="91">
        <f>$A$41</f>
        <v>20182</v>
      </c>
      <c r="DF302" s="105"/>
      <c r="DG302" s="90" t="str">
        <f t="shared" si="578"/>
        <v/>
      </c>
      <c r="DH302" s="90" t="str">
        <f t="shared" si="578"/>
        <v/>
      </c>
      <c r="DI302" s="90" t="str">
        <f t="shared" si="578"/>
        <v/>
      </c>
      <c r="DJ302" s="90" t="str">
        <f t="shared" si="578"/>
        <v/>
      </c>
      <c r="DK302" s="22"/>
      <c r="DL302" s="22"/>
      <c r="DM302" s="22"/>
      <c r="DN302" s="22"/>
      <c r="DO302" s="22"/>
      <c r="DP302" s="22"/>
    </row>
    <row r="303" spans="1:120" x14ac:dyDescent="0.25">
      <c r="A303" s="91">
        <f>$A$42</f>
        <v>20192</v>
      </c>
      <c r="B303" s="105"/>
      <c r="C303" s="90" t="str">
        <f t="shared" si="569"/>
        <v/>
      </c>
      <c r="D303" s="90" t="str">
        <f t="shared" si="569"/>
        <v/>
      </c>
      <c r="E303" s="90" t="str">
        <f t="shared" si="569"/>
        <v/>
      </c>
      <c r="F303" s="22"/>
      <c r="G303" s="22"/>
      <c r="H303" s="22"/>
      <c r="I303" s="22"/>
      <c r="J303" s="22"/>
      <c r="K303" s="22"/>
      <c r="L303" s="22"/>
      <c r="M303" s="91">
        <f>$A$42</f>
        <v>20192</v>
      </c>
      <c r="N303" s="105"/>
      <c r="O303" s="90" t="str">
        <f t="shared" si="570"/>
        <v/>
      </c>
      <c r="P303" s="90" t="str">
        <f t="shared" si="570"/>
        <v/>
      </c>
      <c r="Q303" s="90" t="str">
        <f t="shared" si="570"/>
        <v/>
      </c>
      <c r="R303" s="22"/>
      <c r="S303" s="22"/>
      <c r="T303" s="22"/>
      <c r="U303" s="22"/>
      <c r="V303" s="22"/>
      <c r="W303" s="22"/>
      <c r="X303" s="22"/>
      <c r="Y303" s="91">
        <f>$A$42</f>
        <v>20192</v>
      </c>
      <c r="Z303" s="105"/>
      <c r="AA303" s="90" t="str">
        <f t="shared" si="571"/>
        <v/>
      </c>
      <c r="AB303" s="90" t="str">
        <f t="shared" si="571"/>
        <v/>
      </c>
      <c r="AC303" s="90" t="str">
        <f t="shared" si="571"/>
        <v/>
      </c>
      <c r="AD303" s="22"/>
      <c r="AE303" s="22"/>
      <c r="AF303" s="22"/>
      <c r="AG303" s="22"/>
      <c r="AH303" s="22"/>
      <c r="AI303" s="22"/>
      <c r="AJ303" s="22"/>
      <c r="AK303" s="91">
        <f>$A$42</f>
        <v>20192</v>
      </c>
      <c r="AL303" s="105"/>
      <c r="AM303" s="90" t="str">
        <f t="shared" si="572"/>
        <v/>
      </c>
      <c r="AN303" s="90" t="str">
        <f t="shared" si="572"/>
        <v/>
      </c>
      <c r="AO303" s="90" t="str">
        <f t="shared" si="572"/>
        <v/>
      </c>
      <c r="AP303" s="22"/>
      <c r="AQ303" s="22"/>
      <c r="AR303" s="22"/>
      <c r="AS303" s="22"/>
      <c r="AT303" s="22"/>
      <c r="AU303" s="22"/>
      <c r="AV303" s="22"/>
      <c r="AW303" s="91">
        <f>$A$42</f>
        <v>20192</v>
      </c>
      <c r="AX303" s="105"/>
      <c r="AY303" s="90" t="str">
        <f t="shared" si="573"/>
        <v/>
      </c>
      <c r="AZ303" s="90" t="str">
        <f t="shared" si="573"/>
        <v/>
      </c>
      <c r="BA303" s="90" t="str">
        <f t="shared" si="573"/>
        <v/>
      </c>
      <c r="BB303" s="22"/>
      <c r="BC303" s="22"/>
      <c r="BD303" s="22"/>
      <c r="BE303" s="22"/>
      <c r="BF303" s="22"/>
      <c r="BG303" s="22"/>
      <c r="BH303" s="22"/>
      <c r="BI303" s="91">
        <f>$A$42</f>
        <v>20192</v>
      </c>
      <c r="BJ303" s="105"/>
      <c r="BK303" s="90" t="str">
        <f t="shared" si="574"/>
        <v/>
      </c>
      <c r="BL303" s="90" t="str">
        <f t="shared" si="574"/>
        <v/>
      </c>
      <c r="BM303" s="90" t="str">
        <f t="shared" si="574"/>
        <v/>
      </c>
      <c r="BN303" s="22"/>
      <c r="BO303" s="22"/>
      <c r="BP303" s="22"/>
      <c r="BQ303" s="22"/>
      <c r="BR303" s="22"/>
      <c r="BS303" s="22"/>
      <c r="BT303" s="22"/>
      <c r="BU303" s="91">
        <f>$A$42</f>
        <v>20192</v>
      </c>
      <c r="BV303" s="105"/>
      <c r="BW303" s="90" t="str">
        <f t="shared" si="575"/>
        <v/>
      </c>
      <c r="BX303" s="90" t="str">
        <f t="shared" si="575"/>
        <v/>
      </c>
      <c r="BY303" s="90" t="str">
        <f t="shared" si="575"/>
        <v/>
      </c>
      <c r="BZ303" s="22"/>
      <c r="CA303" s="22"/>
      <c r="CB303" s="22"/>
      <c r="CC303" s="22"/>
      <c r="CD303" s="22"/>
      <c r="CE303" s="22"/>
      <c r="CF303" s="22"/>
      <c r="CG303" s="91">
        <f>$A$42</f>
        <v>20192</v>
      </c>
      <c r="CH303" s="105"/>
      <c r="CI303" s="90" t="str">
        <f t="shared" si="576"/>
        <v/>
      </c>
      <c r="CJ303" s="90" t="str">
        <f t="shared" si="576"/>
        <v/>
      </c>
      <c r="CK303" s="90" t="str">
        <f t="shared" si="576"/>
        <v/>
      </c>
      <c r="CL303" s="22"/>
      <c r="CM303" s="22"/>
      <c r="CN303" s="22"/>
      <c r="CO303" s="22"/>
      <c r="CP303" s="22"/>
      <c r="CQ303" s="22"/>
      <c r="CR303" s="22"/>
      <c r="CS303" s="91">
        <f>$A$42</f>
        <v>20192</v>
      </c>
      <c r="CT303" s="105"/>
      <c r="CU303" s="90" t="str">
        <f t="shared" si="577"/>
        <v/>
      </c>
      <c r="CV303" s="90" t="str">
        <f t="shared" si="577"/>
        <v/>
      </c>
      <c r="CW303" s="90" t="str">
        <f t="shared" si="577"/>
        <v/>
      </c>
      <c r="CX303" s="22"/>
      <c r="CY303" s="22"/>
      <c r="CZ303" s="22"/>
      <c r="DA303" s="22"/>
      <c r="DB303" s="22"/>
      <c r="DC303" s="22"/>
      <c r="DD303" s="22"/>
      <c r="DE303" s="91">
        <f>$A$42</f>
        <v>20192</v>
      </c>
      <c r="DF303" s="105"/>
      <c r="DG303" s="90" t="str">
        <f t="shared" si="578"/>
        <v/>
      </c>
      <c r="DH303" s="90" t="str">
        <f t="shared" si="578"/>
        <v/>
      </c>
      <c r="DI303" s="90" t="str">
        <f t="shared" si="578"/>
        <v/>
      </c>
      <c r="DJ303" s="22"/>
      <c r="DK303" s="22"/>
      <c r="DL303" s="22"/>
      <c r="DM303" s="22"/>
      <c r="DN303" s="22"/>
      <c r="DO303" s="22"/>
      <c r="DP303" s="22"/>
    </row>
    <row r="304" spans="1:120" x14ac:dyDescent="0.25">
      <c r="A304" s="91">
        <f>$A$43</f>
        <v>20202</v>
      </c>
      <c r="B304" s="105"/>
      <c r="C304" s="90" t="str">
        <f t="shared" si="569"/>
        <v/>
      </c>
      <c r="D304" s="90" t="str">
        <f t="shared" si="569"/>
        <v/>
      </c>
      <c r="E304" s="22"/>
      <c r="F304" s="22"/>
      <c r="G304" s="22"/>
      <c r="H304" s="22"/>
      <c r="I304" s="22"/>
      <c r="J304" s="22"/>
      <c r="K304" s="22"/>
      <c r="L304" s="22"/>
      <c r="M304" s="91">
        <f>$A$43</f>
        <v>20202</v>
      </c>
      <c r="N304" s="105"/>
      <c r="O304" s="90" t="str">
        <f t="shared" si="570"/>
        <v/>
      </c>
      <c r="P304" s="90" t="str">
        <f t="shared" si="570"/>
        <v/>
      </c>
      <c r="Q304" s="22"/>
      <c r="R304" s="22"/>
      <c r="S304" s="22"/>
      <c r="T304" s="22"/>
      <c r="U304" s="22"/>
      <c r="V304" s="22"/>
      <c r="W304" s="22"/>
      <c r="X304" s="22"/>
      <c r="Y304" s="91">
        <f>$A$43</f>
        <v>20202</v>
      </c>
      <c r="Z304" s="105"/>
      <c r="AA304" s="90" t="str">
        <f t="shared" si="571"/>
        <v/>
      </c>
      <c r="AB304" s="90" t="str">
        <f t="shared" si="571"/>
        <v/>
      </c>
      <c r="AC304" s="22"/>
      <c r="AD304" s="22"/>
      <c r="AE304" s="22"/>
      <c r="AF304" s="22"/>
      <c r="AG304" s="22"/>
      <c r="AH304" s="22"/>
      <c r="AI304" s="22"/>
      <c r="AJ304" s="22"/>
      <c r="AK304" s="91">
        <f>$A$43</f>
        <v>20202</v>
      </c>
      <c r="AL304" s="105"/>
      <c r="AM304" s="90" t="str">
        <f t="shared" si="572"/>
        <v/>
      </c>
      <c r="AN304" s="90" t="str">
        <f t="shared" si="572"/>
        <v/>
      </c>
      <c r="AO304" s="22"/>
      <c r="AP304" s="22"/>
      <c r="AQ304" s="22"/>
      <c r="AR304" s="22"/>
      <c r="AS304" s="22"/>
      <c r="AT304" s="22"/>
      <c r="AU304" s="22"/>
      <c r="AV304" s="22"/>
      <c r="AW304" s="91">
        <f>$A$43</f>
        <v>20202</v>
      </c>
      <c r="AX304" s="105"/>
      <c r="AY304" s="90" t="str">
        <f t="shared" si="573"/>
        <v/>
      </c>
      <c r="AZ304" s="90" t="str">
        <f t="shared" si="573"/>
        <v/>
      </c>
      <c r="BA304" s="22"/>
      <c r="BB304" s="22"/>
      <c r="BC304" s="22"/>
      <c r="BD304" s="22"/>
      <c r="BE304" s="22"/>
      <c r="BF304" s="22"/>
      <c r="BG304" s="22"/>
      <c r="BH304" s="22"/>
      <c r="BI304" s="91">
        <f>$A$43</f>
        <v>20202</v>
      </c>
      <c r="BJ304" s="105"/>
      <c r="BK304" s="90" t="str">
        <f t="shared" si="574"/>
        <v/>
      </c>
      <c r="BL304" s="90" t="str">
        <f t="shared" si="574"/>
        <v/>
      </c>
      <c r="BM304" s="22"/>
      <c r="BN304" s="22"/>
      <c r="BO304" s="22"/>
      <c r="BP304" s="22"/>
      <c r="BQ304" s="22"/>
      <c r="BR304" s="22"/>
      <c r="BS304" s="22"/>
      <c r="BT304" s="22"/>
      <c r="BU304" s="91">
        <f>$A$43</f>
        <v>20202</v>
      </c>
      <c r="BV304" s="105"/>
      <c r="BW304" s="90" t="str">
        <f t="shared" si="575"/>
        <v/>
      </c>
      <c r="BX304" s="90" t="str">
        <f t="shared" si="575"/>
        <v/>
      </c>
      <c r="BY304" s="22"/>
      <c r="BZ304" s="22"/>
      <c r="CA304" s="22"/>
      <c r="CB304" s="22"/>
      <c r="CC304" s="22"/>
      <c r="CD304" s="22"/>
      <c r="CE304" s="22"/>
      <c r="CF304" s="22"/>
      <c r="CG304" s="91">
        <f>$A$43</f>
        <v>20202</v>
      </c>
      <c r="CH304" s="105"/>
      <c r="CI304" s="90" t="str">
        <f t="shared" si="576"/>
        <v/>
      </c>
      <c r="CJ304" s="90" t="str">
        <f t="shared" si="576"/>
        <v/>
      </c>
      <c r="CK304" s="22"/>
      <c r="CL304" s="22"/>
      <c r="CM304" s="22"/>
      <c r="CN304" s="22"/>
      <c r="CO304" s="22"/>
      <c r="CP304" s="22"/>
      <c r="CQ304" s="22"/>
      <c r="CR304" s="22"/>
      <c r="CS304" s="91">
        <f>$A$43</f>
        <v>20202</v>
      </c>
      <c r="CT304" s="105"/>
      <c r="CU304" s="90" t="str">
        <f t="shared" si="577"/>
        <v/>
      </c>
      <c r="CV304" s="90" t="str">
        <f t="shared" si="577"/>
        <v/>
      </c>
      <c r="CW304" s="22"/>
      <c r="CX304" s="22"/>
      <c r="CY304" s="22"/>
      <c r="CZ304" s="22"/>
      <c r="DA304" s="22"/>
      <c r="DB304" s="22"/>
      <c r="DC304" s="22"/>
      <c r="DD304" s="22"/>
      <c r="DE304" s="91">
        <f>$A$43</f>
        <v>20202</v>
      </c>
      <c r="DF304" s="105"/>
      <c r="DG304" s="90" t="str">
        <f t="shared" si="578"/>
        <v/>
      </c>
      <c r="DH304" s="90" t="str">
        <f t="shared" si="578"/>
        <v/>
      </c>
      <c r="DI304" s="22"/>
      <c r="DJ304" s="22"/>
      <c r="DK304" s="22"/>
      <c r="DL304" s="22"/>
      <c r="DM304" s="22"/>
      <c r="DN304" s="22"/>
      <c r="DO304" s="22"/>
      <c r="DP304" s="22"/>
    </row>
    <row r="305" spans="1:120" x14ac:dyDescent="0.25">
      <c r="A305" s="91">
        <f>$A$44</f>
        <v>20212</v>
      </c>
      <c r="B305" s="105"/>
      <c r="C305" s="90" t="str">
        <f t="shared" si="569"/>
        <v/>
      </c>
      <c r="D305" s="22"/>
      <c r="E305" s="22"/>
      <c r="F305" s="22"/>
      <c r="G305" s="22"/>
      <c r="H305" s="22"/>
      <c r="I305" s="22"/>
      <c r="J305" s="22"/>
      <c r="K305" s="22"/>
      <c r="L305" s="22"/>
      <c r="M305" s="91">
        <f>$A$44</f>
        <v>20212</v>
      </c>
      <c r="N305" s="105"/>
      <c r="O305" s="90" t="str">
        <f t="shared" si="570"/>
        <v/>
      </c>
      <c r="P305" s="22"/>
      <c r="Q305" s="22"/>
      <c r="R305" s="22"/>
      <c r="S305" s="22"/>
      <c r="T305" s="22"/>
      <c r="U305" s="22"/>
      <c r="V305" s="22"/>
      <c r="W305" s="22"/>
      <c r="X305" s="22"/>
      <c r="Y305" s="91">
        <f>$A$44</f>
        <v>20212</v>
      </c>
      <c r="Z305" s="105"/>
      <c r="AA305" s="90" t="str">
        <f t="shared" si="571"/>
        <v/>
      </c>
      <c r="AB305" s="22"/>
      <c r="AC305" s="22"/>
      <c r="AD305" s="22"/>
      <c r="AE305" s="22"/>
      <c r="AF305" s="22"/>
      <c r="AG305" s="22"/>
      <c r="AH305" s="22"/>
      <c r="AI305" s="22"/>
      <c r="AJ305" s="22"/>
      <c r="AK305" s="91">
        <f>$A$44</f>
        <v>20212</v>
      </c>
      <c r="AL305" s="105"/>
      <c r="AM305" s="90" t="str">
        <f t="shared" si="572"/>
        <v/>
      </c>
      <c r="AN305" s="22"/>
      <c r="AO305" s="22"/>
      <c r="AP305" s="22"/>
      <c r="AQ305" s="22"/>
      <c r="AR305" s="22"/>
      <c r="AS305" s="22"/>
      <c r="AT305" s="22"/>
      <c r="AU305" s="22"/>
      <c r="AV305" s="22"/>
      <c r="AW305" s="91">
        <f>$A$44</f>
        <v>20212</v>
      </c>
      <c r="AX305" s="105"/>
      <c r="AY305" s="90" t="str">
        <f t="shared" si="573"/>
        <v/>
      </c>
      <c r="AZ305" s="22"/>
      <c r="BA305" s="22"/>
      <c r="BB305" s="22"/>
      <c r="BC305" s="22"/>
      <c r="BD305" s="22"/>
      <c r="BE305" s="22"/>
      <c r="BF305" s="22"/>
      <c r="BG305" s="22"/>
      <c r="BH305" s="22"/>
      <c r="BI305" s="91">
        <f>$A$44</f>
        <v>20212</v>
      </c>
      <c r="BJ305" s="105"/>
      <c r="BK305" s="90" t="str">
        <f t="shared" si="574"/>
        <v/>
      </c>
      <c r="BL305" s="22"/>
      <c r="BM305" s="22"/>
      <c r="BN305" s="22"/>
      <c r="BO305" s="22"/>
      <c r="BP305" s="22"/>
      <c r="BQ305" s="22"/>
      <c r="BR305" s="22"/>
      <c r="BS305" s="22"/>
      <c r="BT305" s="22"/>
      <c r="BU305" s="91">
        <f>$A$44</f>
        <v>20212</v>
      </c>
      <c r="BV305" s="105"/>
      <c r="BW305" s="90" t="str">
        <f t="shared" si="575"/>
        <v/>
      </c>
      <c r="BX305" s="22"/>
      <c r="BY305" s="22"/>
      <c r="BZ305" s="22"/>
      <c r="CA305" s="22"/>
      <c r="CB305" s="22"/>
      <c r="CC305" s="22"/>
      <c r="CD305" s="22"/>
      <c r="CE305" s="22"/>
      <c r="CF305" s="22"/>
      <c r="CG305" s="91">
        <f>$A$44</f>
        <v>20212</v>
      </c>
      <c r="CH305" s="105"/>
      <c r="CI305" s="90" t="str">
        <f t="shared" si="576"/>
        <v/>
      </c>
      <c r="CJ305" s="22"/>
      <c r="CK305" s="22"/>
      <c r="CL305" s="22"/>
      <c r="CM305" s="22"/>
      <c r="CN305" s="22"/>
      <c r="CO305" s="22"/>
      <c r="CP305" s="22"/>
      <c r="CQ305" s="22"/>
      <c r="CR305" s="22"/>
      <c r="CS305" s="91">
        <f>$A$44</f>
        <v>20212</v>
      </c>
      <c r="CT305" s="105"/>
      <c r="CU305" s="90" t="str">
        <f t="shared" si="577"/>
        <v/>
      </c>
      <c r="CV305" s="22"/>
      <c r="CW305" s="22"/>
      <c r="CX305" s="22"/>
      <c r="CY305" s="22"/>
      <c r="CZ305" s="22"/>
      <c r="DA305" s="22"/>
      <c r="DB305" s="22"/>
      <c r="DC305" s="22"/>
      <c r="DD305" s="22"/>
      <c r="DE305" s="91">
        <f>$A$44</f>
        <v>20212</v>
      </c>
      <c r="DF305" s="105"/>
      <c r="DG305" s="90" t="str">
        <f t="shared" si="578"/>
        <v/>
      </c>
      <c r="DH305" s="22"/>
      <c r="DI305" s="22"/>
      <c r="DJ305" s="22"/>
      <c r="DK305" s="22"/>
      <c r="DL305" s="22"/>
      <c r="DM305" s="22"/>
      <c r="DN305" s="22"/>
      <c r="DO305" s="22"/>
      <c r="DP305" s="22"/>
    </row>
    <row r="306" spans="1:120" x14ac:dyDescent="0.25">
      <c r="L306" s="94" t="s">
        <v>38</v>
      </c>
      <c r="X306" s="94" t="s">
        <v>38</v>
      </c>
      <c r="AJ306" s="94" t="s">
        <v>38</v>
      </c>
      <c r="AV306" s="94" t="s">
        <v>38</v>
      </c>
      <c r="BH306" s="94" t="s">
        <v>38</v>
      </c>
      <c r="BT306" s="94" t="s">
        <v>38</v>
      </c>
      <c r="CF306" s="94" t="s">
        <v>38</v>
      </c>
      <c r="CR306" s="94" t="s">
        <v>38</v>
      </c>
      <c r="DD306" s="94" t="s">
        <v>38</v>
      </c>
      <c r="DP306" s="94" t="s">
        <v>38</v>
      </c>
    </row>
    <row r="307" spans="1:120" x14ac:dyDescent="0.25">
      <c r="A307" s="262" t="s">
        <v>52</v>
      </c>
      <c r="B307" s="263"/>
      <c r="C307" s="264">
        <f>IFERROR(AVERAGE(C303:C305),1)</f>
        <v>1</v>
      </c>
      <c r="D307" s="264">
        <f>IFERROR(AVERAGE(D302:D304),1)</f>
        <v>1</v>
      </c>
      <c r="E307" s="264">
        <f>IFERROR(AVERAGE(E301:E303),1)</f>
        <v>1</v>
      </c>
      <c r="F307" s="264">
        <f>IFERROR(AVERAGE(F300:F302),1)</f>
        <v>1</v>
      </c>
      <c r="G307" s="264">
        <f>IFERROR(AVERAGE(G299:G301),1)</f>
        <v>1</v>
      </c>
      <c r="H307" s="264">
        <f>IFERROR(AVERAGE(H298:H300),1)</f>
        <v>1</v>
      </c>
      <c r="I307" s="264">
        <f>IFERROR(AVERAGE(I297:I299),1)</f>
        <v>1</v>
      </c>
      <c r="J307" s="264">
        <f>IFERROR(AVERAGE(J297:J298),1)</f>
        <v>1</v>
      </c>
      <c r="K307" s="264">
        <f>IFERROR(AVERAGE(K297:K297),1)</f>
        <v>1</v>
      </c>
      <c r="L307" s="264">
        <v>1</v>
      </c>
      <c r="M307" s="262" t="s">
        <v>52</v>
      </c>
      <c r="N307" s="263"/>
      <c r="O307" s="264">
        <f>IFERROR(AVERAGE(O303:O305),1)</f>
        <v>1</v>
      </c>
      <c r="P307" s="264">
        <f>IFERROR(AVERAGE(P302:P304),1)</f>
        <v>1</v>
      </c>
      <c r="Q307" s="264">
        <f>IFERROR(AVERAGE(Q301:Q303),1)</f>
        <v>1</v>
      </c>
      <c r="R307" s="264">
        <f>IFERROR(AVERAGE(R300:R302),1)</f>
        <v>1</v>
      </c>
      <c r="S307" s="264">
        <f>IFERROR(AVERAGE(S299:S301),1)</f>
        <v>1</v>
      </c>
      <c r="T307" s="264">
        <f>IFERROR(AVERAGE(T298:T300),1)</f>
        <v>1</v>
      </c>
      <c r="U307" s="264">
        <f>IFERROR(AVERAGE(U297:U299),1)</f>
        <v>1</v>
      </c>
      <c r="V307" s="264">
        <f>IFERROR(AVERAGE(V297:V298),1)</f>
        <v>1</v>
      </c>
      <c r="W307" s="264">
        <f>IFERROR(AVERAGE(W297:W297),1)</f>
        <v>1</v>
      </c>
      <c r="X307" s="264">
        <v>1</v>
      </c>
      <c r="Y307" s="262" t="s">
        <v>52</v>
      </c>
      <c r="Z307" s="263"/>
      <c r="AA307" s="264">
        <f>IFERROR(AVERAGE(AA303:AA305),1)</f>
        <v>1</v>
      </c>
      <c r="AB307" s="264">
        <f>IFERROR(AVERAGE(AB302:AB304),1)</f>
        <v>1</v>
      </c>
      <c r="AC307" s="264">
        <f>IFERROR(AVERAGE(AC301:AC303),1)</f>
        <v>1</v>
      </c>
      <c r="AD307" s="264">
        <f>IFERROR(AVERAGE(AD300:AD302),1)</f>
        <v>1</v>
      </c>
      <c r="AE307" s="264">
        <f>IFERROR(AVERAGE(AE299:AE301),1)</f>
        <v>1</v>
      </c>
      <c r="AF307" s="264">
        <f>IFERROR(AVERAGE(AF298:AF300),1)</f>
        <v>1</v>
      </c>
      <c r="AG307" s="264">
        <f>IFERROR(AVERAGE(AG297:AG299),1)</f>
        <v>1</v>
      </c>
      <c r="AH307" s="264">
        <f>IFERROR(AVERAGE(AH297:AH298),1)</f>
        <v>1</v>
      </c>
      <c r="AI307" s="264">
        <f>IFERROR(AVERAGE(AI297:AI297),1)</f>
        <v>1</v>
      </c>
      <c r="AJ307" s="264">
        <v>1</v>
      </c>
      <c r="AK307" s="262" t="s">
        <v>52</v>
      </c>
      <c r="AL307" s="263"/>
      <c r="AM307" s="264">
        <f>IFERROR(AVERAGE(AM303:AM305),1)</f>
        <v>1</v>
      </c>
      <c r="AN307" s="264">
        <f>IFERROR(AVERAGE(AN302:AN304),1)</f>
        <v>1</v>
      </c>
      <c r="AO307" s="264">
        <f>IFERROR(AVERAGE(AO301:AO303),1)</f>
        <v>1</v>
      </c>
      <c r="AP307" s="264">
        <f>IFERROR(AVERAGE(AP300:AP302),1)</f>
        <v>1</v>
      </c>
      <c r="AQ307" s="264">
        <f>IFERROR(AVERAGE(AQ299:AQ301),1)</f>
        <v>1</v>
      </c>
      <c r="AR307" s="264">
        <f>IFERROR(AVERAGE(AR298:AR300),1)</f>
        <v>1</v>
      </c>
      <c r="AS307" s="264">
        <f>IFERROR(AVERAGE(AS297:AS299),1)</f>
        <v>1</v>
      </c>
      <c r="AT307" s="264">
        <f>IFERROR(AVERAGE(AT297:AT298),1)</f>
        <v>1</v>
      </c>
      <c r="AU307" s="264">
        <f>IFERROR(AVERAGE(AU297:AU297),1)</f>
        <v>1</v>
      </c>
      <c r="AV307" s="264">
        <v>1</v>
      </c>
      <c r="AW307" s="262" t="s">
        <v>52</v>
      </c>
      <c r="AX307" s="263"/>
      <c r="AY307" s="264">
        <f>IFERROR(AVERAGE(AY303:AY305),1)</f>
        <v>1</v>
      </c>
      <c r="AZ307" s="264">
        <f>IFERROR(AVERAGE(AZ302:AZ304),1)</f>
        <v>1</v>
      </c>
      <c r="BA307" s="264">
        <f>IFERROR(AVERAGE(BA301:BA303),1)</f>
        <v>1</v>
      </c>
      <c r="BB307" s="264">
        <f>IFERROR(AVERAGE(BB300:BB302),1)</f>
        <v>1</v>
      </c>
      <c r="BC307" s="264">
        <f>IFERROR(AVERAGE(BC299:BC301),1)</f>
        <v>1</v>
      </c>
      <c r="BD307" s="264">
        <f>IFERROR(AVERAGE(BD298:BD300),1)</f>
        <v>1</v>
      </c>
      <c r="BE307" s="264">
        <f>IFERROR(AVERAGE(BE297:BE299),1)</f>
        <v>1</v>
      </c>
      <c r="BF307" s="264">
        <f>IFERROR(AVERAGE(BF297:BF298),1)</f>
        <v>1</v>
      </c>
      <c r="BG307" s="264">
        <f>IFERROR(AVERAGE(BG297:BG297),1)</f>
        <v>1</v>
      </c>
      <c r="BH307" s="264">
        <v>1</v>
      </c>
      <c r="BI307" s="262" t="s">
        <v>52</v>
      </c>
      <c r="BJ307" s="263"/>
      <c r="BK307" s="264">
        <f>IFERROR(AVERAGE(BK303:BK305),1)</f>
        <v>1</v>
      </c>
      <c r="BL307" s="264">
        <f>IFERROR(AVERAGE(BL302:BL304),1)</f>
        <v>1</v>
      </c>
      <c r="BM307" s="264">
        <f>IFERROR(AVERAGE(BM301:BM303),1)</f>
        <v>1</v>
      </c>
      <c r="BN307" s="264">
        <f>IFERROR(AVERAGE(BN300:BN302),1)</f>
        <v>1</v>
      </c>
      <c r="BO307" s="264">
        <f>IFERROR(AVERAGE(BO299:BO301),1)</f>
        <v>1</v>
      </c>
      <c r="BP307" s="264">
        <f>IFERROR(AVERAGE(BP298:BP300),1)</f>
        <v>1</v>
      </c>
      <c r="BQ307" s="264">
        <f>IFERROR(AVERAGE(BQ297:BQ299),1)</f>
        <v>1</v>
      </c>
      <c r="BR307" s="264">
        <f>IFERROR(AVERAGE(BR297:BR298),1)</f>
        <v>1</v>
      </c>
      <c r="BS307" s="264">
        <f>IFERROR(AVERAGE(BS297:BS297),1)</f>
        <v>1</v>
      </c>
      <c r="BT307" s="264">
        <v>1</v>
      </c>
      <c r="BU307" s="262" t="s">
        <v>52</v>
      </c>
      <c r="BV307" s="263"/>
      <c r="BW307" s="264">
        <f>IFERROR(AVERAGE(BW303:BW305),1)</f>
        <v>1</v>
      </c>
      <c r="BX307" s="264">
        <f>IFERROR(AVERAGE(BX302:BX304),1)</f>
        <v>1</v>
      </c>
      <c r="BY307" s="264">
        <f>IFERROR(AVERAGE(BY301:BY303),1)</f>
        <v>1</v>
      </c>
      <c r="BZ307" s="264">
        <f>IFERROR(AVERAGE(BZ300:BZ302),1)</f>
        <v>1</v>
      </c>
      <c r="CA307" s="264">
        <f>IFERROR(AVERAGE(CA299:CA301),1)</f>
        <v>1</v>
      </c>
      <c r="CB307" s="264">
        <f>IFERROR(AVERAGE(CB298:CB300),1)</f>
        <v>1</v>
      </c>
      <c r="CC307" s="264">
        <f>IFERROR(AVERAGE(CC297:CC299),1)</f>
        <v>1</v>
      </c>
      <c r="CD307" s="264">
        <f>IFERROR(AVERAGE(CD297:CD298),1)</f>
        <v>1</v>
      </c>
      <c r="CE307" s="264">
        <f>IFERROR(AVERAGE(CE297:CE297),1)</f>
        <v>1</v>
      </c>
      <c r="CF307" s="264">
        <v>1</v>
      </c>
      <c r="CG307" s="262" t="s">
        <v>52</v>
      </c>
      <c r="CH307" s="263"/>
      <c r="CI307" s="264">
        <f>IFERROR(AVERAGE(CI303:CI305),1)</f>
        <v>1</v>
      </c>
      <c r="CJ307" s="264">
        <f>IFERROR(AVERAGE(CJ302:CJ304),1)</f>
        <v>1</v>
      </c>
      <c r="CK307" s="264">
        <f>IFERROR(AVERAGE(CK301:CK303),1)</f>
        <v>1</v>
      </c>
      <c r="CL307" s="264">
        <f>IFERROR(AVERAGE(CL300:CL302),1)</f>
        <v>1</v>
      </c>
      <c r="CM307" s="264">
        <f>IFERROR(AVERAGE(CM299:CM301),1)</f>
        <v>1</v>
      </c>
      <c r="CN307" s="264">
        <f>IFERROR(AVERAGE(CN298:CN300),1)</f>
        <v>1</v>
      </c>
      <c r="CO307" s="264">
        <f>IFERROR(AVERAGE(CO297:CO299),1)</f>
        <v>1</v>
      </c>
      <c r="CP307" s="264">
        <f>IFERROR(AVERAGE(CP297:CP298),1)</f>
        <v>1</v>
      </c>
      <c r="CQ307" s="264">
        <f>IFERROR(AVERAGE(CQ297:CQ297),1)</f>
        <v>1</v>
      </c>
      <c r="CR307" s="264">
        <v>1</v>
      </c>
      <c r="CS307" s="262" t="s">
        <v>52</v>
      </c>
      <c r="CT307" s="263"/>
      <c r="CU307" s="264">
        <f>IFERROR(AVERAGE(CU303:CU305),1)</f>
        <v>1</v>
      </c>
      <c r="CV307" s="264">
        <f>IFERROR(AVERAGE(CV302:CV304),1)</f>
        <v>1</v>
      </c>
      <c r="CW307" s="264">
        <f>IFERROR(AVERAGE(CW301:CW303),1)</f>
        <v>1</v>
      </c>
      <c r="CX307" s="264">
        <f>IFERROR(AVERAGE(CX300:CX302),1)</f>
        <v>1</v>
      </c>
      <c r="CY307" s="264">
        <f>IFERROR(AVERAGE(CY299:CY301),1)</f>
        <v>1</v>
      </c>
      <c r="CZ307" s="264">
        <f>IFERROR(AVERAGE(CZ298:CZ300),1)</f>
        <v>1</v>
      </c>
      <c r="DA307" s="264">
        <f>IFERROR(AVERAGE(DA297:DA299),1)</f>
        <v>1</v>
      </c>
      <c r="DB307" s="264">
        <f>IFERROR(AVERAGE(DB297:DB298),1)</f>
        <v>1</v>
      </c>
      <c r="DC307" s="264">
        <f>IFERROR(AVERAGE(DC297:DC297),1)</f>
        <v>1</v>
      </c>
      <c r="DD307" s="264">
        <v>1</v>
      </c>
      <c r="DE307" s="262" t="s">
        <v>52</v>
      </c>
      <c r="DF307" s="263"/>
      <c r="DG307" s="264">
        <f>IFERROR(AVERAGE(DG303:DG305),1)</f>
        <v>1</v>
      </c>
      <c r="DH307" s="264">
        <f>IFERROR(AVERAGE(DH302:DH304),1)</f>
        <v>1</v>
      </c>
      <c r="DI307" s="264">
        <f>IFERROR(AVERAGE(DI301:DI303),1)</f>
        <v>1</v>
      </c>
      <c r="DJ307" s="264">
        <f>IFERROR(AVERAGE(DJ300:DJ302),1)</f>
        <v>1</v>
      </c>
      <c r="DK307" s="264">
        <f>IFERROR(AVERAGE(DK299:DK301),1)</f>
        <v>1</v>
      </c>
      <c r="DL307" s="264">
        <f>IFERROR(AVERAGE(DL298:DL300),1)</f>
        <v>1</v>
      </c>
      <c r="DM307" s="264">
        <f>IFERROR(AVERAGE(DM297:DM299),1)</f>
        <v>1</v>
      </c>
      <c r="DN307" s="264">
        <f>IFERROR(AVERAGE(DN297:DN298),1)</f>
        <v>1</v>
      </c>
      <c r="DO307" s="264">
        <f>IFERROR(AVERAGE(DO297:DO297),1)</f>
        <v>1</v>
      </c>
      <c r="DP307" s="264">
        <v>1</v>
      </c>
    </row>
    <row r="308" spans="1:120" x14ac:dyDescent="0.25">
      <c r="A308" s="11" t="s">
        <v>40</v>
      </c>
      <c r="B308" s="105"/>
      <c r="C308" s="93">
        <f t="shared" ref="C308:K308" si="579">IF(C307=0,1,C307)</f>
        <v>1</v>
      </c>
      <c r="D308" s="93">
        <f t="shared" si="579"/>
        <v>1</v>
      </c>
      <c r="E308" s="93">
        <f t="shared" si="579"/>
        <v>1</v>
      </c>
      <c r="F308" s="93">
        <f t="shared" si="579"/>
        <v>1</v>
      </c>
      <c r="G308" s="93">
        <f t="shared" si="579"/>
        <v>1</v>
      </c>
      <c r="H308" s="93">
        <f t="shared" si="579"/>
        <v>1</v>
      </c>
      <c r="I308" s="93">
        <f t="shared" si="579"/>
        <v>1</v>
      </c>
      <c r="J308" s="93">
        <f t="shared" si="579"/>
        <v>1</v>
      </c>
      <c r="K308" s="93">
        <f t="shared" si="579"/>
        <v>1</v>
      </c>
      <c r="L308" s="93">
        <f>IF(L307=0,1,L307)</f>
        <v>1</v>
      </c>
      <c r="M308" s="285" t="s">
        <v>40</v>
      </c>
      <c r="N308" s="105"/>
      <c r="O308" s="93">
        <f t="shared" ref="O308:W308" si="580">IF(O307=0,1,O307)</f>
        <v>1</v>
      </c>
      <c r="P308" s="93">
        <f t="shared" si="580"/>
        <v>1</v>
      </c>
      <c r="Q308" s="93">
        <f t="shared" si="580"/>
        <v>1</v>
      </c>
      <c r="R308" s="93">
        <f t="shared" si="580"/>
        <v>1</v>
      </c>
      <c r="S308" s="93">
        <f t="shared" si="580"/>
        <v>1</v>
      </c>
      <c r="T308" s="93">
        <f t="shared" si="580"/>
        <v>1</v>
      </c>
      <c r="U308" s="93">
        <f t="shared" si="580"/>
        <v>1</v>
      </c>
      <c r="V308" s="93">
        <f t="shared" si="580"/>
        <v>1</v>
      </c>
      <c r="W308" s="93">
        <f t="shared" si="580"/>
        <v>1</v>
      </c>
      <c r="X308" s="93">
        <f>IF(X307=0,1,X307)</f>
        <v>1</v>
      </c>
      <c r="Y308" s="285" t="s">
        <v>40</v>
      </c>
      <c r="Z308" s="105"/>
      <c r="AA308" s="93">
        <f t="shared" ref="AA308:AI308" si="581">IF(AA307=0,1,AA307)</f>
        <v>1</v>
      </c>
      <c r="AB308" s="93">
        <f t="shared" si="581"/>
        <v>1</v>
      </c>
      <c r="AC308" s="93">
        <f t="shared" si="581"/>
        <v>1</v>
      </c>
      <c r="AD308" s="93">
        <f t="shared" si="581"/>
        <v>1</v>
      </c>
      <c r="AE308" s="93">
        <f t="shared" si="581"/>
        <v>1</v>
      </c>
      <c r="AF308" s="93">
        <f t="shared" si="581"/>
        <v>1</v>
      </c>
      <c r="AG308" s="93">
        <f t="shared" si="581"/>
        <v>1</v>
      </c>
      <c r="AH308" s="93">
        <f t="shared" si="581"/>
        <v>1</v>
      </c>
      <c r="AI308" s="93">
        <f t="shared" si="581"/>
        <v>1</v>
      </c>
      <c r="AJ308" s="93">
        <f>IF(AJ307=0,1,AJ307)</f>
        <v>1</v>
      </c>
      <c r="AK308" s="285" t="s">
        <v>40</v>
      </c>
      <c r="AL308" s="105"/>
      <c r="AM308" s="93">
        <f t="shared" ref="AM308:AU308" si="582">IF(AM307=0,1,AM307)</f>
        <v>1</v>
      </c>
      <c r="AN308" s="93">
        <f t="shared" si="582"/>
        <v>1</v>
      </c>
      <c r="AO308" s="93">
        <f t="shared" si="582"/>
        <v>1</v>
      </c>
      <c r="AP308" s="93">
        <f t="shared" si="582"/>
        <v>1</v>
      </c>
      <c r="AQ308" s="93">
        <f t="shared" si="582"/>
        <v>1</v>
      </c>
      <c r="AR308" s="93">
        <f t="shared" si="582"/>
        <v>1</v>
      </c>
      <c r="AS308" s="93">
        <f t="shared" si="582"/>
        <v>1</v>
      </c>
      <c r="AT308" s="93">
        <f t="shared" si="582"/>
        <v>1</v>
      </c>
      <c r="AU308" s="93">
        <f t="shared" si="582"/>
        <v>1</v>
      </c>
      <c r="AV308" s="93">
        <f>IF(AV307=0,1,AV307)</f>
        <v>1</v>
      </c>
      <c r="AW308" s="285" t="s">
        <v>40</v>
      </c>
      <c r="AX308" s="105"/>
      <c r="AY308" s="93">
        <f t="shared" ref="AY308:BG308" si="583">IF(AY307=0,1,AY307)</f>
        <v>1</v>
      </c>
      <c r="AZ308" s="93">
        <f t="shared" si="583"/>
        <v>1</v>
      </c>
      <c r="BA308" s="93">
        <f t="shared" si="583"/>
        <v>1</v>
      </c>
      <c r="BB308" s="93">
        <f t="shared" si="583"/>
        <v>1</v>
      </c>
      <c r="BC308" s="93">
        <f t="shared" si="583"/>
        <v>1</v>
      </c>
      <c r="BD308" s="93">
        <f t="shared" si="583"/>
        <v>1</v>
      </c>
      <c r="BE308" s="93">
        <f t="shared" si="583"/>
        <v>1</v>
      </c>
      <c r="BF308" s="93">
        <f t="shared" si="583"/>
        <v>1</v>
      </c>
      <c r="BG308" s="93">
        <f t="shared" si="583"/>
        <v>1</v>
      </c>
      <c r="BH308" s="93">
        <f>IF(BH307=0,1,BH307)</f>
        <v>1</v>
      </c>
      <c r="BI308" s="285" t="s">
        <v>40</v>
      </c>
      <c r="BJ308" s="105"/>
      <c r="BK308" s="93">
        <f t="shared" ref="BK308:BS308" si="584">IF(BK307=0,1,BK307)</f>
        <v>1</v>
      </c>
      <c r="BL308" s="93">
        <f t="shared" si="584"/>
        <v>1</v>
      </c>
      <c r="BM308" s="93">
        <f t="shared" si="584"/>
        <v>1</v>
      </c>
      <c r="BN308" s="93">
        <f t="shared" si="584"/>
        <v>1</v>
      </c>
      <c r="BO308" s="93">
        <f t="shared" si="584"/>
        <v>1</v>
      </c>
      <c r="BP308" s="93">
        <f t="shared" si="584"/>
        <v>1</v>
      </c>
      <c r="BQ308" s="93">
        <f t="shared" si="584"/>
        <v>1</v>
      </c>
      <c r="BR308" s="93">
        <f t="shared" si="584"/>
        <v>1</v>
      </c>
      <c r="BS308" s="93">
        <f t="shared" si="584"/>
        <v>1</v>
      </c>
      <c r="BT308" s="93">
        <f>IF(BT307=0,1,BT307)</f>
        <v>1</v>
      </c>
      <c r="BU308" s="285" t="s">
        <v>40</v>
      </c>
      <c r="BV308" s="105"/>
      <c r="BW308" s="93">
        <f t="shared" ref="BW308:CE308" si="585">IF(BW307=0,1,BW307)</f>
        <v>1</v>
      </c>
      <c r="BX308" s="93">
        <f t="shared" si="585"/>
        <v>1</v>
      </c>
      <c r="BY308" s="93">
        <f t="shared" si="585"/>
        <v>1</v>
      </c>
      <c r="BZ308" s="93">
        <f t="shared" si="585"/>
        <v>1</v>
      </c>
      <c r="CA308" s="93">
        <f t="shared" si="585"/>
        <v>1</v>
      </c>
      <c r="CB308" s="93">
        <f t="shared" si="585"/>
        <v>1</v>
      </c>
      <c r="CC308" s="93">
        <f t="shared" si="585"/>
        <v>1</v>
      </c>
      <c r="CD308" s="93">
        <f t="shared" si="585"/>
        <v>1</v>
      </c>
      <c r="CE308" s="93">
        <f t="shared" si="585"/>
        <v>1</v>
      </c>
      <c r="CF308" s="93">
        <f>IF(CF307=0,1,CF307)</f>
        <v>1</v>
      </c>
      <c r="CG308" s="285" t="s">
        <v>40</v>
      </c>
      <c r="CH308" s="105"/>
      <c r="CI308" s="93">
        <f t="shared" ref="CI308:CQ308" si="586">IF(CI307=0,1,CI307)</f>
        <v>1</v>
      </c>
      <c r="CJ308" s="93">
        <f t="shared" si="586"/>
        <v>1</v>
      </c>
      <c r="CK308" s="93">
        <f t="shared" si="586"/>
        <v>1</v>
      </c>
      <c r="CL308" s="93">
        <f t="shared" si="586"/>
        <v>1</v>
      </c>
      <c r="CM308" s="93">
        <f t="shared" si="586"/>
        <v>1</v>
      </c>
      <c r="CN308" s="93">
        <f t="shared" si="586"/>
        <v>1</v>
      </c>
      <c r="CO308" s="93">
        <f t="shared" si="586"/>
        <v>1</v>
      </c>
      <c r="CP308" s="93">
        <f t="shared" si="586"/>
        <v>1</v>
      </c>
      <c r="CQ308" s="93">
        <f t="shared" si="586"/>
        <v>1</v>
      </c>
      <c r="CR308" s="93">
        <f>IF(CR307=0,1,CR307)</f>
        <v>1</v>
      </c>
      <c r="CS308" s="285" t="s">
        <v>40</v>
      </c>
      <c r="CT308" s="105"/>
      <c r="CU308" s="93">
        <f t="shared" ref="CU308:DC308" si="587">IF(CU307=0,1,CU307)</f>
        <v>1</v>
      </c>
      <c r="CV308" s="93">
        <f t="shared" si="587"/>
        <v>1</v>
      </c>
      <c r="CW308" s="93">
        <f t="shared" si="587"/>
        <v>1</v>
      </c>
      <c r="CX308" s="93">
        <f t="shared" si="587"/>
        <v>1</v>
      </c>
      <c r="CY308" s="93">
        <f t="shared" si="587"/>
        <v>1</v>
      </c>
      <c r="CZ308" s="93">
        <f t="shared" si="587"/>
        <v>1</v>
      </c>
      <c r="DA308" s="93">
        <f t="shared" si="587"/>
        <v>1</v>
      </c>
      <c r="DB308" s="93">
        <f t="shared" si="587"/>
        <v>1</v>
      </c>
      <c r="DC308" s="93">
        <f t="shared" si="587"/>
        <v>1</v>
      </c>
      <c r="DD308" s="93">
        <f>IF(DD307=0,1,DD307)</f>
        <v>1</v>
      </c>
      <c r="DE308" s="285" t="s">
        <v>40</v>
      </c>
      <c r="DF308" s="105"/>
      <c r="DG308" s="93">
        <f t="shared" ref="DG308:DO308" si="588">IF(DG307=0,1,DG307)</f>
        <v>1</v>
      </c>
      <c r="DH308" s="93">
        <f t="shared" si="588"/>
        <v>1</v>
      </c>
      <c r="DI308" s="93">
        <f t="shared" si="588"/>
        <v>1</v>
      </c>
      <c r="DJ308" s="93">
        <f t="shared" si="588"/>
        <v>1</v>
      </c>
      <c r="DK308" s="93">
        <f t="shared" si="588"/>
        <v>1</v>
      </c>
      <c r="DL308" s="93">
        <f t="shared" si="588"/>
        <v>1</v>
      </c>
      <c r="DM308" s="93">
        <f t="shared" si="588"/>
        <v>1</v>
      </c>
      <c r="DN308" s="93">
        <f t="shared" si="588"/>
        <v>1</v>
      </c>
      <c r="DO308" s="93">
        <f t="shared" si="588"/>
        <v>1</v>
      </c>
      <c r="DP308" s="93">
        <f>IF(DP307=0,1,DP307)</f>
        <v>1</v>
      </c>
    </row>
    <row r="309" spans="1:120" x14ac:dyDescent="0.25">
      <c r="A309" s="95" t="s">
        <v>39</v>
      </c>
      <c r="B309" s="105"/>
      <c r="C309" s="93">
        <f>PRODUCT(C308:L308)</f>
        <v>1</v>
      </c>
      <c r="D309" s="93">
        <f>PRODUCT(D308:L308)</f>
        <v>1</v>
      </c>
      <c r="E309" s="93">
        <f>PRODUCT(E308:L308)</f>
        <v>1</v>
      </c>
      <c r="F309" s="93">
        <f>PRODUCT(F308:L308)</f>
        <v>1</v>
      </c>
      <c r="G309" s="93">
        <f>PRODUCT(G308:L308)</f>
        <v>1</v>
      </c>
      <c r="H309" s="93">
        <f>PRODUCT(H308:L308)</f>
        <v>1</v>
      </c>
      <c r="I309" s="93">
        <f>PRODUCT(I308:L308)</f>
        <v>1</v>
      </c>
      <c r="J309" s="93">
        <f>PRODUCT(J308:L308)</f>
        <v>1</v>
      </c>
      <c r="K309" s="93">
        <f>PRODUCT(K308:L308)</f>
        <v>1</v>
      </c>
      <c r="L309" s="93">
        <f>PRODUCT(L308:L308)</f>
        <v>1</v>
      </c>
      <c r="M309" s="95" t="s">
        <v>39</v>
      </c>
      <c r="N309" s="105"/>
      <c r="O309" s="93">
        <f>PRODUCT(O308:X308)</f>
        <v>1</v>
      </c>
      <c r="P309" s="93">
        <f>PRODUCT(P308:X308)</f>
        <v>1</v>
      </c>
      <c r="Q309" s="93">
        <f>PRODUCT(Q308:X308)</f>
        <v>1</v>
      </c>
      <c r="R309" s="93">
        <f>PRODUCT(R308:X308)</f>
        <v>1</v>
      </c>
      <c r="S309" s="93">
        <f>PRODUCT(S308:X308)</f>
        <v>1</v>
      </c>
      <c r="T309" s="93">
        <f>PRODUCT(T308:X308)</f>
        <v>1</v>
      </c>
      <c r="U309" s="93">
        <f>PRODUCT(U308:X308)</f>
        <v>1</v>
      </c>
      <c r="V309" s="93">
        <f>PRODUCT(V308:X308)</f>
        <v>1</v>
      </c>
      <c r="W309" s="93">
        <f>PRODUCT(W308:X308)</f>
        <v>1</v>
      </c>
      <c r="X309" s="93">
        <f>PRODUCT(X308:X308)</f>
        <v>1</v>
      </c>
      <c r="Y309" s="95" t="s">
        <v>39</v>
      </c>
      <c r="Z309" s="105"/>
      <c r="AA309" s="93">
        <f>PRODUCT(AA308:AJ308)</f>
        <v>1</v>
      </c>
      <c r="AB309" s="93">
        <f>PRODUCT(AB308:AJ308)</f>
        <v>1</v>
      </c>
      <c r="AC309" s="93">
        <f>PRODUCT(AC308:AJ308)</f>
        <v>1</v>
      </c>
      <c r="AD309" s="93">
        <f>PRODUCT(AD308:AJ308)</f>
        <v>1</v>
      </c>
      <c r="AE309" s="93">
        <f>PRODUCT(AE308:AJ308)</f>
        <v>1</v>
      </c>
      <c r="AF309" s="93">
        <f>PRODUCT(AF308:AJ308)</f>
        <v>1</v>
      </c>
      <c r="AG309" s="93">
        <f>PRODUCT(AG308:AJ308)</f>
        <v>1</v>
      </c>
      <c r="AH309" s="93">
        <f>PRODUCT(AH308:AJ308)</f>
        <v>1</v>
      </c>
      <c r="AI309" s="93">
        <f>PRODUCT(AI308:AJ308)</f>
        <v>1</v>
      </c>
      <c r="AJ309" s="93">
        <f>PRODUCT(AJ308:AJ308)</f>
        <v>1</v>
      </c>
      <c r="AK309" s="95" t="s">
        <v>39</v>
      </c>
      <c r="AL309" s="105"/>
      <c r="AM309" s="93">
        <f>PRODUCT(AM308:AV308)</f>
        <v>1</v>
      </c>
      <c r="AN309" s="93">
        <f>PRODUCT(AN308:AV308)</f>
        <v>1</v>
      </c>
      <c r="AO309" s="93">
        <f>PRODUCT(AO308:AV308)</f>
        <v>1</v>
      </c>
      <c r="AP309" s="93">
        <f>PRODUCT(AP308:AV308)</f>
        <v>1</v>
      </c>
      <c r="AQ309" s="93">
        <f>PRODUCT(AQ308:AV308)</f>
        <v>1</v>
      </c>
      <c r="AR309" s="93">
        <f>PRODUCT(AR308:AV308)</f>
        <v>1</v>
      </c>
      <c r="AS309" s="93">
        <f>PRODUCT(AS308:AV308)</f>
        <v>1</v>
      </c>
      <c r="AT309" s="93">
        <f>PRODUCT(AT308:AV308)</f>
        <v>1</v>
      </c>
      <c r="AU309" s="93">
        <f>PRODUCT(AU308:AV308)</f>
        <v>1</v>
      </c>
      <c r="AV309" s="93">
        <f>PRODUCT(AV308:AV308)</f>
        <v>1</v>
      </c>
      <c r="AW309" s="95" t="s">
        <v>39</v>
      </c>
      <c r="AX309" s="105"/>
      <c r="AY309" s="93">
        <f>PRODUCT(AY308:BH308)</f>
        <v>1</v>
      </c>
      <c r="AZ309" s="93">
        <f>PRODUCT(AZ308:BH308)</f>
        <v>1</v>
      </c>
      <c r="BA309" s="93">
        <f>PRODUCT(BA308:BH308)</f>
        <v>1</v>
      </c>
      <c r="BB309" s="93">
        <f>PRODUCT(BB308:BH308)</f>
        <v>1</v>
      </c>
      <c r="BC309" s="93">
        <f>PRODUCT(BC308:BH308)</f>
        <v>1</v>
      </c>
      <c r="BD309" s="93">
        <f>PRODUCT(BD308:BH308)</f>
        <v>1</v>
      </c>
      <c r="BE309" s="93">
        <f>PRODUCT(BE308:BH308)</f>
        <v>1</v>
      </c>
      <c r="BF309" s="93">
        <f>PRODUCT(BF308:BH308)</f>
        <v>1</v>
      </c>
      <c r="BG309" s="93">
        <f>PRODUCT(BG308:BH308)</f>
        <v>1</v>
      </c>
      <c r="BH309" s="93">
        <f>PRODUCT(BH308:BH308)</f>
        <v>1</v>
      </c>
      <c r="BI309" s="95" t="s">
        <v>39</v>
      </c>
      <c r="BJ309" s="105"/>
      <c r="BK309" s="93">
        <f>PRODUCT(BK308:BT308)</f>
        <v>1</v>
      </c>
      <c r="BL309" s="93">
        <f>PRODUCT(BL308:BT308)</f>
        <v>1</v>
      </c>
      <c r="BM309" s="93">
        <f>PRODUCT(BM308:BT308)</f>
        <v>1</v>
      </c>
      <c r="BN309" s="93">
        <f>PRODUCT(BN308:BT308)</f>
        <v>1</v>
      </c>
      <c r="BO309" s="93">
        <f>PRODUCT(BO308:BT308)</f>
        <v>1</v>
      </c>
      <c r="BP309" s="93">
        <f>PRODUCT(BP308:BT308)</f>
        <v>1</v>
      </c>
      <c r="BQ309" s="93">
        <f>PRODUCT(BQ308:BT308)</f>
        <v>1</v>
      </c>
      <c r="BR309" s="93">
        <f>PRODUCT(BR308:BT308)</f>
        <v>1</v>
      </c>
      <c r="BS309" s="93">
        <f>PRODUCT(BS308:BT308)</f>
        <v>1</v>
      </c>
      <c r="BT309" s="93">
        <f>PRODUCT(BT308:BT308)</f>
        <v>1</v>
      </c>
      <c r="BU309" s="95" t="s">
        <v>39</v>
      </c>
      <c r="BV309" s="105"/>
      <c r="BW309" s="93">
        <f>PRODUCT(BW308:CF308)</f>
        <v>1</v>
      </c>
      <c r="BX309" s="93">
        <f>PRODUCT(BX308:CF308)</f>
        <v>1</v>
      </c>
      <c r="BY309" s="93">
        <f>PRODUCT(BY308:CF308)</f>
        <v>1</v>
      </c>
      <c r="BZ309" s="93">
        <f>PRODUCT(BZ308:CF308)</f>
        <v>1</v>
      </c>
      <c r="CA309" s="93">
        <f>PRODUCT(CA308:CF308)</f>
        <v>1</v>
      </c>
      <c r="CB309" s="93">
        <f>PRODUCT(CB308:CF308)</f>
        <v>1</v>
      </c>
      <c r="CC309" s="93">
        <f>PRODUCT(CC308:CF308)</f>
        <v>1</v>
      </c>
      <c r="CD309" s="93">
        <f>PRODUCT(CD308:CF308)</f>
        <v>1</v>
      </c>
      <c r="CE309" s="93">
        <f>PRODUCT(CE308:CF308)</f>
        <v>1</v>
      </c>
      <c r="CF309" s="93">
        <f>PRODUCT(CF308:CF308)</f>
        <v>1</v>
      </c>
      <c r="CG309" s="95" t="s">
        <v>39</v>
      </c>
      <c r="CH309" s="105"/>
      <c r="CI309" s="93">
        <f>PRODUCT(CI308:CR308)</f>
        <v>1</v>
      </c>
      <c r="CJ309" s="93">
        <f>PRODUCT(CJ308:CR308)</f>
        <v>1</v>
      </c>
      <c r="CK309" s="93">
        <f>PRODUCT(CK308:CR308)</f>
        <v>1</v>
      </c>
      <c r="CL309" s="93">
        <f>PRODUCT(CL308:CR308)</f>
        <v>1</v>
      </c>
      <c r="CM309" s="93">
        <f>PRODUCT(CM308:CR308)</f>
        <v>1</v>
      </c>
      <c r="CN309" s="93">
        <f>PRODUCT(CN308:CR308)</f>
        <v>1</v>
      </c>
      <c r="CO309" s="93">
        <f>PRODUCT(CO308:CR308)</f>
        <v>1</v>
      </c>
      <c r="CP309" s="93">
        <f>PRODUCT(CP308:CR308)</f>
        <v>1</v>
      </c>
      <c r="CQ309" s="93">
        <f>PRODUCT(CQ308:CR308)</f>
        <v>1</v>
      </c>
      <c r="CR309" s="93">
        <f>PRODUCT(CR308:CR308)</f>
        <v>1</v>
      </c>
      <c r="CS309" s="95" t="s">
        <v>39</v>
      </c>
      <c r="CT309" s="105"/>
      <c r="CU309" s="93">
        <f>PRODUCT(CU308:DD308)</f>
        <v>1</v>
      </c>
      <c r="CV309" s="93">
        <f>PRODUCT(CV308:DD308)</f>
        <v>1</v>
      </c>
      <c r="CW309" s="93">
        <f>PRODUCT(CW308:DD308)</f>
        <v>1</v>
      </c>
      <c r="CX309" s="93">
        <f>PRODUCT(CX308:DD308)</f>
        <v>1</v>
      </c>
      <c r="CY309" s="93">
        <f>PRODUCT(CY308:DD308)</f>
        <v>1</v>
      </c>
      <c r="CZ309" s="93">
        <f>PRODUCT(CZ308:DD308)</f>
        <v>1</v>
      </c>
      <c r="DA309" s="93">
        <f>PRODUCT(DA308:DD308)</f>
        <v>1</v>
      </c>
      <c r="DB309" s="93">
        <f>PRODUCT(DB308:DD308)</f>
        <v>1</v>
      </c>
      <c r="DC309" s="93">
        <f>PRODUCT(DC308:DD308)</f>
        <v>1</v>
      </c>
      <c r="DD309" s="93">
        <f>PRODUCT(DD308:DD308)</f>
        <v>1</v>
      </c>
      <c r="DE309" s="95" t="s">
        <v>39</v>
      </c>
      <c r="DF309" s="105"/>
      <c r="DG309" s="93">
        <f>PRODUCT(DG308:DP308)</f>
        <v>1</v>
      </c>
      <c r="DH309" s="93">
        <f>PRODUCT(DH308:DP308)</f>
        <v>1</v>
      </c>
      <c r="DI309" s="93">
        <f>PRODUCT(DI308:DP308)</f>
        <v>1</v>
      </c>
      <c r="DJ309" s="93">
        <f>PRODUCT(DJ308:DP308)</f>
        <v>1</v>
      </c>
      <c r="DK309" s="93">
        <f>PRODUCT(DK308:DP308)</f>
        <v>1</v>
      </c>
      <c r="DL309" s="93">
        <f>PRODUCT(DL308:DP308)</f>
        <v>1</v>
      </c>
      <c r="DM309" s="93">
        <f>PRODUCT(DM308:DP308)</f>
        <v>1</v>
      </c>
      <c r="DN309" s="93">
        <f>PRODUCT(DN308:DP308)</f>
        <v>1</v>
      </c>
      <c r="DO309" s="93">
        <f>PRODUCT(DO308:DP308)</f>
        <v>1</v>
      </c>
      <c r="DP309" s="93">
        <f>PRODUCT(DP308:DP308)</f>
        <v>1</v>
      </c>
    </row>
    <row r="310" spans="1:120" x14ac:dyDescent="0.25">
      <c r="A310" s="95" t="s">
        <v>58</v>
      </c>
      <c r="B310" s="105"/>
      <c r="C310" s="101">
        <f>IFERROR(C309*C293,"")</f>
        <v>0</v>
      </c>
      <c r="D310" s="101">
        <f>IFERROR(D309*D292,"")</f>
        <v>0</v>
      </c>
      <c r="E310" s="101">
        <f>IFERROR(E309*E291,"")</f>
        <v>0</v>
      </c>
      <c r="F310" s="101">
        <f>IFERROR(F309*F290,"")</f>
        <v>0</v>
      </c>
      <c r="G310" s="101">
        <f>IFERROR(G309*G289,"")</f>
        <v>0</v>
      </c>
      <c r="H310" s="101">
        <f>IFERROR(H309*H288,"")</f>
        <v>0</v>
      </c>
      <c r="I310" s="101">
        <f>IFERROR(I309*I287,"")</f>
        <v>0</v>
      </c>
      <c r="J310" s="101">
        <f>IFERROR(J309*J286,"")</f>
        <v>0</v>
      </c>
      <c r="K310" s="101">
        <f>IFERROR(K309*K285,"")</f>
        <v>0</v>
      </c>
      <c r="L310" s="101">
        <f>IFERROR(L309*L284,"")</f>
        <v>0</v>
      </c>
      <c r="M310" s="95" t="s">
        <v>58</v>
      </c>
      <c r="N310" s="105"/>
      <c r="O310" s="101" t="str">
        <f>IFERROR(O309*O293,"")</f>
        <v/>
      </c>
      <c r="P310" s="101" t="str">
        <f>IFERROR(P309*P292,"")</f>
        <v/>
      </c>
      <c r="Q310" s="101" t="str">
        <f>IFERROR(Q309*Q291,"")</f>
        <v/>
      </c>
      <c r="R310" s="101" t="str">
        <f>IFERROR(R309*R290,"")</f>
        <v/>
      </c>
      <c r="S310" s="101" t="str">
        <f>IFERROR(S309*S289,"")</f>
        <v/>
      </c>
      <c r="T310" s="101" t="str">
        <f>IFERROR(T309*T288,"")</f>
        <v/>
      </c>
      <c r="U310" s="101" t="str">
        <f>IFERROR(U309*U287,"")</f>
        <v/>
      </c>
      <c r="V310" s="101" t="str">
        <f>IFERROR(V309*V286,"")</f>
        <v/>
      </c>
      <c r="W310" s="101" t="str">
        <f>IFERROR(W309*W285,"")</f>
        <v/>
      </c>
      <c r="X310" s="101" t="str">
        <f>IFERROR(X309*X284,"")</f>
        <v/>
      </c>
      <c r="Y310" s="95" t="s">
        <v>58</v>
      </c>
      <c r="Z310" s="105"/>
      <c r="AA310" s="101" t="str">
        <f>IFERROR(AA309*AA293,"")</f>
        <v/>
      </c>
      <c r="AB310" s="101" t="str">
        <f>IFERROR(AB309*AB292,"")</f>
        <v/>
      </c>
      <c r="AC310" s="101" t="str">
        <f>IFERROR(AC309*AC291,"")</f>
        <v/>
      </c>
      <c r="AD310" s="101" t="str">
        <f>IFERROR(AD309*AD290,"")</f>
        <v/>
      </c>
      <c r="AE310" s="101" t="str">
        <f>IFERROR(AE309*AE289,"")</f>
        <v/>
      </c>
      <c r="AF310" s="101" t="str">
        <f>IFERROR(AF309*AF288,"")</f>
        <v/>
      </c>
      <c r="AG310" s="101" t="str">
        <f>IFERROR(AG309*AG287,"")</f>
        <v/>
      </c>
      <c r="AH310" s="101" t="str">
        <f>IFERROR(AH309*AH286,"")</f>
        <v/>
      </c>
      <c r="AI310" s="101" t="str">
        <f>IFERROR(AI309*AI285,"")</f>
        <v/>
      </c>
      <c r="AJ310" s="101" t="str">
        <f>IFERROR(AJ309*AJ284,"")</f>
        <v/>
      </c>
      <c r="AK310" s="95" t="s">
        <v>58</v>
      </c>
      <c r="AL310" s="105"/>
      <c r="AM310" s="101" t="str">
        <f>IFERROR(AM309*AM293,"")</f>
        <v/>
      </c>
      <c r="AN310" s="101" t="str">
        <f>IFERROR(AN309*AN292,"")</f>
        <v/>
      </c>
      <c r="AO310" s="101" t="str">
        <f>IFERROR(AO309*AO291,"")</f>
        <v/>
      </c>
      <c r="AP310" s="101" t="str">
        <f>IFERROR(AP309*AP290,"")</f>
        <v/>
      </c>
      <c r="AQ310" s="101" t="str">
        <f>IFERROR(AQ309*AQ289,"")</f>
        <v/>
      </c>
      <c r="AR310" s="101" t="str">
        <f>IFERROR(AR309*AR288,"")</f>
        <v/>
      </c>
      <c r="AS310" s="101" t="str">
        <f>IFERROR(AS309*AS287,"")</f>
        <v/>
      </c>
      <c r="AT310" s="101" t="str">
        <f>IFERROR(AT309*AT286,"")</f>
        <v/>
      </c>
      <c r="AU310" s="101" t="str">
        <f>IFERROR(AU309*AU285,"")</f>
        <v/>
      </c>
      <c r="AV310" s="101" t="str">
        <f>IFERROR(AV309*AV284,"")</f>
        <v/>
      </c>
      <c r="AW310" s="95" t="s">
        <v>58</v>
      </c>
      <c r="AX310" s="105"/>
      <c r="AY310" s="101" t="str">
        <f>IFERROR(AY309*AY293,"")</f>
        <v/>
      </c>
      <c r="AZ310" s="101" t="str">
        <f>IFERROR(AZ309*AZ292,"")</f>
        <v/>
      </c>
      <c r="BA310" s="101" t="str">
        <f>IFERROR(BA309*BA291,"")</f>
        <v/>
      </c>
      <c r="BB310" s="101" t="str">
        <f>IFERROR(BB309*BB290,"")</f>
        <v/>
      </c>
      <c r="BC310" s="101" t="str">
        <f>IFERROR(BC309*BC289,"")</f>
        <v/>
      </c>
      <c r="BD310" s="101" t="str">
        <f>IFERROR(BD309*BD288,"")</f>
        <v/>
      </c>
      <c r="BE310" s="101" t="str">
        <f>IFERROR(BE309*BE287,"")</f>
        <v/>
      </c>
      <c r="BF310" s="101" t="str">
        <f>IFERROR(BF309*BF286,"")</f>
        <v/>
      </c>
      <c r="BG310" s="101" t="str">
        <f>IFERROR(BG309*BG285,"")</f>
        <v/>
      </c>
      <c r="BH310" s="101" t="str">
        <f>IFERROR(BH309*BH284,"")</f>
        <v/>
      </c>
      <c r="BI310" s="95" t="s">
        <v>58</v>
      </c>
      <c r="BJ310" s="105"/>
      <c r="BK310" s="101" t="str">
        <f>IFERROR(BK309*BK293,"")</f>
        <v/>
      </c>
      <c r="BL310" s="101" t="str">
        <f>IFERROR(BL309*BL292,"")</f>
        <v/>
      </c>
      <c r="BM310" s="101" t="str">
        <f>IFERROR(BM309*BM291,"")</f>
        <v/>
      </c>
      <c r="BN310" s="101" t="str">
        <f>IFERROR(BN309*BN290,"")</f>
        <v/>
      </c>
      <c r="BO310" s="101" t="str">
        <f>IFERROR(BO309*BO289,"")</f>
        <v/>
      </c>
      <c r="BP310" s="101" t="str">
        <f>IFERROR(BP309*BP288,"")</f>
        <v/>
      </c>
      <c r="BQ310" s="101" t="str">
        <f>IFERROR(BQ309*BQ287,"")</f>
        <v/>
      </c>
      <c r="BR310" s="101" t="str">
        <f>IFERROR(BR309*BR286,"")</f>
        <v/>
      </c>
      <c r="BS310" s="101" t="str">
        <f>IFERROR(BS309*BS285,"")</f>
        <v/>
      </c>
      <c r="BT310" s="101" t="str">
        <f>IFERROR(BT309*BT284,"")</f>
        <v/>
      </c>
      <c r="BU310" s="95" t="s">
        <v>58</v>
      </c>
      <c r="BV310" s="105"/>
      <c r="BW310" s="101" t="str">
        <f>IFERROR(BW309*BW293,"")</f>
        <v/>
      </c>
      <c r="BX310" s="101" t="str">
        <f>IFERROR(BX309*BX292,"")</f>
        <v/>
      </c>
      <c r="BY310" s="101" t="str">
        <f>IFERROR(BY309*BY291,"")</f>
        <v/>
      </c>
      <c r="BZ310" s="101" t="str">
        <f>IFERROR(BZ309*BZ290,"")</f>
        <v/>
      </c>
      <c r="CA310" s="101" t="str">
        <f>IFERROR(CA309*CA289,"")</f>
        <v/>
      </c>
      <c r="CB310" s="101" t="str">
        <f>IFERROR(CB309*CB288,"")</f>
        <v/>
      </c>
      <c r="CC310" s="101" t="str">
        <f>IFERROR(CC309*CC287,"")</f>
        <v/>
      </c>
      <c r="CD310" s="101" t="str">
        <f>IFERROR(CD309*CD286,"")</f>
        <v/>
      </c>
      <c r="CE310" s="101" t="str">
        <f>IFERROR(CE309*CE285,"")</f>
        <v/>
      </c>
      <c r="CF310" s="101" t="str">
        <f>IFERROR(CF309*CF284,"")</f>
        <v/>
      </c>
      <c r="CG310" s="95" t="s">
        <v>58</v>
      </c>
      <c r="CH310" s="105"/>
      <c r="CI310" s="101" t="str">
        <f>IFERROR(CI309*CI293,"")</f>
        <v/>
      </c>
      <c r="CJ310" s="101" t="str">
        <f>IFERROR(CJ309*CJ292,"")</f>
        <v/>
      </c>
      <c r="CK310" s="101" t="str">
        <f>IFERROR(CK309*CK291,"")</f>
        <v/>
      </c>
      <c r="CL310" s="101" t="str">
        <f>IFERROR(CL309*CL290,"")</f>
        <v/>
      </c>
      <c r="CM310" s="101" t="str">
        <f>IFERROR(CM309*CM289,"")</f>
        <v/>
      </c>
      <c r="CN310" s="101" t="str">
        <f>IFERROR(CN309*CN288,"")</f>
        <v/>
      </c>
      <c r="CO310" s="101" t="str">
        <f>IFERROR(CO309*CO287,"")</f>
        <v/>
      </c>
      <c r="CP310" s="101" t="str">
        <f>IFERROR(CP309*CP286,"")</f>
        <v/>
      </c>
      <c r="CQ310" s="101" t="str">
        <f>IFERROR(CQ309*CQ285,"")</f>
        <v/>
      </c>
      <c r="CR310" s="101" t="str">
        <f>IFERROR(CR309*CR284,"")</f>
        <v/>
      </c>
      <c r="CS310" s="95" t="s">
        <v>58</v>
      </c>
      <c r="CT310" s="105"/>
      <c r="CU310" s="101" t="str">
        <f>IFERROR(CU309*CU293,"")</f>
        <v/>
      </c>
      <c r="CV310" s="101" t="str">
        <f>IFERROR(CV309*CV292,"")</f>
        <v/>
      </c>
      <c r="CW310" s="101" t="str">
        <f>IFERROR(CW309*CW291,"")</f>
        <v/>
      </c>
      <c r="CX310" s="101" t="str">
        <f>IFERROR(CX309*CX290,"")</f>
        <v/>
      </c>
      <c r="CY310" s="101" t="str">
        <f>IFERROR(CY309*CY289,"")</f>
        <v/>
      </c>
      <c r="CZ310" s="101" t="str">
        <f>IFERROR(CZ309*CZ288,"")</f>
        <v/>
      </c>
      <c r="DA310" s="101" t="str">
        <f>IFERROR(DA309*DA287,"")</f>
        <v/>
      </c>
      <c r="DB310" s="101" t="str">
        <f>IFERROR(DB309*DB286,"")</f>
        <v/>
      </c>
      <c r="DC310" s="101" t="str">
        <f>IFERROR(DC309*DC285,"")</f>
        <v/>
      </c>
      <c r="DD310" s="101" t="str">
        <f>IFERROR(DD309*DD284,"")</f>
        <v/>
      </c>
      <c r="DE310" s="95" t="s">
        <v>58</v>
      </c>
      <c r="DF310" s="105"/>
      <c r="DG310" s="101" t="str">
        <f>IFERROR(DG309*DG293,"")</f>
        <v/>
      </c>
      <c r="DH310" s="101" t="str">
        <f>IFERROR(DH309*DH292,"")</f>
        <v/>
      </c>
      <c r="DI310" s="101" t="str">
        <f>IFERROR(DI309*DI291,"")</f>
        <v/>
      </c>
      <c r="DJ310" s="101" t="str">
        <f>IFERROR(DJ309*DJ290,"")</f>
        <v/>
      </c>
      <c r="DK310" s="101" t="str">
        <f>IFERROR(DK309*DK289,"")</f>
        <v/>
      </c>
      <c r="DL310" s="101" t="str">
        <f>IFERROR(DL309*DL288,"")</f>
        <v/>
      </c>
      <c r="DM310" s="101" t="str">
        <f>IFERROR(DM309*DM287,"")</f>
        <v/>
      </c>
      <c r="DN310" s="101" t="str">
        <f>IFERROR(DN309*DN286,"")</f>
        <v/>
      </c>
      <c r="DO310" s="101" t="str">
        <f>IFERROR(DO309*DO285,"")</f>
        <v/>
      </c>
      <c r="DP310" s="101" t="str">
        <f>IFERROR(DP309*DP284,"")</f>
        <v/>
      </c>
    </row>
    <row r="311" spans="1:120" x14ac:dyDescent="0.25">
      <c r="A311" s="140" t="s">
        <v>215</v>
      </c>
      <c r="B311" s="105"/>
      <c r="C311" s="141">
        <f>IF(OR(D7="Paid - Loss &amp; DCCE",D7="Incurred - Loss &amp; DCCE"),"N/A",IF(D7="Paid - Pure Loss", C97, IF(D7="Incurred - Pure Loss", C240, 0)))</f>
        <v>108505646.99555196</v>
      </c>
      <c r="D311" s="141">
        <f>IF(OR(D7="Paid - Loss &amp; DCCE",D7="Incurred - Loss &amp; DCCE"),"N/A",IF(D7="Paid - Pure Loss", D97, IF(D7="Incurred - Pure Loss", D240, 0)))</f>
        <v>93539877.889635563</v>
      </c>
      <c r="E311" s="141">
        <f>IF(OR(D7="Paid - Loss &amp; DCCE",D7="Incurred - Loss &amp; DCCE"),"N/A",IF(D7="Paid - Pure Loss", E97, IF(D7="Incurred - Pure Loss", E240, 0)))</f>
        <v>87951745.652846664</v>
      </c>
      <c r="F311" s="141">
        <f>IF(OR(D7="Paid - Loss &amp; DCCE",D7="Incurred - Loss &amp; DCCE"),"N/A",IF(D7="Paid - Pure Loss", F97, IF(D7="Incurred - Pure Loss", F240, 0)))</f>
        <v>91802602.512395576</v>
      </c>
      <c r="G311" s="141">
        <f>IF(OR(D7="Paid - Loss &amp; DCCE",D7="Incurred - Loss &amp; DCCE"),"N/A",IF(D7="Paid - Pure Loss", G97, IF(D7="Incurred - Pure Loss", G240, 0)))</f>
        <v>75596362.607096598</v>
      </c>
      <c r="H311" s="141">
        <f>IF(OR(D7="Paid - Loss &amp; DCCE",D7="Incurred - Loss &amp; DCCE"),"N/A",IF(D7="Paid - Pure Loss", H97, IF(D7="Incurred - Pure Loss", H240, 0)))</f>
        <v>98177956.524754599</v>
      </c>
      <c r="I311" s="141">
        <f>IF(OR(D7="Paid - Loss &amp; DCCE",D7="Incurred - Loss &amp; DCCE"),"N/A",IF(D7="Paid - Pure Loss", I97, IF(D7="Incurred - Pure Loss", I240, 0)))</f>
        <v>84407898.638094425</v>
      </c>
      <c r="J311" s="141">
        <f>IF(OR(D7="Paid - Loss &amp; DCCE",D7="Incurred - Loss &amp; DCCE"),"N/A",IF(D7="Paid - Pure Loss", J97, IF(D7="Incurred - Pure Loss", J240, 0)))</f>
        <v>81166665.40276368</v>
      </c>
      <c r="K311" s="141">
        <f>IF(OR(D7="Paid - Loss &amp; DCCE",D7="Incurred - Loss &amp; DCCE"),"N/A",IF(D7="Paid - Pure Loss", K97, IF(D7="Incurred - Pure Loss", K240, 0)))</f>
        <v>73113592.024011627</v>
      </c>
      <c r="L311" s="141">
        <f>IF(OR(D7="Paid - Loss &amp; DCCE",D7="Incurred - Loss &amp; DCCE"),"N/A",IF(D7="Paid - Pure Loss", L97, IF(D7="Incurred - Pure Loss", L240, 0)))</f>
        <v>71521463.010000005</v>
      </c>
      <c r="M311" s="140" t="s">
        <v>215</v>
      </c>
      <c r="N311" s="105"/>
      <c r="O311" s="141">
        <f>IF(OR(P7="Paid - Loss &amp; DCCE",P7="Incurred - Loss &amp; DCCE"),"N/A",IF(P7="Paid - Pure Loss", O97, IF(P7="Incurred - Pure Loss", O240, 0)))</f>
        <v>0</v>
      </c>
      <c r="P311" s="141">
        <f>IF(OR(P7="Paid - Loss &amp; DCCE",P7="Incurred - Loss &amp; DCCE"),"N/A",IF(P7="Paid - Pure Loss", P97, IF(P7="Incurred - Pure Loss", P240, 0)))</f>
        <v>0</v>
      </c>
      <c r="Q311" s="141">
        <f>IF(OR(P7="Paid - Loss &amp; DCCE",P7="Incurred - Loss &amp; DCCE"),"N/A",IF(P7="Paid - Pure Loss", Q97, IF(P7="Incurred - Pure Loss", Q240, 0)))</f>
        <v>0</v>
      </c>
      <c r="R311" s="141">
        <f>IF(OR(P7="Paid - Loss &amp; DCCE",P7="Incurred - Loss &amp; DCCE"),"N/A",IF(P7="Paid - Pure Loss", R97, IF(P7="Incurred - Pure Loss", R240, 0)))</f>
        <v>0</v>
      </c>
      <c r="S311" s="141">
        <f>IF(OR(P7="Paid - Loss &amp; DCCE",P7="Incurred - Loss &amp; DCCE"),"N/A",IF(P7="Paid - Pure Loss", S97, IF(P7="Incurred - Pure Loss", S240, 0)))</f>
        <v>0</v>
      </c>
      <c r="T311" s="141">
        <f>IF(OR(P7="Paid - Loss &amp; DCCE",P7="Incurred - Loss &amp; DCCE"),"N/A",IF(P7="Paid - Pure Loss", T97, IF(P7="Incurred - Pure Loss", T240, 0)))</f>
        <v>0</v>
      </c>
      <c r="U311" s="141">
        <f>IF(OR(P7="Paid - Loss &amp; DCCE",P7="Incurred - Loss &amp; DCCE"),"N/A",IF(P7="Paid - Pure Loss", U97, IF(P7="Incurred - Pure Loss", U240, 0)))</f>
        <v>0</v>
      </c>
      <c r="V311" s="141">
        <f>IF(OR(P7="Paid - Loss &amp; DCCE",P7="Incurred - Loss &amp; DCCE"),"N/A",IF(P7="Paid - Pure Loss", V97, IF(P7="Incurred - Pure Loss", V240, 0)))</f>
        <v>0</v>
      </c>
      <c r="W311" s="141">
        <f>IF(OR(P7="Paid - Loss &amp; DCCE",P7="Incurred - Loss &amp; DCCE"),"N/A",IF(P7="Paid - Pure Loss", W97, IF(P7="Incurred - Pure Loss", W240, 0)))</f>
        <v>0</v>
      </c>
      <c r="X311" s="141">
        <f>IF(OR(P7="Paid - Loss &amp; DCCE",P7="Incurred - Loss &amp; DCCE"),"N/A",IF(P7="Paid - Pure Loss", X97, IF(P7="Incurred - Pure Loss", X240, 0)))</f>
        <v>0</v>
      </c>
      <c r="Y311" s="140" t="s">
        <v>215</v>
      </c>
      <c r="Z311" s="105"/>
      <c r="AA311" s="141">
        <f>IF(OR(AB7="Paid - Loss &amp; DCCE",AB7="Incurred - Loss &amp; DCCE"),"N/A",IF(AB7="Paid - Pure Loss", AA97, IF(AB7="Incurred - Pure Loss", AA240, 0)))</f>
        <v>0</v>
      </c>
      <c r="AB311" s="141">
        <f>IF(OR(AB7="Paid - Loss &amp; DCCE",AB7="Incurred - Loss &amp; DCCE"),"N/A",IF(AB7="Paid - Pure Loss", AB97, IF(AB7="Incurred - Pure Loss", AB240, 0)))</f>
        <v>0</v>
      </c>
      <c r="AC311" s="141">
        <f>IF(OR(AB7="Paid - Loss &amp; DCCE",AB7="Incurred - Loss &amp; DCCE"),"N/A",IF(AB7="Paid - Pure Loss", AC97, IF(AB7="Incurred - Pure Loss", AC240, 0)))</f>
        <v>0</v>
      </c>
      <c r="AD311" s="141">
        <f>IF(OR(AB7="Paid - Loss &amp; DCCE",AB7="Incurred - Loss &amp; DCCE"),"N/A",IF(AB7="Paid - Pure Loss", AD97, IF(AB7="Incurred - Pure Loss", AD240, 0)))</f>
        <v>0</v>
      </c>
      <c r="AE311" s="141">
        <f>IF(OR(AB7="Paid - Loss &amp; DCCE",AB7="Incurred - Loss &amp; DCCE"),"N/A",IF(AB7="Paid - Pure Loss", AE97, IF(AB7="Incurred - Pure Loss", AE240, 0)))</f>
        <v>0</v>
      </c>
      <c r="AF311" s="141">
        <f>IF(OR(AB7="Paid - Loss &amp; DCCE",AB7="Incurred - Loss &amp; DCCE"),"N/A",IF(AB7="Paid - Pure Loss", AF97, IF(AB7="Incurred - Pure Loss", AF240, 0)))</f>
        <v>0</v>
      </c>
      <c r="AG311" s="141">
        <f>IF(OR(AB7="Paid - Loss &amp; DCCE",AB7="Incurred - Loss &amp; DCCE"),"N/A",IF(AB7="Paid - Pure Loss", AG97, IF(AB7="Incurred - Pure Loss", AG240, 0)))</f>
        <v>0</v>
      </c>
      <c r="AH311" s="141">
        <f>IF(OR(AB7="Paid - Loss &amp; DCCE",AB7="Incurred - Loss &amp; DCCE"),"N/A",IF(AB7="Paid - Pure Loss", AH97, IF(AB7="Incurred - Pure Loss", AH240, 0)))</f>
        <v>0</v>
      </c>
      <c r="AI311" s="141">
        <f>IF(OR(AB7="Paid - Loss &amp; DCCE",AB7="Incurred - Loss &amp; DCCE"),"N/A",IF(AB7="Paid - Pure Loss", AI97, IF(AB7="Incurred - Pure Loss", AI240, 0)))</f>
        <v>0</v>
      </c>
      <c r="AJ311" s="141">
        <f>IF(OR(AB7="Paid - Loss &amp; DCCE",AB7="Incurred - Loss &amp; DCCE"),"N/A",IF(AB7="Paid - Pure Loss", AJ97, IF(AB7="Incurred - Pure Loss", AJ240, 0)))</f>
        <v>0</v>
      </c>
      <c r="AK311" s="140" t="s">
        <v>215</v>
      </c>
      <c r="AL311" s="105"/>
      <c r="AM311" s="141">
        <f>IF(OR(AN7="Paid - Loss &amp; DCCE",AN7="Incurred - Loss &amp; DCCE"),"N/A",IF(AN7="Paid - Pure Loss", AM97, IF(AN7="Incurred - Pure Loss", AM240, 0)))</f>
        <v>0</v>
      </c>
      <c r="AN311" s="141">
        <f>IF(OR(AN7="Paid - Loss &amp; DCCE",AN7="Incurred - Loss &amp; DCCE"),"N/A",IF(AN7="Paid - Pure Loss", AN97, IF(AN7="Incurred - Pure Loss", AN240, 0)))</f>
        <v>0</v>
      </c>
      <c r="AO311" s="141">
        <f>IF(OR(AN7="Paid - Loss &amp; DCCE",AN7="Incurred - Loss &amp; DCCE"),"N/A",IF(AN7="Paid - Pure Loss", AO97, IF(AN7="Incurred - Pure Loss", AO240, 0)))</f>
        <v>0</v>
      </c>
      <c r="AP311" s="141">
        <f>IF(OR(AN7="Paid - Loss &amp; DCCE",AN7="Incurred - Loss &amp; DCCE"),"N/A",IF(AN7="Paid - Pure Loss", AP97, IF(AN7="Incurred - Pure Loss", AP240, 0)))</f>
        <v>0</v>
      </c>
      <c r="AQ311" s="141">
        <f>IF(OR(AN7="Paid - Loss &amp; DCCE",AN7="Incurred - Loss &amp; DCCE"),"N/A",IF(AN7="Paid - Pure Loss", AQ97, IF(AN7="Incurred - Pure Loss", AQ240, 0)))</f>
        <v>0</v>
      </c>
      <c r="AR311" s="141">
        <f>IF(OR(AN7="Paid - Loss &amp; DCCE",AN7="Incurred - Loss &amp; DCCE"),"N/A",IF(AN7="Paid - Pure Loss", AR97, IF(AN7="Incurred - Pure Loss", AR240, 0)))</f>
        <v>0</v>
      </c>
      <c r="AS311" s="141">
        <f>IF(OR(AN7="Paid - Loss &amp; DCCE",AN7="Incurred - Loss &amp; DCCE"),"N/A",IF(AN7="Paid - Pure Loss", AS97, IF(AN7="Incurred - Pure Loss", AS240, 0)))</f>
        <v>0</v>
      </c>
      <c r="AT311" s="141">
        <f>IF(OR(AN7="Paid - Loss &amp; DCCE",AN7="Incurred - Loss &amp; DCCE"),"N/A",IF(AN7="Paid - Pure Loss", AT97, IF(AN7="Incurred - Pure Loss", AT240, 0)))</f>
        <v>0</v>
      </c>
      <c r="AU311" s="141">
        <f>IF(OR(AN7="Paid - Loss &amp; DCCE",AN7="Incurred - Loss &amp; DCCE"),"N/A",IF(AN7="Paid - Pure Loss", AU97, IF(AN7="Incurred - Pure Loss", AU240, 0)))</f>
        <v>0</v>
      </c>
      <c r="AV311" s="141">
        <f>IF(OR(AN7="Paid - Loss &amp; DCCE",AN7="Incurred - Loss &amp; DCCE"),"N/A",IF(AN7="Paid - Pure Loss", AV97, IF(AN7="Incurred - Pure Loss", AV240, 0)))</f>
        <v>0</v>
      </c>
      <c r="AW311" s="140" t="s">
        <v>215</v>
      </c>
      <c r="AX311" s="105"/>
      <c r="AY311" s="141">
        <f>IF(OR(AZ7="Paid - Loss &amp; DCCE",AZ7="Incurred - Loss &amp; DCCE"),"N/A",IF(AZ7="Paid - Pure Loss", AY97, IF(AZ7="Incurred - Pure Loss", AY240, 0)))</f>
        <v>0</v>
      </c>
      <c r="AZ311" s="141">
        <f>IF(OR(AZ7="Paid - Loss &amp; DCCE",AZ7="Incurred - Loss &amp; DCCE"),"N/A",IF(AZ7="Paid - Pure Loss", AZ97, IF(AZ7="Incurred - Pure Loss", AZ240, 0)))</f>
        <v>0</v>
      </c>
      <c r="BA311" s="141">
        <f>IF(OR(AZ7="Paid - Loss &amp; DCCE",AZ7="Incurred - Loss &amp; DCCE"),"N/A",IF(AZ7="Paid - Pure Loss",BA97,IF(AZ7="Incurred - Pure Loss",BA240,0)))</f>
        <v>0</v>
      </c>
      <c r="BB311" s="141">
        <f>IF(OR(AZ7="Paid - Loss &amp; DCCE",AZ7="Incurred - Loss &amp; DCCE"),"N/A",IF(AZ7="Paid - Pure Loss", BB97, IF(AZ7="Incurred - Pure Loss", BB240, 0)))</f>
        <v>0</v>
      </c>
      <c r="BC311" s="141">
        <f>IF(OR(AZ7="Paid - Loss &amp; DCCE",AZ7="Incurred - Loss &amp; DCCE"),"N/A",IF(AZ7="Paid - Pure Loss", BC97, IF(AZ7="Incurred - Pure Loss", BC240, 0)))</f>
        <v>0</v>
      </c>
      <c r="BD311" s="141">
        <f>IF(OR(AZ7="Paid - Loss &amp; DCCE",AZ7="Incurred - Loss &amp; DCCE"),"N/A",IF(AZ7="Paid - Pure Loss", BD97, IF(AZ7="Incurred - Pure Loss", BD240, 0)))</f>
        <v>0</v>
      </c>
      <c r="BE311" s="141">
        <f>IF(OR(AZ7="Paid - Loss &amp; DCCE",AZ7="Incurred - Loss &amp; DCCE"),"N/A",IF(AZ7="Paid - Pure Loss", BE97, IF(AZ7="Incurred - Pure Loss", BE240, 0)))</f>
        <v>0</v>
      </c>
      <c r="BF311" s="141">
        <f>IF(OR(AZ7="Paid - Loss &amp; DCCE",AZ7="Incurred - Loss &amp; DCCE"),"N/A",IF(AZ7="Paid - Pure Loss", BF97, IF(AZ7="Incurred - Pure Loss", BF240, 0)))</f>
        <v>0</v>
      </c>
      <c r="BG311" s="141">
        <f>IF(OR(AZ7="Paid - Loss &amp; DCCE",AZ7="Incurred - Loss &amp; DCCE"),"N/A",IF(AZ7="Paid - Pure Loss", BG97, IF(AZ7="Incurred - Pure Loss", BG240, 0)))</f>
        <v>0</v>
      </c>
      <c r="BH311" s="141">
        <f>IF(OR(AZ7="Paid - Loss &amp; DCCE",AZ7="Incurred - Loss &amp; DCCE"),"N/A",IF(AZ7="Paid - Pure Loss", BH97, IF(AZ7="Incurred - Pure Loss", BH240, 0)))</f>
        <v>0</v>
      </c>
      <c r="BI311" s="140" t="s">
        <v>215</v>
      </c>
      <c r="BJ311" s="105"/>
      <c r="BK311" s="141">
        <f>IF(OR(BL7="Paid - Loss &amp; DCCE",BL7="Incurred - Loss &amp; DCCE"),"N/A",IF(BL7="Paid - Pure Loss", BK97, IF(BL7="Incurred - Pure Loss", BK240, 0)))</f>
        <v>0</v>
      </c>
      <c r="BL311" s="141">
        <f>IF(OR(BL7="Paid - Loss &amp; DCCE",BL7="Incurred - Loss &amp; DCCE"),"N/A",IF(BL7="Paid - Pure Loss", BL97, IF(BL7="Incurred - Pure Loss", BL240, 0)))</f>
        <v>0</v>
      </c>
      <c r="BM311" s="141">
        <f>IF(OR(BL7="Paid - Loss &amp; DCCE",BL7="Incurred - Loss &amp; DCCE"),"N/A",IF(BL7="Paid - Pure Loss", BM97, IF(BL7="Incurred - Pure Loss", BM240, 0)))</f>
        <v>0</v>
      </c>
      <c r="BN311" s="141">
        <f>IF(OR(BL7="Paid - Loss &amp; DCCE",BL7="Incurred - Loss &amp; DCCE"),"N/A",IF(BL7="Paid - Pure Loss", BN97, IF(BL7="Incurred - Pure Loss", BN240, 0)))</f>
        <v>0</v>
      </c>
      <c r="BO311" s="141">
        <f>IF(OR(BL7="Paid - Loss &amp; DCCE",BL7="Incurred - Loss &amp; DCCE"),"N/A",IF(BL7="Paid - Pure Loss", BO97, IF(BL7="Incurred - Pure Loss", BO240, 0)))</f>
        <v>0</v>
      </c>
      <c r="BP311" s="141">
        <f>IF(OR(BL7="Paid - Loss &amp; DCCE",BL7="Incurred - Loss &amp; DCCE"),"N/A",IF(BL7="Paid - Pure Loss", BP97, IF(BL7="Incurred - Pure Loss", BP240, 0)))</f>
        <v>0</v>
      </c>
      <c r="BQ311" s="141">
        <f>IF(OR(BL7="Paid - Loss &amp; DCCE",BL7="Incurred - Loss &amp; DCCE"),"N/A",IF(BL7="Paid - Pure Loss", BQ97, IF(BL7="Incurred - Pure Loss", BQ240, 0)))</f>
        <v>0</v>
      </c>
      <c r="BR311" s="141">
        <f>IF(OR(BL7="Paid - Loss &amp; DCCE",BL7="Incurred - Loss &amp; DCCE"),"N/A",IF(BL7="Paid - Pure Loss", BR97, IF(BL7="Incurred - Pure Loss", BR240, 0)))</f>
        <v>0</v>
      </c>
      <c r="BS311" s="141">
        <f>IF(OR(BL7="Paid - Loss &amp; DCCE",BL7="Incurred - Loss &amp; DCCE"),"N/A",IF(BL7="Paid - Pure Loss", BS97, IF(BL7="Incurred - Pure Loss", BS240, 0)))</f>
        <v>0</v>
      </c>
      <c r="BT311" s="141">
        <f>IF(OR(BL7="Paid - Loss &amp; DCCE",BL7="Incurred - Loss &amp; DCCE"),"N/A",IF(BL7="Paid - Pure Loss", BT97, IF(BL7="Incurred - Pure Loss", BT240, 0)))</f>
        <v>0</v>
      </c>
      <c r="BU311" s="140" t="s">
        <v>215</v>
      </c>
      <c r="BV311" s="105"/>
      <c r="BW311" s="141">
        <f>IF(OR(BX7="Paid - Loss &amp; DCCE",BX7="Incurred - Loss &amp; DCCE"),"N/A",IF(BX7="Paid - Pure Loss", BW97, IF(BX7="Incurred - Pure Loss", BW240, 0)))</f>
        <v>0</v>
      </c>
      <c r="BX311" s="141">
        <f>IF(OR(BX7="Paid - Loss &amp; DCCE",BX7="Incurred - Loss &amp; DCCE"),"N/A",IF(BX7="Paid - Pure Loss", BX97, IF(BX7="Incurred - Pure Loss", BX240, 0)))</f>
        <v>0</v>
      </c>
      <c r="BY311" s="141">
        <f>IF(OR(BX7="Paid - Loss &amp; DCCE",BX7="Incurred - Loss &amp; DCCE"),"N/A",IF(BX7="Paid - Pure Loss", BY97, IF(BX7="Incurred - Pure Loss", BY240, 0)))</f>
        <v>0</v>
      </c>
      <c r="BZ311" s="141">
        <f>IF(OR(BX7="Paid - Loss &amp; DCCE",BX7="Incurred - Loss &amp; DCCE"),"N/A",IF(BX7="Paid - Pure Loss", BZ97, IF(BX7="Incurred - Pure Loss", BZ240, 0)))</f>
        <v>0</v>
      </c>
      <c r="CA311" s="141">
        <f>IF(OR(BX7="Paid - Loss &amp; DCCE",BX7="Incurred - Loss &amp; DCCE"),"N/A",IF(BX7="Paid - Pure Loss", CA97, IF(BX7="Incurred - Pure Loss", CA240, 0)))</f>
        <v>0</v>
      </c>
      <c r="CB311" s="141">
        <f>IF(OR(BX7="Paid - Loss &amp; DCCE",BX7="Incurred - Loss &amp; DCCE"),"N/A",IF(BX7="Paid - Pure Loss", CB97, IF(BX7="Incurred - Pure Loss", CB240, 0)))</f>
        <v>0</v>
      </c>
      <c r="CC311" s="141">
        <f>IF(OR(BX7="Paid - Loss &amp; DCCE",BX7="Incurred - Loss &amp; DCCE"),"N/A",IF(BX7="Paid - Pure Loss", CC97, IF(BX7="Incurred - Pure Loss", CC240, 0)))</f>
        <v>0</v>
      </c>
      <c r="CD311" s="141">
        <f>IF(OR(BX7="Paid - Loss &amp; DCCE",BX7="Incurred - Loss &amp; DCCE"),"N/A",IF(BX7="Paid - Pure Loss", CD97, IF(BX7="Incurred - Pure Loss", CD240, 0)))</f>
        <v>0</v>
      </c>
      <c r="CE311" s="141">
        <f>IF(OR(BX7="Paid - Loss &amp; DCCE",BX7="Incurred - Loss &amp; DCCE"),"N/A",IF(BX7="Paid - Pure Loss", CE97, IF(BX7="Incurred - Pure Loss", CE240, 0)))</f>
        <v>0</v>
      </c>
      <c r="CF311" s="141">
        <f>IF(OR(BX7="Paid - Loss &amp; DCCE",BX7="Incurred - Loss &amp; DCCE"),"N/A",IF(BX7="Paid - Pure Loss", CF97, IF(BX7="Incurred - Pure Loss", CF240, 0)))</f>
        <v>0</v>
      </c>
      <c r="CG311" s="140" t="s">
        <v>215</v>
      </c>
      <c r="CH311" s="105"/>
      <c r="CI311" s="141">
        <f>IF(OR(CJ7="Paid - Loss &amp; DCCE",CJ7="Incurred - Loss &amp; DCCE"),"N/A",IF(CJ7="Paid - Pure Loss", CI97, IF(CJ7="Incurred - Pure Loss", CI240, 0)))</f>
        <v>0</v>
      </c>
      <c r="CJ311" s="141">
        <f>IF(OR(CJ7="Paid - Loss &amp; DCCE",CJ7="Incurred - Loss &amp; DCCE"),"N/A",IF(CJ7="Paid - Pure Loss", CJ97, IF(CJ7="Incurred - Pure Loss", CJ240, 0)))</f>
        <v>0</v>
      </c>
      <c r="CK311" s="141">
        <f>IF(OR(CJ7="Paid - Loss &amp; DCCE",CJ7="Incurred - Loss &amp; DCCE"),"N/A",IF(CJ7="Paid - Pure Loss", CK97, IF(CJ7="Incurred - Pure Loss", CK240, 0)))</f>
        <v>0</v>
      </c>
      <c r="CL311" s="141">
        <f>IF(OR(CJ7="Paid - Loss &amp; DCCE",CJ7="Incurred - Loss &amp; DCCE"),"N/A",IF(CJ7="Paid - Pure Loss", CL97, IF(CJ7="Incurred - Pure Loss", CL240, 0)))</f>
        <v>0</v>
      </c>
      <c r="CM311" s="141">
        <f>IF(OR(CJ7="Paid - Loss &amp; DCCE",CJ7="Incurred - Loss &amp; DCCE"),"N/A",IF(CJ7="Paid - Pure Loss", CM97, IF(CJ7="Incurred - Pure Loss", CM240, 0)))</f>
        <v>0</v>
      </c>
      <c r="CN311" s="141">
        <f>IF(OR(CJ7="Paid - Loss &amp; DCCE",CJ7="Incurred - Loss &amp; DCCE"),"N/A",IF(CJ7="Paid - Pure Loss", CN97, IF(CJ7="Incurred - Pure Loss", CN240, 0)))</f>
        <v>0</v>
      </c>
      <c r="CO311" s="141">
        <f>IF(OR(CJ7="Paid - Loss &amp; DCCE",CJ7="Incurred - Loss &amp; DCCE"),"N/A",IF(CJ7="Paid - Pure Loss", CO97, IF(CJ7="Incurred - Pure Loss", CO240, 0)))</f>
        <v>0</v>
      </c>
      <c r="CP311" s="141">
        <f>IF(OR(CJ7="Paid - Loss &amp; DCCE",CJ7="Incurred - Loss &amp; DCCE"),"N/A",IF(CJ7="Paid - Pure Loss", CP97, IF(CJ7="Incurred - Pure Loss", CP240, 0)))</f>
        <v>0</v>
      </c>
      <c r="CQ311" s="141">
        <f>IF(OR(CJ7="Paid - Loss &amp; DCCE",CJ7="Incurred - Loss &amp; DCCE"),"N/A",IF(CJ7="Paid - Pure Loss", CQ97, IF(CJ7="Incurred - Pure Loss", CQ240, 0)))</f>
        <v>0</v>
      </c>
      <c r="CR311" s="141">
        <f>IF(OR(CJ7="Paid - Loss &amp; DCCE",CJ7="Incurred - Loss &amp; DCCE"),"N/A",IF(CJ7="Paid - Pure Loss", CR97, IF(CJ7="Incurred - Pure Loss", CR240, 0)))</f>
        <v>0</v>
      </c>
      <c r="CS311" s="140" t="s">
        <v>215</v>
      </c>
      <c r="CT311" s="105"/>
      <c r="CU311" s="141">
        <f>IF(OR(CV7="Paid - Loss &amp; DCCE",CV7="Incurred - Loss &amp; DCCE"),"N/A",IF(CV7="Paid - Pure Loss", CU97, IF(CV7="Incurred - Pure Loss", CU240, 0)))</f>
        <v>0</v>
      </c>
      <c r="CV311" s="141">
        <f>IF(OR(CV7="Paid - Loss &amp; DCCE",CV7="Incurred - Loss &amp; DCCE"),"N/A",IF(CV7="Paid - Pure Loss", CV97, IF(CV7="Incurred - Pure Loss", CV240, 0)))</f>
        <v>0</v>
      </c>
      <c r="CW311" s="141">
        <f>IF(OR(CV7="Paid - Loss &amp; DCCE",CV7="Incurred - Loss &amp; DCCE"),"N/A",IF(CV7="Paid - Pure Loss", CW97, IF(CV7="Incurred - Pure Loss", CW240, 0)))</f>
        <v>0</v>
      </c>
      <c r="CX311" s="141">
        <f>IF(OR(CV7="Paid - Loss &amp; DCCE",CV7="Incurred - Loss &amp; DCCE"),"N/A",IF(CV7="Paid - Pure Loss", CX97, IF(CV7="Incurred - Pure Loss", CX240, 0)))</f>
        <v>0</v>
      </c>
      <c r="CY311" s="141">
        <f>IF(OR(CV7="Paid - Loss &amp; DCCE",CV7="Incurred - Loss &amp; DCCE"),"N/A",IF(CV7="Paid - Pure Loss", CY97, IF(CV7="Incurred - Pure Loss", CY240, 0)))</f>
        <v>0</v>
      </c>
      <c r="CZ311" s="141">
        <f>IF(OR(CV7="Paid - Loss &amp; DCCE",CV7="Incurred - Loss &amp; DCCE"),"N/A",IF(CV7="Paid - Pure Loss", CZ97, IF(CV7="Incurred - Pure Loss", CZ240, 0)))</f>
        <v>0</v>
      </c>
      <c r="DA311" s="141">
        <f>IF(OR(CV7="Paid - Loss &amp; DCCE",CV7="Incurred - Loss &amp; DCCE"),"N/A",IF(CV7="Paid - Pure Loss", DA97, IF(CV7="Incurred - Pure Loss", DA240, 0)))</f>
        <v>0</v>
      </c>
      <c r="DB311" s="141">
        <f>IF(OR(CV7="Paid - Loss &amp; DCCE",CV7="Incurred - Loss &amp; DCCE"),"N/A",IF(CV7="Paid - Pure Loss", DB97, IF(CV7="Incurred - Pure Loss", DB240, 0)))</f>
        <v>0</v>
      </c>
      <c r="DC311" s="141">
        <f>IF(OR(CV7="Paid - Loss &amp; DCCE",CV7="Incurred - Loss &amp; DCCE"),"N/A",IF(CV7="Paid - Pure Loss", DC97, IF(CV7="Incurred - Pure Loss", DC240, 0)))</f>
        <v>0</v>
      </c>
      <c r="DD311" s="141">
        <f>IF(OR(CV7="Paid - Loss &amp; DCCE",CV7="Incurred - Loss &amp; DCCE"),"N/A",IF(CV7="Paid - Pure Loss", DD97, IF(CV7="Incurred - Pure Loss", DD240, 0)))</f>
        <v>0</v>
      </c>
      <c r="DE311" s="140" t="s">
        <v>215</v>
      </c>
      <c r="DF311" s="105"/>
      <c r="DG311" s="141">
        <f>IF(OR(DH7="Paid - Loss &amp; DCCE",DH7="Incurred - Loss &amp; DCCE"),"N/A",IF(DH7="Paid - Pure Loss", DG97, IF(DH7="Incurred - Pure Loss", DG240, 0)))</f>
        <v>0</v>
      </c>
      <c r="DH311" s="141">
        <f>IF(OR(DH7="Paid - Loss &amp; DCCE",DH7="Incurred - Loss &amp; DCCE"),"N/A",IF(DH7="Paid - Pure Loss", DH97, IF(DH7="Incurred - Pure Loss", DH240, 0)))</f>
        <v>0</v>
      </c>
      <c r="DI311" s="141">
        <f>IF(OR(DH7="Paid - Loss &amp; DCCE",DH7="Incurred - Loss &amp; DCCE"),"N/A",IF(DH7="Paid - Pure Loss", DI97, IF(DH7="Incurred - Pure Loss", DI240, 0)))</f>
        <v>0</v>
      </c>
      <c r="DJ311" s="141">
        <f>IF(OR(DH7="Paid - Loss &amp; DCCE",DH7="Incurred - Loss &amp; DCCE"),"N/A",IF(DH7="Paid - Pure Loss", DJ97, IF(DH7="Incurred - Pure Loss", DJ240, 0)))</f>
        <v>0</v>
      </c>
      <c r="DK311" s="141">
        <f>IF(OR(DH7="Paid - Loss &amp; DCCE",DH7="Incurred - Loss &amp; DCCE"),"N/A",IF(DH7="Paid - Pure Loss", DK97, IF(DH7="Incurred - Pure Loss", DK240, 0)))</f>
        <v>0</v>
      </c>
      <c r="DL311" s="141">
        <f>IF(OR(DH7="Paid - Loss &amp; DCCE",DH7="Incurred - Loss &amp; DCCE"),"N/A",IF(DH7="Paid - Pure Loss", DL97, IF(DH7="Incurred - Pure Loss", DL240, 0)))</f>
        <v>0</v>
      </c>
      <c r="DM311" s="141">
        <f>IF(OR(DH7="Paid - Loss &amp; DCCE",DH7="Incurred - Loss &amp; DCCE"),"N/A",IF(DH7="Paid - Pure Loss", DM97, IF(DH7="Incurred - Pure Loss", DM240, 0)))</f>
        <v>0</v>
      </c>
      <c r="DN311" s="141">
        <f>IF(OR(DH7="Paid - Loss &amp; DCCE",DH7="Incurred - Loss &amp; DCCE"),"N/A",IF(DH7="Paid - Pure Loss", DN97, IF(DH7="Incurred - Pure Loss", DN240, 0)))</f>
        <v>0</v>
      </c>
      <c r="DO311" s="141">
        <f>IF(OR(DH7="Paid - Loss &amp; DCCE",DH7="Incurred - Loss &amp; DCCE"),"N/A",IF(DH7="Paid - Pure Loss", DO97, IF(DH7="Incurred - Pure Loss", DO240, 0)))</f>
        <v>0</v>
      </c>
      <c r="DP311" s="141">
        <f>IF(OR(DH7="Paid - Loss &amp; DCCE",DH7="Incurred - Loss &amp; DCCE"),"N/A",IF(DH7="Paid - Pure Loss", DP97, IF(DH7="Incurred - Pure Loss", DP240, 0)))</f>
        <v>0</v>
      </c>
    </row>
    <row r="312" spans="1:120" ht="15.75" thickBot="1" x14ac:dyDescent="0.3">
      <c r="A312" s="95" t="s">
        <v>42</v>
      </c>
      <c r="B312" s="105"/>
      <c r="C312" s="110">
        <f>IF(OR(D7="Paid - Loss &amp; DCCE",D7="Incurred - Loss &amp; DCCE"),"N/A",IFERROR(C310*C311,0))</f>
        <v>0</v>
      </c>
      <c r="D312" s="110">
        <f>IF(OR(D7="Paid - Loss &amp; DCCE",D7="Incurred - Loss &amp; DCCE"),"N/A",IFERROR(D310*D311,0))</f>
        <v>0</v>
      </c>
      <c r="E312" s="110">
        <f>IF(OR(D7="Paid - Loss &amp; DCCE",D7="Incurred - Loss &amp; DCCE"),"N/A",IFERROR(E310*E311,0))</f>
        <v>0</v>
      </c>
      <c r="F312" s="110">
        <f>IF(OR(D7="Paid - Loss &amp; DCCE",D7="Incurred - Loss &amp; DCCE"),"N/A",IFERROR(F310*F311,0))</f>
        <v>0</v>
      </c>
      <c r="G312" s="110">
        <f>IF(OR(D7="Paid - Loss &amp; DCCE",D7="Incurred - Loss &amp; DCCE"),"N/A",IFERROR(G310*G311,0))</f>
        <v>0</v>
      </c>
      <c r="H312" s="110">
        <f>IF(OR(D7="Paid - Loss &amp; DCCE",D7="Incurred - Loss &amp; DCCE"),"N/A",IFERROR(H310*H311,0))</f>
        <v>0</v>
      </c>
      <c r="I312" s="110">
        <f>IF(OR(D7="Paid - Loss &amp; DCCE",D7="Incurred - Loss &amp; DCCE"),"N/A",IFERROR(I310*I311,0))</f>
        <v>0</v>
      </c>
      <c r="J312" s="110">
        <f>IF(OR(D7="Paid - Loss &amp; DCCE",D7="Incurred - Loss &amp; DCCE"),"N/A",IFERROR(J310*J311,0))</f>
        <v>0</v>
      </c>
      <c r="K312" s="110">
        <f>IF(OR(D7="Paid - Loss &amp; DCCE",D7="Incurred - Loss &amp; DCCE"),"N/A",IFERROR(K310*K311,0))</f>
        <v>0</v>
      </c>
      <c r="L312" s="110">
        <f>IF(OR(D7="Paid - Loss &amp; DCCE",D7="Incurred - Loss &amp; DCCE"),"N/A",IFERROR(L310*L311,0))</f>
        <v>0</v>
      </c>
      <c r="M312" s="95" t="s">
        <v>42</v>
      </c>
      <c r="N312" s="105"/>
      <c r="O312" s="110">
        <f>IF(OR(P7="Paid - Loss &amp; DCCE",P7="Incurred - Loss &amp; DCCE"),"N/A",IFERROR(O310*O311,0))</f>
        <v>0</v>
      </c>
      <c r="P312" s="110">
        <f>IF(OR(P7="Paid - Loss &amp; DCCE",P7="Incurred - Loss &amp; DCCE"),"N/A",IFERROR(P310*P311,0))</f>
        <v>0</v>
      </c>
      <c r="Q312" s="110">
        <f>IF(OR(P7="Paid - Loss &amp; DCCE",P7="Incurred - Loss &amp; DCCE"),"N/A",IFERROR(Q310*Q311,0))</f>
        <v>0</v>
      </c>
      <c r="R312" s="110">
        <f>IF(OR(P7="Paid - Loss &amp; DCCE",P7="Incurred - Loss &amp; DCCE"),"N/A",IFERROR(R310*R311,0))</f>
        <v>0</v>
      </c>
      <c r="S312" s="110">
        <f>IF(OR(P7="Paid - Loss &amp; DCCE",P7="Incurred - Loss &amp; DCCE"),"N/A",IFERROR(S310*S311,0))</f>
        <v>0</v>
      </c>
      <c r="T312" s="110">
        <f>IF(OR(P7="Paid - Loss &amp; DCCE",P7="Incurred - Loss &amp; DCCE"),"N/A",IFERROR(T310*T311,0))</f>
        <v>0</v>
      </c>
      <c r="U312" s="110">
        <f>IF(OR(P7="Paid - Loss &amp; DCCE",P7="Incurred - Loss &amp; DCCE"),"N/A",IFERROR(U310*U311,0))</f>
        <v>0</v>
      </c>
      <c r="V312" s="110">
        <f>IF(OR(P7="Paid - Loss &amp; DCCE",P7="Incurred - Loss &amp; DCCE"),"N/A",IFERROR(V310*V311,0))</f>
        <v>0</v>
      </c>
      <c r="W312" s="110">
        <f>IF(OR(P7="Paid - Loss &amp; DCCE",P7="Incurred - Loss &amp; DCCE"),"N/A",IFERROR(W310*W311,0))</f>
        <v>0</v>
      </c>
      <c r="X312" s="110">
        <f>IF(OR(P7="Paid - Loss &amp; DCCE",P7="Incurred - Loss &amp; DCCE"),"N/A",IFERROR(X310*X311,0))</f>
        <v>0</v>
      </c>
      <c r="Y312" s="95" t="s">
        <v>42</v>
      </c>
      <c r="Z312" s="105"/>
      <c r="AA312" s="110">
        <f>IF(OR(AB7="Paid - Loss &amp; DCCE",AB7="Incurred - Loss &amp; DCCE"),"N/A",IFERROR(AA310*AA311,0))</f>
        <v>0</v>
      </c>
      <c r="AB312" s="110">
        <f>IF(OR(AB7="Paid - Loss &amp; DCCE",AB7="Incurred - Loss &amp; DCCE"),"N/A",IFERROR(AB310*AB311,0))</f>
        <v>0</v>
      </c>
      <c r="AC312" s="110">
        <f>IF(OR(AB7="Paid - Loss &amp; DCCE",AB7="Incurred - Loss &amp; DCCE"),"N/A",IFERROR(AC310*AC311,0))</f>
        <v>0</v>
      </c>
      <c r="AD312" s="110">
        <f>IF(OR(AB7="Paid - Loss &amp; DCCE",AB7="Incurred - Loss &amp; DCCE"),"N/A",IFERROR(AD310*AD311,0))</f>
        <v>0</v>
      </c>
      <c r="AE312" s="110">
        <f>IF(OR(AB7="Paid - Loss &amp; DCCE",AB7="Incurred - Loss &amp; DCCE"),"N/A",IFERROR(AE310*AE311,0))</f>
        <v>0</v>
      </c>
      <c r="AF312" s="110">
        <f>IF(OR(AB7="Paid - Loss &amp; DCCE",AB7="Incurred - Loss &amp; DCCE"),"N/A",IFERROR(AF310*AF311,0))</f>
        <v>0</v>
      </c>
      <c r="AG312" s="110">
        <f>IF(OR(AB7="Paid - Loss &amp; DCCE",AB7="Incurred - Loss &amp; DCCE"),"N/A",IFERROR(AG310*AG311,0))</f>
        <v>0</v>
      </c>
      <c r="AH312" s="110">
        <f>IF(OR(AB7="Paid - Loss &amp; DCCE",AB7="Incurred - Loss &amp; DCCE"),"N/A",IFERROR(AH310*AH311,0))</f>
        <v>0</v>
      </c>
      <c r="AI312" s="110">
        <f>IF(OR(AB7="Paid - Loss &amp; DCCE",AB7="Incurred - Loss &amp; DCCE"),"N/A",IFERROR(AI310*AI311,0))</f>
        <v>0</v>
      </c>
      <c r="AJ312" s="110">
        <f>IF(OR(AB7="Paid - Loss &amp; DCCE",AB7="Incurred - Loss &amp; DCCE"),"N/A",IFERROR(AJ310*AJ311,0))</f>
        <v>0</v>
      </c>
      <c r="AK312" s="95" t="s">
        <v>42</v>
      </c>
      <c r="AL312" s="105"/>
      <c r="AM312" s="110">
        <f>IF(OR(AN7="Paid - Loss &amp; DCCE",AN7="Incurred - Loss &amp; DCCE"),"N/A",IFERROR(AM310*AM311,0))</f>
        <v>0</v>
      </c>
      <c r="AN312" s="110">
        <f>IF(OR(AN7="Paid - Loss &amp; DCCE",AN7="Incurred - Loss &amp; DCCE"),"N/A",IFERROR(AN310*AN311,0))</f>
        <v>0</v>
      </c>
      <c r="AO312" s="110">
        <f>IF(OR(AN7="Paid - Loss &amp; DCCE",AN7="Incurred - Loss &amp; DCCE"),"N/A",IFERROR(AO310*AO311,0))</f>
        <v>0</v>
      </c>
      <c r="AP312" s="110">
        <f>IF(OR(AN7="Paid - Loss &amp; DCCE",AN7="Incurred - Loss &amp; DCCE"),"N/A",IFERROR(AP310*AP311,0))</f>
        <v>0</v>
      </c>
      <c r="AQ312" s="110">
        <f>IF(OR(AN7="Paid - Loss &amp; DCCE",AN7="Incurred - Loss &amp; DCCE"),"N/A",IFERROR(AQ310*AQ311,0))</f>
        <v>0</v>
      </c>
      <c r="AR312" s="110">
        <f>IF(OR(AN7="Paid - Loss &amp; DCCE",AN7="Incurred - Loss &amp; DCCE"),"N/A",IFERROR(AR310*AR311,0))</f>
        <v>0</v>
      </c>
      <c r="AS312" s="110">
        <f>IF(OR(AN7="Paid - Loss &amp; DCCE",AN7="Incurred - Loss &amp; DCCE"),"N/A",IFERROR(AS310*AS311,0))</f>
        <v>0</v>
      </c>
      <c r="AT312" s="110">
        <f>IF(OR(AN7="Paid - Loss &amp; DCCE",AN7="Incurred - Loss &amp; DCCE"),"N/A",IFERROR(AT310*AT311,0))</f>
        <v>0</v>
      </c>
      <c r="AU312" s="110">
        <f>IF(OR(AN7="Paid - Loss &amp; DCCE",AN7="Incurred - Loss &amp; DCCE"),"N/A",IFERROR(AU310*AU311,0))</f>
        <v>0</v>
      </c>
      <c r="AV312" s="110">
        <f>IF(OR(AN7="Paid - Loss &amp; DCCE",AN7="Incurred - Loss &amp; DCCE"),"N/A",IFERROR(AV310*AV311,0))</f>
        <v>0</v>
      </c>
      <c r="AW312" s="95" t="s">
        <v>42</v>
      </c>
      <c r="AX312" s="105"/>
      <c r="AY312" s="110">
        <f>IF(OR(AZ7="Paid - Loss &amp; DCCE",AZ7="Incurred - Loss &amp; DCCE"),"N/A",IFERROR(AY310*AY311,0))</f>
        <v>0</v>
      </c>
      <c r="AZ312" s="110">
        <f>IF(OR(AZ7="Paid - Loss &amp; DCCE",AZ7="Incurred - Loss &amp; DCCE"),"N/A",IFERROR(AZ310*AZ311,0))</f>
        <v>0</v>
      </c>
      <c r="BA312" s="110">
        <f>IF(OR(AZ7="Paid - Loss &amp; DCCE",AZ7="Incurred - Loss &amp; DCCE"),"N/A",IFERROR(BA310*BA311,0))</f>
        <v>0</v>
      </c>
      <c r="BB312" s="110">
        <f>IF(OR(AZ7="Paid - Loss &amp; DCCE",AZ7="Incurred - Loss &amp; DCCE"),"N/A",IFERROR(BB310*BB311,0))</f>
        <v>0</v>
      </c>
      <c r="BC312" s="110">
        <f>IF(OR(AZ7="Paid - Loss &amp; DCCE",AZ7="Incurred - Loss &amp; DCCE"),"N/A",IFERROR(BC310*BC311,0))</f>
        <v>0</v>
      </c>
      <c r="BD312" s="110">
        <f>IF(OR(AZ7="Paid - Loss &amp; DCCE",AZ7="Incurred - Loss &amp; DCCE"),"N/A",IFERROR(BD310*BD311,0))</f>
        <v>0</v>
      </c>
      <c r="BE312" s="110">
        <f>IF(OR(AZ7="Paid - Loss &amp; DCCE",AZ7="Incurred - Loss &amp; DCCE"),"N/A",IFERROR(BE310*BE311,0))</f>
        <v>0</v>
      </c>
      <c r="BF312" s="110">
        <f>IF(OR(AZ7="Paid - Loss &amp; DCCE",AZ7="Incurred - Loss &amp; DCCE"),"N/A",IFERROR(BF310*BF311,0))</f>
        <v>0</v>
      </c>
      <c r="BG312" s="110">
        <f>IF(OR(AZ7="Paid - Loss &amp; DCCE",AZ7="Incurred - Loss &amp; DCCE"),"N/A",IFERROR(BG310*BG311,0))</f>
        <v>0</v>
      </c>
      <c r="BH312" s="110">
        <f>IF(OR(AZ7="Paid - Loss &amp; DCCE",AZ7="Incurred - Loss &amp; DCCE"),"N/A",IFERROR(BH310*BH311,0))</f>
        <v>0</v>
      </c>
      <c r="BI312" s="95" t="s">
        <v>42</v>
      </c>
      <c r="BJ312" s="105"/>
      <c r="BK312" s="110">
        <f>IF(OR(BL7="Paid - Loss &amp; DCCE",BL7="Incurred - Loss &amp; DCCE"),"N/A",IFERROR(BK310*BK311,0))</f>
        <v>0</v>
      </c>
      <c r="BL312" s="110">
        <f>IF(OR(BL7="Paid - Loss &amp; DCCE",BL7="Incurred - Loss &amp; DCCE"),"N/A",IFERROR(BL310*BL311,0))</f>
        <v>0</v>
      </c>
      <c r="BM312" s="110">
        <f>IF(OR(BL7="Paid - Loss &amp; DCCE",BL7="Incurred - Loss &amp; DCCE"),"N/A",IFERROR(BM310*BM311,0))</f>
        <v>0</v>
      </c>
      <c r="BN312" s="110">
        <f>IF(OR(BL7="Paid - Loss &amp; DCCE",BL7="Incurred - Loss &amp; DCCE"),"N/A",IFERROR(BN310*BN311,0))</f>
        <v>0</v>
      </c>
      <c r="BO312" s="110">
        <f>IF(OR(BL7="Paid - Loss &amp; DCCE",BL7="Incurred - Loss &amp; DCCE"),"N/A",IFERROR(BO310*BO311,0))</f>
        <v>0</v>
      </c>
      <c r="BP312" s="110">
        <f>IF(OR(BL7="Paid - Loss &amp; DCCE",BL7="Incurred - Loss &amp; DCCE"),"N/A",IFERROR(BP310*BP311,0))</f>
        <v>0</v>
      </c>
      <c r="BQ312" s="110">
        <f>IF(OR(BL7="Paid - Loss &amp; DCCE",BL7="Incurred - Loss &amp; DCCE"),"N/A",IFERROR(BQ310*BQ311,0))</f>
        <v>0</v>
      </c>
      <c r="BR312" s="110">
        <f>IF(OR(BL7="Paid - Loss &amp; DCCE",BL7="Incurred - Loss &amp; DCCE"),"N/A",IFERROR(BR310*BR311,0))</f>
        <v>0</v>
      </c>
      <c r="BS312" s="110">
        <f>IF(OR(BL7="Paid - Loss &amp; DCCE",BL7="Incurred - Loss &amp; DCCE"),"N/A",IFERROR(BS310*BS311,0))</f>
        <v>0</v>
      </c>
      <c r="BT312" s="110">
        <f>IF(OR(BL7="Paid - Loss &amp; DCCE",BL7="Incurred - Loss &amp; DCCE"),"N/A",IFERROR(BT310*BT311,0))</f>
        <v>0</v>
      </c>
      <c r="BU312" s="95" t="s">
        <v>42</v>
      </c>
      <c r="BV312" s="105"/>
      <c r="BW312" s="110">
        <f>IF(OR(BX7="Paid - Loss &amp; DCCE",BX7="Incurred - Loss &amp; DCCE"),"N/A",IFERROR(BW310*BW311,0))</f>
        <v>0</v>
      </c>
      <c r="BX312" s="110">
        <f>IF(OR(BX7="Paid - Loss &amp; DCCE",BX7="Incurred - Loss &amp; DCCE"),"N/A",IFERROR(BX310*BX311,0))</f>
        <v>0</v>
      </c>
      <c r="BY312" s="110">
        <f>IF(OR(BX7="Paid - Loss &amp; DCCE",BX7="Incurred - Loss &amp; DCCE"),"N/A",IFERROR(BY310*BY311,0))</f>
        <v>0</v>
      </c>
      <c r="BZ312" s="110">
        <f>IF(OR(BX7="Paid - Loss &amp; DCCE",BX7="Incurred - Loss &amp; DCCE"),"N/A",IFERROR(BZ310*BZ311,0))</f>
        <v>0</v>
      </c>
      <c r="CA312" s="110">
        <f>IF(OR(BX7="Paid - Loss &amp; DCCE",BX7="Incurred - Loss &amp; DCCE"),"N/A",IFERROR(CA310*CA311,0))</f>
        <v>0</v>
      </c>
      <c r="CB312" s="110">
        <f>IF(OR(BX7="Paid - Loss &amp; DCCE",BX7="Incurred - Loss &amp; DCCE"),"N/A",IFERROR(CB310*CB311,0))</f>
        <v>0</v>
      </c>
      <c r="CC312" s="110">
        <f>IF(OR(BX7="Paid - Loss &amp; DCCE",BX7="Incurred - Loss &amp; DCCE"),"N/A",IFERROR(CC310*CC311,0))</f>
        <v>0</v>
      </c>
      <c r="CD312" s="110">
        <f>IF(OR(BX7="Paid - Loss &amp; DCCE",BX7="Incurred - Loss &amp; DCCE"),"N/A",IFERROR(CD310*CD311,0))</f>
        <v>0</v>
      </c>
      <c r="CE312" s="110">
        <f>IF(OR(BX7="Paid - Loss &amp; DCCE",BX7="Incurred - Loss &amp; DCCE"),"N/A",IFERROR(CE310*CE311,0))</f>
        <v>0</v>
      </c>
      <c r="CF312" s="110">
        <f>IF(OR(BX7="Paid - Loss &amp; DCCE",BX7="Incurred - Loss &amp; DCCE"),"N/A",IFERROR(CF310*CF311,0))</f>
        <v>0</v>
      </c>
      <c r="CG312" s="95" t="s">
        <v>42</v>
      </c>
      <c r="CH312" s="105"/>
      <c r="CI312" s="110">
        <f>IF(OR(CJ7="Paid - Loss &amp; DCCE",CJ7="Incurred - Loss &amp; DCCE"),"N/A",IFERROR(CI310*CI311,0))</f>
        <v>0</v>
      </c>
      <c r="CJ312" s="110">
        <f>IF(OR(CJ7="Paid - Loss &amp; DCCE",CJ7="Incurred - Loss &amp; DCCE"),"N/A",IFERROR(CJ310*CJ311,0))</f>
        <v>0</v>
      </c>
      <c r="CK312" s="110">
        <f>IF(OR(CJ7="Paid - Loss &amp; DCCE",CJ7="Incurred - Loss &amp; DCCE"),"N/A",IFERROR(CK310*CK311,0))</f>
        <v>0</v>
      </c>
      <c r="CL312" s="110">
        <f>IF(OR(CJ7="Paid - Loss &amp; DCCE",CJ7="Incurred - Loss &amp; DCCE"),"N/A",IFERROR(CL310*CL311,0))</f>
        <v>0</v>
      </c>
      <c r="CM312" s="110">
        <f>IF(OR(CJ7="Paid - Loss &amp; DCCE",CJ7="Incurred - Loss &amp; DCCE"),"N/A",IFERROR(CM310*CM311,0))</f>
        <v>0</v>
      </c>
      <c r="CN312" s="110">
        <f>IF(OR(CJ7="Paid - Loss &amp; DCCE",CJ7="Incurred - Loss &amp; DCCE"),"N/A",IFERROR(CN310*CN311,0))</f>
        <v>0</v>
      </c>
      <c r="CO312" s="110">
        <f>IF(OR(CJ7="Paid - Loss &amp; DCCE",CJ7="Incurred - Loss &amp; DCCE"),"N/A",IFERROR(CO310*CO311,0))</f>
        <v>0</v>
      </c>
      <c r="CP312" s="110">
        <f>IF(OR(CJ7="Paid - Loss &amp; DCCE",CJ7="Incurred - Loss &amp; DCCE"),"N/A",IFERROR(CP310*CP311,0))</f>
        <v>0</v>
      </c>
      <c r="CQ312" s="110">
        <f>IF(OR(CJ7="Paid - Loss &amp; DCCE",CJ7="Incurred - Loss &amp; DCCE"),"N/A",IFERROR(CQ310*CQ311,0))</f>
        <v>0</v>
      </c>
      <c r="CR312" s="110">
        <f>IF(OR(CJ7="Paid - Loss &amp; DCCE",CJ7="Incurred - Loss &amp; DCCE"),"N/A",IFERROR(CR310*CR311,0))</f>
        <v>0</v>
      </c>
      <c r="CS312" s="95" t="s">
        <v>42</v>
      </c>
      <c r="CT312" s="105"/>
      <c r="CU312" s="110">
        <f>IF(OR(CV7="Paid - Loss &amp; DCCE",CV7="Incurred - Loss &amp; DCCE"),"N/A",IFERROR(CU310*CU311,0))</f>
        <v>0</v>
      </c>
      <c r="CV312" s="110">
        <f>IF(OR(CV7="Paid - Loss &amp; DCCE",CV7="Incurred - Loss &amp; DCCE"),"N/A",IFERROR(CV310*CV311,0))</f>
        <v>0</v>
      </c>
      <c r="CW312" s="110">
        <f>IF(OR(CV7="Paid - Loss &amp; DCCE",CV7="Incurred - Loss &amp; DCCE"),"N/A",IFERROR(CW310*CW311,0))</f>
        <v>0</v>
      </c>
      <c r="CX312" s="110">
        <f>IF(OR(CV7="Paid - Loss &amp; DCCE",CV7="Incurred - Loss &amp; DCCE"),"N/A",IFERROR(CX310*CX311,0))</f>
        <v>0</v>
      </c>
      <c r="CY312" s="110">
        <f>IF(OR(CV7="Paid - Loss &amp; DCCE",CV7="Incurred - Loss &amp; DCCE"),"N/A",IFERROR(CY310*CY311,0))</f>
        <v>0</v>
      </c>
      <c r="CZ312" s="110">
        <f>IF(OR(CV7="Paid - Loss &amp; DCCE",CV7="Incurred - Loss &amp; DCCE"),"N/A",IFERROR(CZ310*CZ311,0))</f>
        <v>0</v>
      </c>
      <c r="DA312" s="110">
        <f>IF(OR(CV7="Paid - Loss &amp; DCCE",CV7="Incurred - Loss &amp; DCCE"),"N/A",IFERROR(DA310*DA311,0))</f>
        <v>0</v>
      </c>
      <c r="DB312" s="110">
        <f>IF(OR(CV7="Paid - Loss &amp; DCCE",CV7="Incurred - Loss &amp; DCCE"),"N/A",IFERROR(DB310*DB311,0))</f>
        <v>0</v>
      </c>
      <c r="DC312" s="110">
        <f>IF(OR(CV7="Paid - Loss &amp; DCCE",CV7="Incurred - Loss &amp; DCCE"),"N/A",IFERROR(DC310*DC311,0))</f>
        <v>0</v>
      </c>
      <c r="DD312" s="110">
        <f>IF(OR(CV7="Paid - Loss &amp; DCCE",CV7="Incurred - Loss &amp; DCCE"),"N/A",IFERROR(DD310*DD311,0))</f>
        <v>0</v>
      </c>
      <c r="DE312" s="95" t="s">
        <v>42</v>
      </c>
      <c r="DF312" s="105"/>
      <c r="DG312" s="110">
        <f>IF(OR(DH7="Paid - Loss &amp; DCCE",DH7="Incurred - Loss &amp; DCCE"),"N/A",IFERROR(DG310*DG311,0))</f>
        <v>0</v>
      </c>
      <c r="DH312" s="110">
        <f>IF(OR(DH7="Paid - Loss &amp; DCCE",DH7="Incurred - Loss &amp; DCCE"),"N/A",IFERROR(DH310*DH311,0))</f>
        <v>0</v>
      </c>
      <c r="DI312" s="110">
        <f>IF(OR(DH7="Paid - Loss &amp; DCCE",DH7="Incurred - Loss &amp; DCCE"),"N/A",IFERROR(DI310*DI311,0))</f>
        <v>0</v>
      </c>
      <c r="DJ312" s="110">
        <f>IF(OR(DH7="Paid - Loss &amp; DCCE",DH7="Incurred - Loss &amp; DCCE"),"N/A",IFERROR(DJ310*DJ311,0))</f>
        <v>0</v>
      </c>
      <c r="DK312" s="110">
        <f>IF(OR(DH7="Paid - Loss &amp; DCCE",DH7="Incurred - Loss &amp; DCCE"),"N/A",IFERROR(DK310*DK311,0))</f>
        <v>0</v>
      </c>
      <c r="DL312" s="110">
        <f>IF(OR(DH7="Paid - Loss &amp; DCCE",DH7="Incurred - Loss &amp; DCCE"),"N/A",IFERROR(DL310*DL311,0))</f>
        <v>0</v>
      </c>
      <c r="DM312" s="110">
        <f>IF(OR(DH7="Paid - Loss &amp; DCCE",DH7="Incurred - Loss &amp; DCCE"),"N/A",IFERROR(DM310*DM311,0))</f>
        <v>0</v>
      </c>
      <c r="DN312" s="110">
        <f>IF(OR(DH7="Paid - Loss &amp; DCCE",DH7="Incurred - Loss &amp; DCCE"),"N/A",IFERROR(DN310*DN311,0))</f>
        <v>0</v>
      </c>
      <c r="DO312" s="110">
        <f>IF(OR(DH7="Paid - Loss &amp; DCCE",DH7="Incurred - Loss &amp; DCCE"),"N/A",IFERROR(DO310*DO311,0))</f>
        <v>0</v>
      </c>
      <c r="DP312" s="110">
        <f>IF(OR(DH7="Paid - Loss &amp; DCCE",DH7="Incurred - Loss &amp; DCCE"),"N/A",IFERROR(DP310*DP311,0))</f>
        <v>0</v>
      </c>
    </row>
    <row r="313" spans="1:120" ht="15.75" thickBot="1" x14ac:dyDescent="0.3">
      <c r="A313" s="111" t="s">
        <v>43</v>
      </c>
      <c r="B313" s="112"/>
      <c r="C313" s="113">
        <f>IF(OR(D7="Paid - Loss &amp; DCCE",D7="Incurred - Loss &amp; DCCE"),"N/A",IFERROR(C312/C258,1))</f>
        <v>1</v>
      </c>
      <c r="D313" s="113">
        <f>IF(OR(D7="Paid - Loss &amp; DCCE",D7="Incurred - Loss &amp; DCCE"),"N/A",IFERROR(D312/D257,1))</f>
        <v>1</v>
      </c>
      <c r="E313" s="113">
        <f>IF(OR(D7="Paid - Loss &amp; DCCE",D7="Incurred - Loss &amp; DCCE"),"N/A",IFERROR(E312/E256,1))</f>
        <v>1</v>
      </c>
      <c r="F313" s="113">
        <f>IF(OR(D7="Paid - Loss &amp; DCCE",D7="Incurred - Loss &amp; DCCE"),"N/A",IFERROR(F312/F255,1))</f>
        <v>1</v>
      </c>
      <c r="G313" s="113">
        <f>IF(OR(D7="Paid - Loss &amp; DCCE",D7="Incurred - Loss &amp; DCCE"),"N/A",IFERROR(G312/G254,1))</f>
        <v>1</v>
      </c>
      <c r="H313" s="113">
        <f>IF(OR(D7="Paid - Loss &amp; DCCE",D7="Incurred - Loss &amp; DCCE"),"N/A",IFERROR(H312/H253,1))</f>
        <v>1</v>
      </c>
      <c r="I313" s="113">
        <f>IF(OR(D7="Paid - Loss &amp; DCCE",D7="Incurred - Loss &amp; DCCE"),"N/A",IFERROR(I312/I252,1))</f>
        <v>1</v>
      </c>
      <c r="J313" s="113">
        <f>IF(OR(D7="Paid - Loss &amp; DCCE",D7="Incurred - Loss &amp; DCCE"),"N/A",IFERROR(J312/J251,1))</f>
        <v>1</v>
      </c>
      <c r="K313" s="113">
        <f>IF(OR(D7="Paid - Loss &amp; DCCE",D7="Incurred - Loss &amp; DCCE"),"N/A",IFERROR(K312/K250,1))</f>
        <v>1</v>
      </c>
      <c r="L313" s="113">
        <f>IF(OR(D7="Paid - Loss &amp; DCCE",D7="Incurred - Loss &amp; DCCE"),"N/A",IFERROR(L312/L249,1))</f>
        <v>1</v>
      </c>
      <c r="M313" s="111" t="s">
        <v>43</v>
      </c>
      <c r="N313" s="112"/>
      <c r="O313" s="113">
        <f>IF(OR(P7="Paid - Loss &amp; DCCE",P7="Incurred - Loss &amp; DCCE"),"N/A",IFERROR(O312/O258,1))</f>
        <v>1</v>
      </c>
      <c r="P313" s="113">
        <f>IF(OR(P7="Paid - Loss &amp; DCCE",P7="Incurred - Loss &amp; DCCE"),"N/A",IFERROR(P312/P257,1))</f>
        <v>1</v>
      </c>
      <c r="Q313" s="113">
        <f>IF(OR(P7="Paid - Loss &amp; DCCE",P7="Incurred - Loss &amp; DCCE"),"N/A",IFERROR(Q312/Q256,1))</f>
        <v>1</v>
      </c>
      <c r="R313" s="113">
        <f>IF(OR(P7="Paid - Loss &amp; DCCE",P7="Incurred - Loss &amp; DCCE"),"N/A",IFERROR(R312/R255,1))</f>
        <v>1</v>
      </c>
      <c r="S313" s="113">
        <f>IF(OR(P7="Paid - Loss &amp; DCCE",P7="Incurred - Loss &amp; DCCE"),"N/A",IFERROR(S312/S254,1))</f>
        <v>1</v>
      </c>
      <c r="T313" s="113">
        <f>IF(OR(P7="Paid - Loss &amp; DCCE",P7="Incurred - Loss &amp; DCCE"),"N/A",IFERROR(T312/T253,1))</f>
        <v>1</v>
      </c>
      <c r="U313" s="113">
        <f>IF(OR(P7="Paid - Loss &amp; DCCE",P7="Incurred - Loss &amp; DCCE"),"N/A",IFERROR(U312/U252,1))</f>
        <v>1</v>
      </c>
      <c r="V313" s="113">
        <f>IF(OR(P7="Paid - Loss &amp; DCCE",P7="Incurred - Loss &amp; DCCE"),"N/A",IFERROR(V312/V251,1))</f>
        <v>1</v>
      </c>
      <c r="W313" s="113">
        <f>IF(OR(P7="Paid - Loss &amp; DCCE",P7="Incurred - Loss &amp; DCCE"),"N/A",IFERROR(W312/W250,1))</f>
        <v>1</v>
      </c>
      <c r="X313" s="113">
        <f>IF(OR(P7="Paid - Loss &amp; DCCE",P7="Incurred - Loss &amp; DCCE"),"N/A",IFERROR(X312/X249,1))</f>
        <v>1</v>
      </c>
      <c r="Y313" s="111" t="s">
        <v>43</v>
      </c>
      <c r="Z313" s="112"/>
      <c r="AA313" s="113">
        <f>IF(OR(AB7="Paid - Loss &amp; DCCE",AB7="Incurred - Loss &amp; DCCE"),"N/A",IFERROR(AA312/AA258,1))</f>
        <v>1</v>
      </c>
      <c r="AB313" s="113">
        <f>IF(OR(AB7="Paid - Loss &amp; DCCE",AB7="Incurred - Loss &amp; DCCE"),"N/A",IFERROR(AB312/AB257,1))</f>
        <v>1</v>
      </c>
      <c r="AC313" s="113">
        <f>IF(OR(AB7="Paid - Loss &amp; DCCE",AB7="Incurred - Loss &amp; DCCE"),"N/A",IFERROR(AC312/AC256,1))</f>
        <v>1</v>
      </c>
      <c r="AD313" s="113">
        <f>IF(OR(AB7="Paid - Loss &amp; DCCE",AB7="Incurred - Loss &amp; DCCE"),"N/A",IFERROR(AD312/AD255,1))</f>
        <v>1</v>
      </c>
      <c r="AE313" s="113">
        <f>IF(OR(AB7="Paid - Loss &amp; DCCE",AB7="Incurred - Loss &amp; DCCE"),"N/A",IFERROR(AE312/AE254,1))</f>
        <v>1</v>
      </c>
      <c r="AF313" s="113">
        <f>IF(OR(AB7="Paid - Loss &amp; DCCE",AB7="Incurred - Loss &amp; DCCE"),"N/A",IFERROR(AF312/AF253,1))</f>
        <v>1</v>
      </c>
      <c r="AG313" s="113">
        <f>IF(OR(AB7="Paid - Loss &amp; DCCE",AB7="Incurred - Loss &amp; DCCE"),"N/A",IFERROR(AG312/AG252,1))</f>
        <v>1</v>
      </c>
      <c r="AH313" s="113">
        <f>IF(OR(AB7="Paid - Loss &amp; DCCE",AB7="Incurred - Loss &amp; DCCE"),"N/A",IFERROR(AH312/AH251,1))</f>
        <v>1</v>
      </c>
      <c r="AI313" s="113">
        <f>IF(OR(AB7="Paid - Loss &amp; DCCE",AB7="Incurred - Loss &amp; DCCE"),"N/A",IFERROR(AI312/AI250,1))</f>
        <v>1</v>
      </c>
      <c r="AJ313" s="113">
        <f>IF(OR(AB7="Paid - Loss &amp; DCCE",AB7="Incurred - Loss &amp; DCCE"),"N/A",IFERROR(AJ312/AJ249,1))</f>
        <v>1</v>
      </c>
      <c r="AK313" s="111" t="s">
        <v>43</v>
      </c>
      <c r="AL313" s="112"/>
      <c r="AM313" s="113">
        <f>IF(OR(AN7="Paid - Loss &amp; DCCE",AN7="Incurred - Loss &amp; DCCE"),"N/A",IFERROR(AM312/AM258,1))</f>
        <v>1</v>
      </c>
      <c r="AN313" s="113">
        <f>IF(OR(AN7="Paid - Loss &amp; DCCE",AN7="Incurred - Loss &amp; DCCE"),"N/A",IFERROR(AN312/AN257,1))</f>
        <v>1</v>
      </c>
      <c r="AO313" s="113">
        <f>IF(OR(AN7="Paid - Loss &amp; DCCE",AN7="Incurred - Loss &amp; DCCE"),"N/A",IFERROR(AO312/AO256,1))</f>
        <v>1</v>
      </c>
      <c r="AP313" s="113">
        <f>IF(OR(AN7="Paid - Loss &amp; DCCE",AN7="Incurred - Loss &amp; DCCE"),"N/A",IFERROR(AP312/AP255,1))</f>
        <v>1</v>
      </c>
      <c r="AQ313" s="113">
        <f>IF(OR(AN7="Paid - Loss &amp; DCCE",AN7="Incurred - Loss &amp; DCCE"),"N/A",IFERROR(AQ312/AQ254,1))</f>
        <v>1</v>
      </c>
      <c r="AR313" s="113">
        <f>IF(OR(AN7="Paid - Loss &amp; DCCE",AN7="Incurred - Loss &amp; DCCE"),"N/A",IFERROR(AR312/AR253,1))</f>
        <v>1</v>
      </c>
      <c r="AS313" s="113">
        <f>IF(OR(AN7="Paid - Loss &amp; DCCE",AN7="Incurred - Loss &amp; DCCE"),"N/A",IFERROR(AS312/AS252,1))</f>
        <v>1</v>
      </c>
      <c r="AT313" s="113">
        <f>IF(OR(AN7="Paid - Loss &amp; DCCE",AN7="Incurred - Loss &amp; DCCE"),"N/A",IFERROR(AT312/AT251,1))</f>
        <v>1</v>
      </c>
      <c r="AU313" s="113">
        <f>IF(OR(AN7="Paid - Loss &amp; DCCE",AN7="Incurred - Loss &amp; DCCE"),"N/A",IFERROR(AU312/AU250,1))</f>
        <v>1</v>
      </c>
      <c r="AV313" s="113">
        <f>IF(OR(AN7="Paid - Loss &amp; DCCE",AN7="Incurred - Loss &amp; DCCE"),"N/A",IFERROR(AV312/AV249,1))</f>
        <v>1</v>
      </c>
      <c r="AW313" s="111" t="s">
        <v>43</v>
      </c>
      <c r="AX313" s="112"/>
      <c r="AY313" s="113">
        <f>IF(OR(AZ7="Paid - Loss &amp; DCCE",AZ7="Incurred - Loss &amp; DCCE"),"N/A",IFERROR(AY312/AY258,1))</f>
        <v>1</v>
      </c>
      <c r="AZ313" s="113">
        <f>IF(OR(AZ7="Paid - Loss &amp; DCCE",AZ7="Incurred - Loss &amp; DCCE"),"N/A",IFERROR(AZ312/AZ257,1))</f>
        <v>1</v>
      </c>
      <c r="BA313" s="113">
        <f>IF(OR(AZ7="Paid - Loss &amp; DCCE",AZ7="Incurred - Loss &amp; DCCE"),"N/A",IFERROR(BA312/BA256,1))</f>
        <v>1</v>
      </c>
      <c r="BB313" s="113">
        <f>IF(OR(AZ7="Paid - Loss &amp; DCCE",AZ7="Incurred - Loss &amp; DCCE"),"N/A",IFERROR(BB312/BB255,1))</f>
        <v>1</v>
      </c>
      <c r="BC313" s="113">
        <f>IF(OR(AZ7="Paid - Loss &amp; DCCE",AZ7="Incurred - Loss &amp; DCCE"),"N/A",IFERROR(BC312/BC254,1))</f>
        <v>1</v>
      </c>
      <c r="BD313" s="113">
        <f>IF(OR(AZ7="Paid - Loss &amp; DCCE",AZ7="Incurred - Loss &amp; DCCE"),"N/A",IFERROR(BD312/BD253,1))</f>
        <v>1</v>
      </c>
      <c r="BE313" s="113">
        <f>IF(OR(AZ7="Paid - Loss &amp; DCCE",AZ7="Incurred - Loss &amp; DCCE"),"N/A",IFERROR(BE312/BE252,1))</f>
        <v>1</v>
      </c>
      <c r="BF313" s="113">
        <f>IF(OR(AZ7="Paid - Loss &amp; DCCE",AZ7="Incurred - Loss &amp; DCCE"),"N/A",IFERROR(BF312/BF251,1))</f>
        <v>1</v>
      </c>
      <c r="BG313" s="113">
        <f>IF(OR(AZ7="Paid - Loss &amp; DCCE",AZ7="Incurred - Loss &amp; DCCE"),"N/A",IFERROR(BG312/BG250,1))</f>
        <v>1</v>
      </c>
      <c r="BH313" s="113">
        <f>IF(OR(AZ7="Paid - Loss &amp; DCCE",AZ7="Incurred - Loss &amp; DCCE"),"N/A",IFERROR(BH312/BH249,1))</f>
        <v>1</v>
      </c>
      <c r="BI313" s="111" t="s">
        <v>43</v>
      </c>
      <c r="BJ313" s="112"/>
      <c r="BK313" s="113">
        <f>IF(OR(BL7="Paid - Loss &amp; DCCE",BL7="Incurred - Loss &amp; DCCE"),"N/A",IFERROR(BK312/BK258,1))</f>
        <v>1</v>
      </c>
      <c r="BL313" s="113">
        <f>IF(OR(BL7="Paid - Loss &amp; DCCE",BL7="Incurred - Loss &amp; DCCE"),"N/A",IFERROR(BL312/BL257,1))</f>
        <v>1</v>
      </c>
      <c r="BM313" s="113">
        <f>IF(OR(BL7="Paid - Loss &amp; DCCE",BL7="Incurred - Loss &amp; DCCE"),"N/A",IFERROR(BM312/BM256,1))</f>
        <v>1</v>
      </c>
      <c r="BN313" s="113">
        <f>IF(OR(BL7="Paid - Loss &amp; DCCE",BL7="Incurred - Loss &amp; DCCE"),"N/A",IFERROR(BN312/BN255,1))</f>
        <v>1</v>
      </c>
      <c r="BO313" s="113">
        <f>IF(OR(BL7="Paid - Loss &amp; DCCE",BL7="Incurred - Loss &amp; DCCE"),"N/A",IFERROR(BO312/BO254,1))</f>
        <v>1</v>
      </c>
      <c r="BP313" s="113">
        <f>IF(OR(BL7="Paid - Loss &amp; DCCE",BL7="Incurred - Loss &amp; DCCE"),"N/A",IFERROR(BP312/BP253,1))</f>
        <v>1</v>
      </c>
      <c r="BQ313" s="113">
        <f>IF(OR(BL7="Paid - Loss &amp; DCCE",BL7="Incurred - Loss &amp; DCCE"),"N/A",IFERROR(BQ312/BQ252,1))</f>
        <v>1</v>
      </c>
      <c r="BR313" s="113">
        <f>IF(OR(BL7="Paid - Loss &amp; DCCE",BL7="Incurred - Loss &amp; DCCE"),"N/A",IFERROR(BR312/BR251,1))</f>
        <v>1</v>
      </c>
      <c r="BS313" s="113">
        <f>IF(OR(BL7="Paid - Loss &amp; DCCE",BL7="Incurred - Loss &amp; DCCE"),"N/A",IFERROR(BS312/BS250,1))</f>
        <v>1</v>
      </c>
      <c r="BT313" s="113">
        <f>IF(OR(BL7="Paid - Loss &amp; DCCE",BL7="Incurred - Loss &amp; DCCE"),"N/A",IFERROR(BT312/BT249,1))</f>
        <v>1</v>
      </c>
      <c r="BU313" s="111" t="s">
        <v>43</v>
      </c>
      <c r="BV313" s="112"/>
      <c r="BW313" s="113">
        <f>IF(OR(BX7="Paid - Loss &amp; DCCE",BX7="Incurred - Loss &amp; DCCE"),"N/A",IFERROR(BW312/BW258,1))</f>
        <v>1</v>
      </c>
      <c r="BX313" s="113">
        <f>IF(OR(BX7="Paid - Loss &amp; DCCE",BX7="Incurred - Loss &amp; DCCE"),"N/A",IFERROR(BX312/BX257,1))</f>
        <v>1</v>
      </c>
      <c r="BY313" s="113">
        <f>IF(OR(BX7="Paid - Loss &amp; DCCE",BX7="Incurred - Loss &amp; DCCE"),"N/A",IFERROR(BY312/BY256,1))</f>
        <v>1</v>
      </c>
      <c r="BZ313" s="113">
        <f>IF(OR(BX7="Paid - Loss &amp; DCCE",BX7="Incurred - Loss &amp; DCCE"),"N/A",IFERROR(BZ312/BZ255,1))</f>
        <v>1</v>
      </c>
      <c r="CA313" s="113">
        <f>IF(OR(BX7="Paid - Loss &amp; DCCE",BX7="Incurred - Loss &amp; DCCE"),"N/A",IFERROR(CA312/CA254,1))</f>
        <v>1</v>
      </c>
      <c r="CB313" s="113">
        <f>IF(OR(BX7="Paid - Loss &amp; DCCE",BX7="Incurred - Loss &amp; DCCE"),"N/A",IFERROR(CB312/CB253,1))</f>
        <v>1</v>
      </c>
      <c r="CC313" s="113">
        <f>IF(OR(BX7="Paid - Loss &amp; DCCE",BX7="Incurred - Loss &amp; DCCE"),"N/A",IFERROR(CC312/CC252,1))</f>
        <v>1</v>
      </c>
      <c r="CD313" s="113">
        <f>IF(OR(BX7="Paid - Loss &amp; DCCE",BX7="Incurred - Loss &amp; DCCE"),"N/A",IFERROR(CD312/CD251,1))</f>
        <v>1</v>
      </c>
      <c r="CE313" s="113">
        <f>IF(OR(BX7="Paid - Loss &amp; DCCE",BX7="Incurred - Loss &amp; DCCE"),"N/A",IFERROR(CE312/CE250,1))</f>
        <v>1</v>
      </c>
      <c r="CF313" s="113">
        <f>IF(OR(BX7="Paid - Loss &amp; DCCE",BX7="Incurred - Loss &amp; DCCE"),"N/A",IFERROR(CF312/CF249,1))</f>
        <v>1</v>
      </c>
      <c r="CG313" s="111" t="s">
        <v>43</v>
      </c>
      <c r="CH313" s="112"/>
      <c r="CI313" s="113">
        <f>IF(OR(CJ7="Paid - Loss &amp; DCCE",CJ7="Incurred - Loss &amp; DCCE"),"N/A",IFERROR(CI312/CI258,1))</f>
        <v>1</v>
      </c>
      <c r="CJ313" s="113">
        <f>IF(OR(CJ7="Paid - Loss &amp; DCCE",CJ7="Incurred - Loss &amp; DCCE"),"N/A",IFERROR(CJ312/CJ257,1))</f>
        <v>1</v>
      </c>
      <c r="CK313" s="113">
        <f>IF(OR(CJ7="Paid - Loss &amp; DCCE",CJ7="Incurred - Loss &amp; DCCE"),"N/A",IFERROR(CK312/CK256,1))</f>
        <v>1</v>
      </c>
      <c r="CL313" s="113">
        <f>IF(OR(CJ7="Paid - Loss &amp; DCCE",CJ7="Incurred - Loss &amp; DCCE"),"N/A",IFERROR(CL312/CL255,1))</f>
        <v>1</v>
      </c>
      <c r="CM313" s="113">
        <f>IF(OR(CJ7="Paid - Loss &amp; DCCE",CJ7="Incurred - Loss &amp; DCCE"),"N/A",IFERROR(CM312/CM254,1))</f>
        <v>1</v>
      </c>
      <c r="CN313" s="113">
        <f>IF(OR(CJ7="Paid - Loss &amp; DCCE",CJ7="Incurred - Loss &amp; DCCE"),"N/A",IFERROR(CN312/CN253,1))</f>
        <v>1</v>
      </c>
      <c r="CO313" s="113">
        <f>IF(OR(CJ7="Paid - Loss &amp; DCCE",CJ7="Incurred - Loss &amp; DCCE"),"N/A",IFERROR(CO312/CO252,1))</f>
        <v>1</v>
      </c>
      <c r="CP313" s="113">
        <f>IF(OR(CJ7="Paid - Loss &amp; DCCE",CJ7="Incurred - Loss &amp; DCCE"),"N/A",IFERROR(CP312/CP251,1))</f>
        <v>1</v>
      </c>
      <c r="CQ313" s="113">
        <f>IF(OR(CJ7="Paid - Loss &amp; DCCE",CJ7="Incurred - Loss &amp; DCCE"),"N/A",IFERROR(CQ312/CQ250,1))</f>
        <v>1</v>
      </c>
      <c r="CR313" s="113">
        <f>IF(OR(CJ7="Paid - Loss &amp; DCCE",CJ7="Incurred - Loss &amp; DCCE"),"N/A",IFERROR(CR312/CR249,1))</f>
        <v>1</v>
      </c>
      <c r="CS313" s="111" t="s">
        <v>43</v>
      </c>
      <c r="CT313" s="112"/>
      <c r="CU313" s="113">
        <f>IF(OR(CV7="Paid - Loss &amp; DCCE",CV7="Incurred - Loss &amp; DCCE"),"N/A",IFERROR(CU312/CU258,1))</f>
        <v>1</v>
      </c>
      <c r="CV313" s="113">
        <f>IF(OR(CV7="Paid - Loss &amp; DCCE",CV7="Incurred - Loss &amp; DCCE"),"N/A",IFERROR(CV312/CV257,1))</f>
        <v>1</v>
      </c>
      <c r="CW313" s="113">
        <f>IF(OR(CV7="Paid - Loss &amp; DCCE",CV7="Incurred - Loss &amp; DCCE"),"N/A",IFERROR(CW312/CW256,1))</f>
        <v>1</v>
      </c>
      <c r="CX313" s="113">
        <f>IF(OR(CV7="Paid - Loss &amp; DCCE",CV7="Incurred - Loss &amp; DCCE"),"N/A",IFERROR(CX312/CX255,1))</f>
        <v>1</v>
      </c>
      <c r="CY313" s="113">
        <f>IF(OR(CV7="Paid - Loss &amp; DCCE",CV7="Incurred - Loss &amp; DCCE"),"N/A",IFERROR(CY312/CY254,1))</f>
        <v>1</v>
      </c>
      <c r="CZ313" s="113">
        <f>IF(OR(CV7="Paid - Loss &amp; DCCE",CV7="Incurred - Loss &amp; DCCE"),"N/A",IFERROR(CZ312/CZ253,1))</f>
        <v>1</v>
      </c>
      <c r="DA313" s="113">
        <f>IF(OR(CV7="Paid - Loss &amp; DCCE",CV7="Incurred - Loss &amp; DCCE"),"N/A",IFERROR(DA312/DA252,1))</f>
        <v>1</v>
      </c>
      <c r="DB313" s="113">
        <f>IF(OR(CV7="Paid - Loss &amp; DCCE",CV7="Incurred - Loss &amp; DCCE"),"N/A",IFERROR(DB312/DB251,1))</f>
        <v>1</v>
      </c>
      <c r="DC313" s="113">
        <f>IF(OR(CV7="Paid - Loss &amp; DCCE",CV7="Incurred - Loss &amp; DCCE"),"N/A",IFERROR(DC312/DC250,1))</f>
        <v>1</v>
      </c>
      <c r="DD313" s="113">
        <f>IF(OR(CV7="Paid - Loss &amp; DCCE",CV7="Incurred - Loss &amp; DCCE"),"N/A",IFERROR(DD312/DD249,1))</f>
        <v>1</v>
      </c>
      <c r="DE313" s="111" t="s">
        <v>43</v>
      </c>
      <c r="DF313" s="112"/>
      <c r="DG313" s="113">
        <f>IF(OR(DH7="Paid - Loss &amp; DCCE",DH7="Incurred - Loss &amp; DCCE"),"N/A",IFERROR(DG312/DG258,1))</f>
        <v>1</v>
      </c>
      <c r="DH313" s="113">
        <f>IF(OR(DH7="Paid - Loss &amp; DCCE",DH7="Incurred - Loss &amp; DCCE"),"N/A",IFERROR(DH312/DH257,1))</f>
        <v>1</v>
      </c>
      <c r="DI313" s="113">
        <f>IF(OR(DH7="Paid - Loss &amp; DCCE",DH7="Incurred - Loss &amp; DCCE"),"N/A",IFERROR(DI312/DI256,1))</f>
        <v>1</v>
      </c>
      <c r="DJ313" s="113">
        <f>IF(OR(DH7="Paid - Loss &amp; DCCE",DH7="Incurred - Loss &amp; DCCE"),"N/A",IFERROR(DJ312/DJ255,1))</f>
        <v>1</v>
      </c>
      <c r="DK313" s="113">
        <f>IF(OR(DH7="Paid - Loss &amp; DCCE",DH7="Incurred - Loss &amp; DCCE"),"N/A",IFERROR(DK312/DK254,1))</f>
        <v>1</v>
      </c>
      <c r="DL313" s="113">
        <f>IF(OR(DH7="Paid - Loss &amp; DCCE",DH7="Incurred - Loss &amp; DCCE"),"N/A",IFERROR(DL312/DL253,1))</f>
        <v>1</v>
      </c>
      <c r="DM313" s="113">
        <f>IF(OR(DH7="Paid - Loss &amp; DCCE",DH7="Incurred - Loss &amp; DCCE"),"N/A",IFERROR(DM312/DM252,1))</f>
        <v>1</v>
      </c>
      <c r="DN313" s="113">
        <f>IF(OR(DH7="Paid - Loss &amp; DCCE",DH7="Incurred - Loss &amp; DCCE"),"N/A",IFERROR(DN312/DN251,1))</f>
        <v>1</v>
      </c>
      <c r="DO313" s="113">
        <f>IF(OR(DH7="Paid - Loss &amp; DCCE",DH7="Incurred - Loss &amp; DCCE"),"N/A",IFERROR(DO312/DO250,1))</f>
        <v>1</v>
      </c>
      <c r="DP313" s="113">
        <f>IF(OR(DH7="Paid - Loss &amp; DCCE",DH7="Incurred - Loss &amp; DCCE"),"N/A",IFERROR(DP312/DP249,1))</f>
        <v>1</v>
      </c>
    </row>
    <row r="314" spans="1:120" ht="21" x14ac:dyDescent="0.35">
      <c r="A314" s="137" t="str">
        <f>Co_Name</f>
        <v>State Farm General Insurance Company</v>
      </c>
      <c r="B314" s="68"/>
      <c r="C314" s="40"/>
      <c r="D314" s="18"/>
      <c r="E314" s="18"/>
      <c r="F314" s="18"/>
      <c r="G314" s="18"/>
      <c r="H314" s="18"/>
      <c r="I314" s="18"/>
      <c r="J314" s="18"/>
      <c r="K314" s="18"/>
      <c r="L314" s="18"/>
      <c r="M314" s="137" t="str">
        <f>Co_Name</f>
        <v>State Farm General Insurance Company</v>
      </c>
      <c r="N314" s="68"/>
      <c r="O314" s="40"/>
      <c r="P314" s="18"/>
      <c r="Q314" s="18"/>
      <c r="R314" s="18"/>
      <c r="S314" s="18"/>
      <c r="T314" s="18"/>
      <c r="U314" s="18"/>
      <c r="V314" s="18"/>
      <c r="W314" s="18"/>
      <c r="X314" s="18"/>
      <c r="Y314" s="137" t="str">
        <f>Co_Name</f>
        <v>State Farm General Insurance Company</v>
      </c>
      <c r="Z314" s="68"/>
      <c r="AA314" s="40"/>
      <c r="AB314" s="18"/>
      <c r="AC314" s="18"/>
      <c r="AD314" s="18"/>
      <c r="AE314" s="18"/>
      <c r="AF314" s="18"/>
      <c r="AG314" s="18"/>
      <c r="AH314" s="18"/>
      <c r="AI314" s="18"/>
      <c r="AJ314" s="18"/>
      <c r="AK314" s="137" t="str">
        <f>Co_Name</f>
        <v>State Farm General Insurance Company</v>
      </c>
      <c r="AL314" s="68"/>
      <c r="AM314" s="40"/>
      <c r="AN314" s="18"/>
      <c r="AO314" s="18"/>
      <c r="AP314" s="18"/>
      <c r="AQ314" s="18"/>
      <c r="AR314" s="18"/>
      <c r="AS314" s="18"/>
      <c r="AT314" s="18"/>
      <c r="AU314" s="18"/>
      <c r="AV314" s="18"/>
      <c r="AW314" s="137" t="str">
        <f>Co_Name</f>
        <v>State Farm General Insurance Company</v>
      </c>
      <c r="AX314" s="68"/>
      <c r="AY314" s="40"/>
      <c r="AZ314" s="18"/>
      <c r="BA314" s="18"/>
      <c r="BB314" s="18"/>
      <c r="BC314" s="18"/>
      <c r="BD314" s="18"/>
      <c r="BE314" s="18"/>
      <c r="BF314" s="18"/>
      <c r="BG314" s="18"/>
      <c r="BH314" s="18"/>
      <c r="BI314" s="137" t="str">
        <f>Co_Name</f>
        <v>State Farm General Insurance Company</v>
      </c>
      <c r="BJ314" s="68"/>
      <c r="BK314" s="40"/>
      <c r="BL314" s="18"/>
      <c r="BM314" s="18"/>
      <c r="BN314" s="18"/>
      <c r="BO314" s="18"/>
      <c r="BP314" s="18"/>
      <c r="BQ314" s="18"/>
      <c r="BR314" s="18"/>
      <c r="BS314" s="18"/>
      <c r="BT314" s="18"/>
      <c r="BU314" s="137" t="str">
        <f>Co_Name</f>
        <v>State Farm General Insurance Company</v>
      </c>
      <c r="BV314" s="68"/>
      <c r="BW314" s="40"/>
      <c r="BX314" s="18"/>
      <c r="BY314" s="18"/>
      <c r="BZ314" s="18"/>
      <c r="CA314" s="18"/>
      <c r="CB314" s="18"/>
      <c r="CC314" s="18"/>
      <c r="CD314" s="18"/>
      <c r="CE314" s="18"/>
      <c r="CF314" s="18"/>
      <c r="CG314" s="137" t="str">
        <f>Co_Name</f>
        <v>State Farm General Insurance Company</v>
      </c>
      <c r="CH314" s="68"/>
      <c r="CI314" s="40"/>
      <c r="CJ314" s="18"/>
      <c r="CK314" s="18"/>
      <c r="CL314" s="18"/>
      <c r="CM314" s="18"/>
      <c r="CN314" s="18"/>
      <c r="CO314" s="18"/>
      <c r="CP314" s="18"/>
      <c r="CQ314" s="18"/>
      <c r="CR314" s="18"/>
      <c r="CS314" s="137" t="str">
        <f>Co_Name</f>
        <v>State Farm General Insurance Company</v>
      </c>
      <c r="CT314" s="68"/>
      <c r="CU314" s="40"/>
      <c r="CV314" s="18"/>
      <c r="CW314" s="18"/>
      <c r="CX314" s="18"/>
      <c r="CY314" s="18"/>
      <c r="CZ314" s="18"/>
      <c r="DA314" s="18"/>
      <c r="DB314" s="18"/>
      <c r="DC314" s="18"/>
      <c r="DD314" s="18"/>
      <c r="DE314" s="137" t="str">
        <f>Co_Name</f>
        <v>State Farm General Insurance Company</v>
      </c>
      <c r="DF314" s="68"/>
      <c r="DG314" s="40"/>
      <c r="DH314" s="18"/>
      <c r="DI314" s="18"/>
      <c r="DJ314" s="18"/>
      <c r="DK314" s="18"/>
      <c r="DL314" s="18"/>
      <c r="DM314" s="18"/>
      <c r="DN314" s="18"/>
      <c r="DO314" s="18"/>
      <c r="DP314" s="18"/>
    </row>
    <row r="315" spans="1:120" ht="21" x14ac:dyDescent="0.35">
      <c r="A315" s="137" t="str">
        <f>A$2</f>
        <v>Homeowners Multiple Peril</v>
      </c>
      <c r="B315" s="68"/>
      <c r="C315" s="40"/>
      <c r="D315" s="18"/>
      <c r="E315" s="18"/>
      <c r="F315" s="18"/>
      <c r="G315" s="18"/>
      <c r="H315" s="18"/>
      <c r="I315" s="18"/>
      <c r="J315" s="18"/>
      <c r="K315" s="18"/>
      <c r="L315" s="18"/>
      <c r="M315" s="137" t="str">
        <f>M$2</f>
        <v/>
      </c>
      <c r="N315" s="68"/>
      <c r="O315" s="40"/>
      <c r="P315" s="18"/>
      <c r="Q315" s="18"/>
      <c r="R315" s="18"/>
      <c r="S315" s="18"/>
      <c r="T315" s="18"/>
      <c r="U315" s="18"/>
      <c r="V315" s="18"/>
      <c r="W315" s="18"/>
      <c r="X315" s="18"/>
      <c r="Y315" s="137" t="str">
        <f>Y$2</f>
        <v/>
      </c>
      <c r="Z315" s="68"/>
      <c r="AA315" s="40"/>
      <c r="AB315" s="18"/>
      <c r="AC315" s="18"/>
      <c r="AD315" s="18"/>
      <c r="AE315" s="18"/>
      <c r="AF315" s="18"/>
      <c r="AG315" s="18"/>
      <c r="AH315" s="18"/>
      <c r="AI315" s="18"/>
      <c r="AJ315" s="18"/>
      <c r="AK315" s="137" t="str">
        <f>AK$2</f>
        <v/>
      </c>
      <c r="AL315" s="68"/>
      <c r="AM315" s="40"/>
      <c r="AN315" s="18"/>
      <c r="AO315" s="18"/>
      <c r="AP315" s="18"/>
      <c r="AQ315" s="18"/>
      <c r="AR315" s="18"/>
      <c r="AS315" s="18"/>
      <c r="AT315" s="18"/>
      <c r="AU315" s="18"/>
      <c r="AV315" s="18"/>
      <c r="AW315" s="137" t="str">
        <f>AW$2</f>
        <v/>
      </c>
      <c r="AX315" s="68"/>
      <c r="AY315" s="40"/>
      <c r="AZ315" s="18"/>
      <c r="BA315" s="18"/>
      <c r="BB315" s="18"/>
      <c r="BC315" s="18"/>
      <c r="BD315" s="18"/>
      <c r="BE315" s="18"/>
      <c r="BF315" s="18"/>
      <c r="BG315" s="18"/>
      <c r="BH315" s="18"/>
      <c r="BI315" s="137" t="str">
        <f>BI$2</f>
        <v/>
      </c>
      <c r="BJ315" s="68"/>
      <c r="BK315" s="40"/>
      <c r="BL315" s="18"/>
      <c r="BM315" s="18"/>
      <c r="BN315" s="18"/>
      <c r="BO315" s="18"/>
      <c r="BP315" s="18"/>
      <c r="BQ315" s="18"/>
      <c r="BR315" s="18"/>
      <c r="BS315" s="18"/>
      <c r="BT315" s="18"/>
      <c r="BU315" s="137" t="str">
        <f>BU$2</f>
        <v/>
      </c>
      <c r="BV315" s="68"/>
      <c r="BW315" s="40"/>
      <c r="BX315" s="18"/>
      <c r="BY315" s="18"/>
      <c r="BZ315" s="18"/>
      <c r="CA315" s="18"/>
      <c r="CB315" s="18"/>
      <c r="CC315" s="18"/>
      <c r="CD315" s="18"/>
      <c r="CE315" s="18"/>
      <c r="CF315" s="18"/>
      <c r="CG315" s="137" t="str">
        <f>CG$2</f>
        <v/>
      </c>
      <c r="CH315" s="68"/>
      <c r="CI315" s="40"/>
      <c r="CJ315" s="18"/>
      <c r="CK315" s="18"/>
      <c r="CL315" s="18"/>
      <c r="CM315" s="18"/>
      <c r="CN315" s="18"/>
      <c r="CO315" s="18"/>
      <c r="CP315" s="18"/>
      <c r="CQ315" s="18"/>
      <c r="CR315" s="18"/>
      <c r="CS315" s="137" t="str">
        <f>CS$2</f>
        <v/>
      </c>
      <c r="CT315" s="68"/>
      <c r="CU315" s="40"/>
      <c r="CV315" s="18"/>
      <c r="CW315" s="18"/>
      <c r="CX315" s="18"/>
      <c r="CY315" s="18"/>
      <c r="CZ315" s="18"/>
      <c r="DA315" s="18"/>
      <c r="DB315" s="18"/>
      <c r="DC315" s="18"/>
      <c r="DD315" s="18"/>
      <c r="DE315" s="137" t="str">
        <f>DE$2</f>
        <v/>
      </c>
      <c r="DF315" s="68"/>
      <c r="DG315" s="40"/>
      <c r="DH315" s="18"/>
      <c r="DI315" s="18"/>
      <c r="DJ315" s="18"/>
      <c r="DK315" s="18"/>
      <c r="DL315" s="18"/>
      <c r="DM315" s="18"/>
      <c r="DN315" s="18"/>
      <c r="DO315" s="18"/>
      <c r="DP315" s="18"/>
    </row>
    <row r="316" spans="1:120" ht="21" customHeight="1" x14ac:dyDescent="0.25"/>
    <row r="317" spans="1:120" ht="21" x14ac:dyDescent="0.25">
      <c r="A317" s="48" t="s">
        <v>57</v>
      </c>
      <c r="B317" s="48"/>
      <c r="C317" s="18"/>
      <c r="D317" s="18"/>
      <c r="E317" s="18"/>
      <c r="F317" s="18"/>
      <c r="G317" s="18"/>
      <c r="H317" s="18"/>
      <c r="I317" s="18"/>
      <c r="J317" s="18"/>
      <c r="K317" s="18"/>
      <c r="L317" s="18"/>
      <c r="M317" s="48" t="s">
        <v>57</v>
      </c>
      <c r="N317" s="48"/>
      <c r="O317" s="18"/>
      <c r="P317" s="18"/>
      <c r="Q317" s="18"/>
      <c r="R317" s="18"/>
      <c r="S317" s="18"/>
      <c r="T317" s="18"/>
      <c r="U317" s="18"/>
      <c r="V317" s="18"/>
      <c r="W317" s="18"/>
      <c r="X317" s="18"/>
      <c r="Y317" s="48" t="s">
        <v>57</v>
      </c>
      <c r="Z317" s="48"/>
      <c r="AA317" s="18"/>
      <c r="AB317" s="18"/>
      <c r="AC317" s="18"/>
      <c r="AD317" s="18"/>
      <c r="AE317" s="18"/>
      <c r="AF317" s="18"/>
      <c r="AG317" s="18"/>
      <c r="AH317" s="18"/>
      <c r="AI317" s="18"/>
      <c r="AJ317" s="18"/>
      <c r="AK317" s="48" t="s">
        <v>57</v>
      </c>
      <c r="AL317" s="48"/>
      <c r="AM317" s="18"/>
      <c r="AN317" s="18"/>
      <c r="AO317" s="18"/>
      <c r="AP317" s="18"/>
      <c r="AQ317" s="18"/>
      <c r="AR317" s="18"/>
      <c r="AS317" s="18"/>
      <c r="AT317" s="18"/>
      <c r="AU317" s="18"/>
      <c r="AV317" s="18"/>
      <c r="AW317" s="48" t="s">
        <v>57</v>
      </c>
      <c r="AX317" s="48"/>
      <c r="AY317" s="18"/>
      <c r="AZ317" s="18"/>
      <c r="BA317" s="18"/>
      <c r="BB317" s="18"/>
      <c r="BC317" s="18"/>
      <c r="BD317" s="18"/>
      <c r="BE317" s="18"/>
      <c r="BF317" s="18"/>
      <c r="BG317" s="18"/>
      <c r="BH317" s="18"/>
      <c r="BI317" s="48" t="s">
        <v>57</v>
      </c>
      <c r="BJ317" s="48"/>
      <c r="BK317" s="18"/>
      <c r="BL317" s="18"/>
      <c r="BM317" s="18"/>
      <c r="BN317" s="18"/>
      <c r="BO317" s="18"/>
      <c r="BP317" s="18"/>
      <c r="BQ317" s="18"/>
      <c r="BR317" s="18"/>
      <c r="BS317" s="18"/>
      <c r="BT317" s="18"/>
      <c r="BU317" s="48" t="s">
        <v>57</v>
      </c>
      <c r="BV317" s="48"/>
      <c r="BW317" s="18"/>
      <c r="BX317" s="18"/>
      <c r="BY317" s="18"/>
      <c r="BZ317" s="18"/>
      <c r="CA317" s="18"/>
      <c r="CB317" s="18"/>
      <c r="CC317" s="18"/>
      <c r="CD317" s="18"/>
      <c r="CE317" s="18"/>
      <c r="CF317" s="18"/>
      <c r="CG317" s="48" t="s">
        <v>57</v>
      </c>
      <c r="CH317" s="48"/>
      <c r="CI317" s="18"/>
      <c r="CJ317" s="18"/>
      <c r="CK317" s="18"/>
      <c r="CL317" s="18"/>
      <c r="CM317" s="18"/>
      <c r="CN317" s="18"/>
      <c r="CO317" s="18"/>
      <c r="CP317" s="18"/>
      <c r="CQ317" s="18"/>
      <c r="CR317" s="18"/>
      <c r="CS317" s="48" t="s">
        <v>57</v>
      </c>
      <c r="CT317" s="48"/>
      <c r="CU317" s="18"/>
      <c r="CV317" s="18"/>
      <c r="CW317" s="18"/>
      <c r="CX317" s="18"/>
      <c r="CY317" s="18"/>
      <c r="CZ317" s="18"/>
      <c r="DA317" s="18"/>
      <c r="DB317" s="18"/>
      <c r="DC317" s="18"/>
      <c r="DD317" s="18"/>
      <c r="DE317" s="48" t="s">
        <v>57</v>
      </c>
      <c r="DF317" s="48"/>
      <c r="DG317" s="18"/>
      <c r="DH317" s="18"/>
      <c r="DI317" s="18"/>
      <c r="DJ317" s="18"/>
      <c r="DK317" s="18"/>
      <c r="DL317" s="18"/>
      <c r="DM317" s="18"/>
      <c r="DN317" s="18"/>
      <c r="DO317" s="18"/>
      <c r="DP317" s="18"/>
    </row>
    <row r="318" spans="1:120" x14ac:dyDescent="0.25">
      <c r="A318" s="138" t="str">
        <f>A$5</f>
        <v>Rental Dwelling</v>
      </c>
      <c r="B318" s="69"/>
      <c r="C318" s="18"/>
      <c r="D318" s="18"/>
      <c r="E318" s="18"/>
      <c r="F318" s="18"/>
      <c r="G318" s="18"/>
      <c r="H318" s="18"/>
      <c r="I318" s="18"/>
      <c r="J318" s="18"/>
      <c r="K318" s="18"/>
      <c r="L318" s="18"/>
      <c r="M318" s="138">
        <f>M$5</f>
        <v>0</v>
      </c>
      <c r="N318" s="69"/>
      <c r="O318" s="18"/>
      <c r="P318" s="18"/>
      <c r="Q318" s="18"/>
      <c r="R318" s="18"/>
      <c r="S318" s="18"/>
      <c r="T318" s="18"/>
      <c r="U318" s="18"/>
      <c r="V318" s="18"/>
      <c r="W318" s="18"/>
      <c r="X318" s="18"/>
      <c r="Y318" s="138">
        <f>Y$5</f>
        <v>0</v>
      </c>
      <c r="Z318" s="69"/>
      <c r="AA318" s="18"/>
      <c r="AB318" s="18"/>
      <c r="AC318" s="18"/>
      <c r="AD318" s="18"/>
      <c r="AE318" s="18"/>
      <c r="AF318" s="18"/>
      <c r="AG318" s="18"/>
      <c r="AH318" s="18"/>
      <c r="AI318" s="18"/>
      <c r="AJ318" s="18"/>
      <c r="AK318" s="138">
        <f>AK$5</f>
        <v>0</v>
      </c>
      <c r="AL318" s="69"/>
      <c r="AM318" s="18"/>
      <c r="AN318" s="18"/>
      <c r="AO318" s="18"/>
      <c r="AP318" s="18"/>
      <c r="AQ318" s="18"/>
      <c r="AR318" s="18"/>
      <c r="AS318" s="18"/>
      <c r="AT318" s="18"/>
      <c r="AU318" s="18"/>
      <c r="AV318" s="18"/>
      <c r="AW318" s="138">
        <f>AW$5</f>
        <v>0</v>
      </c>
      <c r="AX318" s="69"/>
      <c r="AY318" s="18"/>
      <c r="AZ318" s="18"/>
      <c r="BA318" s="18"/>
      <c r="BB318" s="18"/>
      <c r="BC318" s="18"/>
      <c r="BD318" s="18"/>
      <c r="BE318" s="18"/>
      <c r="BF318" s="18"/>
      <c r="BG318" s="18"/>
      <c r="BH318" s="18"/>
      <c r="BI318" s="138">
        <f>BI$5</f>
        <v>0</v>
      </c>
      <c r="BJ318" s="69"/>
      <c r="BK318" s="18"/>
      <c r="BL318" s="18"/>
      <c r="BM318" s="18"/>
      <c r="BN318" s="18"/>
      <c r="BO318" s="18"/>
      <c r="BP318" s="18"/>
      <c r="BQ318" s="18"/>
      <c r="BR318" s="18"/>
      <c r="BS318" s="18"/>
      <c r="BT318" s="18"/>
      <c r="BU318" s="138">
        <f>BU$5</f>
        <v>0</v>
      </c>
      <c r="BV318" s="69"/>
      <c r="BW318" s="18"/>
      <c r="BX318" s="18"/>
      <c r="BY318" s="18"/>
      <c r="BZ318" s="18"/>
      <c r="CA318" s="18"/>
      <c r="CB318" s="18"/>
      <c r="CC318" s="18"/>
      <c r="CD318" s="18"/>
      <c r="CE318" s="18"/>
      <c r="CF318" s="18"/>
      <c r="CG318" s="138">
        <f>CG$5</f>
        <v>0</v>
      </c>
      <c r="CH318" s="69"/>
      <c r="CI318" s="18"/>
      <c r="CJ318" s="18"/>
      <c r="CK318" s="18"/>
      <c r="CL318" s="18"/>
      <c r="CM318" s="18"/>
      <c r="CN318" s="18"/>
      <c r="CO318" s="18"/>
      <c r="CP318" s="18"/>
      <c r="CQ318" s="18"/>
      <c r="CR318" s="18"/>
      <c r="CS318" s="138">
        <f>CS$5</f>
        <v>0</v>
      </c>
      <c r="CT318" s="69"/>
      <c r="CU318" s="18"/>
      <c r="CV318" s="18"/>
      <c r="CW318" s="18"/>
      <c r="CX318" s="18"/>
      <c r="CY318" s="18"/>
      <c r="CZ318" s="18"/>
      <c r="DA318" s="18"/>
      <c r="DB318" s="18"/>
      <c r="DC318" s="18"/>
      <c r="DD318" s="18"/>
      <c r="DE318" s="138">
        <f>DE$5</f>
        <v>0</v>
      </c>
      <c r="DF318" s="69"/>
      <c r="DG318" s="18"/>
      <c r="DH318" s="18"/>
      <c r="DI318" s="18"/>
      <c r="DJ318" s="18"/>
      <c r="DK318" s="18"/>
      <c r="DL318" s="18"/>
      <c r="DM318" s="18"/>
      <c r="DN318" s="18"/>
      <c r="DO318" s="18"/>
      <c r="DP318" s="18"/>
    </row>
    <row r="320" spans="1:120" x14ac:dyDescent="0.25">
      <c r="A320" s="102"/>
      <c r="B320" s="129"/>
      <c r="C320" s="129" t="s">
        <v>4</v>
      </c>
      <c r="D320" s="103"/>
      <c r="E320" s="103"/>
      <c r="F320" s="103"/>
      <c r="G320" s="103"/>
      <c r="H320" s="103"/>
      <c r="I320" s="103"/>
      <c r="J320" s="103"/>
      <c r="K320" s="103"/>
      <c r="L320" s="103"/>
      <c r="M320" s="102"/>
      <c r="N320" s="129"/>
      <c r="O320" s="129" t="s">
        <v>4</v>
      </c>
      <c r="P320" s="103"/>
      <c r="Q320" s="103"/>
      <c r="R320" s="103"/>
      <c r="S320" s="103"/>
      <c r="T320" s="103"/>
      <c r="U320" s="103"/>
      <c r="V320" s="103"/>
      <c r="W320" s="103"/>
      <c r="X320" s="103"/>
      <c r="Y320" s="102"/>
      <c r="Z320" s="129"/>
      <c r="AA320" s="129" t="s">
        <v>4</v>
      </c>
      <c r="AB320" s="103"/>
      <c r="AC320" s="103"/>
      <c r="AD320" s="103"/>
      <c r="AE320" s="103"/>
      <c r="AF320" s="103"/>
      <c r="AG320" s="103"/>
      <c r="AH320" s="103"/>
      <c r="AI320" s="103"/>
      <c r="AJ320" s="103"/>
      <c r="AK320" s="102"/>
      <c r="AL320" s="129"/>
      <c r="AM320" s="129" t="s">
        <v>4</v>
      </c>
      <c r="AN320" s="103"/>
      <c r="AO320" s="103"/>
      <c r="AP320" s="103"/>
      <c r="AQ320" s="103"/>
      <c r="AR320" s="103"/>
      <c r="AS320" s="103"/>
      <c r="AT320" s="103"/>
      <c r="AU320" s="103"/>
      <c r="AV320" s="103"/>
      <c r="AW320" s="102"/>
      <c r="AX320" s="129"/>
      <c r="AY320" s="129" t="s">
        <v>4</v>
      </c>
      <c r="AZ320" s="103"/>
      <c r="BA320" s="103"/>
      <c r="BB320" s="103"/>
      <c r="BC320" s="103"/>
      <c r="BD320" s="103"/>
      <c r="BE320" s="103"/>
      <c r="BF320" s="103"/>
      <c r="BG320" s="103"/>
      <c r="BH320" s="103"/>
      <c r="BI320" s="102"/>
      <c r="BJ320" s="129"/>
      <c r="BK320" s="129" t="s">
        <v>4</v>
      </c>
      <c r="BL320" s="103"/>
      <c r="BM320" s="103"/>
      <c r="BN320" s="103"/>
      <c r="BO320" s="103"/>
      <c r="BP320" s="103"/>
      <c r="BQ320" s="103"/>
      <c r="BR320" s="103"/>
      <c r="BS320" s="103"/>
      <c r="BT320" s="103"/>
      <c r="BU320" s="102"/>
      <c r="BV320" s="129"/>
      <c r="BW320" s="129" t="s">
        <v>4</v>
      </c>
      <c r="BX320" s="103"/>
      <c r="BY320" s="103"/>
      <c r="BZ320" s="103"/>
      <c r="CA320" s="103"/>
      <c r="CB320" s="103"/>
      <c r="CC320" s="103"/>
      <c r="CD320" s="103"/>
      <c r="CE320" s="103"/>
      <c r="CF320" s="103"/>
      <c r="CG320" s="102"/>
      <c r="CH320" s="129"/>
      <c r="CI320" s="129" t="s">
        <v>4</v>
      </c>
      <c r="CJ320" s="103"/>
      <c r="CK320" s="103"/>
      <c r="CL320" s="103"/>
      <c r="CM320" s="103"/>
      <c r="CN320" s="103"/>
      <c r="CO320" s="103"/>
      <c r="CP320" s="103"/>
      <c r="CQ320" s="103"/>
      <c r="CR320" s="103"/>
      <c r="CS320" s="102"/>
      <c r="CT320" s="129"/>
      <c r="CU320" s="129" t="s">
        <v>4</v>
      </c>
      <c r="CV320" s="103"/>
      <c r="CW320" s="103"/>
      <c r="CX320" s="103"/>
      <c r="CY320" s="103"/>
      <c r="CZ320" s="103"/>
      <c r="DA320" s="103"/>
      <c r="DB320" s="103"/>
      <c r="DC320" s="103"/>
      <c r="DD320" s="103"/>
      <c r="DE320" s="102"/>
      <c r="DF320" s="129"/>
      <c r="DG320" s="129" t="s">
        <v>4</v>
      </c>
      <c r="DH320" s="103"/>
      <c r="DI320" s="103"/>
      <c r="DJ320" s="103"/>
      <c r="DK320" s="103"/>
      <c r="DL320" s="103"/>
      <c r="DM320" s="103"/>
      <c r="DN320" s="103"/>
      <c r="DO320" s="103"/>
      <c r="DP320" s="103"/>
    </row>
    <row r="321" spans="1:120" ht="30" x14ac:dyDescent="0.25">
      <c r="A321" s="92" t="str">
        <f>$A$35</f>
        <v>Fiscal Accident Year Data Ending</v>
      </c>
      <c r="B321" s="98">
        <f>$B$35</f>
        <v>0</v>
      </c>
      <c r="C321" s="98" t="str">
        <f>$C$35</f>
        <v>12</v>
      </c>
      <c r="D321" s="98">
        <f>$D$35</f>
        <v>24</v>
      </c>
      <c r="E321" s="98">
        <f>$E$35</f>
        <v>36</v>
      </c>
      <c r="F321" s="98">
        <f>$F$35</f>
        <v>48</v>
      </c>
      <c r="G321" s="98">
        <f>$G$35</f>
        <v>60</v>
      </c>
      <c r="H321" s="98">
        <f>$H$35</f>
        <v>72</v>
      </c>
      <c r="I321" s="98">
        <f>$I$35</f>
        <v>84</v>
      </c>
      <c r="J321" s="98">
        <f>$J$35</f>
        <v>96</v>
      </c>
      <c r="K321" s="98">
        <f>$K$35</f>
        <v>108</v>
      </c>
      <c r="L321" s="98">
        <f>$L$35</f>
        <v>120</v>
      </c>
      <c r="M321" s="92" t="str">
        <f>$A$35</f>
        <v>Fiscal Accident Year Data Ending</v>
      </c>
      <c r="N321" s="98">
        <f>$B$35</f>
        <v>0</v>
      </c>
      <c r="O321" s="98" t="str">
        <f>$C$35</f>
        <v>12</v>
      </c>
      <c r="P321" s="98">
        <f>$D$35</f>
        <v>24</v>
      </c>
      <c r="Q321" s="98">
        <f>$E$35</f>
        <v>36</v>
      </c>
      <c r="R321" s="98">
        <f>$F$35</f>
        <v>48</v>
      </c>
      <c r="S321" s="98">
        <f>$G$35</f>
        <v>60</v>
      </c>
      <c r="T321" s="98">
        <f>$H$35</f>
        <v>72</v>
      </c>
      <c r="U321" s="98">
        <f>$I$35</f>
        <v>84</v>
      </c>
      <c r="V321" s="98">
        <f>$J$35</f>
        <v>96</v>
      </c>
      <c r="W321" s="98">
        <f>$K$35</f>
        <v>108</v>
      </c>
      <c r="X321" s="98">
        <f>$L$35</f>
        <v>120</v>
      </c>
      <c r="Y321" s="92" t="str">
        <f>$A$35</f>
        <v>Fiscal Accident Year Data Ending</v>
      </c>
      <c r="Z321" s="98">
        <f>$B$35</f>
        <v>0</v>
      </c>
      <c r="AA321" s="98" t="str">
        <f>$C$35</f>
        <v>12</v>
      </c>
      <c r="AB321" s="98">
        <f>$D$35</f>
        <v>24</v>
      </c>
      <c r="AC321" s="98">
        <f>$E$35</f>
        <v>36</v>
      </c>
      <c r="AD321" s="98">
        <f>$F$35</f>
        <v>48</v>
      </c>
      <c r="AE321" s="98">
        <f>$G$35</f>
        <v>60</v>
      </c>
      <c r="AF321" s="98">
        <f>$H$35</f>
        <v>72</v>
      </c>
      <c r="AG321" s="98">
        <f>$I$35</f>
        <v>84</v>
      </c>
      <c r="AH321" s="98">
        <f>$J$35</f>
        <v>96</v>
      </c>
      <c r="AI321" s="98">
        <f>$K$35</f>
        <v>108</v>
      </c>
      <c r="AJ321" s="98">
        <f>$L$35</f>
        <v>120</v>
      </c>
      <c r="AK321" s="92" t="str">
        <f>$A$35</f>
        <v>Fiscal Accident Year Data Ending</v>
      </c>
      <c r="AL321" s="98">
        <f>$B$35</f>
        <v>0</v>
      </c>
      <c r="AM321" s="98" t="str">
        <f>$C$35</f>
        <v>12</v>
      </c>
      <c r="AN321" s="98">
        <f>$D$35</f>
        <v>24</v>
      </c>
      <c r="AO321" s="98">
        <f>$E$35</f>
        <v>36</v>
      </c>
      <c r="AP321" s="98">
        <f>$F$35</f>
        <v>48</v>
      </c>
      <c r="AQ321" s="98">
        <f>$G$35</f>
        <v>60</v>
      </c>
      <c r="AR321" s="98">
        <f>$H$35</f>
        <v>72</v>
      </c>
      <c r="AS321" s="98">
        <f>$I$35</f>
        <v>84</v>
      </c>
      <c r="AT321" s="98">
        <f>$J$35</f>
        <v>96</v>
      </c>
      <c r="AU321" s="98">
        <f>$K$35</f>
        <v>108</v>
      </c>
      <c r="AV321" s="98">
        <f>$L$35</f>
        <v>120</v>
      </c>
      <c r="AW321" s="92" t="str">
        <f>$A$35</f>
        <v>Fiscal Accident Year Data Ending</v>
      </c>
      <c r="AX321" s="98">
        <f>$B$35</f>
        <v>0</v>
      </c>
      <c r="AY321" s="98" t="str">
        <f>$C$35</f>
        <v>12</v>
      </c>
      <c r="AZ321" s="98">
        <f>$D$35</f>
        <v>24</v>
      </c>
      <c r="BA321" s="98">
        <f>$E$35</f>
        <v>36</v>
      </c>
      <c r="BB321" s="98">
        <f>$F$35</f>
        <v>48</v>
      </c>
      <c r="BC321" s="98">
        <f>$G$35</f>
        <v>60</v>
      </c>
      <c r="BD321" s="98">
        <f>$H$35</f>
        <v>72</v>
      </c>
      <c r="BE321" s="98">
        <f>$I$35</f>
        <v>84</v>
      </c>
      <c r="BF321" s="98">
        <f>$J$35</f>
        <v>96</v>
      </c>
      <c r="BG321" s="98">
        <f>$K$35</f>
        <v>108</v>
      </c>
      <c r="BH321" s="98">
        <f>$L$35</f>
        <v>120</v>
      </c>
      <c r="BI321" s="92" t="str">
        <f>$A$35</f>
        <v>Fiscal Accident Year Data Ending</v>
      </c>
      <c r="BJ321" s="98">
        <f>$B$35</f>
        <v>0</v>
      </c>
      <c r="BK321" s="98" t="str">
        <f>$C$35</f>
        <v>12</v>
      </c>
      <c r="BL321" s="98">
        <f>$D$35</f>
        <v>24</v>
      </c>
      <c r="BM321" s="98">
        <f>$E$35</f>
        <v>36</v>
      </c>
      <c r="BN321" s="98">
        <f>$F$35</f>
        <v>48</v>
      </c>
      <c r="BO321" s="98">
        <f>$G$35</f>
        <v>60</v>
      </c>
      <c r="BP321" s="98">
        <f>$H$35</f>
        <v>72</v>
      </c>
      <c r="BQ321" s="98">
        <f>$I$35</f>
        <v>84</v>
      </c>
      <c r="BR321" s="98">
        <f>$J$35</f>
        <v>96</v>
      </c>
      <c r="BS321" s="98">
        <f>$K$35</f>
        <v>108</v>
      </c>
      <c r="BT321" s="98">
        <f>$L$35</f>
        <v>120</v>
      </c>
      <c r="BU321" s="92" t="str">
        <f>$A$35</f>
        <v>Fiscal Accident Year Data Ending</v>
      </c>
      <c r="BV321" s="98">
        <f>$B$35</f>
        <v>0</v>
      </c>
      <c r="BW321" s="98" t="str">
        <f>$C$35</f>
        <v>12</v>
      </c>
      <c r="BX321" s="98">
        <f>$D$35</f>
        <v>24</v>
      </c>
      <c r="BY321" s="98">
        <f>$E$35</f>
        <v>36</v>
      </c>
      <c r="BZ321" s="98">
        <f>$F$35</f>
        <v>48</v>
      </c>
      <c r="CA321" s="98">
        <f>$G$35</f>
        <v>60</v>
      </c>
      <c r="CB321" s="98">
        <f>$H$35</f>
        <v>72</v>
      </c>
      <c r="CC321" s="98">
        <f>$I$35</f>
        <v>84</v>
      </c>
      <c r="CD321" s="98">
        <f>$J$35</f>
        <v>96</v>
      </c>
      <c r="CE321" s="98">
        <f>$K$35</f>
        <v>108</v>
      </c>
      <c r="CF321" s="98">
        <f>$L$35</f>
        <v>120</v>
      </c>
      <c r="CG321" s="92" t="str">
        <f>$A$35</f>
        <v>Fiscal Accident Year Data Ending</v>
      </c>
      <c r="CH321" s="98">
        <f>$B$35</f>
        <v>0</v>
      </c>
      <c r="CI321" s="98" t="str">
        <f>$C$35</f>
        <v>12</v>
      </c>
      <c r="CJ321" s="98">
        <f>$D$35</f>
        <v>24</v>
      </c>
      <c r="CK321" s="98">
        <f>$E$35</f>
        <v>36</v>
      </c>
      <c r="CL321" s="98">
        <f>$F$35</f>
        <v>48</v>
      </c>
      <c r="CM321" s="98">
        <f>$G$35</f>
        <v>60</v>
      </c>
      <c r="CN321" s="98">
        <f>$H$35</f>
        <v>72</v>
      </c>
      <c r="CO321" s="98">
        <f>$I$35</f>
        <v>84</v>
      </c>
      <c r="CP321" s="98">
        <f>$J$35</f>
        <v>96</v>
      </c>
      <c r="CQ321" s="98">
        <f>$K$35</f>
        <v>108</v>
      </c>
      <c r="CR321" s="98">
        <f>$L$35</f>
        <v>120</v>
      </c>
      <c r="CS321" s="92" t="str">
        <f>$A$35</f>
        <v>Fiscal Accident Year Data Ending</v>
      </c>
      <c r="CT321" s="98">
        <f>$B$35</f>
        <v>0</v>
      </c>
      <c r="CU321" s="98" t="str">
        <f>$C$35</f>
        <v>12</v>
      </c>
      <c r="CV321" s="98">
        <f>$D$35</f>
        <v>24</v>
      </c>
      <c r="CW321" s="98">
        <f>$E$35</f>
        <v>36</v>
      </c>
      <c r="CX321" s="98">
        <f>$F$35</f>
        <v>48</v>
      </c>
      <c r="CY321" s="98">
        <f>$G$35</f>
        <v>60</v>
      </c>
      <c r="CZ321" s="98">
        <f>$H$35</f>
        <v>72</v>
      </c>
      <c r="DA321" s="98">
        <f>$I$35</f>
        <v>84</v>
      </c>
      <c r="DB321" s="98">
        <f>$J$35</f>
        <v>96</v>
      </c>
      <c r="DC321" s="98">
        <f>$K$35</f>
        <v>108</v>
      </c>
      <c r="DD321" s="98">
        <f>$L$35</f>
        <v>120</v>
      </c>
      <c r="DE321" s="92" t="str">
        <f>$A$35</f>
        <v>Fiscal Accident Year Data Ending</v>
      </c>
      <c r="DF321" s="98">
        <f>$B$35</f>
        <v>0</v>
      </c>
      <c r="DG321" s="98" t="str">
        <f>$C$35</f>
        <v>12</v>
      </c>
      <c r="DH321" s="98">
        <f>$D$35</f>
        <v>24</v>
      </c>
      <c r="DI321" s="98">
        <f>$E$35</f>
        <v>36</v>
      </c>
      <c r="DJ321" s="98">
        <f>$F$35</f>
        <v>48</v>
      </c>
      <c r="DK321" s="98">
        <f>$G$35</f>
        <v>60</v>
      </c>
      <c r="DL321" s="98">
        <f>$H$35</f>
        <v>72</v>
      </c>
      <c r="DM321" s="98">
        <f>$I$35</f>
        <v>84</v>
      </c>
      <c r="DN321" s="98">
        <f>$J$35</f>
        <v>96</v>
      </c>
      <c r="DO321" s="98">
        <f>$K$35</f>
        <v>108</v>
      </c>
      <c r="DP321" s="98">
        <f>$L$35</f>
        <v>120</v>
      </c>
    </row>
    <row r="322" spans="1:120" ht="15" customHeight="1" x14ac:dyDescent="0.25">
      <c r="A322" s="31">
        <f>$A$36</f>
        <v>20132</v>
      </c>
      <c r="B322" s="21"/>
      <c r="C322" s="21">
        <v>6678</v>
      </c>
      <c r="D322" s="21">
        <v>7534</v>
      </c>
      <c r="E322" s="21">
        <v>7638</v>
      </c>
      <c r="F322" s="21">
        <v>7667</v>
      </c>
      <c r="G322" s="21">
        <v>7684</v>
      </c>
      <c r="H322" s="21">
        <v>7697</v>
      </c>
      <c r="I322" s="21">
        <v>7705</v>
      </c>
      <c r="J322" s="21">
        <v>7714</v>
      </c>
      <c r="K322" s="21">
        <v>7723</v>
      </c>
      <c r="L322" s="21">
        <v>7727</v>
      </c>
      <c r="M322" s="31">
        <f>$A$36</f>
        <v>20132</v>
      </c>
      <c r="N322" s="21"/>
      <c r="O322" s="21"/>
      <c r="P322" s="21"/>
      <c r="Q322" s="21"/>
      <c r="R322" s="21"/>
      <c r="S322" s="21"/>
      <c r="T322" s="21"/>
      <c r="U322" s="21"/>
      <c r="V322" s="21"/>
      <c r="W322" s="21"/>
      <c r="X322" s="21"/>
      <c r="Y322" s="31">
        <f>$A$36</f>
        <v>20132</v>
      </c>
      <c r="Z322" s="21"/>
      <c r="AA322" s="21"/>
      <c r="AB322" s="21"/>
      <c r="AC322" s="21"/>
      <c r="AD322" s="21"/>
      <c r="AE322" s="21"/>
      <c r="AF322" s="21"/>
      <c r="AG322" s="21"/>
      <c r="AH322" s="21"/>
      <c r="AI322" s="21"/>
      <c r="AJ322" s="21"/>
      <c r="AK322" s="31">
        <f>$A$36</f>
        <v>20132</v>
      </c>
      <c r="AL322" s="21"/>
      <c r="AM322" s="21"/>
      <c r="AN322" s="21"/>
      <c r="AO322" s="21"/>
      <c r="AP322" s="21"/>
      <c r="AQ322" s="21"/>
      <c r="AR322" s="21"/>
      <c r="AS322" s="21"/>
      <c r="AT322" s="21"/>
      <c r="AU322" s="21"/>
      <c r="AV322" s="21"/>
      <c r="AW322" s="31">
        <f>$A$36</f>
        <v>20132</v>
      </c>
      <c r="AX322" s="21"/>
      <c r="AY322" s="21"/>
      <c r="AZ322" s="21"/>
      <c r="BA322" s="21"/>
      <c r="BB322" s="21"/>
      <c r="BC322" s="21"/>
      <c r="BD322" s="21"/>
      <c r="BE322" s="21"/>
      <c r="BF322" s="21"/>
      <c r="BG322" s="21"/>
      <c r="BH322" s="21"/>
      <c r="BI322" s="31">
        <f>$A$36</f>
        <v>20132</v>
      </c>
      <c r="BJ322" s="21"/>
      <c r="BK322" s="21"/>
      <c r="BL322" s="21"/>
      <c r="BM322" s="21"/>
      <c r="BN322" s="21"/>
      <c r="BO322" s="21"/>
      <c r="BP322" s="21"/>
      <c r="BQ322" s="21"/>
      <c r="BR322" s="21"/>
      <c r="BS322" s="21"/>
      <c r="BT322" s="21"/>
      <c r="BU322" s="31">
        <f>$A$36</f>
        <v>20132</v>
      </c>
      <c r="BV322" s="21"/>
      <c r="BW322" s="21"/>
      <c r="BX322" s="21"/>
      <c r="BY322" s="21"/>
      <c r="BZ322" s="21"/>
      <c r="CA322" s="21"/>
      <c r="CB322" s="21"/>
      <c r="CC322" s="21"/>
      <c r="CD322" s="21"/>
      <c r="CE322" s="21"/>
      <c r="CF322" s="21"/>
      <c r="CG322" s="31">
        <f>$A$36</f>
        <v>20132</v>
      </c>
      <c r="CH322" s="21"/>
      <c r="CI322" s="21"/>
      <c r="CJ322" s="21"/>
      <c r="CK322" s="21"/>
      <c r="CL322" s="21"/>
      <c r="CM322" s="21"/>
      <c r="CN322" s="21"/>
      <c r="CO322" s="21"/>
      <c r="CP322" s="21"/>
      <c r="CQ322" s="21"/>
      <c r="CR322" s="21"/>
      <c r="CS322" s="31">
        <f>$A$36</f>
        <v>20132</v>
      </c>
      <c r="CT322" s="21"/>
      <c r="CU322" s="21"/>
      <c r="CV322" s="21"/>
      <c r="CW322" s="21"/>
      <c r="CX322" s="21"/>
      <c r="CY322" s="21"/>
      <c r="CZ322" s="21"/>
      <c r="DA322" s="21"/>
      <c r="DB322" s="21"/>
      <c r="DC322" s="21"/>
      <c r="DD322" s="21"/>
      <c r="DE322" s="31">
        <f>$A$36</f>
        <v>20132</v>
      </c>
      <c r="DF322" s="21"/>
      <c r="DG322" s="21"/>
      <c r="DH322" s="21"/>
      <c r="DI322" s="21"/>
      <c r="DJ322" s="21"/>
      <c r="DK322" s="21"/>
      <c r="DL322" s="21"/>
      <c r="DM322" s="21"/>
      <c r="DN322" s="21"/>
      <c r="DO322" s="21"/>
      <c r="DP322" s="21"/>
    </row>
    <row r="323" spans="1:120" ht="15" customHeight="1" x14ac:dyDescent="0.25">
      <c r="A323" s="31">
        <f>$A$37</f>
        <v>20142</v>
      </c>
      <c r="B323" s="21"/>
      <c r="C323" s="21">
        <v>6344</v>
      </c>
      <c r="D323" s="21">
        <v>6998</v>
      </c>
      <c r="E323" s="21">
        <v>7101</v>
      </c>
      <c r="F323" s="21">
        <v>7148</v>
      </c>
      <c r="G323" s="21">
        <v>7172</v>
      </c>
      <c r="H323" s="21">
        <v>7181</v>
      </c>
      <c r="I323" s="21">
        <v>7195</v>
      </c>
      <c r="J323" s="21">
        <v>7205</v>
      </c>
      <c r="K323" s="21">
        <v>7232</v>
      </c>
      <c r="L323" s="134"/>
      <c r="M323" s="31">
        <f>$A$37</f>
        <v>20142</v>
      </c>
      <c r="N323" s="21"/>
      <c r="O323" s="21"/>
      <c r="P323" s="21"/>
      <c r="Q323" s="21"/>
      <c r="R323" s="21"/>
      <c r="S323" s="21"/>
      <c r="T323" s="21"/>
      <c r="U323" s="21"/>
      <c r="V323" s="21"/>
      <c r="W323" s="21"/>
      <c r="X323" s="134"/>
      <c r="Y323" s="31">
        <f>$A$37</f>
        <v>20142</v>
      </c>
      <c r="Z323" s="21"/>
      <c r="AA323" s="21"/>
      <c r="AB323" s="21"/>
      <c r="AC323" s="21"/>
      <c r="AD323" s="21"/>
      <c r="AE323" s="21"/>
      <c r="AF323" s="21"/>
      <c r="AG323" s="21"/>
      <c r="AH323" s="21"/>
      <c r="AI323" s="21"/>
      <c r="AJ323" s="134"/>
      <c r="AK323" s="31">
        <f>$A$37</f>
        <v>20142</v>
      </c>
      <c r="AL323" s="21"/>
      <c r="AM323" s="21"/>
      <c r="AN323" s="21"/>
      <c r="AO323" s="21"/>
      <c r="AP323" s="21"/>
      <c r="AQ323" s="21"/>
      <c r="AR323" s="21"/>
      <c r="AS323" s="21"/>
      <c r="AT323" s="21"/>
      <c r="AU323" s="21"/>
      <c r="AV323" s="134"/>
      <c r="AW323" s="31">
        <f>$A$37</f>
        <v>20142</v>
      </c>
      <c r="AX323" s="21"/>
      <c r="AY323" s="21"/>
      <c r="AZ323" s="21"/>
      <c r="BA323" s="21"/>
      <c r="BB323" s="21"/>
      <c r="BC323" s="21"/>
      <c r="BD323" s="21"/>
      <c r="BE323" s="21"/>
      <c r="BF323" s="21"/>
      <c r="BG323" s="21"/>
      <c r="BH323" s="134"/>
      <c r="BI323" s="31">
        <f>$A$37</f>
        <v>20142</v>
      </c>
      <c r="BJ323" s="21"/>
      <c r="BK323" s="21"/>
      <c r="BL323" s="21"/>
      <c r="BM323" s="21"/>
      <c r="BN323" s="21"/>
      <c r="BO323" s="21"/>
      <c r="BP323" s="21"/>
      <c r="BQ323" s="21"/>
      <c r="BR323" s="21"/>
      <c r="BS323" s="21"/>
      <c r="BT323" s="134"/>
      <c r="BU323" s="31">
        <f>$A$37</f>
        <v>20142</v>
      </c>
      <c r="BV323" s="21"/>
      <c r="BW323" s="21"/>
      <c r="BX323" s="21"/>
      <c r="BY323" s="21"/>
      <c r="BZ323" s="21"/>
      <c r="CA323" s="21"/>
      <c r="CB323" s="21"/>
      <c r="CC323" s="21"/>
      <c r="CD323" s="21"/>
      <c r="CE323" s="21"/>
      <c r="CF323" s="134"/>
      <c r="CG323" s="31">
        <f>$A$37</f>
        <v>20142</v>
      </c>
      <c r="CH323" s="21"/>
      <c r="CI323" s="21"/>
      <c r="CJ323" s="21"/>
      <c r="CK323" s="21"/>
      <c r="CL323" s="21"/>
      <c r="CM323" s="21"/>
      <c r="CN323" s="21"/>
      <c r="CO323" s="21"/>
      <c r="CP323" s="21"/>
      <c r="CQ323" s="21"/>
      <c r="CR323" s="134"/>
      <c r="CS323" s="31">
        <f>$A$37</f>
        <v>20142</v>
      </c>
      <c r="CT323" s="21"/>
      <c r="CU323" s="21"/>
      <c r="CV323" s="21"/>
      <c r="CW323" s="21"/>
      <c r="CX323" s="21"/>
      <c r="CY323" s="21"/>
      <c r="CZ323" s="21"/>
      <c r="DA323" s="21"/>
      <c r="DB323" s="21"/>
      <c r="DC323" s="21"/>
      <c r="DD323" s="134"/>
      <c r="DE323" s="31">
        <f>$A$37</f>
        <v>20142</v>
      </c>
      <c r="DF323" s="21"/>
      <c r="DG323" s="21"/>
      <c r="DH323" s="21"/>
      <c r="DI323" s="21"/>
      <c r="DJ323" s="21"/>
      <c r="DK323" s="21"/>
      <c r="DL323" s="21"/>
      <c r="DM323" s="21"/>
      <c r="DN323" s="21"/>
      <c r="DO323" s="21"/>
      <c r="DP323" s="134"/>
    </row>
    <row r="324" spans="1:120" ht="15" customHeight="1" x14ac:dyDescent="0.25">
      <c r="A324" s="31">
        <f>$A$38</f>
        <v>20152</v>
      </c>
      <c r="B324" s="21"/>
      <c r="C324" s="21">
        <v>5683</v>
      </c>
      <c r="D324" s="21">
        <v>6283</v>
      </c>
      <c r="E324" s="21">
        <v>6423</v>
      </c>
      <c r="F324" s="21">
        <v>6475</v>
      </c>
      <c r="G324" s="21">
        <v>6518</v>
      </c>
      <c r="H324" s="21">
        <v>6545</v>
      </c>
      <c r="I324" s="21">
        <v>6556</v>
      </c>
      <c r="J324" s="21">
        <v>6569</v>
      </c>
      <c r="K324" s="134"/>
      <c r="L324" s="134"/>
      <c r="M324" s="31">
        <f>$A$38</f>
        <v>20152</v>
      </c>
      <c r="N324" s="21"/>
      <c r="O324" s="21"/>
      <c r="P324" s="21"/>
      <c r="Q324" s="21"/>
      <c r="R324" s="21"/>
      <c r="S324" s="21"/>
      <c r="T324" s="21"/>
      <c r="U324" s="21"/>
      <c r="V324" s="21"/>
      <c r="W324" s="134"/>
      <c r="X324" s="134"/>
      <c r="Y324" s="31">
        <f>$A$38</f>
        <v>20152</v>
      </c>
      <c r="Z324" s="21"/>
      <c r="AA324" s="21"/>
      <c r="AB324" s="21"/>
      <c r="AC324" s="21"/>
      <c r="AD324" s="21"/>
      <c r="AE324" s="21"/>
      <c r="AF324" s="21"/>
      <c r="AG324" s="21"/>
      <c r="AH324" s="21"/>
      <c r="AI324" s="134"/>
      <c r="AJ324" s="134"/>
      <c r="AK324" s="31">
        <f>$A$38</f>
        <v>20152</v>
      </c>
      <c r="AL324" s="21"/>
      <c r="AM324" s="21"/>
      <c r="AN324" s="21"/>
      <c r="AO324" s="21"/>
      <c r="AP324" s="21"/>
      <c r="AQ324" s="21"/>
      <c r="AR324" s="21"/>
      <c r="AS324" s="21"/>
      <c r="AT324" s="21"/>
      <c r="AU324" s="134"/>
      <c r="AV324" s="134"/>
      <c r="AW324" s="31">
        <f>$A$38</f>
        <v>20152</v>
      </c>
      <c r="AX324" s="21"/>
      <c r="AY324" s="21"/>
      <c r="AZ324" s="21"/>
      <c r="BA324" s="21"/>
      <c r="BB324" s="21"/>
      <c r="BC324" s="21"/>
      <c r="BD324" s="21"/>
      <c r="BE324" s="21"/>
      <c r="BF324" s="21"/>
      <c r="BG324" s="134"/>
      <c r="BH324" s="134"/>
      <c r="BI324" s="31">
        <f>$A$38</f>
        <v>20152</v>
      </c>
      <c r="BJ324" s="21"/>
      <c r="BK324" s="21"/>
      <c r="BL324" s="21"/>
      <c r="BM324" s="21"/>
      <c r="BN324" s="21"/>
      <c r="BO324" s="21"/>
      <c r="BP324" s="21"/>
      <c r="BQ324" s="21"/>
      <c r="BR324" s="21"/>
      <c r="BS324" s="134"/>
      <c r="BT324" s="134"/>
      <c r="BU324" s="31">
        <f>$A$38</f>
        <v>20152</v>
      </c>
      <c r="BV324" s="21"/>
      <c r="BW324" s="21"/>
      <c r="BX324" s="21"/>
      <c r="BY324" s="21"/>
      <c r="BZ324" s="21"/>
      <c r="CA324" s="21"/>
      <c r="CB324" s="21"/>
      <c r="CC324" s="21"/>
      <c r="CD324" s="21"/>
      <c r="CE324" s="134"/>
      <c r="CF324" s="134"/>
      <c r="CG324" s="31">
        <f>$A$38</f>
        <v>20152</v>
      </c>
      <c r="CH324" s="21"/>
      <c r="CI324" s="21"/>
      <c r="CJ324" s="21"/>
      <c r="CK324" s="21"/>
      <c r="CL324" s="21"/>
      <c r="CM324" s="21"/>
      <c r="CN324" s="21"/>
      <c r="CO324" s="21"/>
      <c r="CP324" s="21"/>
      <c r="CQ324" s="134"/>
      <c r="CR324" s="134"/>
      <c r="CS324" s="31">
        <f>$A$38</f>
        <v>20152</v>
      </c>
      <c r="CT324" s="21"/>
      <c r="CU324" s="21"/>
      <c r="CV324" s="21"/>
      <c r="CW324" s="21"/>
      <c r="CX324" s="21"/>
      <c r="CY324" s="21"/>
      <c r="CZ324" s="21"/>
      <c r="DA324" s="21"/>
      <c r="DB324" s="21"/>
      <c r="DC324" s="134"/>
      <c r="DD324" s="134"/>
      <c r="DE324" s="31">
        <f>$A$38</f>
        <v>20152</v>
      </c>
      <c r="DF324" s="21"/>
      <c r="DG324" s="21"/>
      <c r="DH324" s="21"/>
      <c r="DI324" s="21"/>
      <c r="DJ324" s="21"/>
      <c r="DK324" s="21"/>
      <c r="DL324" s="21"/>
      <c r="DM324" s="21"/>
      <c r="DN324" s="21"/>
      <c r="DO324" s="134"/>
      <c r="DP324" s="134"/>
    </row>
    <row r="325" spans="1:120" ht="15" customHeight="1" x14ac:dyDescent="0.25">
      <c r="A325" s="31">
        <f>$A$39</f>
        <v>20162</v>
      </c>
      <c r="B325" s="21"/>
      <c r="C325" s="21">
        <v>5734</v>
      </c>
      <c r="D325" s="21">
        <v>6432</v>
      </c>
      <c r="E325" s="21">
        <v>6560</v>
      </c>
      <c r="F325" s="21">
        <v>6610</v>
      </c>
      <c r="G325" s="21">
        <v>6662</v>
      </c>
      <c r="H325" s="21">
        <v>6677</v>
      </c>
      <c r="I325" s="21">
        <v>6710</v>
      </c>
      <c r="J325" s="134"/>
      <c r="K325" s="134"/>
      <c r="L325" s="134"/>
      <c r="M325" s="31">
        <f>$A$39</f>
        <v>20162</v>
      </c>
      <c r="N325" s="21"/>
      <c r="O325" s="21"/>
      <c r="P325" s="21"/>
      <c r="Q325" s="21"/>
      <c r="R325" s="21"/>
      <c r="S325" s="21"/>
      <c r="T325" s="21"/>
      <c r="U325" s="21"/>
      <c r="V325" s="134"/>
      <c r="W325" s="134"/>
      <c r="X325" s="134"/>
      <c r="Y325" s="31">
        <f>$A$39</f>
        <v>20162</v>
      </c>
      <c r="Z325" s="21"/>
      <c r="AA325" s="21"/>
      <c r="AB325" s="21"/>
      <c r="AC325" s="21"/>
      <c r="AD325" s="21"/>
      <c r="AE325" s="21"/>
      <c r="AF325" s="21"/>
      <c r="AG325" s="21"/>
      <c r="AH325" s="134"/>
      <c r="AI325" s="134"/>
      <c r="AJ325" s="134"/>
      <c r="AK325" s="31">
        <f>$A$39</f>
        <v>20162</v>
      </c>
      <c r="AL325" s="21"/>
      <c r="AM325" s="21"/>
      <c r="AN325" s="21"/>
      <c r="AO325" s="21"/>
      <c r="AP325" s="21"/>
      <c r="AQ325" s="21"/>
      <c r="AR325" s="21"/>
      <c r="AS325" s="21"/>
      <c r="AT325" s="134"/>
      <c r="AU325" s="134"/>
      <c r="AV325" s="134"/>
      <c r="AW325" s="31">
        <f>$A$39</f>
        <v>20162</v>
      </c>
      <c r="AX325" s="21"/>
      <c r="AY325" s="21"/>
      <c r="AZ325" s="21"/>
      <c r="BA325" s="21"/>
      <c r="BB325" s="21"/>
      <c r="BC325" s="21"/>
      <c r="BD325" s="21"/>
      <c r="BE325" s="21"/>
      <c r="BF325" s="134"/>
      <c r="BG325" s="134"/>
      <c r="BH325" s="134"/>
      <c r="BI325" s="31">
        <f>$A$39</f>
        <v>20162</v>
      </c>
      <c r="BJ325" s="21"/>
      <c r="BK325" s="21"/>
      <c r="BL325" s="21"/>
      <c r="BM325" s="21"/>
      <c r="BN325" s="21"/>
      <c r="BO325" s="21"/>
      <c r="BP325" s="21"/>
      <c r="BQ325" s="21"/>
      <c r="BR325" s="134"/>
      <c r="BS325" s="134"/>
      <c r="BT325" s="134"/>
      <c r="BU325" s="31">
        <f>$A$39</f>
        <v>20162</v>
      </c>
      <c r="BV325" s="21"/>
      <c r="BW325" s="21"/>
      <c r="BX325" s="21"/>
      <c r="BY325" s="21"/>
      <c r="BZ325" s="21"/>
      <c r="CA325" s="21"/>
      <c r="CB325" s="21"/>
      <c r="CC325" s="21"/>
      <c r="CD325" s="134"/>
      <c r="CE325" s="134"/>
      <c r="CF325" s="134"/>
      <c r="CG325" s="31">
        <f>$A$39</f>
        <v>20162</v>
      </c>
      <c r="CH325" s="21"/>
      <c r="CI325" s="21"/>
      <c r="CJ325" s="21"/>
      <c r="CK325" s="21"/>
      <c r="CL325" s="21"/>
      <c r="CM325" s="21"/>
      <c r="CN325" s="21"/>
      <c r="CO325" s="21"/>
      <c r="CP325" s="134"/>
      <c r="CQ325" s="134"/>
      <c r="CR325" s="134"/>
      <c r="CS325" s="31">
        <f>$A$39</f>
        <v>20162</v>
      </c>
      <c r="CT325" s="21"/>
      <c r="CU325" s="21"/>
      <c r="CV325" s="21"/>
      <c r="CW325" s="21"/>
      <c r="CX325" s="21"/>
      <c r="CY325" s="21"/>
      <c r="CZ325" s="21"/>
      <c r="DA325" s="21"/>
      <c r="DB325" s="134"/>
      <c r="DC325" s="134"/>
      <c r="DD325" s="134"/>
      <c r="DE325" s="31">
        <f>$A$39</f>
        <v>20162</v>
      </c>
      <c r="DF325" s="21"/>
      <c r="DG325" s="21"/>
      <c r="DH325" s="21"/>
      <c r="DI325" s="21"/>
      <c r="DJ325" s="21"/>
      <c r="DK325" s="21"/>
      <c r="DL325" s="21"/>
      <c r="DM325" s="21"/>
      <c r="DN325" s="134"/>
      <c r="DO325" s="134"/>
      <c r="DP325" s="134"/>
    </row>
    <row r="326" spans="1:120" ht="15" customHeight="1" x14ac:dyDescent="0.25">
      <c r="A326" s="31">
        <f>$A$40</f>
        <v>20172</v>
      </c>
      <c r="B326" s="21"/>
      <c r="C326" s="21">
        <v>6327</v>
      </c>
      <c r="D326" s="21">
        <v>7027</v>
      </c>
      <c r="E326" s="21">
        <v>7173</v>
      </c>
      <c r="F326" s="21">
        <v>7240</v>
      </c>
      <c r="G326" s="21">
        <v>7271</v>
      </c>
      <c r="H326" s="21">
        <v>7300</v>
      </c>
      <c r="I326" s="134"/>
      <c r="J326" s="134"/>
      <c r="K326" s="134"/>
      <c r="L326" s="134"/>
      <c r="M326" s="31">
        <f>$A$40</f>
        <v>20172</v>
      </c>
      <c r="N326" s="21"/>
      <c r="O326" s="21"/>
      <c r="P326" s="21"/>
      <c r="Q326" s="21"/>
      <c r="R326" s="21"/>
      <c r="S326" s="21"/>
      <c r="T326" s="21"/>
      <c r="U326" s="134"/>
      <c r="V326" s="134"/>
      <c r="W326" s="134"/>
      <c r="X326" s="134"/>
      <c r="Y326" s="31">
        <f>$A$40</f>
        <v>20172</v>
      </c>
      <c r="Z326" s="21"/>
      <c r="AA326" s="21"/>
      <c r="AB326" s="21"/>
      <c r="AC326" s="21"/>
      <c r="AD326" s="21"/>
      <c r="AE326" s="21"/>
      <c r="AF326" s="21"/>
      <c r="AG326" s="134"/>
      <c r="AH326" s="134"/>
      <c r="AI326" s="134"/>
      <c r="AJ326" s="134"/>
      <c r="AK326" s="31">
        <f>$A$40</f>
        <v>20172</v>
      </c>
      <c r="AL326" s="21"/>
      <c r="AM326" s="21"/>
      <c r="AN326" s="21"/>
      <c r="AO326" s="21"/>
      <c r="AP326" s="21"/>
      <c r="AQ326" s="21"/>
      <c r="AR326" s="21"/>
      <c r="AS326" s="134"/>
      <c r="AT326" s="134"/>
      <c r="AU326" s="134"/>
      <c r="AV326" s="134"/>
      <c r="AW326" s="31">
        <f>$A$40</f>
        <v>20172</v>
      </c>
      <c r="AX326" s="21"/>
      <c r="AY326" s="21"/>
      <c r="AZ326" s="21"/>
      <c r="BA326" s="21"/>
      <c r="BB326" s="21"/>
      <c r="BC326" s="21"/>
      <c r="BD326" s="21"/>
      <c r="BE326" s="134"/>
      <c r="BF326" s="134"/>
      <c r="BG326" s="134"/>
      <c r="BH326" s="134"/>
      <c r="BI326" s="31">
        <f>$A$40</f>
        <v>20172</v>
      </c>
      <c r="BJ326" s="21"/>
      <c r="BK326" s="21"/>
      <c r="BL326" s="21"/>
      <c r="BM326" s="21"/>
      <c r="BN326" s="21"/>
      <c r="BO326" s="21"/>
      <c r="BP326" s="21"/>
      <c r="BQ326" s="134"/>
      <c r="BR326" s="134"/>
      <c r="BS326" s="134"/>
      <c r="BT326" s="134"/>
      <c r="BU326" s="31">
        <f>$A$40</f>
        <v>20172</v>
      </c>
      <c r="BV326" s="21"/>
      <c r="BW326" s="21"/>
      <c r="BX326" s="21"/>
      <c r="BY326" s="21"/>
      <c r="BZ326" s="21"/>
      <c r="CA326" s="21"/>
      <c r="CB326" s="21"/>
      <c r="CC326" s="134"/>
      <c r="CD326" s="134"/>
      <c r="CE326" s="134"/>
      <c r="CF326" s="134"/>
      <c r="CG326" s="31">
        <f>$A$40</f>
        <v>20172</v>
      </c>
      <c r="CH326" s="21"/>
      <c r="CI326" s="21"/>
      <c r="CJ326" s="21"/>
      <c r="CK326" s="21"/>
      <c r="CL326" s="21"/>
      <c r="CM326" s="21"/>
      <c r="CN326" s="21"/>
      <c r="CO326" s="134"/>
      <c r="CP326" s="134"/>
      <c r="CQ326" s="134"/>
      <c r="CR326" s="134"/>
      <c r="CS326" s="31">
        <f>$A$40</f>
        <v>20172</v>
      </c>
      <c r="CT326" s="21"/>
      <c r="CU326" s="21"/>
      <c r="CV326" s="21"/>
      <c r="CW326" s="21"/>
      <c r="CX326" s="21"/>
      <c r="CY326" s="21"/>
      <c r="CZ326" s="21"/>
      <c r="DA326" s="134"/>
      <c r="DB326" s="134"/>
      <c r="DC326" s="134"/>
      <c r="DD326" s="134"/>
      <c r="DE326" s="31">
        <f>$A$40</f>
        <v>20172</v>
      </c>
      <c r="DF326" s="21"/>
      <c r="DG326" s="21"/>
      <c r="DH326" s="21"/>
      <c r="DI326" s="21"/>
      <c r="DJ326" s="21"/>
      <c r="DK326" s="21"/>
      <c r="DL326" s="21"/>
      <c r="DM326" s="134"/>
      <c r="DN326" s="134"/>
      <c r="DO326" s="134"/>
      <c r="DP326" s="134"/>
    </row>
    <row r="327" spans="1:120" ht="15" customHeight="1" x14ac:dyDescent="0.25">
      <c r="A327" s="31">
        <f>$A$41</f>
        <v>20182</v>
      </c>
      <c r="B327" s="21"/>
      <c r="C327" s="21">
        <v>5003</v>
      </c>
      <c r="D327" s="21">
        <v>5638</v>
      </c>
      <c r="E327" s="21">
        <v>5785</v>
      </c>
      <c r="F327" s="21">
        <v>5844</v>
      </c>
      <c r="G327" s="21">
        <v>5886</v>
      </c>
      <c r="H327" s="134"/>
      <c r="I327" s="134"/>
      <c r="J327" s="134"/>
      <c r="K327" s="134"/>
      <c r="L327" s="134"/>
      <c r="M327" s="31">
        <f>$A$41</f>
        <v>20182</v>
      </c>
      <c r="N327" s="21"/>
      <c r="O327" s="21"/>
      <c r="P327" s="21"/>
      <c r="Q327" s="21"/>
      <c r="R327" s="21"/>
      <c r="S327" s="21"/>
      <c r="T327" s="134"/>
      <c r="U327" s="134"/>
      <c r="V327" s="134"/>
      <c r="W327" s="134"/>
      <c r="X327" s="134"/>
      <c r="Y327" s="31">
        <f>$A$41</f>
        <v>20182</v>
      </c>
      <c r="Z327" s="21"/>
      <c r="AA327" s="21"/>
      <c r="AB327" s="21"/>
      <c r="AC327" s="21"/>
      <c r="AD327" s="21"/>
      <c r="AE327" s="21"/>
      <c r="AF327" s="134"/>
      <c r="AG327" s="134"/>
      <c r="AH327" s="134"/>
      <c r="AI327" s="134"/>
      <c r="AJ327" s="134"/>
      <c r="AK327" s="31">
        <f>$A$41</f>
        <v>20182</v>
      </c>
      <c r="AL327" s="21"/>
      <c r="AM327" s="21"/>
      <c r="AN327" s="21"/>
      <c r="AO327" s="21"/>
      <c r="AP327" s="21"/>
      <c r="AQ327" s="21"/>
      <c r="AR327" s="134"/>
      <c r="AS327" s="134"/>
      <c r="AT327" s="134"/>
      <c r="AU327" s="134"/>
      <c r="AV327" s="134"/>
      <c r="AW327" s="31">
        <f>$A$41</f>
        <v>20182</v>
      </c>
      <c r="AX327" s="21"/>
      <c r="AY327" s="21"/>
      <c r="AZ327" s="21"/>
      <c r="BA327" s="21"/>
      <c r="BB327" s="21"/>
      <c r="BC327" s="21"/>
      <c r="BD327" s="134"/>
      <c r="BE327" s="134"/>
      <c r="BF327" s="134"/>
      <c r="BG327" s="134"/>
      <c r="BH327" s="134"/>
      <c r="BI327" s="31">
        <f>$A$41</f>
        <v>20182</v>
      </c>
      <c r="BJ327" s="21"/>
      <c r="BK327" s="21"/>
      <c r="BL327" s="21"/>
      <c r="BM327" s="21"/>
      <c r="BN327" s="21"/>
      <c r="BO327" s="21"/>
      <c r="BP327" s="134"/>
      <c r="BQ327" s="134"/>
      <c r="BR327" s="134"/>
      <c r="BS327" s="134"/>
      <c r="BT327" s="134"/>
      <c r="BU327" s="31">
        <f>$A$41</f>
        <v>20182</v>
      </c>
      <c r="BV327" s="21"/>
      <c r="BW327" s="21"/>
      <c r="BX327" s="21"/>
      <c r="BY327" s="21"/>
      <c r="BZ327" s="21"/>
      <c r="CA327" s="21"/>
      <c r="CB327" s="134"/>
      <c r="CC327" s="134"/>
      <c r="CD327" s="134"/>
      <c r="CE327" s="134"/>
      <c r="CF327" s="134"/>
      <c r="CG327" s="31">
        <f>$A$41</f>
        <v>20182</v>
      </c>
      <c r="CH327" s="21"/>
      <c r="CI327" s="21"/>
      <c r="CJ327" s="21"/>
      <c r="CK327" s="21"/>
      <c r="CL327" s="21"/>
      <c r="CM327" s="21"/>
      <c r="CN327" s="134"/>
      <c r="CO327" s="134"/>
      <c r="CP327" s="134"/>
      <c r="CQ327" s="134"/>
      <c r="CR327" s="134"/>
      <c r="CS327" s="31">
        <f>$A$41</f>
        <v>20182</v>
      </c>
      <c r="CT327" s="21"/>
      <c r="CU327" s="21"/>
      <c r="CV327" s="21"/>
      <c r="CW327" s="21"/>
      <c r="CX327" s="21"/>
      <c r="CY327" s="21"/>
      <c r="CZ327" s="134"/>
      <c r="DA327" s="134"/>
      <c r="DB327" s="134"/>
      <c r="DC327" s="134"/>
      <c r="DD327" s="134"/>
      <c r="DE327" s="31">
        <f>$A$41</f>
        <v>20182</v>
      </c>
      <c r="DF327" s="21"/>
      <c r="DG327" s="21"/>
      <c r="DH327" s="21"/>
      <c r="DI327" s="21"/>
      <c r="DJ327" s="21"/>
      <c r="DK327" s="21"/>
      <c r="DL327" s="134"/>
      <c r="DM327" s="134"/>
      <c r="DN327" s="134"/>
      <c r="DO327" s="134"/>
      <c r="DP327" s="134"/>
    </row>
    <row r="328" spans="1:120" ht="15" customHeight="1" x14ac:dyDescent="0.25">
      <c r="A328" s="31">
        <f>$A$42</f>
        <v>20192</v>
      </c>
      <c r="B328" s="21"/>
      <c r="C328" s="21">
        <v>5136</v>
      </c>
      <c r="D328" s="21">
        <v>5809</v>
      </c>
      <c r="E328" s="21">
        <v>5964</v>
      </c>
      <c r="F328" s="21">
        <v>6039</v>
      </c>
      <c r="G328" s="134"/>
      <c r="H328" s="134"/>
      <c r="I328" s="134"/>
      <c r="J328" s="134"/>
      <c r="K328" s="134"/>
      <c r="L328" s="134"/>
      <c r="M328" s="31">
        <f>$A$42</f>
        <v>20192</v>
      </c>
      <c r="N328" s="21"/>
      <c r="O328" s="21"/>
      <c r="P328" s="21"/>
      <c r="Q328" s="21"/>
      <c r="R328" s="21"/>
      <c r="S328" s="134"/>
      <c r="T328" s="134"/>
      <c r="U328" s="134"/>
      <c r="V328" s="134"/>
      <c r="W328" s="134"/>
      <c r="X328" s="134"/>
      <c r="Y328" s="31">
        <f>$A$42</f>
        <v>20192</v>
      </c>
      <c r="Z328" s="21"/>
      <c r="AA328" s="21"/>
      <c r="AB328" s="21"/>
      <c r="AC328" s="21"/>
      <c r="AD328" s="21"/>
      <c r="AE328" s="134"/>
      <c r="AF328" s="134"/>
      <c r="AG328" s="134"/>
      <c r="AH328" s="134"/>
      <c r="AI328" s="134"/>
      <c r="AJ328" s="134"/>
      <c r="AK328" s="31">
        <f>$A$42</f>
        <v>20192</v>
      </c>
      <c r="AL328" s="21"/>
      <c r="AM328" s="21"/>
      <c r="AN328" s="21"/>
      <c r="AO328" s="21"/>
      <c r="AP328" s="21"/>
      <c r="AQ328" s="134"/>
      <c r="AR328" s="134"/>
      <c r="AS328" s="134"/>
      <c r="AT328" s="134"/>
      <c r="AU328" s="134"/>
      <c r="AV328" s="134"/>
      <c r="AW328" s="31">
        <f>$A$42</f>
        <v>20192</v>
      </c>
      <c r="AX328" s="21"/>
      <c r="AY328" s="21"/>
      <c r="AZ328" s="21"/>
      <c r="BA328" s="21"/>
      <c r="BB328" s="21"/>
      <c r="BC328" s="134"/>
      <c r="BD328" s="134"/>
      <c r="BE328" s="134"/>
      <c r="BF328" s="134"/>
      <c r="BG328" s="134"/>
      <c r="BH328" s="134"/>
      <c r="BI328" s="31">
        <f>$A$42</f>
        <v>20192</v>
      </c>
      <c r="BJ328" s="21"/>
      <c r="BK328" s="21"/>
      <c r="BL328" s="21"/>
      <c r="BM328" s="21"/>
      <c r="BN328" s="21"/>
      <c r="BO328" s="134"/>
      <c r="BP328" s="134"/>
      <c r="BQ328" s="134"/>
      <c r="BR328" s="134"/>
      <c r="BS328" s="134"/>
      <c r="BT328" s="134"/>
      <c r="BU328" s="31">
        <f>$A$42</f>
        <v>20192</v>
      </c>
      <c r="BV328" s="21"/>
      <c r="BW328" s="21"/>
      <c r="BX328" s="21"/>
      <c r="BY328" s="21"/>
      <c r="BZ328" s="21"/>
      <c r="CA328" s="134"/>
      <c r="CB328" s="134"/>
      <c r="CC328" s="134"/>
      <c r="CD328" s="134"/>
      <c r="CE328" s="134"/>
      <c r="CF328" s="134"/>
      <c r="CG328" s="31">
        <f>$A$42</f>
        <v>20192</v>
      </c>
      <c r="CH328" s="21"/>
      <c r="CI328" s="21"/>
      <c r="CJ328" s="21"/>
      <c r="CK328" s="21"/>
      <c r="CL328" s="21"/>
      <c r="CM328" s="134"/>
      <c r="CN328" s="134"/>
      <c r="CO328" s="134"/>
      <c r="CP328" s="134"/>
      <c r="CQ328" s="134"/>
      <c r="CR328" s="134"/>
      <c r="CS328" s="31">
        <f>$A$42</f>
        <v>20192</v>
      </c>
      <c r="CT328" s="21"/>
      <c r="CU328" s="21"/>
      <c r="CV328" s="21"/>
      <c r="CW328" s="21"/>
      <c r="CX328" s="21"/>
      <c r="CY328" s="134"/>
      <c r="CZ328" s="134"/>
      <c r="DA328" s="134"/>
      <c r="DB328" s="134"/>
      <c r="DC328" s="134"/>
      <c r="DD328" s="134"/>
      <c r="DE328" s="31">
        <f>$A$42</f>
        <v>20192</v>
      </c>
      <c r="DF328" s="21"/>
      <c r="DG328" s="21"/>
      <c r="DH328" s="21"/>
      <c r="DI328" s="21"/>
      <c r="DJ328" s="21"/>
      <c r="DK328" s="134"/>
      <c r="DL328" s="134"/>
      <c r="DM328" s="134"/>
      <c r="DN328" s="134"/>
      <c r="DO328" s="134"/>
      <c r="DP328" s="134"/>
    </row>
    <row r="329" spans="1:120" ht="15" customHeight="1" x14ac:dyDescent="0.25">
      <c r="A329" s="31">
        <f>$A$43</f>
        <v>20202</v>
      </c>
      <c r="B329" s="21"/>
      <c r="C329" s="21">
        <v>4942</v>
      </c>
      <c r="D329" s="21">
        <v>5568</v>
      </c>
      <c r="E329" s="21">
        <v>5751</v>
      </c>
      <c r="F329" s="134"/>
      <c r="G329" s="134"/>
      <c r="H329" s="134"/>
      <c r="I329" s="134"/>
      <c r="J329" s="134"/>
      <c r="K329" s="134"/>
      <c r="L329" s="134"/>
      <c r="M329" s="31">
        <f>$A$43</f>
        <v>20202</v>
      </c>
      <c r="N329" s="21"/>
      <c r="O329" s="21"/>
      <c r="P329" s="21"/>
      <c r="Q329" s="21"/>
      <c r="R329" s="134"/>
      <c r="S329" s="134"/>
      <c r="T329" s="134"/>
      <c r="U329" s="134"/>
      <c r="V329" s="134"/>
      <c r="W329" s="134"/>
      <c r="X329" s="134"/>
      <c r="Y329" s="31">
        <f>$A$43</f>
        <v>20202</v>
      </c>
      <c r="Z329" s="21"/>
      <c r="AA329" s="21"/>
      <c r="AB329" s="21"/>
      <c r="AC329" s="21"/>
      <c r="AD329" s="134"/>
      <c r="AE329" s="134"/>
      <c r="AF329" s="134"/>
      <c r="AG329" s="134"/>
      <c r="AH329" s="134"/>
      <c r="AI329" s="134"/>
      <c r="AJ329" s="134"/>
      <c r="AK329" s="31">
        <f>$A$43</f>
        <v>20202</v>
      </c>
      <c r="AL329" s="21"/>
      <c r="AM329" s="21"/>
      <c r="AN329" s="21"/>
      <c r="AO329" s="21"/>
      <c r="AP329" s="134"/>
      <c r="AQ329" s="134"/>
      <c r="AR329" s="134"/>
      <c r="AS329" s="134"/>
      <c r="AT329" s="134"/>
      <c r="AU329" s="134"/>
      <c r="AV329" s="134"/>
      <c r="AW329" s="31">
        <f>$A$43</f>
        <v>20202</v>
      </c>
      <c r="AX329" s="21"/>
      <c r="AY329" s="21"/>
      <c r="AZ329" s="21"/>
      <c r="BA329" s="21"/>
      <c r="BB329" s="134"/>
      <c r="BC329" s="134"/>
      <c r="BD329" s="134"/>
      <c r="BE329" s="134"/>
      <c r="BF329" s="134"/>
      <c r="BG329" s="134"/>
      <c r="BH329" s="134"/>
      <c r="BI329" s="31">
        <f>$A$43</f>
        <v>20202</v>
      </c>
      <c r="BJ329" s="21"/>
      <c r="BK329" s="21"/>
      <c r="BL329" s="21"/>
      <c r="BM329" s="21"/>
      <c r="BN329" s="134"/>
      <c r="BO329" s="134"/>
      <c r="BP329" s="134"/>
      <c r="BQ329" s="134"/>
      <c r="BR329" s="134"/>
      <c r="BS329" s="134"/>
      <c r="BT329" s="134"/>
      <c r="BU329" s="31">
        <f>$A$43</f>
        <v>20202</v>
      </c>
      <c r="BV329" s="21"/>
      <c r="BW329" s="21"/>
      <c r="BX329" s="21"/>
      <c r="BY329" s="21"/>
      <c r="BZ329" s="134"/>
      <c r="CA329" s="134"/>
      <c r="CB329" s="134"/>
      <c r="CC329" s="134"/>
      <c r="CD329" s="134"/>
      <c r="CE329" s="134"/>
      <c r="CF329" s="134"/>
      <c r="CG329" s="31">
        <f>$A$43</f>
        <v>20202</v>
      </c>
      <c r="CH329" s="21"/>
      <c r="CI329" s="21"/>
      <c r="CJ329" s="21"/>
      <c r="CK329" s="21"/>
      <c r="CL329" s="134"/>
      <c r="CM329" s="134"/>
      <c r="CN329" s="134"/>
      <c r="CO329" s="134"/>
      <c r="CP329" s="134"/>
      <c r="CQ329" s="134"/>
      <c r="CR329" s="134"/>
      <c r="CS329" s="31">
        <f>$A$43</f>
        <v>20202</v>
      </c>
      <c r="CT329" s="21"/>
      <c r="CU329" s="21"/>
      <c r="CV329" s="21"/>
      <c r="CW329" s="21"/>
      <c r="CX329" s="134"/>
      <c r="CY329" s="134"/>
      <c r="CZ329" s="134"/>
      <c r="DA329" s="134"/>
      <c r="DB329" s="134"/>
      <c r="DC329" s="134"/>
      <c r="DD329" s="134"/>
      <c r="DE329" s="31">
        <f>$A$43</f>
        <v>20202</v>
      </c>
      <c r="DF329" s="21"/>
      <c r="DG329" s="21"/>
      <c r="DH329" s="21"/>
      <c r="DI329" s="21"/>
      <c r="DJ329" s="134"/>
      <c r="DK329" s="134"/>
      <c r="DL329" s="134"/>
      <c r="DM329" s="134"/>
      <c r="DN329" s="134"/>
      <c r="DO329" s="134"/>
      <c r="DP329" s="134"/>
    </row>
    <row r="330" spans="1:120" ht="15" customHeight="1" x14ac:dyDescent="0.25">
      <c r="A330" s="31">
        <f>$A$44</f>
        <v>20212</v>
      </c>
      <c r="B330" s="21"/>
      <c r="C330" s="21">
        <v>4459</v>
      </c>
      <c r="D330" s="21">
        <v>5194</v>
      </c>
      <c r="E330" s="134"/>
      <c r="F330" s="134"/>
      <c r="G330" s="134"/>
      <c r="H330" s="134"/>
      <c r="I330" s="134"/>
      <c r="J330" s="134"/>
      <c r="K330" s="134"/>
      <c r="L330" s="134"/>
      <c r="M330" s="31">
        <f>$A$44</f>
        <v>20212</v>
      </c>
      <c r="N330" s="21"/>
      <c r="O330" s="21"/>
      <c r="P330" s="21"/>
      <c r="Q330" s="134"/>
      <c r="R330" s="134"/>
      <c r="S330" s="134"/>
      <c r="T330" s="134"/>
      <c r="U330" s="134"/>
      <c r="V330" s="134"/>
      <c r="W330" s="134"/>
      <c r="X330" s="134"/>
      <c r="Y330" s="31">
        <f>$A$44</f>
        <v>20212</v>
      </c>
      <c r="Z330" s="21"/>
      <c r="AA330" s="21"/>
      <c r="AB330" s="21"/>
      <c r="AC330" s="134"/>
      <c r="AD330" s="134"/>
      <c r="AE330" s="134"/>
      <c r="AF330" s="134"/>
      <c r="AG330" s="134"/>
      <c r="AH330" s="134"/>
      <c r="AI330" s="134"/>
      <c r="AJ330" s="134"/>
      <c r="AK330" s="31">
        <f>$A$44</f>
        <v>20212</v>
      </c>
      <c r="AL330" s="21"/>
      <c r="AM330" s="21"/>
      <c r="AN330" s="21"/>
      <c r="AO330" s="134"/>
      <c r="AP330" s="134"/>
      <c r="AQ330" s="134"/>
      <c r="AR330" s="134"/>
      <c r="AS330" s="134"/>
      <c r="AT330" s="134"/>
      <c r="AU330" s="134"/>
      <c r="AV330" s="134"/>
      <c r="AW330" s="31">
        <f>$A$44</f>
        <v>20212</v>
      </c>
      <c r="AX330" s="21"/>
      <c r="AY330" s="21"/>
      <c r="AZ330" s="21"/>
      <c r="BA330" s="134"/>
      <c r="BB330" s="134"/>
      <c r="BC330" s="134"/>
      <c r="BD330" s="134"/>
      <c r="BE330" s="134"/>
      <c r="BF330" s="134"/>
      <c r="BG330" s="134"/>
      <c r="BH330" s="134"/>
      <c r="BI330" s="31">
        <f>$A$44</f>
        <v>20212</v>
      </c>
      <c r="BJ330" s="21"/>
      <c r="BK330" s="21"/>
      <c r="BL330" s="21"/>
      <c r="BM330" s="134"/>
      <c r="BN330" s="134"/>
      <c r="BO330" s="134"/>
      <c r="BP330" s="134"/>
      <c r="BQ330" s="134"/>
      <c r="BR330" s="134"/>
      <c r="BS330" s="134"/>
      <c r="BT330" s="134"/>
      <c r="BU330" s="31">
        <f>$A$44</f>
        <v>20212</v>
      </c>
      <c r="BV330" s="21"/>
      <c r="BW330" s="21"/>
      <c r="BX330" s="21"/>
      <c r="BY330" s="134"/>
      <c r="BZ330" s="134"/>
      <c r="CA330" s="134"/>
      <c r="CB330" s="134"/>
      <c r="CC330" s="134"/>
      <c r="CD330" s="134"/>
      <c r="CE330" s="134"/>
      <c r="CF330" s="134"/>
      <c r="CG330" s="31">
        <f>$A$44</f>
        <v>20212</v>
      </c>
      <c r="CH330" s="21"/>
      <c r="CI330" s="21"/>
      <c r="CJ330" s="21"/>
      <c r="CK330" s="134"/>
      <c r="CL330" s="134"/>
      <c r="CM330" s="134"/>
      <c r="CN330" s="134"/>
      <c r="CO330" s="134"/>
      <c r="CP330" s="134"/>
      <c r="CQ330" s="134"/>
      <c r="CR330" s="134"/>
      <c r="CS330" s="31">
        <f>$A$44</f>
        <v>20212</v>
      </c>
      <c r="CT330" s="21"/>
      <c r="CU330" s="21"/>
      <c r="CV330" s="21"/>
      <c r="CW330" s="134"/>
      <c r="CX330" s="134"/>
      <c r="CY330" s="134"/>
      <c r="CZ330" s="134"/>
      <c r="DA330" s="134"/>
      <c r="DB330" s="134"/>
      <c r="DC330" s="134"/>
      <c r="DD330" s="134"/>
      <c r="DE330" s="31">
        <f>$A$44</f>
        <v>20212</v>
      </c>
      <c r="DF330" s="21"/>
      <c r="DG330" s="21"/>
      <c r="DH330" s="21"/>
      <c r="DI330" s="134"/>
      <c r="DJ330" s="134"/>
      <c r="DK330" s="134"/>
      <c r="DL330" s="134"/>
      <c r="DM330" s="134"/>
      <c r="DN330" s="134"/>
      <c r="DO330" s="134"/>
      <c r="DP330" s="134"/>
    </row>
    <row r="331" spans="1:120" ht="15" customHeight="1" x14ac:dyDescent="0.25">
      <c r="A331" s="31">
        <f>$A$45</f>
        <v>20222</v>
      </c>
      <c r="B331" s="21"/>
      <c r="C331" s="21">
        <v>4363</v>
      </c>
      <c r="D331" s="134"/>
      <c r="E331" s="134"/>
      <c r="F331" s="134"/>
      <c r="G331" s="134"/>
      <c r="H331" s="134"/>
      <c r="I331" s="134"/>
      <c r="J331" s="134"/>
      <c r="K331" s="134"/>
      <c r="L331" s="134"/>
      <c r="M331" s="31">
        <f>$A$45</f>
        <v>20222</v>
      </c>
      <c r="N331" s="21"/>
      <c r="O331" s="21"/>
      <c r="P331" s="134"/>
      <c r="Q331" s="134"/>
      <c r="R331" s="134"/>
      <c r="S331" s="134"/>
      <c r="T331" s="134"/>
      <c r="U331" s="134"/>
      <c r="V331" s="134"/>
      <c r="W331" s="134"/>
      <c r="X331" s="134"/>
      <c r="Y331" s="31">
        <f>$A$45</f>
        <v>20222</v>
      </c>
      <c r="Z331" s="21"/>
      <c r="AA331" s="21"/>
      <c r="AB331" s="134"/>
      <c r="AC331" s="134"/>
      <c r="AD331" s="134"/>
      <c r="AE331" s="134"/>
      <c r="AF331" s="134"/>
      <c r="AG331" s="134"/>
      <c r="AH331" s="134"/>
      <c r="AI331" s="134"/>
      <c r="AJ331" s="134"/>
      <c r="AK331" s="31">
        <f>$A$45</f>
        <v>20222</v>
      </c>
      <c r="AL331" s="21"/>
      <c r="AM331" s="21"/>
      <c r="AN331" s="134"/>
      <c r="AO331" s="134"/>
      <c r="AP331" s="134"/>
      <c r="AQ331" s="134"/>
      <c r="AR331" s="134"/>
      <c r="AS331" s="134"/>
      <c r="AT331" s="134"/>
      <c r="AU331" s="134"/>
      <c r="AV331" s="134"/>
      <c r="AW331" s="31">
        <f>$A$45</f>
        <v>20222</v>
      </c>
      <c r="AX331" s="21"/>
      <c r="AY331" s="21"/>
      <c r="AZ331" s="134"/>
      <c r="BA331" s="134"/>
      <c r="BB331" s="134"/>
      <c r="BC331" s="134"/>
      <c r="BD331" s="134"/>
      <c r="BE331" s="134"/>
      <c r="BF331" s="134"/>
      <c r="BG331" s="134"/>
      <c r="BH331" s="134"/>
      <c r="BI331" s="31">
        <f>$A$45</f>
        <v>20222</v>
      </c>
      <c r="BJ331" s="21"/>
      <c r="BK331" s="21"/>
      <c r="BL331" s="134"/>
      <c r="BM331" s="134"/>
      <c r="BN331" s="134"/>
      <c r="BO331" s="134"/>
      <c r="BP331" s="134"/>
      <c r="BQ331" s="134"/>
      <c r="BR331" s="134"/>
      <c r="BS331" s="134"/>
      <c r="BT331" s="134"/>
      <c r="BU331" s="31">
        <f>$A$45</f>
        <v>20222</v>
      </c>
      <c r="BV331" s="21"/>
      <c r="BW331" s="21"/>
      <c r="BX331" s="134"/>
      <c r="BY331" s="134"/>
      <c r="BZ331" s="134"/>
      <c r="CA331" s="134"/>
      <c r="CB331" s="134"/>
      <c r="CC331" s="134"/>
      <c r="CD331" s="134"/>
      <c r="CE331" s="134"/>
      <c r="CF331" s="134"/>
      <c r="CG331" s="31">
        <f>$A$45</f>
        <v>20222</v>
      </c>
      <c r="CH331" s="21"/>
      <c r="CI331" s="21"/>
      <c r="CJ331" s="134"/>
      <c r="CK331" s="134"/>
      <c r="CL331" s="134"/>
      <c r="CM331" s="134"/>
      <c r="CN331" s="134"/>
      <c r="CO331" s="134"/>
      <c r="CP331" s="134"/>
      <c r="CQ331" s="134"/>
      <c r="CR331" s="134"/>
      <c r="CS331" s="31">
        <f>$A$45</f>
        <v>20222</v>
      </c>
      <c r="CT331" s="21"/>
      <c r="CU331" s="21"/>
      <c r="CV331" s="134"/>
      <c r="CW331" s="134"/>
      <c r="CX331" s="134"/>
      <c r="CY331" s="134"/>
      <c r="CZ331" s="134"/>
      <c r="DA331" s="134"/>
      <c r="DB331" s="134"/>
      <c r="DC331" s="134"/>
      <c r="DD331" s="134"/>
      <c r="DE331" s="31">
        <f>$A$45</f>
        <v>20222</v>
      </c>
      <c r="DF331" s="21"/>
      <c r="DG331" s="21"/>
      <c r="DH331" s="134"/>
      <c r="DI331" s="134"/>
      <c r="DJ331" s="134"/>
      <c r="DK331" s="134"/>
      <c r="DL331" s="134"/>
      <c r="DM331" s="134"/>
      <c r="DN331" s="134"/>
      <c r="DO331" s="134"/>
      <c r="DP331" s="134"/>
    </row>
    <row r="332" spans="1:120" ht="15" customHeight="1" x14ac:dyDescent="0.25"/>
    <row r="333" spans="1:120" x14ac:dyDescent="0.25">
      <c r="A333" s="130"/>
      <c r="B333" s="131"/>
      <c r="C333" s="131" t="s">
        <v>36</v>
      </c>
      <c r="D333" s="132"/>
      <c r="E333" s="132"/>
      <c r="F333" s="132"/>
      <c r="G333" s="132"/>
      <c r="H333" s="132"/>
      <c r="I333" s="132"/>
      <c r="J333" s="132"/>
      <c r="K333" s="132"/>
      <c r="L333" s="132"/>
      <c r="M333" s="130"/>
      <c r="N333" s="131"/>
      <c r="O333" s="131" t="s">
        <v>36</v>
      </c>
      <c r="P333" s="132"/>
      <c r="Q333" s="132"/>
      <c r="R333" s="132"/>
      <c r="S333" s="132"/>
      <c r="T333" s="132"/>
      <c r="U333" s="132"/>
      <c r="V333" s="132"/>
      <c r="W333" s="132"/>
      <c r="X333" s="132"/>
      <c r="Y333" s="130"/>
      <c r="Z333" s="131"/>
      <c r="AA333" s="131" t="s">
        <v>36</v>
      </c>
      <c r="AB333" s="132"/>
      <c r="AC333" s="132"/>
      <c r="AD333" s="132"/>
      <c r="AE333" s="132"/>
      <c r="AF333" s="132"/>
      <c r="AG333" s="132"/>
      <c r="AH333" s="132"/>
      <c r="AI333" s="132"/>
      <c r="AJ333" s="132"/>
      <c r="AK333" s="130"/>
      <c r="AL333" s="131"/>
      <c r="AM333" s="131" t="s">
        <v>36</v>
      </c>
      <c r="AN333" s="132"/>
      <c r="AO333" s="132"/>
      <c r="AP333" s="132"/>
      <c r="AQ333" s="132"/>
      <c r="AR333" s="132"/>
      <c r="AS333" s="132"/>
      <c r="AT333" s="132"/>
      <c r="AU333" s="132"/>
      <c r="AV333" s="132"/>
      <c r="AW333" s="130"/>
      <c r="AX333" s="131"/>
      <c r="AY333" s="131" t="s">
        <v>36</v>
      </c>
      <c r="AZ333" s="132"/>
      <c r="BA333" s="132"/>
      <c r="BB333" s="132"/>
      <c r="BC333" s="132"/>
      <c r="BD333" s="132"/>
      <c r="BE333" s="132"/>
      <c r="BF333" s="132"/>
      <c r="BG333" s="132"/>
      <c r="BH333" s="132"/>
      <c r="BI333" s="130"/>
      <c r="BJ333" s="131"/>
      <c r="BK333" s="131" t="s">
        <v>36</v>
      </c>
      <c r="BL333" s="132"/>
      <c r="BM333" s="132"/>
      <c r="BN333" s="132"/>
      <c r="BO333" s="132"/>
      <c r="BP333" s="132"/>
      <c r="BQ333" s="132"/>
      <c r="BR333" s="132"/>
      <c r="BS333" s="132"/>
      <c r="BT333" s="132"/>
      <c r="BU333" s="130"/>
      <c r="BV333" s="131"/>
      <c r="BW333" s="131" t="s">
        <v>36</v>
      </c>
      <c r="BX333" s="132"/>
      <c r="BY333" s="132"/>
      <c r="BZ333" s="132"/>
      <c r="CA333" s="132"/>
      <c r="CB333" s="132"/>
      <c r="CC333" s="132"/>
      <c r="CD333" s="132"/>
      <c r="CE333" s="132"/>
      <c r="CF333" s="132"/>
      <c r="CG333" s="130"/>
      <c r="CH333" s="131"/>
      <c r="CI333" s="131" t="s">
        <v>36</v>
      </c>
      <c r="CJ333" s="132"/>
      <c r="CK333" s="132"/>
      <c r="CL333" s="132"/>
      <c r="CM333" s="132"/>
      <c r="CN333" s="132"/>
      <c r="CO333" s="132"/>
      <c r="CP333" s="132"/>
      <c r="CQ333" s="132"/>
      <c r="CR333" s="132"/>
      <c r="CS333" s="130"/>
      <c r="CT333" s="131"/>
      <c r="CU333" s="131" t="s">
        <v>36</v>
      </c>
      <c r="CV333" s="132"/>
      <c r="CW333" s="132"/>
      <c r="CX333" s="132"/>
      <c r="CY333" s="132"/>
      <c r="CZ333" s="132"/>
      <c r="DA333" s="132"/>
      <c r="DB333" s="132"/>
      <c r="DC333" s="132"/>
      <c r="DD333" s="132"/>
      <c r="DE333" s="130"/>
      <c r="DF333" s="131"/>
      <c r="DG333" s="131" t="s">
        <v>36</v>
      </c>
      <c r="DH333" s="132"/>
      <c r="DI333" s="132"/>
      <c r="DJ333" s="132"/>
      <c r="DK333" s="132"/>
      <c r="DL333" s="132"/>
      <c r="DM333" s="132"/>
      <c r="DN333" s="132"/>
      <c r="DO333" s="132"/>
      <c r="DP333" s="132"/>
    </row>
    <row r="334" spans="1:120" ht="30" x14ac:dyDescent="0.25">
      <c r="A334" s="92" t="str">
        <f>$A$35</f>
        <v>Fiscal Accident Year Data Ending</v>
      </c>
      <c r="B334" s="92"/>
      <c r="C334" s="100" t="str">
        <f>$C$35&amp;"-"&amp;$D$35</f>
        <v>12-24</v>
      </c>
      <c r="D334" s="100" t="str">
        <f>$D$35&amp;"-"&amp;$E$35</f>
        <v>24-36</v>
      </c>
      <c r="E334" s="100" t="str">
        <f>$E$35&amp;"-"&amp;$F$35</f>
        <v>36-48</v>
      </c>
      <c r="F334" s="100" t="str">
        <f>$F$35&amp;"-"&amp;$G$35</f>
        <v>48-60</v>
      </c>
      <c r="G334" s="100" t="str">
        <f>$G$35&amp;"-"&amp;$H$35</f>
        <v>60-72</v>
      </c>
      <c r="H334" s="100" t="str">
        <f>$H$35&amp;"-"&amp;$I$35</f>
        <v>72-84</v>
      </c>
      <c r="I334" s="100" t="str">
        <f>$I$35&amp;"-"&amp;$J$35</f>
        <v>84-96</v>
      </c>
      <c r="J334" s="100" t="str">
        <f>$J$35&amp;"-"&amp;$K$35</f>
        <v>96-108</v>
      </c>
      <c r="K334" s="100" t="str">
        <f>$K$35&amp;"-"&amp;$L$35</f>
        <v>108-120</v>
      </c>
      <c r="L334" s="100" t="str">
        <f>$L$35&amp;"-Ult"</f>
        <v>120-Ult</v>
      </c>
      <c r="M334" s="92" t="str">
        <f>$A$35</f>
        <v>Fiscal Accident Year Data Ending</v>
      </c>
      <c r="N334" s="92"/>
      <c r="O334" s="100" t="str">
        <f>$C$35&amp;"-"&amp;$D$35</f>
        <v>12-24</v>
      </c>
      <c r="P334" s="100" t="str">
        <f>$D$35&amp;"-"&amp;$E$35</f>
        <v>24-36</v>
      </c>
      <c r="Q334" s="100" t="str">
        <f>$E$35&amp;"-"&amp;$F$35</f>
        <v>36-48</v>
      </c>
      <c r="R334" s="100" t="str">
        <f>$F$35&amp;"-"&amp;$G$35</f>
        <v>48-60</v>
      </c>
      <c r="S334" s="100" t="str">
        <f>$G$35&amp;"-"&amp;$H$35</f>
        <v>60-72</v>
      </c>
      <c r="T334" s="100" t="str">
        <f>$H$35&amp;"-"&amp;$I$35</f>
        <v>72-84</v>
      </c>
      <c r="U334" s="100" t="str">
        <f>$I$35&amp;"-"&amp;$J$35</f>
        <v>84-96</v>
      </c>
      <c r="V334" s="100" t="str">
        <f>$J$35&amp;"-"&amp;$K$35</f>
        <v>96-108</v>
      </c>
      <c r="W334" s="100" t="str">
        <f>$K$35&amp;"-"&amp;$L$35</f>
        <v>108-120</v>
      </c>
      <c r="X334" s="100" t="str">
        <f>$L$35&amp;"-Ult"</f>
        <v>120-Ult</v>
      </c>
      <c r="Y334" s="92" t="str">
        <f>$A$35</f>
        <v>Fiscal Accident Year Data Ending</v>
      </c>
      <c r="Z334" s="92"/>
      <c r="AA334" s="100" t="str">
        <f>$C$35&amp;"-"&amp;$D$35</f>
        <v>12-24</v>
      </c>
      <c r="AB334" s="100" t="str">
        <f>$D$35&amp;"-"&amp;$E$35</f>
        <v>24-36</v>
      </c>
      <c r="AC334" s="100" t="str">
        <f>$E$35&amp;"-"&amp;$F$35</f>
        <v>36-48</v>
      </c>
      <c r="AD334" s="100" t="str">
        <f>$F$35&amp;"-"&amp;$G$35</f>
        <v>48-60</v>
      </c>
      <c r="AE334" s="100" t="str">
        <f>$G$35&amp;"-"&amp;$H$35</f>
        <v>60-72</v>
      </c>
      <c r="AF334" s="100" t="str">
        <f>$H$35&amp;"-"&amp;$I$35</f>
        <v>72-84</v>
      </c>
      <c r="AG334" s="100" t="str">
        <f>$I$35&amp;"-"&amp;$J$35</f>
        <v>84-96</v>
      </c>
      <c r="AH334" s="100" t="str">
        <f>$J$35&amp;"-"&amp;$K$35</f>
        <v>96-108</v>
      </c>
      <c r="AI334" s="100" t="str">
        <f>$K$35&amp;"-"&amp;$L$35</f>
        <v>108-120</v>
      </c>
      <c r="AJ334" s="100" t="str">
        <f>$L$35&amp;"-Ult"</f>
        <v>120-Ult</v>
      </c>
      <c r="AK334" s="92" t="str">
        <f>$A$35</f>
        <v>Fiscal Accident Year Data Ending</v>
      </c>
      <c r="AL334" s="92"/>
      <c r="AM334" s="100" t="str">
        <f>$C$35&amp;"-"&amp;$D$35</f>
        <v>12-24</v>
      </c>
      <c r="AN334" s="100" t="str">
        <f>$D$35&amp;"-"&amp;$E$35</f>
        <v>24-36</v>
      </c>
      <c r="AO334" s="100" t="str">
        <f>$E$35&amp;"-"&amp;$F$35</f>
        <v>36-48</v>
      </c>
      <c r="AP334" s="100" t="str">
        <f>$F$35&amp;"-"&amp;$G$35</f>
        <v>48-60</v>
      </c>
      <c r="AQ334" s="100" t="str">
        <f>$G$35&amp;"-"&amp;$H$35</f>
        <v>60-72</v>
      </c>
      <c r="AR334" s="100" t="str">
        <f>$H$35&amp;"-"&amp;$I$35</f>
        <v>72-84</v>
      </c>
      <c r="AS334" s="100" t="str">
        <f>$I$35&amp;"-"&amp;$J$35</f>
        <v>84-96</v>
      </c>
      <c r="AT334" s="100" t="str">
        <f>$J$35&amp;"-"&amp;$K$35</f>
        <v>96-108</v>
      </c>
      <c r="AU334" s="100" t="str">
        <f>$K$35&amp;"-"&amp;$L$35</f>
        <v>108-120</v>
      </c>
      <c r="AV334" s="100" t="str">
        <f>$L$35&amp;"-Ult"</f>
        <v>120-Ult</v>
      </c>
      <c r="AW334" s="92" t="str">
        <f>$A$35</f>
        <v>Fiscal Accident Year Data Ending</v>
      </c>
      <c r="AX334" s="92"/>
      <c r="AY334" s="100" t="str">
        <f>$C$35&amp;"-"&amp;$D$35</f>
        <v>12-24</v>
      </c>
      <c r="AZ334" s="100" t="str">
        <f>$D$35&amp;"-"&amp;$E$35</f>
        <v>24-36</v>
      </c>
      <c r="BA334" s="100" t="str">
        <f>$E$35&amp;"-"&amp;$F$35</f>
        <v>36-48</v>
      </c>
      <c r="BB334" s="100" t="str">
        <f>$F$35&amp;"-"&amp;$G$35</f>
        <v>48-60</v>
      </c>
      <c r="BC334" s="100" t="str">
        <f>$G$35&amp;"-"&amp;$H$35</f>
        <v>60-72</v>
      </c>
      <c r="BD334" s="100" t="str">
        <f>$H$35&amp;"-"&amp;$I$35</f>
        <v>72-84</v>
      </c>
      <c r="BE334" s="100" t="str">
        <f>$I$35&amp;"-"&amp;$J$35</f>
        <v>84-96</v>
      </c>
      <c r="BF334" s="100" t="str">
        <f>$J$35&amp;"-"&amp;$K$35</f>
        <v>96-108</v>
      </c>
      <c r="BG334" s="100" t="str">
        <f>$K$35&amp;"-"&amp;$L$35</f>
        <v>108-120</v>
      </c>
      <c r="BH334" s="100" t="str">
        <f>$L$35&amp;"-Ult"</f>
        <v>120-Ult</v>
      </c>
      <c r="BI334" s="92" t="str">
        <f>$A$35</f>
        <v>Fiscal Accident Year Data Ending</v>
      </c>
      <c r="BJ334" s="92"/>
      <c r="BK334" s="100" t="str">
        <f>$C$35&amp;"-"&amp;$D$35</f>
        <v>12-24</v>
      </c>
      <c r="BL334" s="100" t="str">
        <f>$D$35&amp;"-"&amp;$E$35</f>
        <v>24-36</v>
      </c>
      <c r="BM334" s="100" t="str">
        <f>$E$35&amp;"-"&amp;$F$35</f>
        <v>36-48</v>
      </c>
      <c r="BN334" s="100" t="str">
        <f>$F$35&amp;"-"&amp;$G$35</f>
        <v>48-60</v>
      </c>
      <c r="BO334" s="100" t="str">
        <f>$G$35&amp;"-"&amp;$H$35</f>
        <v>60-72</v>
      </c>
      <c r="BP334" s="100" t="str">
        <f>$H$35&amp;"-"&amp;$I$35</f>
        <v>72-84</v>
      </c>
      <c r="BQ334" s="100" t="str">
        <f>$I$35&amp;"-"&amp;$J$35</f>
        <v>84-96</v>
      </c>
      <c r="BR334" s="100" t="str">
        <f>$J$35&amp;"-"&amp;$K$35</f>
        <v>96-108</v>
      </c>
      <c r="BS334" s="100" t="str">
        <f>$K$35&amp;"-"&amp;$L$35</f>
        <v>108-120</v>
      </c>
      <c r="BT334" s="100" t="str">
        <f>$L$35&amp;"-Ult"</f>
        <v>120-Ult</v>
      </c>
      <c r="BU334" s="92" t="str">
        <f>$A$35</f>
        <v>Fiscal Accident Year Data Ending</v>
      </c>
      <c r="BV334" s="92"/>
      <c r="BW334" s="100" t="str">
        <f>$C$35&amp;"-"&amp;$D$35</f>
        <v>12-24</v>
      </c>
      <c r="BX334" s="100" t="str">
        <f>$D$35&amp;"-"&amp;$E$35</f>
        <v>24-36</v>
      </c>
      <c r="BY334" s="100" t="str">
        <f>$E$35&amp;"-"&amp;$F$35</f>
        <v>36-48</v>
      </c>
      <c r="BZ334" s="100" t="str">
        <f>$F$35&amp;"-"&amp;$G$35</f>
        <v>48-60</v>
      </c>
      <c r="CA334" s="100" t="str">
        <f>$G$35&amp;"-"&amp;$H$35</f>
        <v>60-72</v>
      </c>
      <c r="CB334" s="100" t="str">
        <f>$H$35&amp;"-"&amp;$I$35</f>
        <v>72-84</v>
      </c>
      <c r="CC334" s="100" t="str">
        <f>$I$35&amp;"-"&amp;$J$35</f>
        <v>84-96</v>
      </c>
      <c r="CD334" s="100" t="str">
        <f>$J$35&amp;"-"&amp;$K$35</f>
        <v>96-108</v>
      </c>
      <c r="CE334" s="100" t="str">
        <f>$K$35&amp;"-"&amp;$L$35</f>
        <v>108-120</v>
      </c>
      <c r="CF334" s="100" t="str">
        <f>$L$35&amp;"-Ult"</f>
        <v>120-Ult</v>
      </c>
      <c r="CG334" s="92" t="str">
        <f>$A$35</f>
        <v>Fiscal Accident Year Data Ending</v>
      </c>
      <c r="CH334" s="92"/>
      <c r="CI334" s="100" t="str">
        <f>$C$35&amp;"-"&amp;$D$35</f>
        <v>12-24</v>
      </c>
      <c r="CJ334" s="100" t="str">
        <f>$D$35&amp;"-"&amp;$E$35</f>
        <v>24-36</v>
      </c>
      <c r="CK334" s="100" t="str">
        <f>$E$35&amp;"-"&amp;$F$35</f>
        <v>36-48</v>
      </c>
      <c r="CL334" s="100" t="str">
        <f>$F$35&amp;"-"&amp;$G$35</f>
        <v>48-60</v>
      </c>
      <c r="CM334" s="100" t="str">
        <f>$G$35&amp;"-"&amp;$H$35</f>
        <v>60-72</v>
      </c>
      <c r="CN334" s="100" t="str">
        <f>$H$35&amp;"-"&amp;$I$35</f>
        <v>72-84</v>
      </c>
      <c r="CO334" s="100" t="str">
        <f>$I$35&amp;"-"&amp;$J$35</f>
        <v>84-96</v>
      </c>
      <c r="CP334" s="100" t="str">
        <f>$J$35&amp;"-"&amp;$K$35</f>
        <v>96-108</v>
      </c>
      <c r="CQ334" s="100" t="str">
        <f>$K$35&amp;"-"&amp;$L$35</f>
        <v>108-120</v>
      </c>
      <c r="CR334" s="100" t="str">
        <f>$L$35&amp;"-Ult"</f>
        <v>120-Ult</v>
      </c>
      <c r="CS334" s="92" t="str">
        <f>$A$35</f>
        <v>Fiscal Accident Year Data Ending</v>
      </c>
      <c r="CT334" s="92"/>
      <c r="CU334" s="100" t="str">
        <f>$C$35&amp;"-"&amp;$D$35</f>
        <v>12-24</v>
      </c>
      <c r="CV334" s="100" t="str">
        <f>$D$35&amp;"-"&amp;$E$35</f>
        <v>24-36</v>
      </c>
      <c r="CW334" s="100" t="str">
        <f>$E$35&amp;"-"&amp;$F$35</f>
        <v>36-48</v>
      </c>
      <c r="CX334" s="100" t="str">
        <f>$F$35&amp;"-"&amp;$G$35</f>
        <v>48-60</v>
      </c>
      <c r="CY334" s="100" t="str">
        <f>$G$35&amp;"-"&amp;$H$35</f>
        <v>60-72</v>
      </c>
      <c r="CZ334" s="100" t="str">
        <f>$H$35&amp;"-"&amp;$I$35</f>
        <v>72-84</v>
      </c>
      <c r="DA334" s="100" t="str">
        <f>$I$35&amp;"-"&amp;$J$35</f>
        <v>84-96</v>
      </c>
      <c r="DB334" s="100" t="str">
        <f>$J$35&amp;"-"&amp;$K$35</f>
        <v>96-108</v>
      </c>
      <c r="DC334" s="100" t="str">
        <f>$K$35&amp;"-"&amp;$L$35</f>
        <v>108-120</v>
      </c>
      <c r="DD334" s="100" t="str">
        <f>$L$35&amp;"-Ult"</f>
        <v>120-Ult</v>
      </c>
      <c r="DE334" s="92" t="str">
        <f>$A$35</f>
        <v>Fiscal Accident Year Data Ending</v>
      </c>
      <c r="DF334" s="92"/>
      <c r="DG334" s="100" t="str">
        <f>$C$35&amp;"-"&amp;$D$35</f>
        <v>12-24</v>
      </c>
      <c r="DH334" s="100" t="str">
        <f>$D$35&amp;"-"&amp;$E$35</f>
        <v>24-36</v>
      </c>
      <c r="DI334" s="100" t="str">
        <f>$E$35&amp;"-"&amp;$F$35</f>
        <v>36-48</v>
      </c>
      <c r="DJ334" s="100" t="str">
        <f>$F$35&amp;"-"&amp;$G$35</f>
        <v>48-60</v>
      </c>
      <c r="DK334" s="100" t="str">
        <f>$G$35&amp;"-"&amp;$H$35</f>
        <v>60-72</v>
      </c>
      <c r="DL334" s="100" t="str">
        <f>$H$35&amp;"-"&amp;$I$35</f>
        <v>72-84</v>
      </c>
      <c r="DM334" s="100" t="str">
        <f>$I$35&amp;"-"&amp;$J$35</f>
        <v>84-96</v>
      </c>
      <c r="DN334" s="100" t="str">
        <f>$J$35&amp;"-"&amp;$K$35</f>
        <v>96-108</v>
      </c>
      <c r="DO334" s="100" t="str">
        <f>$K$35&amp;"-"&amp;$L$35</f>
        <v>108-120</v>
      </c>
      <c r="DP334" s="100" t="str">
        <f>$L$35&amp;"-Ult"</f>
        <v>120-Ult</v>
      </c>
    </row>
    <row r="335" spans="1:120" x14ac:dyDescent="0.25">
      <c r="A335" s="91">
        <f>$A$36</f>
        <v>20132</v>
      </c>
      <c r="B335" s="105"/>
      <c r="C335" s="90">
        <f>IFERROR(D322/C322,"")</f>
        <v>1.1281820904462414</v>
      </c>
      <c r="D335" s="90">
        <f t="shared" ref="D335:K335" si="589">IFERROR(E322/D322,"")</f>
        <v>1.0138040881337935</v>
      </c>
      <c r="E335" s="90">
        <f t="shared" si="589"/>
        <v>1.0037968054464519</v>
      </c>
      <c r="F335" s="90">
        <f t="shared" si="589"/>
        <v>1.0022172949002217</v>
      </c>
      <c r="G335" s="90">
        <f t="shared" si="589"/>
        <v>1.0016918271733473</v>
      </c>
      <c r="H335" s="90">
        <f t="shared" si="589"/>
        <v>1.001039365986748</v>
      </c>
      <c r="I335" s="90">
        <f t="shared" si="589"/>
        <v>1.0011680726800778</v>
      </c>
      <c r="J335" s="90">
        <f t="shared" si="589"/>
        <v>1.0011667098781436</v>
      </c>
      <c r="K335" s="90">
        <f t="shared" si="589"/>
        <v>1.0005179334455523</v>
      </c>
      <c r="L335" s="22"/>
      <c r="M335" s="91">
        <f>$A$36</f>
        <v>20132</v>
      </c>
      <c r="N335" s="105"/>
      <c r="O335" s="90" t="str">
        <f>IFERROR(P322/O322,"")</f>
        <v/>
      </c>
      <c r="P335" s="90" t="str">
        <f t="shared" ref="P335:W335" si="590">IFERROR(Q322/P322,"")</f>
        <v/>
      </c>
      <c r="Q335" s="90" t="str">
        <f t="shared" si="590"/>
        <v/>
      </c>
      <c r="R335" s="90" t="str">
        <f t="shared" si="590"/>
        <v/>
      </c>
      <c r="S335" s="90" t="str">
        <f t="shared" si="590"/>
        <v/>
      </c>
      <c r="T335" s="90" t="str">
        <f t="shared" si="590"/>
        <v/>
      </c>
      <c r="U335" s="90" t="str">
        <f t="shared" si="590"/>
        <v/>
      </c>
      <c r="V335" s="90" t="str">
        <f t="shared" si="590"/>
        <v/>
      </c>
      <c r="W335" s="90" t="str">
        <f t="shared" si="590"/>
        <v/>
      </c>
      <c r="X335" s="22"/>
      <c r="Y335" s="91">
        <f>$A$36</f>
        <v>20132</v>
      </c>
      <c r="Z335" s="105"/>
      <c r="AA335" s="90" t="str">
        <f>IFERROR(AB322/AA322,"")</f>
        <v/>
      </c>
      <c r="AB335" s="90" t="str">
        <f t="shared" ref="AB335:AI335" si="591">IFERROR(AC322/AB322,"")</f>
        <v/>
      </c>
      <c r="AC335" s="90" t="str">
        <f t="shared" si="591"/>
        <v/>
      </c>
      <c r="AD335" s="90" t="str">
        <f t="shared" si="591"/>
        <v/>
      </c>
      <c r="AE335" s="90" t="str">
        <f t="shared" si="591"/>
        <v/>
      </c>
      <c r="AF335" s="90" t="str">
        <f t="shared" si="591"/>
        <v/>
      </c>
      <c r="AG335" s="90" t="str">
        <f t="shared" si="591"/>
        <v/>
      </c>
      <c r="AH335" s="90" t="str">
        <f t="shared" si="591"/>
        <v/>
      </c>
      <c r="AI335" s="90" t="str">
        <f t="shared" si="591"/>
        <v/>
      </c>
      <c r="AJ335" s="22"/>
      <c r="AK335" s="91">
        <f>$A$36</f>
        <v>20132</v>
      </c>
      <c r="AL335" s="105"/>
      <c r="AM335" s="90" t="str">
        <f>IFERROR(AN322/AM322,"")</f>
        <v/>
      </c>
      <c r="AN335" s="90" t="str">
        <f t="shared" ref="AN335:AU335" si="592">IFERROR(AO322/AN322,"")</f>
        <v/>
      </c>
      <c r="AO335" s="90" t="str">
        <f t="shared" si="592"/>
        <v/>
      </c>
      <c r="AP335" s="90" t="str">
        <f t="shared" si="592"/>
        <v/>
      </c>
      <c r="AQ335" s="90" t="str">
        <f t="shared" si="592"/>
        <v/>
      </c>
      <c r="AR335" s="90" t="str">
        <f t="shared" si="592"/>
        <v/>
      </c>
      <c r="AS335" s="90" t="str">
        <f t="shared" si="592"/>
        <v/>
      </c>
      <c r="AT335" s="90" t="str">
        <f t="shared" si="592"/>
        <v/>
      </c>
      <c r="AU335" s="90" t="str">
        <f t="shared" si="592"/>
        <v/>
      </c>
      <c r="AV335" s="22"/>
      <c r="AW335" s="91">
        <f>$A$36</f>
        <v>20132</v>
      </c>
      <c r="AX335" s="105"/>
      <c r="AY335" s="90" t="str">
        <f>IFERROR(AZ322/AY322,"")</f>
        <v/>
      </c>
      <c r="AZ335" s="90" t="str">
        <f t="shared" ref="AZ335:BG335" si="593">IFERROR(BA322/AZ322,"")</f>
        <v/>
      </c>
      <c r="BA335" s="90" t="str">
        <f t="shared" si="593"/>
        <v/>
      </c>
      <c r="BB335" s="90" t="str">
        <f t="shared" si="593"/>
        <v/>
      </c>
      <c r="BC335" s="90" t="str">
        <f t="shared" si="593"/>
        <v/>
      </c>
      <c r="BD335" s="90" t="str">
        <f t="shared" si="593"/>
        <v/>
      </c>
      <c r="BE335" s="90" t="str">
        <f t="shared" si="593"/>
        <v/>
      </c>
      <c r="BF335" s="90" t="str">
        <f t="shared" si="593"/>
        <v/>
      </c>
      <c r="BG335" s="90" t="str">
        <f t="shared" si="593"/>
        <v/>
      </c>
      <c r="BH335" s="22"/>
      <c r="BI335" s="91">
        <f>$A$36</f>
        <v>20132</v>
      </c>
      <c r="BJ335" s="105"/>
      <c r="BK335" s="90" t="str">
        <f>IFERROR(BL322/BK322,"")</f>
        <v/>
      </c>
      <c r="BL335" s="90" t="str">
        <f t="shared" ref="BL335:BS335" si="594">IFERROR(BM322/BL322,"")</f>
        <v/>
      </c>
      <c r="BM335" s="90" t="str">
        <f t="shared" si="594"/>
        <v/>
      </c>
      <c r="BN335" s="90" t="str">
        <f t="shared" si="594"/>
        <v/>
      </c>
      <c r="BO335" s="90" t="str">
        <f t="shared" si="594"/>
        <v/>
      </c>
      <c r="BP335" s="90" t="str">
        <f t="shared" si="594"/>
        <v/>
      </c>
      <c r="BQ335" s="90" t="str">
        <f t="shared" si="594"/>
        <v/>
      </c>
      <c r="BR335" s="90" t="str">
        <f t="shared" si="594"/>
        <v/>
      </c>
      <c r="BS335" s="90" t="str">
        <f t="shared" si="594"/>
        <v/>
      </c>
      <c r="BT335" s="22"/>
      <c r="BU335" s="91">
        <f>$A$36</f>
        <v>20132</v>
      </c>
      <c r="BV335" s="105"/>
      <c r="BW335" s="90" t="str">
        <f>IFERROR(BX322/BW322,"")</f>
        <v/>
      </c>
      <c r="BX335" s="90" t="str">
        <f t="shared" ref="BX335:CE335" si="595">IFERROR(BY322/BX322,"")</f>
        <v/>
      </c>
      <c r="BY335" s="90" t="str">
        <f t="shared" si="595"/>
        <v/>
      </c>
      <c r="BZ335" s="90" t="str">
        <f t="shared" si="595"/>
        <v/>
      </c>
      <c r="CA335" s="90" t="str">
        <f t="shared" si="595"/>
        <v/>
      </c>
      <c r="CB335" s="90" t="str">
        <f t="shared" si="595"/>
        <v/>
      </c>
      <c r="CC335" s="90" t="str">
        <f t="shared" si="595"/>
        <v/>
      </c>
      <c r="CD335" s="90" t="str">
        <f t="shared" si="595"/>
        <v/>
      </c>
      <c r="CE335" s="90" t="str">
        <f t="shared" si="595"/>
        <v/>
      </c>
      <c r="CF335" s="22"/>
      <c r="CG335" s="91">
        <f>$A$36</f>
        <v>20132</v>
      </c>
      <c r="CH335" s="105"/>
      <c r="CI335" s="90" t="str">
        <f>IFERROR(CJ322/CI322,"")</f>
        <v/>
      </c>
      <c r="CJ335" s="90" t="str">
        <f t="shared" ref="CJ335:CQ335" si="596">IFERROR(CK322/CJ322,"")</f>
        <v/>
      </c>
      <c r="CK335" s="90" t="str">
        <f t="shared" si="596"/>
        <v/>
      </c>
      <c r="CL335" s="90" t="str">
        <f t="shared" si="596"/>
        <v/>
      </c>
      <c r="CM335" s="90" t="str">
        <f t="shared" si="596"/>
        <v/>
      </c>
      <c r="CN335" s="90" t="str">
        <f t="shared" si="596"/>
        <v/>
      </c>
      <c r="CO335" s="90" t="str">
        <f t="shared" si="596"/>
        <v/>
      </c>
      <c r="CP335" s="90" t="str">
        <f t="shared" si="596"/>
        <v/>
      </c>
      <c r="CQ335" s="90" t="str">
        <f t="shared" si="596"/>
        <v/>
      </c>
      <c r="CR335" s="22"/>
      <c r="CS335" s="91">
        <f>$A$36</f>
        <v>20132</v>
      </c>
      <c r="CT335" s="105"/>
      <c r="CU335" s="90" t="str">
        <f>IFERROR(CV322/CU322,"")</f>
        <v/>
      </c>
      <c r="CV335" s="90" t="str">
        <f t="shared" ref="CV335:DC335" si="597">IFERROR(CW322/CV322,"")</f>
        <v/>
      </c>
      <c r="CW335" s="90" t="str">
        <f t="shared" si="597"/>
        <v/>
      </c>
      <c r="CX335" s="90" t="str">
        <f t="shared" si="597"/>
        <v/>
      </c>
      <c r="CY335" s="90" t="str">
        <f t="shared" si="597"/>
        <v/>
      </c>
      <c r="CZ335" s="90" t="str">
        <f t="shared" si="597"/>
        <v/>
      </c>
      <c r="DA335" s="90" t="str">
        <f t="shared" si="597"/>
        <v/>
      </c>
      <c r="DB335" s="90" t="str">
        <f t="shared" si="597"/>
        <v/>
      </c>
      <c r="DC335" s="90" t="str">
        <f t="shared" si="597"/>
        <v/>
      </c>
      <c r="DD335" s="22"/>
      <c r="DE335" s="91">
        <f>$A$36</f>
        <v>20132</v>
      </c>
      <c r="DF335" s="105"/>
      <c r="DG335" s="90" t="str">
        <f>IFERROR(DH322/DG322,"")</f>
        <v/>
      </c>
      <c r="DH335" s="90" t="str">
        <f t="shared" ref="DH335:DO335" si="598">IFERROR(DI322/DH322,"")</f>
        <v/>
      </c>
      <c r="DI335" s="90" t="str">
        <f t="shared" si="598"/>
        <v/>
      </c>
      <c r="DJ335" s="90" t="str">
        <f t="shared" si="598"/>
        <v/>
      </c>
      <c r="DK335" s="90" t="str">
        <f t="shared" si="598"/>
        <v/>
      </c>
      <c r="DL335" s="90" t="str">
        <f t="shared" si="598"/>
        <v/>
      </c>
      <c r="DM335" s="90" t="str">
        <f t="shared" si="598"/>
        <v/>
      </c>
      <c r="DN335" s="90" t="str">
        <f t="shared" si="598"/>
        <v/>
      </c>
      <c r="DO335" s="90" t="str">
        <f t="shared" si="598"/>
        <v/>
      </c>
      <c r="DP335" s="22"/>
    </row>
    <row r="336" spans="1:120" x14ac:dyDescent="0.25">
      <c r="A336" s="91">
        <f>$A$37</f>
        <v>20142</v>
      </c>
      <c r="B336" s="105"/>
      <c r="C336" s="90">
        <f t="shared" ref="C336:J343" si="599">IFERROR(D323/C323,"")</f>
        <v>1.1030895334174022</v>
      </c>
      <c r="D336" s="90">
        <f t="shared" si="599"/>
        <v>1.0147184909974278</v>
      </c>
      <c r="E336" s="90">
        <f t="shared" si="599"/>
        <v>1.0066187860864666</v>
      </c>
      <c r="F336" s="90">
        <f t="shared" si="599"/>
        <v>1.0033575825405707</v>
      </c>
      <c r="G336" s="90">
        <f t="shared" si="599"/>
        <v>1.001254880089236</v>
      </c>
      <c r="H336" s="90">
        <f t="shared" si="599"/>
        <v>1.0019495891937056</v>
      </c>
      <c r="I336" s="90">
        <f t="shared" si="599"/>
        <v>1.0013898540653232</v>
      </c>
      <c r="J336" s="90">
        <f t="shared" si="599"/>
        <v>1.0037473976405273</v>
      </c>
      <c r="K336" s="22"/>
      <c r="L336" s="22"/>
      <c r="M336" s="91">
        <f>$A$37</f>
        <v>20142</v>
      </c>
      <c r="N336" s="105"/>
      <c r="O336" s="90" t="str">
        <f t="shared" ref="O336:V343" si="600">IFERROR(P323/O323,"")</f>
        <v/>
      </c>
      <c r="P336" s="90" t="str">
        <f t="shared" si="600"/>
        <v/>
      </c>
      <c r="Q336" s="90" t="str">
        <f t="shared" si="600"/>
        <v/>
      </c>
      <c r="R336" s="90" t="str">
        <f t="shared" si="600"/>
        <v/>
      </c>
      <c r="S336" s="90" t="str">
        <f t="shared" si="600"/>
        <v/>
      </c>
      <c r="T336" s="90" t="str">
        <f t="shared" si="600"/>
        <v/>
      </c>
      <c r="U336" s="90" t="str">
        <f t="shared" si="600"/>
        <v/>
      </c>
      <c r="V336" s="90" t="str">
        <f t="shared" si="600"/>
        <v/>
      </c>
      <c r="W336" s="22"/>
      <c r="X336" s="22"/>
      <c r="Y336" s="91">
        <f>$A$37</f>
        <v>20142</v>
      </c>
      <c r="Z336" s="105"/>
      <c r="AA336" s="90" t="str">
        <f t="shared" ref="AA336:AH343" si="601">IFERROR(AB323/AA323,"")</f>
        <v/>
      </c>
      <c r="AB336" s="90" t="str">
        <f t="shared" si="601"/>
        <v/>
      </c>
      <c r="AC336" s="90" t="str">
        <f t="shared" si="601"/>
        <v/>
      </c>
      <c r="AD336" s="90" t="str">
        <f t="shared" si="601"/>
        <v/>
      </c>
      <c r="AE336" s="90" t="str">
        <f t="shared" si="601"/>
        <v/>
      </c>
      <c r="AF336" s="90" t="str">
        <f t="shared" si="601"/>
        <v/>
      </c>
      <c r="AG336" s="90" t="str">
        <f t="shared" si="601"/>
        <v/>
      </c>
      <c r="AH336" s="90" t="str">
        <f t="shared" si="601"/>
        <v/>
      </c>
      <c r="AI336" s="22"/>
      <c r="AJ336" s="22"/>
      <c r="AK336" s="91">
        <f>$A$37</f>
        <v>20142</v>
      </c>
      <c r="AL336" s="105"/>
      <c r="AM336" s="90" t="str">
        <f t="shared" ref="AM336:AT343" si="602">IFERROR(AN323/AM323,"")</f>
        <v/>
      </c>
      <c r="AN336" s="90" t="str">
        <f t="shared" si="602"/>
        <v/>
      </c>
      <c r="AO336" s="90" t="str">
        <f t="shared" si="602"/>
        <v/>
      </c>
      <c r="AP336" s="90" t="str">
        <f t="shared" si="602"/>
        <v/>
      </c>
      <c r="AQ336" s="90" t="str">
        <f t="shared" si="602"/>
        <v/>
      </c>
      <c r="AR336" s="90" t="str">
        <f t="shared" si="602"/>
        <v/>
      </c>
      <c r="AS336" s="90" t="str">
        <f t="shared" si="602"/>
        <v/>
      </c>
      <c r="AT336" s="90" t="str">
        <f t="shared" si="602"/>
        <v/>
      </c>
      <c r="AU336" s="22"/>
      <c r="AV336" s="22"/>
      <c r="AW336" s="91">
        <f>$A$37</f>
        <v>20142</v>
      </c>
      <c r="AX336" s="105"/>
      <c r="AY336" s="90" t="str">
        <f t="shared" ref="AY336:BF343" si="603">IFERROR(AZ323/AY323,"")</f>
        <v/>
      </c>
      <c r="AZ336" s="90" t="str">
        <f t="shared" si="603"/>
        <v/>
      </c>
      <c r="BA336" s="90" t="str">
        <f t="shared" si="603"/>
        <v/>
      </c>
      <c r="BB336" s="90" t="str">
        <f t="shared" si="603"/>
        <v/>
      </c>
      <c r="BC336" s="90" t="str">
        <f t="shared" si="603"/>
        <v/>
      </c>
      <c r="BD336" s="90" t="str">
        <f t="shared" si="603"/>
        <v/>
      </c>
      <c r="BE336" s="90" t="str">
        <f t="shared" si="603"/>
        <v/>
      </c>
      <c r="BF336" s="90" t="str">
        <f t="shared" si="603"/>
        <v/>
      </c>
      <c r="BG336" s="22"/>
      <c r="BH336" s="22"/>
      <c r="BI336" s="91">
        <f>$A$37</f>
        <v>20142</v>
      </c>
      <c r="BJ336" s="105"/>
      <c r="BK336" s="90" t="str">
        <f t="shared" ref="BK336:BR343" si="604">IFERROR(BL323/BK323,"")</f>
        <v/>
      </c>
      <c r="BL336" s="90" t="str">
        <f t="shared" si="604"/>
        <v/>
      </c>
      <c r="BM336" s="90" t="str">
        <f t="shared" si="604"/>
        <v/>
      </c>
      <c r="BN336" s="90" t="str">
        <f t="shared" si="604"/>
        <v/>
      </c>
      <c r="BO336" s="90" t="str">
        <f t="shared" si="604"/>
        <v/>
      </c>
      <c r="BP336" s="90" t="str">
        <f t="shared" si="604"/>
        <v/>
      </c>
      <c r="BQ336" s="90" t="str">
        <f t="shared" si="604"/>
        <v/>
      </c>
      <c r="BR336" s="90" t="str">
        <f t="shared" si="604"/>
        <v/>
      </c>
      <c r="BS336" s="22"/>
      <c r="BT336" s="22"/>
      <c r="BU336" s="91">
        <f>$A$37</f>
        <v>20142</v>
      </c>
      <c r="BV336" s="105"/>
      <c r="BW336" s="90" t="str">
        <f t="shared" ref="BW336:CD343" si="605">IFERROR(BX323/BW323,"")</f>
        <v/>
      </c>
      <c r="BX336" s="90" t="str">
        <f t="shared" si="605"/>
        <v/>
      </c>
      <c r="BY336" s="90" t="str">
        <f t="shared" si="605"/>
        <v/>
      </c>
      <c r="BZ336" s="90" t="str">
        <f t="shared" si="605"/>
        <v/>
      </c>
      <c r="CA336" s="90" t="str">
        <f t="shared" si="605"/>
        <v/>
      </c>
      <c r="CB336" s="90" t="str">
        <f t="shared" si="605"/>
        <v/>
      </c>
      <c r="CC336" s="90" t="str">
        <f t="shared" si="605"/>
        <v/>
      </c>
      <c r="CD336" s="90" t="str">
        <f t="shared" si="605"/>
        <v/>
      </c>
      <c r="CE336" s="22"/>
      <c r="CF336" s="22"/>
      <c r="CG336" s="91">
        <f>$A$37</f>
        <v>20142</v>
      </c>
      <c r="CH336" s="105"/>
      <c r="CI336" s="90" t="str">
        <f t="shared" ref="CI336:CP343" si="606">IFERROR(CJ323/CI323,"")</f>
        <v/>
      </c>
      <c r="CJ336" s="90" t="str">
        <f t="shared" si="606"/>
        <v/>
      </c>
      <c r="CK336" s="90" t="str">
        <f t="shared" si="606"/>
        <v/>
      </c>
      <c r="CL336" s="90" t="str">
        <f t="shared" si="606"/>
        <v/>
      </c>
      <c r="CM336" s="90" t="str">
        <f t="shared" si="606"/>
        <v/>
      </c>
      <c r="CN336" s="90" t="str">
        <f t="shared" si="606"/>
        <v/>
      </c>
      <c r="CO336" s="90" t="str">
        <f t="shared" si="606"/>
        <v/>
      </c>
      <c r="CP336" s="90" t="str">
        <f t="shared" si="606"/>
        <v/>
      </c>
      <c r="CQ336" s="22"/>
      <c r="CR336" s="22"/>
      <c r="CS336" s="91">
        <f>$A$37</f>
        <v>20142</v>
      </c>
      <c r="CT336" s="105"/>
      <c r="CU336" s="90" t="str">
        <f t="shared" ref="CU336:DB343" si="607">IFERROR(CV323/CU323,"")</f>
        <v/>
      </c>
      <c r="CV336" s="90" t="str">
        <f t="shared" si="607"/>
        <v/>
      </c>
      <c r="CW336" s="90" t="str">
        <f t="shared" si="607"/>
        <v/>
      </c>
      <c r="CX336" s="90" t="str">
        <f t="shared" si="607"/>
        <v/>
      </c>
      <c r="CY336" s="90" t="str">
        <f t="shared" si="607"/>
        <v/>
      </c>
      <c r="CZ336" s="90" t="str">
        <f t="shared" si="607"/>
        <v/>
      </c>
      <c r="DA336" s="90" t="str">
        <f t="shared" si="607"/>
        <v/>
      </c>
      <c r="DB336" s="90" t="str">
        <f t="shared" si="607"/>
        <v/>
      </c>
      <c r="DC336" s="22"/>
      <c r="DD336" s="22"/>
      <c r="DE336" s="91">
        <f>$A$37</f>
        <v>20142</v>
      </c>
      <c r="DF336" s="105"/>
      <c r="DG336" s="90" t="str">
        <f t="shared" ref="DG336:DN343" si="608">IFERROR(DH323/DG323,"")</f>
        <v/>
      </c>
      <c r="DH336" s="90" t="str">
        <f t="shared" si="608"/>
        <v/>
      </c>
      <c r="DI336" s="90" t="str">
        <f t="shared" si="608"/>
        <v/>
      </c>
      <c r="DJ336" s="90" t="str">
        <f t="shared" si="608"/>
        <v/>
      </c>
      <c r="DK336" s="90" t="str">
        <f t="shared" si="608"/>
        <v/>
      </c>
      <c r="DL336" s="90" t="str">
        <f t="shared" si="608"/>
        <v/>
      </c>
      <c r="DM336" s="90" t="str">
        <f t="shared" si="608"/>
        <v/>
      </c>
      <c r="DN336" s="90" t="str">
        <f t="shared" si="608"/>
        <v/>
      </c>
      <c r="DO336" s="22"/>
      <c r="DP336" s="22"/>
    </row>
    <row r="337" spans="1:120" x14ac:dyDescent="0.25">
      <c r="A337" s="91">
        <f>$A$38</f>
        <v>20152</v>
      </c>
      <c r="B337" s="105"/>
      <c r="C337" s="90">
        <f t="shared" si="599"/>
        <v>1.1055780397677284</v>
      </c>
      <c r="D337" s="90">
        <f t="shared" si="599"/>
        <v>1.0222823491962438</v>
      </c>
      <c r="E337" s="90">
        <f t="shared" si="599"/>
        <v>1.0080959053401837</v>
      </c>
      <c r="F337" s="90">
        <f t="shared" si="599"/>
        <v>1.0066409266409266</v>
      </c>
      <c r="G337" s="90">
        <f t="shared" si="599"/>
        <v>1.0041423749616447</v>
      </c>
      <c r="H337" s="90">
        <f t="shared" si="599"/>
        <v>1.0016806722689076</v>
      </c>
      <c r="I337" s="90">
        <f t="shared" si="599"/>
        <v>1.0019829164124465</v>
      </c>
      <c r="J337" s="22"/>
      <c r="K337" s="22"/>
      <c r="L337" s="22"/>
      <c r="M337" s="91">
        <f>$A$38</f>
        <v>20152</v>
      </c>
      <c r="N337" s="105"/>
      <c r="O337" s="90" t="str">
        <f t="shared" si="600"/>
        <v/>
      </c>
      <c r="P337" s="90" t="str">
        <f t="shared" si="600"/>
        <v/>
      </c>
      <c r="Q337" s="90" t="str">
        <f t="shared" si="600"/>
        <v/>
      </c>
      <c r="R337" s="90" t="str">
        <f t="shared" si="600"/>
        <v/>
      </c>
      <c r="S337" s="90" t="str">
        <f t="shared" si="600"/>
        <v/>
      </c>
      <c r="T337" s="90" t="str">
        <f t="shared" si="600"/>
        <v/>
      </c>
      <c r="U337" s="90" t="str">
        <f t="shared" si="600"/>
        <v/>
      </c>
      <c r="V337" s="22"/>
      <c r="W337" s="22"/>
      <c r="X337" s="22"/>
      <c r="Y337" s="91">
        <f>$A$38</f>
        <v>20152</v>
      </c>
      <c r="Z337" s="105"/>
      <c r="AA337" s="90" t="str">
        <f t="shared" si="601"/>
        <v/>
      </c>
      <c r="AB337" s="90" t="str">
        <f t="shared" si="601"/>
        <v/>
      </c>
      <c r="AC337" s="90" t="str">
        <f t="shared" si="601"/>
        <v/>
      </c>
      <c r="AD337" s="90" t="str">
        <f t="shared" si="601"/>
        <v/>
      </c>
      <c r="AE337" s="90" t="str">
        <f t="shared" si="601"/>
        <v/>
      </c>
      <c r="AF337" s="90" t="str">
        <f t="shared" si="601"/>
        <v/>
      </c>
      <c r="AG337" s="90" t="str">
        <f t="shared" si="601"/>
        <v/>
      </c>
      <c r="AH337" s="22"/>
      <c r="AI337" s="22"/>
      <c r="AJ337" s="22"/>
      <c r="AK337" s="91">
        <f>$A$38</f>
        <v>20152</v>
      </c>
      <c r="AL337" s="105"/>
      <c r="AM337" s="90" t="str">
        <f t="shared" si="602"/>
        <v/>
      </c>
      <c r="AN337" s="90" t="str">
        <f t="shared" si="602"/>
        <v/>
      </c>
      <c r="AO337" s="90" t="str">
        <f t="shared" si="602"/>
        <v/>
      </c>
      <c r="AP337" s="90" t="str">
        <f t="shared" si="602"/>
        <v/>
      </c>
      <c r="AQ337" s="90" t="str">
        <f t="shared" si="602"/>
        <v/>
      </c>
      <c r="AR337" s="90" t="str">
        <f t="shared" si="602"/>
        <v/>
      </c>
      <c r="AS337" s="90" t="str">
        <f t="shared" si="602"/>
        <v/>
      </c>
      <c r="AT337" s="22"/>
      <c r="AU337" s="22"/>
      <c r="AV337" s="22"/>
      <c r="AW337" s="91">
        <f>$A$38</f>
        <v>20152</v>
      </c>
      <c r="AX337" s="105"/>
      <c r="AY337" s="90" t="str">
        <f t="shared" si="603"/>
        <v/>
      </c>
      <c r="AZ337" s="90" t="str">
        <f t="shared" si="603"/>
        <v/>
      </c>
      <c r="BA337" s="90" t="str">
        <f t="shared" si="603"/>
        <v/>
      </c>
      <c r="BB337" s="90" t="str">
        <f t="shared" si="603"/>
        <v/>
      </c>
      <c r="BC337" s="90" t="str">
        <f t="shared" si="603"/>
        <v/>
      </c>
      <c r="BD337" s="90" t="str">
        <f t="shared" si="603"/>
        <v/>
      </c>
      <c r="BE337" s="90" t="str">
        <f t="shared" si="603"/>
        <v/>
      </c>
      <c r="BF337" s="22"/>
      <c r="BG337" s="22"/>
      <c r="BH337" s="22"/>
      <c r="BI337" s="91">
        <f>$A$38</f>
        <v>20152</v>
      </c>
      <c r="BJ337" s="105"/>
      <c r="BK337" s="90" t="str">
        <f t="shared" si="604"/>
        <v/>
      </c>
      <c r="BL337" s="90" t="str">
        <f t="shared" si="604"/>
        <v/>
      </c>
      <c r="BM337" s="90" t="str">
        <f t="shared" si="604"/>
        <v/>
      </c>
      <c r="BN337" s="90" t="str">
        <f t="shared" si="604"/>
        <v/>
      </c>
      <c r="BO337" s="90" t="str">
        <f t="shared" si="604"/>
        <v/>
      </c>
      <c r="BP337" s="90" t="str">
        <f t="shared" si="604"/>
        <v/>
      </c>
      <c r="BQ337" s="90" t="str">
        <f t="shared" si="604"/>
        <v/>
      </c>
      <c r="BR337" s="22"/>
      <c r="BS337" s="22"/>
      <c r="BT337" s="22"/>
      <c r="BU337" s="91">
        <f>$A$38</f>
        <v>20152</v>
      </c>
      <c r="BV337" s="105"/>
      <c r="BW337" s="90" t="str">
        <f t="shared" si="605"/>
        <v/>
      </c>
      <c r="BX337" s="90" t="str">
        <f t="shared" si="605"/>
        <v/>
      </c>
      <c r="BY337" s="90" t="str">
        <f t="shared" si="605"/>
        <v/>
      </c>
      <c r="BZ337" s="90" t="str">
        <f t="shared" si="605"/>
        <v/>
      </c>
      <c r="CA337" s="90" t="str">
        <f t="shared" si="605"/>
        <v/>
      </c>
      <c r="CB337" s="90" t="str">
        <f t="shared" si="605"/>
        <v/>
      </c>
      <c r="CC337" s="90" t="str">
        <f t="shared" si="605"/>
        <v/>
      </c>
      <c r="CD337" s="22"/>
      <c r="CE337" s="22"/>
      <c r="CF337" s="22"/>
      <c r="CG337" s="91">
        <f>$A$38</f>
        <v>20152</v>
      </c>
      <c r="CH337" s="105"/>
      <c r="CI337" s="90" t="str">
        <f t="shared" si="606"/>
        <v/>
      </c>
      <c r="CJ337" s="90" t="str">
        <f t="shared" si="606"/>
        <v/>
      </c>
      <c r="CK337" s="90" t="str">
        <f t="shared" si="606"/>
        <v/>
      </c>
      <c r="CL337" s="90" t="str">
        <f t="shared" si="606"/>
        <v/>
      </c>
      <c r="CM337" s="90" t="str">
        <f t="shared" si="606"/>
        <v/>
      </c>
      <c r="CN337" s="90" t="str">
        <f t="shared" si="606"/>
        <v/>
      </c>
      <c r="CO337" s="90" t="str">
        <f t="shared" si="606"/>
        <v/>
      </c>
      <c r="CP337" s="22"/>
      <c r="CQ337" s="22"/>
      <c r="CR337" s="22"/>
      <c r="CS337" s="91">
        <f>$A$38</f>
        <v>20152</v>
      </c>
      <c r="CT337" s="105"/>
      <c r="CU337" s="90" t="str">
        <f t="shared" si="607"/>
        <v/>
      </c>
      <c r="CV337" s="90" t="str">
        <f t="shared" si="607"/>
        <v/>
      </c>
      <c r="CW337" s="90" t="str">
        <f t="shared" si="607"/>
        <v/>
      </c>
      <c r="CX337" s="90" t="str">
        <f t="shared" si="607"/>
        <v/>
      </c>
      <c r="CY337" s="90" t="str">
        <f t="shared" si="607"/>
        <v/>
      </c>
      <c r="CZ337" s="90" t="str">
        <f t="shared" si="607"/>
        <v/>
      </c>
      <c r="DA337" s="90" t="str">
        <f t="shared" si="607"/>
        <v/>
      </c>
      <c r="DB337" s="22"/>
      <c r="DC337" s="22"/>
      <c r="DD337" s="22"/>
      <c r="DE337" s="91">
        <f>$A$38</f>
        <v>20152</v>
      </c>
      <c r="DF337" s="105"/>
      <c r="DG337" s="90" t="str">
        <f t="shared" si="608"/>
        <v/>
      </c>
      <c r="DH337" s="90" t="str">
        <f t="shared" si="608"/>
        <v/>
      </c>
      <c r="DI337" s="90" t="str">
        <f t="shared" si="608"/>
        <v/>
      </c>
      <c r="DJ337" s="90" t="str">
        <f t="shared" si="608"/>
        <v/>
      </c>
      <c r="DK337" s="90" t="str">
        <f t="shared" si="608"/>
        <v/>
      </c>
      <c r="DL337" s="90" t="str">
        <f t="shared" si="608"/>
        <v/>
      </c>
      <c r="DM337" s="90" t="str">
        <f t="shared" si="608"/>
        <v/>
      </c>
      <c r="DN337" s="22"/>
      <c r="DO337" s="22"/>
      <c r="DP337" s="22"/>
    </row>
    <row r="338" spans="1:120" x14ac:dyDescent="0.25">
      <c r="A338" s="91">
        <f>$A$39</f>
        <v>20162</v>
      </c>
      <c r="B338" s="105"/>
      <c r="C338" s="90">
        <f t="shared" si="599"/>
        <v>1.1217300313916987</v>
      </c>
      <c r="D338" s="90">
        <f t="shared" si="599"/>
        <v>1.0199004975124377</v>
      </c>
      <c r="E338" s="90">
        <f t="shared" si="599"/>
        <v>1.0076219512195121</v>
      </c>
      <c r="F338" s="90">
        <f t="shared" si="599"/>
        <v>1.0078668683812406</v>
      </c>
      <c r="G338" s="90">
        <f t="shared" si="599"/>
        <v>1.0022515761032722</v>
      </c>
      <c r="H338" s="90">
        <f t="shared" si="599"/>
        <v>1.0049423393739703</v>
      </c>
      <c r="I338" s="22"/>
      <c r="J338" s="22"/>
      <c r="K338" s="22"/>
      <c r="L338" s="22"/>
      <c r="M338" s="91">
        <f>$A$39</f>
        <v>20162</v>
      </c>
      <c r="N338" s="105"/>
      <c r="O338" s="90" t="str">
        <f t="shared" si="600"/>
        <v/>
      </c>
      <c r="P338" s="90" t="str">
        <f t="shared" si="600"/>
        <v/>
      </c>
      <c r="Q338" s="90" t="str">
        <f t="shared" si="600"/>
        <v/>
      </c>
      <c r="R338" s="90" t="str">
        <f t="shared" si="600"/>
        <v/>
      </c>
      <c r="S338" s="90" t="str">
        <f t="shared" si="600"/>
        <v/>
      </c>
      <c r="T338" s="90" t="str">
        <f t="shared" si="600"/>
        <v/>
      </c>
      <c r="U338" s="22"/>
      <c r="V338" s="22"/>
      <c r="W338" s="22"/>
      <c r="X338" s="22"/>
      <c r="Y338" s="91">
        <f>$A$39</f>
        <v>20162</v>
      </c>
      <c r="Z338" s="105"/>
      <c r="AA338" s="90" t="str">
        <f t="shared" si="601"/>
        <v/>
      </c>
      <c r="AB338" s="90" t="str">
        <f t="shared" si="601"/>
        <v/>
      </c>
      <c r="AC338" s="90" t="str">
        <f t="shared" si="601"/>
        <v/>
      </c>
      <c r="AD338" s="90" t="str">
        <f t="shared" si="601"/>
        <v/>
      </c>
      <c r="AE338" s="90" t="str">
        <f t="shared" si="601"/>
        <v/>
      </c>
      <c r="AF338" s="90" t="str">
        <f t="shared" si="601"/>
        <v/>
      </c>
      <c r="AG338" s="22"/>
      <c r="AH338" s="22"/>
      <c r="AI338" s="22"/>
      <c r="AJ338" s="22"/>
      <c r="AK338" s="91">
        <f>$A$39</f>
        <v>20162</v>
      </c>
      <c r="AL338" s="105"/>
      <c r="AM338" s="90" t="str">
        <f t="shared" si="602"/>
        <v/>
      </c>
      <c r="AN338" s="90" t="str">
        <f t="shared" si="602"/>
        <v/>
      </c>
      <c r="AO338" s="90" t="str">
        <f t="shared" si="602"/>
        <v/>
      </c>
      <c r="AP338" s="90" t="str">
        <f t="shared" si="602"/>
        <v/>
      </c>
      <c r="AQ338" s="90" t="str">
        <f t="shared" si="602"/>
        <v/>
      </c>
      <c r="AR338" s="90" t="str">
        <f t="shared" si="602"/>
        <v/>
      </c>
      <c r="AS338" s="22"/>
      <c r="AT338" s="22"/>
      <c r="AU338" s="22"/>
      <c r="AV338" s="22"/>
      <c r="AW338" s="91">
        <f>$A$39</f>
        <v>20162</v>
      </c>
      <c r="AX338" s="105"/>
      <c r="AY338" s="90" t="str">
        <f t="shared" si="603"/>
        <v/>
      </c>
      <c r="AZ338" s="90" t="str">
        <f t="shared" si="603"/>
        <v/>
      </c>
      <c r="BA338" s="90" t="str">
        <f t="shared" si="603"/>
        <v/>
      </c>
      <c r="BB338" s="90" t="str">
        <f t="shared" si="603"/>
        <v/>
      </c>
      <c r="BC338" s="90" t="str">
        <f t="shared" si="603"/>
        <v/>
      </c>
      <c r="BD338" s="90" t="str">
        <f t="shared" si="603"/>
        <v/>
      </c>
      <c r="BE338" s="22"/>
      <c r="BF338" s="22"/>
      <c r="BG338" s="22"/>
      <c r="BH338" s="22"/>
      <c r="BI338" s="91">
        <f>$A$39</f>
        <v>20162</v>
      </c>
      <c r="BJ338" s="105"/>
      <c r="BK338" s="90" t="str">
        <f t="shared" si="604"/>
        <v/>
      </c>
      <c r="BL338" s="90" t="str">
        <f t="shared" si="604"/>
        <v/>
      </c>
      <c r="BM338" s="90" t="str">
        <f t="shared" si="604"/>
        <v/>
      </c>
      <c r="BN338" s="90" t="str">
        <f t="shared" si="604"/>
        <v/>
      </c>
      <c r="BO338" s="90" t="str">
        <f t="shared" si="604"/>
        <v/>
      </c>
      <c r="BP338" s="90" t="str">
        <f t="shared" si="604"/>
        <v/>
      </c>
      <c r="BQ338" s="22"/>
      <c r="BR338" s="22"/>
      <c r="BS338" s="22"/>
      <c r="BT338" s="22"/>
      <c r="BU338" s="91">
        <f>$A$39</f>
        <v>20162</v>
      </c>
      <c r="BV338" s="105"/>
      <c r="BW338" s="90" t="str">
        <f t="shared" si="605"/>
        <v/>
      </c>
      <c r="BX338" s="90" t="str">
        <f t="shared" si="605"/>
        <v/>
      </c>
      <c r="BY338" s="90" t="str">
        <f t="shared" si="605"/>
        <v/>
      </c>
      <c r="BZ338" s="90" t="str">
        <f t="shared" si="605"/>
        <v/>
      </c>
      <c r="CA338" s="90" t="str">
        <f t="shared" si="605"/>
        <v/>
      </c>
      <c r="CB338" s="90" t="str">
        <f t="shared" si="605"/>
        <v/>
      </c>
      <c r="CC338" s="22"/>
      <c r="CD338" s="22"/>
      <c r="CE338" s="22"/>
      <c r="CF338" s="22"/>
      <c r="CG338" s="91">
        <f>$A$39</f>
        <v>20162</v>
      </c>
      <c r="CH338" s="105"/>
      <c r="CI338" s="90" t="str">
        <f t="shared" si="606"/>
        <v/>
      </c>
      <c r="CJ338" s="90" t="str">
        <f t="shared" si="606"/>
        <v/>
      </c>
      <c r="CK338" s="90" t="str">
        <f t="shared" si="606"/>
        <v/>
      </c>
      <c r="CL338" s="90" t="str">
        <f t="shared" si="606"/>
        <v/>
      </c>
      <c r="CM338" s="90" t="str">
        <f t="shared" si="606"/>
        <v/>
      </c>
      <c r="CN338" s="90" t="str">
        <f t="shared" si="606"/>
        <v/>
      </c>
      <c r="CO338" s="22"/>
      <c r="CP338" s="22"/>
      <c r="CQ338" s="22"/>
      <c r="CR338" s="22"/>
      <c r="CS338" s="91">
        <f>$A$39</f>
        <v>20162</v>
      </c>
      <c r="CT338" s="105"/>
      <c r="CU338" s="90" t="str">
        <f t="shared" si="607"/>
        <v/>
      </c>
      <c r="CV338" s="90" t="str">
        <f t="shared" si="607"/>
        <v/>
      </c>
      <c r="CW338" s="90" t="str">
        <f t="shared" si="607"/>
        <v/>
      </c>
      <c r="CX338" s="90" t="str">
        <f t="shared" si="607"/>
        <v/>
      </c>
      <c r="CY338" s="90" t="str">
        <f t="shared" si="607"/>
        <v/>
      </c>
      <c r="CZ338" s="90" t="str">
        <f t="shared" si="607"/>
        <v/>
      </c>
      <c r="DA338" s="22"/>
      <c r="DB338" s="22"/>
      <c r="DC338" s="22"/>
      <c r="DD338" s="22"/>
      <c r="DE338" s="91">
        <f>$A$39</f>
        <v>20162</v>
      </c>
      <c r="DF338" s="105"/>
      <c r="DG338" s="90" t="str">
        <f t="shared" si="608"/>
        <v/>
      </c>
      <c r="DH338" s="90" t="str">
        <f t="shared" si="608"/>
        <v/>
      </c>
      <c r="DI338" s="90" t="str">
        <f t="shared" si="608"/>
        <v/>
      </c>
      <c r="DJ338" s="90" t="str">
        <f t="shared" si="608"/>
        <v/>
      </c>
      <c r="DK338" s="90" t="str">
        <f t="shared" si="608"/>
        <v/>
      </c>
      <c r="DL338" s="90" t="str">
        <f t="shared" si="608"/>
        <v/>
      </c>
      <c r="DM338" s="22"/>
      <c r="DN338" s="22"/>
      <c r="DO338" s="22"/>
      <c r="DP338" s="22"/>
    </row>
    <row r="339" spans="1:120" x14ac:dyDescent="0.25">
      <c r="A339" s="91">
        <f>$A$40</f>
        <v>20172</v>
      </c>
      <c r="B339" s="105"/>
      <c r="C339" s="90">
        <f t="shared" si="599"/>
        <v>1.110636952742216</v>
      </c>
      <c r="D339" s="90">
        <f t="shared" si="599"/>
        <v>1.0207770029884731</v>
      </c>
      <c r="E339" s="90">
        <f t="shared" si="599"/>
        <v>1.0093405827408337</v>
      </c>
      <c r="F339" s="90">
        <f t="shared" si="599"/>
        <v>1.0042817679558012</v>
      </c>
      <c r="G339" s="90">
        <f t="shared" si="599"/>
        <v>1.0039884472562233</v>
      </c>
      <c r="H339" s="22"/>
      <c r="I339" s="22"/>
      <c r="J339" s="22"/>
      <c r="K339" s="22"/>
      <c r="L339" s="22"/>
      <c r="M339" s="91">
        <f>$A$40</f>
        <v>20172</v>
      </c>
      <c r="N339" s="105"/>
      <c r="O339" s="90" t="str">
        <f t="shared" si="600"/>
        <v/>
      </c>
      <c r="P339" s="90" t="str">
        <f t="shared" si="600"/>
        <v/>
      </c>
      <c r="Q339" s="90" t="str">
        <f t="shared" si="600"/>
        <v/>
      </c>
      <c r="R339" s="90" t="str">
        <f t="shared" si="600"/>
        <v/>
      </c>
      <c r="S339" s="90" t="str">
        <f t="shared" si="600"/>
        <v/>
      </c>
      <c r="T339" s="22"/>
      <c r="U339" s="22"/>
      <c r="V339" s="22"/>
      <c r="W339" s="22"/>
      <c r="X339" s="22"/>
      <c r="Y339" s="91">
        <f>$A$40</f>
        <v>20172</v>
      </c>
      <c r="Z339" s="105"/>
      <c r="AA339" s="90" t="str">
        <f t="shared" si="601"/>
        <v/>
      </c>
      <c r="AB339" s="90" t="str">
        <f t="shared" si="601"/>
        <v/>
      </c>
      <c r="AC339" s="90" t="str">
        <f t="shared" si="601"/>
        <v/>
      </c>
      <c r="AD339" s="90" t="str">
        <f t="shared" si="601"/>
        <v/>
      </c>
      <c r="AE339" s="90" t="str">
        <f t="shared" si="601"/>
        <v/>
      </c>
      <c r="AF339" s="22"/>
      <c r="AG339" s="22"/>
      <c r="AH339" s="22"/>
      <c r="AI339" s="22"/>
      <c r="AJ339" s="22"/>
      <c r="AK339" s="91">
        <f>$A$40</f>
        <v>20172</v>
      </c>
      <c r="AL339" s="105"/>
      <c r="AM339" s="90" t="str">
        <f t="shared" si="602"/>
        <v/>
      </c>
      <c r="AN339" s="90" t="str">
        <f t="shared" si="602"/>
        <v/>
      </c>
      <c r="AO339" s="90" t="str">
        <f t="shared" si="602"/>
        <v/>
      </c>
      <c r="AP339" s="90" t="str">
        <f t="shared" si="602"/>
        <v/>
      </c>
      <c r="AQ339" s="90" t="str">
        <f t="shared" si="602"/>
        <v/>
      </c>
      <c r="AR339" s="22"/>
      <c r="AS339" s="22"/>
      <c r="AT339" s="22"/>
      <c r="AU339" s="22"/>
      <c r="AV339" s="22"/>
      <c r="AW339" s="91">
        <f>$A$40</f>
        <v>20172</v>
      </c>
      <c r="AX339" s="105"/>
      <c r="AY339" s="90" t="str">
        <f t="shared" si="603"/>
        <v/>
      </c>
      <c r="AZ339" s="90" t="str">
        <f t="shared" si="603"/>
        <v/>
      </c>
      <c r="BA339" s="90" t="str">
        <f t="shared" si="603"/>
        <v/>
      </c>
      <c r="BB339" s="90" t="str">
        <f t="shared" si="603"/>
        <v/>
      </c>
      <c r="BC339" s="90" t="str">
        <f t="shared" si="603"/>
        <v/>
      </c>
      <c r="BD339" s="22"/>
      <c r="BE339" s="22"/>
      <c r="BF339" s="22"/>
      <c r="BG339" s="22"/>
      <c r="BH339" s="22"/>
      <c r="BI339" s="91">
        <f>$A$40</f>
        <v>20172</v>
      </c>
      <c r="BJ339" s="105"/>
      <c r="BK339" s="90" t="str">
        <f t="shared" si="604"/>
        <v/>
      </c>
      <c r="BL339" s="90" t="str">
        <f t="shared" si="604"/>
        <v/>
      </c>
      <c r="BM339" s="90" t="str">
        <f t="shared" si="604"/>
        <v/>
      </c>
      <c r="BN339" s="90" t="str">
        <f t="shared" si="604"/>
        <v/>
      </c>
      <c r="BO339" s="90" t="str">
        <f t="shared" si="604"/>
        <v/>
      </c>
      <c r="BP339" s="22"/>
      <c r="BQ339" s="22"/>
      <c r="BR339" s="22"/>
      <c r="BS339" s="22"/>
      <c r="BT339" s="22"/>
      <c r="BU339" s="91">
        <f>$A$40</f>
        <v>20172</v>
      </c>
      <c r="BV339" s="105"/>
      <c r="BW339" s="90" t="str">
        <f t="shared" si="605"/>
        <v/>
      </c>
      <c r="BX339" s="90" t="str">
        <f t="shared" si="605"/>
        <v/>
      </c>
      <c r="BY339" s="90" t="str">
        <f t="shared" si="605"/>
        <v/>
      </c>
      <c r="BZ339" s="90" t="str">
        <f t="shared" si="605"/>
        <v/>
      </c>
      <c r="CA339" s="90" t="str">
        <f t="shared" si="605"/>
        <v/>
      </c>
      <c r="CB339" s="22"/>
      <c r="CC339" s="22"/>
      <c r="CD339" s="22"/>
      <c r="CE339" s="22"/>
      <c r="CF339" s="22"/>
      <c r="CG339" s="91">
        <f>$A$40</f>
        <v>20172</v>
      </c>
      <c r="CH339" s="105"/>
      <c r="CI339" s="90" t="str">
        <f t="shared" si="606"/>
        <v/>
      </c>
      <c r="CJ339" s="90" t="str">
        <f t="shared" si="606"/>
        <v/>
      </c>
      <c r="CK339" s="90" t="str">
        <f t="shared" si="606"/>
        <v/>
      </c>
      <c r="CL339" s="90" t="str">
        <f t="shared" si="606"/>
        <v/>
      </c>
      <c r="CM339" s="90" t="str">
        <f t="shared" si="606"/>
        <v/>
      </c>
      <c r="CN339" s="22"/>
      <c r="CO339" s="22"/>
      <c r="CP339" s="22"/>
      <c r="CQ339" s="22"/>
      <c r="CR339" s="22"/>
      <c r="CS339" s="91">
        <f>$A$40</f>
        <v>20172</v>
      </c>
      <c r="CT339" s="105"/>
      <c r="CU339" s="90" t="str">
        <f t="shared" si="607"/>
        <v/>
      </c>
      <c r="CV339" s="90" t="str">
        <f t="shared" si="607"/>
        <v/>
      </c>
      <c r="CW339" s="90" t="str">
        <f t="shared" si="607"/>
        <v/>
      </c>
      <c r="CX339" s="90" t="str">
        <f t="shared" si="607"/>
        <v/>
      </c>
      <c r="CY339" s="90" t="str">
        <f t="shared" si="607"/>
        <v/>
      </c>
      <c r="CZ339" s="22"/>
      <c r="DA339" s="22"/>
      <c r="DB339" s="22"/>
      <c r="DC339" s="22"/>
      <c r="DD339" s="22"/>
      <c r="DE339" s="91">
        <f>$A$40</f>
        <v>20172</v>
      </c>
      <c r="DF339" s="105"/>
      <c r="DG339" s="90" t="str">
        <f t="shared" si="608"/>
        <v/>
      </c>
      <c r="DH339" s="90" t="str">
        <f t="shared" si="608"/>
        <v/>
      </c>
      <c r="DI339" s="90" t="str">
        <f t="shared" si="608"/>
        <v/>
      </c>
      <c r="DJ339" s="90" t="str">
        <f t="shared" si="608"/>
        <v/>
      </c>
      <c r="DK339" s="90" t="str">
        <f t="shared" si="608"/>
        <v/>
      </c>
      <c r="DL339" s="22"/>
      <c r="DM339" s="22"/>
      <c r="DN339" s="22"/>
      <c r="DO339" s="22"/>
      <c r="DP339" s="22"/>
    </row>
    <row r="340" spans="1:120" x14ac:dyDescent="0.25">
      <c r="A340" s="91">
        <f>$A$41</f>
        <v>20182</v>
      </c>
      <c r="B340" s="105"/>
      <c r="C340" s="90">
        <f t="shared" si="599"/>
        <v>1.1269238456925845</v>
      </c>
      <c r="D340" s="90">
        <f t="shared" si="599"/>
        <v>1.0260730755587089</v>
      </c>
      <c r="E340" s="90">
        <f t="shared" si="599"/>
        <v>1.010198789974071</v>
      </c>
      <c r="F340" s="90">
        <f t="shared" si="599"/>
        <v>1.0071868583162218</v>
      </c>
      <c r="G340" s="22"/>
      <c r="H340" s="22"/>
      <c r="I340" s="22"/>
      <c r="J340" s="22"/>
      <c r="K340" s="22"/>
      <c r="L340" s="22"/>
      <c r="M340" s="91">
        <f>$A$41</f>
        <v>20182</v>
      </c>
      <c r="N340" s="105"/>
      <c r="O340" s="90" t="str">
        <f t="shared" si="600"/>
        <v/>
      </c>
      <c r="P340" s="90" t="str">
        <f t="shared" si="600"/>
        <v/>
      </c>
      <c r="Q340" s="90" t="str">
        <f t="shared" si="600"/>
        <v/>
      </c>
      <c r="R340" s="90" t="str">
        <f t="shared" si="600"/>
        <v/>
      </c>
      <c r="S340" s="22"/>
      <c r="T340" s="22"/>
      <c r="U340" s="22"/>
      <c r="V340" s="22"/>
      <c r="W340" s="22"/>
      <c r="X340" s="22"/>
      <c r="Y340" s="91">
        <f>$A$41</f>
        <v>20182</v>
      </c>
      <c r="Z340" s="105"/>
      <c r="AA340" s="90" t="str">
        <f t="shared" si="601"/>
        <v/>
      </c>
      <c r="AB340" s="90" t="str">
        <f t="shared" si="601"/>
        <v/>
      </c>
      <c r="AC340" s="90" t="str">
        <f t="shared" si="601"/>
        <v/>
      </c>
      <c r="AD340" s="90" t="str">
        <f t="shared" si="601"/>
        <v/>
      </c>
      <c r="AE340" s="22"/>
      <c r="AF340" s="22"/>
      <c r="AG340" s="22"/>
      <c r="AH340" s="22"/>
      <c r="AI340" s="22"/>
      <c r="AJ340" s="22"/>
      <c r="AK340" s="91">
        <f>$A$41</f>
        <v>20182</v>
      </c>
      <c r="AL340" s="105"/>
      <c r="AM340" s="90" t="str">
        <f t="shared" si="602"/>
        <v/>
      </c>
      <c r="AN340" s="90" t="str">
        <f t="shared" si="602"/>
        <v/>
      </c>
      <c r="AO340" s="90" t="str">
        <f t="shared" si="602"/>
        <v/>
      </c>
      <c r="AP340" s="90" t="str">
        <f t="shared" si="602"/>
        <v/>
      </c>
      <c r="AQ340" s="22"/>
      <c r="AR340" s="22"/>
      <c r="AS340" s="22"/>
      <c r="AT340" s="22"/>
      <c r="AU340" s="22"/>
      <c r="AV340" s="22"/>
      <c r="AW340" s="91">
        <f>$A$41</f>
        <v>20182</v>
      </c>
      <c r="AX340" s="105"/>
      <c r="AY340" s="90" t="str">
        <f t="shared" si="603"/>
        <v/>
      </c>
      <c r="AZ340" s="90" t="str">
        <f t="shared" si="603"/>
        <v/>
      </c>
      <c r="BA340" s="90" t="str">
        <f t="shared" si="603"/>
        <v/>
      </c>
      <c r="BB340" s="90" t="str">
        <f t="shared" si="603"/>
        <v/>
      </c>
      <c r="BC340" s="22"/>
      <c r="BD340" s="22"/>
      <c r="BE340" s="22"/>
      <c r="BF340" s="22"/>
      <c r="BG340" s="22"/>
      <c r="BH340" s="22"/>
      <c r="BI340" s="91">
        <f>$A$41</f>
        <v>20182</v>
      </c>
      <c r="BJ340" s="105"/>
      <c r="BK340" s="90" t="str">
        <f t="shared" si="604"/>
        <v/>
      </c>
      <c r="BL340" s="90" t="str">
        <f t="shared" si="604"/>
        <v/>
      </c>
      <c r="BM340" s="90" t="str">
        <f t="shared" si="604"/>
        <v/>
      </c>
      <c r="BN340" s="90" t="str">
        <f t="shared" si="604"/>
        <v/>
      </c>
      <c r="BO340" s="22"/>
      <c r="BP340" s="22"/>
      <c r="BQ340" s="22"/>
      <c r="BR340" s="22"/>
      <c r="BS340" s="22"/>
      <c r="BT340" s="22"/>
      <c r="BU340" s="91">
        <f>$A$41</f>
        <v>20182</v>
      </c>
      <c r="BV340" s="105"/>
      <c r="BW340" s="90" t="str">
        <f t="shared" si="605"/>
        <v/>
      </c>
      <c r="BX340" s="90" t="str">
        <f t="shared" si="605"/>
        <v/>
      </c>
      <c r="BY340" s="90" t="str">
        <f t="shared" si="605"/>
        <v/>
      </c>
      <c r="BZ340" s="90" t="str">
        <f t="shared" si="605"/>
        <v/>
      </c>
      <c r="CA340" s="22"/>
      <c r="CB340" s="22"/>
      <c r="CC340" s="22"/>
      <c r="CD340" s="22"/>
      <c r="CE340" s="22"/>
      <c r="CF340" s="22"/>
      <c r="CG340" s="91">
        <f>$A$41</f>
        <v>20182</v>
      </c>
      <c r="CH340" s="105"/>
      <c r="CI340" s="90" t="str">
        <f t="shared" si="606"/>
        <v/>
      </c>
      <c r="CJ340" s="90" t="str">
        <f t="shared" si="606"/>
        <v/>
      </c>
      <c r="CK340" s="90" t="str">
        <f t="shared" si="606"/>
        <v/>
      </c>
      <c r="CL340" s="90" t="str">
        <f t="shared" si="606"/>
        <v/>
      </c>
      <c r="CM340" s="22"/>
      <c r="CN340" s="22"/>
      <c r="CO340" s="22"/>
      <c r="CP340" s="22"/>
      <c r="CQ340" s="22"/>
      <c r="CR340" s="22"/>
      <c r="CS340" s="91">
        <f>$A$41</f>
        <v>20182</v>
      </c>
      <c r="CT340" s="105"/>
      <c r="CU340" s="90" t="str">
        <f t="shared" si="607"/>
        <v/>
      </c>
      <c r="CV340" s="90" t="str">
        <f t="shared" si="607"/>
        <v/>
      </c>
      <c r="CW340" s="90" t="str">
        <f t="shared" si="607"/>
        <v/>
      </c>
      <c r="CX340" s="90" t="str">
        <f t="shared" si="607"/>
        <v/>
      </c>
      <c r="CY340" s="22"/>
      <c r="CZ340" s="22"/>
      <c r="DA340" s="22"/>
      <c r="DB340" s="22"/>
      <c r="DC340" s="22"/>
      <c r="DD340" s="22"/>
      <c r="DE340" s="91">
        <f>$A$41</f>
        <v>20182</v>
      </c>
      <c r="DF340" s="105"/>
      <c r="DG340" s="90" t="str">
        <f t="shared" si="608"/>
        <v/>
      </c>
      <c r="DH340" s="90" t="str">
        <f t="shared" si="608"/>
        <v/>
      </c>
      <c r="DI340" s="90" t="str">
        <f t="shared" si="608"/>
        <v/>
      </c>
      <c r="DJ340" s="90" t="str">
        <f t="shared" si="608"/>
        <v/>
      </c>
      <c r="DK340" s="22"/>
      <c r="DL340" s="22"/>
      <c r="DM340" s="22"/>
      <c r="DN340" s="22"/>
      <c r="DO340" s="22"/>
      <c r="DP340" s="22"/>
    </row>
    <row r="341" spans="1:120" x14ac:dyDescent="0.25">
      <c r="A341" s="91">
        <f>$A$42</f>
        <v>20192</v>
      </c>
      <c r="B341" s="105"/>
      <c r="C341" s="90">
        <f t="shared" si="599"/>
        <v>1.1310358255451713</v>
      </c>
      <c r="D341" s="90">
        <f t="shared" si="599"/>
        <v>1.0266827336891031</v>
      </c>
      <c r="E341" s="90">
        <f t="shared" si="599"/>
        <v>1.0125754527162978</v>
      </c>
      <c r="F341" s="22"/>
      <c r="G341" s="22"/>
      <c r="H341" s="22"/>
      <c r="I341" s="22"/>
      <c r="J341" s="22"/>
      <c r="K341" s="22"/>
      <c r="L341" s="22"/>
      <c r="M341" s="91">
        <f>$A$42</f>
        <v>20192</v>
      </c>
      <c r="N341" s="105"/>
      <c r="O341" s="90" t="str">
        <f t="shared" si="600"/>
        <v/>
      </c>
      <c r="P341" s="90" t="str">
        <f t="shared" si="600"/>
        <v/>
      </c>
      <c r="Q341" s="90" t="str">
        <f t="shared" si="600"/>
        <v/>
      </c>
      <c r="R341" s="22"/>
      <c r="S341" s="22"/>
      <c r="T341" s="22"/>
      <c r="U341" s="22"/>
      <c r="V341" s="22"/>
      <c r="W341" s="22"/>
      <c r="X341" s="22"/>
      <c r="Y341" s="91">
        <f>$A$42</f>
        <v>20192</v>
      </c>
      <c r="Z341" s="105"/>
      <c r="AA341" s="90" t="str">
        <f t="shared" si="601"/>
        <v/>
      </c>
      <c r="AB341" s="90" t="str">
        <f t="shared" si="601"/>
        <v/>
      </c>
      <c r="AC341" s="90" t="str">
        <f t="shared" si="601"/>
        <v/>
      </c>
      <c r="AD341" s="22"/>
      <c r="AE341" s="22"/>
      <c r="AF341" s="22"/>
      <c r="AG341" s="22"/>
      <c r="AH341" s="22"/>
      <c r="AI341" s="22"/>
      <c r="AJ341" s="22"/>
      <c r="AK341" s="91">
        <f>$A$42</f>
        <v>20192</v>
      </c>
      <c r="AL341" s="105"/>
      <c r="AM341" s="90" t="str">
        <f t="shared" si="602"/>
        <v/>
      </c>
      <c r="AN341" s="90" t="str">
        <f t="shared" si="602"/>
        <v/>
      </c>
      <c r="AO341" s="90" t="str">
        <f t="shared" si="602"/>
        <v/>
      </c>
      <c r="AP341" s="22"/>
      <c r="AQ341" s="22"/>
      <c r="AR341" s="22"/>
      <c r="AS341" s="22"/>
      <c r="AT341" s="22"/>
      <c r="AU341" s="22"/>
      <c r="AV341" s="22"/>
      <c r="AW341" s="91">
        <f>$A$42</f>
        <v>20192</v>
      </c>
      <c r="AX341" s="105"/>
      <c r="AY341" s="90" t="str">
        <f t="shared" si="603"/>
        <v/>
      </c>
      <c r="AZ341" s="90" t="str">
        <f t="shared" si="603"/>
        <v/>
      </c>
      <c r="BA341" s="90" t="str">
        <f t="shared" si="603"/>
        <v/>
      </c>
      <c r="BB341" s="22"/>
      <c r="BC341" s="22"/>
      <c r="BD341" s="22"/>
      <c r="BE341" s="22"/>
      <c r="BF341" s="22"/>
      <c r="BG341" s="22"/>
      <c r="BH341" s="22"/>
      <c r="BI341" s="91">
        <f>$A$42</f>
        <v>20192</v>
      </c>
      <c r="BJ341" s="105"/>
      <c r="BK341" s="90" t="str">
        <f t="shared" si="604"/>
        <v/>
      </c>
      <c r="BL341" s="90" t="str">
        <f t="shared" si="604"/>
        <v/>
      </c>
      <c r="BM341" s="90" t="str">
        <f t="shared" si="604"/>
        <v/>
      </c>
      <c r="BN341" s="22"/>
      <c r="BO341" s="22"/>
      <c r="BP341" s="22"/>
      <c r="BQ341" s="22"/>
      <c r="BR341" s="22"/>
      <c r="BS341" s="22"/>
      <c r="BT341" s="22"/>
      <c r="BU341" s="91">
        <f>$A$42</f>
        <v>20192</v>
      </c>
      <c r="BV341" s="105"/>
      <c r="BW341" s="90" t="str">
        <f t="shared" si="605"/>
        <v/>
      </c>
      <c r="BX341" s="90" t="str">
        <f t="shared" si="605"/>
        <v/>
      </c>
      <c r="BY341" s="90" t="str">
        <f t="shared" si="605"/>
        <v/>
      </c>
      <c r="BZ341" s="22"/>
      <c r="CA341" s="22"/>
      <c r="CB341" s="22"/>
      <c r="CC341" s="22"/>
      <c r="CD341" s="22"/>
      <c r="CE341" s="22"/>
      <c r="CF341" s="22"/>
      <c r="CG341" s="91">
        <f>$A$42</f>
        <v>20192</v>
      </c>
      <c r="CH341" s="105"/>
      <c r="CI341" s="90" t="str">
        <f t="shared" si="606"/>
        <v/>
      </c>
      <c r="CJ341" s="90" t="str">
        <f t="shared" si="606"/>
        <v/>
      </c>
      <c r="CK341" s="90" t="str">
        <f t="shared" si="606"/>
        <v/>
      </c>
      <c r="CL341" s="22"/>
      <c r="CM341" s="22"/>
      <c r="CN341" s="22"/>
      <c r="CO341" s="22"/>
      <c r="CP341" s="22"/>
      <c r="CQ341" s="22"/>
      <c r="CR341" s="22"/>
      <c r="CS341" s="91">
        <f>$A$42</f>
        <v>20192</v>
      </c>
      <c r="CT341" s="105"/>
      <c r="CU341" s="90" t="str">
        <f t="shared" si="607"/>
        <v/>
      </c>
      <c r="CV341" s="90" t="str">
        <f t="shared" si="607"/>
        <v/>
      </c>
      <c r="CW341" s="90" t="str">
        <f t="shared" si="607"/>
        <v/>
      </c>
      <c r="CX341" s="22"/>
      <c r="CY341" s="22"/>
      <c r="CZ341" s="22"/>
      <c r="DA341" s="22"/>
      <c r="DB341" s="22"/>
      <c r="DC341" s="22"/>
      <c r="DD341" s="22"/>
      <c r="DE341" s="91">
        <f>$A$42</f>
        <v>20192</v>
      </c>
      <c r="DF341" s="105"/>
      <c r="DG341" s="90" t="str">
        <f t="shared" si="608"/>
        <v/>
      </c>
      <c r="DH341" s="90" t="str">
        <f t="shared" si="608"/>
        <v/>
      </c>
      <c r="DI341" s="90" t="str">
        <f t="shared" si="608"/>
        <v/>
      </c>
      <c r="DJ341" s="22"/>
      <c r="DK341" s="22"/>
      <c r="DL341" s="22"/>
      <c r="DM341" s="22"/>
      <c r="DN341" s="22"/>
      <c r="DO341" s="22"/>
      <c r="DP341" s="22"/>
    </row>
    <row r="342" spans="1:120" x14ac:dyDescent="0.25">
      <c r="A342" s="91">
        <f>$A$43</f>
        <v>20202</v>
      </c>
      <c r="B342" s="105"/>
      <c r="C342" s="90">
        <f t="shared" si="599"/>
        <v>1.1266693646297046</v>
      </c>
      <c r="D342" s="90">
        <f t="shared" si="599"/>
        <v>1.0328663793103448</v>
      </c>
      <c r="E342" s="22"/>
      <c r="F342" s="22"/>
      <c r="G342" s="22"/>
      <c r="H342" s="22"/>
      <c r="I342" s="22"/>
      <c r="J342" s="22"/>
      <c r="K342" s="22"/>
      <c r="L342" s="22"/>
      <c r="M342" s="91">
        <f>$A$43</f>
        <v>20202</v>
      </c>
      <c r="N342" s="105"/>
      <c r="O342" s="90" t="str">
        <f t="shared" si="600"/>
        <v/>
      </c>
      <c r="P342" s="90" t="str">
        <f t="shared" si="600"/>
        <v/>
      </c>
      <c r="Q342" s="22"/>
      <c r="R342" s="22"/>
      <c r="S342" s="22"/>
      <c r="T342" s="22"/>
      <c r="U342" s="22"/>
      <c r="V342" s="22"/>
      <c r="W342" s="22"/>
      <c r="X342" s="22"/>
      <c r="Y342" s="91">
        <f>$A$43</f>
        <v>20202</v>
      </c>
      <c r="Z342" s="105"/>
      <c r="AA342" s="90" t="str">
        <f t="shared" si="601"/>
        <v/>
      </c>
      <c r="AB342" s="90" t="str">
        <f t="shared" si="601"/>
        <v/>
      </c>
      <c r="AC342" s="22"/>
      <c r="AD342" s="22"/>
      <c r="AE342" s="22"/>
      <c r="AF342" s="22"/>
      <c r="AG342" s="22"/>
      <c r="AH342" s="22"/>
      <c r="AI342" s="22"/>
      <c r="AJ342" s="22"/>
      <c r="AK342" s="91">
        <f>$A$43</f>
        <v>20202</v>
      </c>
      <c r="AL342" s="105"/>
      <c r="AM342" s="90" t="str">
        <f t="shared" si="602"/>
        <v/>
      </c>
      <c r="AN342" s="90" t="str">
        <f t="shared" si="602"/>
        <v/>
      </c>
      <c r="AO342" s="22"/>
      <c r="AP342" s="22"/>
      <c r="AQ342" s="22"/>
      <c r="AR342" s="22"/>
      <c r="AS342" s="22"/>
      <c r="AT342" s="22"/>
      <c r="AU342" s="22"/>
      <c r="AV342" s="22"/>
      <c r="AW342" s="91">
        <f>$A$43</f>
        <v>20202</v>
      </c>
      <c r="AX342" s="105"/>
      <c r="AY342" s="90" t="str">
        <f t="shared" si="603"/>
        <v/>
      </c>
      <c r="AZ342" s="90" t="str">
        <f t="shared" si="603"/>
        <v/>
      </c>
      <c r="BA342" s="22"/>
      <c r="BB342" s="22"/>
      <c r="BC342" s="22"/>
      <c r="BD342" s="22"/>
      <c r="BE342" s="22"/>
      <c r="BF342" s="22"/>
      <c r="BG342" s="22"/>
      <c r="BH342" s="22"/>
      <c r="BI342" s="91">
        <f>$A$43</f>
        <v>20202</v>
      </c>
      <c r="BJ342" s="105"/>
      <c r="BK342" s="90" t="str">
        <f t="shared" si="604"/>
        <v/>
      </c>
      <c r="BL342" s="90" t="str">
        <f t="shared" si="604"/>
        <v/>
      </c>
      <c r="BM342" s="22"/>
      <c r="BN342" s="22"/>
      <c r="BO342" s="22"/>
      <c r="BP342" s="22"/>
      <c r="BQ342" s="22"/>
      <c r="BR342" s="22"/>
      <c r="BS342" s="22"/>
      <c r="BT342" s="22"/>
      <c r="BU342" s="91">
        <f>$A$43</f>
        <v>20202</v>
      </c>
      <c r="BV342" s="105"/>
      <c r="BW342" s="90" t="str">
        <f t="shared" si="605"/>
        <v/>
      </c>
      <c r="BX342" s="90" t="str">
        <f t="shared" si="605"/>
        <v/>
      </c>
      <c r="BY342" s="22"/>
      <c r="BZ342" s="22"/>
      <c r="CA342" s="22"/>
      <c r="CB342" s="22"/>
      <c r="CC342" s="22"/>
      <c r="CD342" s="22"/>
      <c r="CE342" s="22"/>
      <c r="CF342" s="22"/>
      <c r="CG342" s="91">
        <f>$A$43</f>
        <v>20202</v>
      </c>
      <c r="CH342" s="105"/>
      <c r="CI342" s="90" t="str">
        <f t="shared" si="606"/>
        <v/>
      </c>
      <c r="CJ342" s="90" t="str">
        <f t="shared" si="606"/>
        <v/>
      </c>
      <c r="CK342" s="22"/>
      <c r="CL342" s="22"/>
      <c r="CM342" s="22"/>
      <c r="CN342" s="22"/>
      <c r="CO342" s="22"/>
      <c r="CP342" s="22"/>
      <c r="CQ342" s="22"/>
      <c r="CR342" s="22"/>
      <c r="CS342" s="91">
        <f>$A$43</f>
        <v>20202</v>
      </c>
      <c r="CT342" s="105"/>
      <c r="CU342" s="90" t="str">
        <f t="shared" si="607"/>
        <v/>
      </c>
      <c r="CV342" s="90" t="str">
        <f t="shared" si="607"/>
        <v/>
      </c>
      <c r="CW342" s="22"/>
      <c r="CX342" s="22"/>
      <c r="CY342" s="22"/>
      <c r="CZ342" s="22"/>
      <c r="DA342" s="22"/>
      <c r="DB342" s="22"/>
      <c r="DC342" s="22"/>
      <c r="DD342" s="22"/>
      <c r="DE342" s="91">
        <f>$A$43</f>
        <v>20202</v>
      </c>
      <c r="DF342" s="105"/>
      <c r="DG342" s="90" t="str">
        <f t="shared" si="608"/>
        <v/>
      </c>
      <c r="DH342" s="90" t="str">
        <f t="shared" si="608"/>
        <v/>
      </c>
      <c r="DI342" s="22"/>
      <c r="DJ342" s="22"/>
      <c r="DK342" s="22"/>
      <c r="DL342" s="22"/>
      <c r="DM342" s="22"/>
      <c r="DN342" s="22"/>
      <c r="DO342" s="22"/>
      <c r="DP342" s="22"/>
    </row>
    <row r="343" spans="1:120" x14ac:dyDescent="0.25">
      <c r="A343" s="91">
        <f>$A$44</f>
        <v>20212</v>
      </c>
      <c r="B343" s="105"/>
      <c r="C343" s="90">
        <f t="shared" si="599"/>
        <v>1.1648351648351649</v>
      </c>
      <c r="D343" s="22"/>
      <c r="E343" s="22"/>
      <c r="F343" s="22"/>
      <c r="G343" s="22"/>
      <c r="H343" s="22"/>
      <c r="I343" s="22"/>
      <c r="J343" s="22"/>
      <c r="K343" s="22"/>
      <c r="L343" s="22"/>
      <c r="M343" s="91">
        <f>$A$44</f>
        <v>20212</v>
      </c>
      <c r="N343" s="105"/>
      <c r="O343" s="90" t="str">
        <f t="shared" si="600"/>
        <v/>
      </c>
      <c r="P343" s="22"/>
      <c r="Q343" s="22"/>
      <c r="R343" s="22"/>
      <c r="S343" s="22"/>
      <c r="T343" s="22"/>
      <c r="U343" s="22"/>
      <c r="V343" s="22"/>
      <c r="W343" s="22"/>
      <c r="X343" s="22"/>
      <c r="Y343" s="91">
        <f>$A$44</f>
        <v>20212</v>
      </c>
      <c r="Z343" s="105"/>
      <c r="AA343" s="90" t="str">
        <f t="shared" si="601"/>
        <v/>
      </c>
      <c r="AB343" s="22"/>
      <c r="AC343" s="22"/>
      <c r="AD343" s="22"/>
      <c r="AE343" s="22"/>
      <c r="AF343" s="22"/>
      <c r="AG343" s="22"/>
      <c r="AH343" s="22"/>
      <c r="AI343" s="22"/>
      <c r="AJ343" s="22"/>
      <c r="AK343" s="91">
        <f>$A$44</f>
        <v>20212</v>
      </c>
      <c r="AL343" s="105"/>
      <c r="AM343" s="90" t="str">
        <f t="shared" si="602"/>
        <v/>
      </c>
      <c r="AN343" s="22"/>
      <c r="AO343" s="22"/>
      <c r="AP343" s="22"/>
      <c r="AQ343" s="22"/>
      <c r="AR343" s="22"/>
      <c r="AS343" s="22"/>
      <c r="AT343" s="22"/>
      <c r="AU343" s="22"/>
      <c r="AV343" s="22"/>
      <c r="AW343" s="91">
        <f>$A$44</f>
        <v>20212</v>
      </c>
      <c r="AX343" s="105"/>
      <c r="AY343" s="90" t="str">
        <f t="shared" si="603"/>
        <v/>
      </c>
      <c r="AZ343" s="22"/>
      <c r="BA343" s="22"/>
      <c r="BB343" s="22"/>
      <c r="BC343" s="22"/>
      <c r="BD343" s="22"/>
      <c r="BE343" s="22"/>
      <c r="BF343" s="22"/>
      <c r="BG343" s="22"/>
      <c r="BH343" s="22"/>
      <c r="BI343" s="91">
        <f>$A$44</f>
        <v>20212</v>
      </c>
      <c r="BJ343" s="105"/>
      <c r="BK343" s="90" t="str">
        <f t="shared" si="604"/>
        <v/>
      </c>
      <c r="BL343" s="22"/>
      <c r="BM343" s="22"/>
      <c r="BN343" s="22"/>
      <c r="BO343" s="22"/>
      <c r="BP343" s="22"/>
      <c r="BQ343" s="22"/>
      <c r="BR343" s="22"/>
      <c r="BS343" s="22"/>
      <c r="BT343" s="22"/>
      <c r="BU343" s="91">
        <f>$A$44</f>
        <v>20212</v>
      </c>
      <c r="BV343" s="105"/>
      <c r="BW343" s="90" t="str">
        <f t="shared" si="605"/>
        <v/>
      </c>
      <c r="BX343" s="22"/>
      <c r="BY343" s="22"/>
      <c r="BZ343" s="22"/>
      <c r="CA343" s="22"/>
      <c r="CB343" s="22"/>
      <c r="CC343" s="22"/>
      <c r="CD343" s="22"/>
      <c r="CE343" s="22"/>
      <c r="CF343" s="22"/>
      <c r="CG343" s="91">
        <f>$A$44</f>
        <v>20212</v>
      </c>
      <c r="CH343" s="105"/>
      <c r="CI343" s="90" t="str">
        <f t="shared" si="606"/>
        <v/>
      </c>
      <c r="CJ343" s="22"/>
      <c r="CK343" s="22"/>
      <c r="CL343" s="22"/>
      <c r="CM343" s="22"/>
      <c r="CN343" s="22"/>
      <c r="CO343" s="22"/>
      <c r="CP343" s="22"/>
      <c r="CQ343" s="22"/>
      <c r="CR343" s="22"/>
      <c r="CS343" s="91">
        <f>$A$44</f>
        <v>20212</v>
      </c>
      <c r="CT343" s="105"/>
      <c r="CU343" s="90" t="str">
        <f t="shared" si="607"/>
        <v/>
      </c>
      <c r="CV343" s="22"/>
      <c r="CW343" s="22"/>
      <c r="CX343" s="22"/>
      <c r="CY343" s="22"/>
      <c r="CZ343" s="22"/>
      <c r="DA343" s="22"/>
      <c r="DB343" s="22"/>
      <c r="DC343" s="22"/>
      <c r="DD343" s="22"/>
      <c r="DE343" s="91">
        <f>$A$44</f>
        <v>20212</v>
      </c>
      <c r="DF343" s="105"/>
      <c r="DG343" s="90" t="str">
        <f t="shared" si="608"/>
        <v/>
      </c>
      <c r="DH343" s="22"/>
      <c r="DI343" s="22"/>
      <c r="DJ343" s="22"/>
      <c r="DK343" s="22"/>
      <c r="DL343" s="22"/>
      <c r="DM343" s="22"/>
      <c r="DN343" s="22"/>
      <c r="DO343" s="22"/>
      <c r="DP343" s="22"/>
    </row>
    <row r="344" spans="1:120" x14ac:dyDescent="0.25">
      <c r="A344" s="108"/>
      <c r="B344" s="108"/>
      <c r="C344" s="108"/>
      <c r="D344" s="108"/>
      <c r="E344" s="108"/>
      <c r="F344" s="108"/>
      <c r="G344" s="108"/>
      <c r="H344" s="108"/>
      <c r="I344" s="108"/>
      <c r="J344" s="108"/>
      <c r="K344" s="108"/>
      <c r="L344" s="109" t="s">
        <v>38</v>
      </c>
      <c r="M344" s="108"/>
      <c r="N344" s="108"/>
      <c r="O344" s="108"/>
      <c r="P344" s="108"/>
      <c r="Q344" s="108"/>
      <c r="R344" s="108"/>
      <c r="S344" s="108"/>
      <c r="T344" s="108"/>
      <c r="U344" s="108"/>
      <c r="V344" s="108"/>
      <c r="W344" s="108"/>
      <c r="X344" s="109" t="s">
        <v>38</v>
      </c>
      <c r="Y344" s="108"/>
      <c r="Z344" s="108"/>
      <c r="AA344" s="108"/>
      <c r="AB344" s="108"/>
      <c r="AC344" s="108"/>
      <c r="AD344" s="108"/>
      <c r="AE344" s="108"/>
      <c r="AF344" s="108"/>
      <c r="AG344" s="108"/>
      <c r="AH344" s="108"/>
      <c r="AI344" s="108"/>
      <c r="AJ344" s="109" t="s">
        <v>38</v>
      </c>
      <c r="AK344" s="108"/>
      <c r="AL344" s="108"/>
      <c r="AM344" s="108"/>
      <c r="AN344" s="108"/>
      <c r="AO344" s="108"/>
      <c r="AP344" s="108"/>
      <c r="AQ344" s="108"/>
      <c r="AR344" s="108"/>
      <c r="AS344" s="108"/>
      <c r="AT344" s="108"/>
      <c r="AU344" s="108"/>
      <c r="AV344" s="109" t="s">
        <v>38</v>
      </c>
      <c r="AW344" s="108"/>
      <c r="AX344" s="108"/>
      <c r="AY344" s="108"/>
      <c r="AZ344" s="108"/>
      <c r="BA344" s="108"/>
      <c r="BB344" s="108"/>
      <c r="BC344" s="108"/>
      <c r="BD344" s="108"/>
      <c r="BE344" s="108"/>
      <c r="BF344" s="108"/>
      <c r="BG344" s="108"/>
      <c r="BH344" s="109" t="s">
        <v>38</v>
      </c>
      <c r="BI344" s="108"/>
      <c r="BJ344" s="108"/>
      <c r="BK344" s="108"/>
      <c r="BL344" s="108"/>
      <c r="BM344" s="108"/>
      <c r="BN344" s="108"/>
      <c r="BO344" s="108"/>
      <c r="BP344" s="108"/>
      <c r="BQ344" s="108"/>
      <c r="BR344" s="108"/>
      <c r="BS344" s="108"/>
      <c r="BT344" s="109" t="s">
        <v>38</v>
      </c>
      <c r="BU344" s="108"/>
      <c r="BV344" s="108"/>
      <c r="BW344" s="108"/>
      <c r="BX344" s="108"/>
      <c r="BY344" s="108"/>
      <c r="BZ344" s="108"/>
      <c r="CA344" s="108"/>
      <c r="CB344" s="108"/>
      <c r="CC344" s="108"/>
      <c r="CD344" s="108"/>
      <c r="CE344" s="108"/>
      <c r="CF344" s="109" t="s">
        <v>38</v>
      </c>
      <c r="CG344" s="108"/>
      <c r="CH344" s="108"/>
      <c r="CI344" s="108"/>
      <c r="CJ344" s="108"/>
      <c r="CK344" s="108"/>
      <c r="CL344" s="108"/>
      <c r="CM344" s="108"/>
      <c r="CN344" s="108"/>
      <c r="CO344" s="108"/>
      <c r="CP344" s="108"/>
      <c r="CQ344" s="108"/>
      <c r="CR344" s="109" t="s">
        <v>38</v>
      </c>
      <c r="CS344" s="108"/>
      <c r="CT344" s="108"/>
      <c r="CU344" s="108"/>
      <c r="CV344" s="108"/>
      <c r="CW344" s="108"/>
      <c r="CX344" s="108"/>
      <c r="CY344" s="108"/>
      <c r="CZ344" s="108"/>
      <c r="DA344" s="108"/>
      <c r="DB344" s="108"/>
      <c r="DC344" s="108"/>
      <c r="DD344" s="109" t="s">
        <v>38</v>
      </c>
      <c r="DE344" s="108"/>
      <c r="DF344" s="108"/>
      <c r="DG344" s="108"/>
      <c r="DH344" s="108"/>
      <c r="DI344" s="108"/>
      <c r="DJ344" s="108"/>
      <c r="DK344" s="108"/>
      <c r="DL344" s="108"/>
      <c r="DM344" s="108"/>
      <c r="DN344" s="108"/>
      <c r="DO344" s="108"/>
      <c r="DP344" s="109" t="s">
        <v>38</v>
      </c>
    </row>
    <row r="345" spans="1:120" x14ac:dyDescent="0.25">
      <c r="A345" s="11" t="s">
        <v>37</v>
      </c>
      <c r="B345" s="107"/>
      <c r="C345" s="93">
        <f>IFERROR(SUM(D328:D330)/SUM(C328:C330),1)</f>
        <v>1.1399188278186696</v>
      </c>
      <c r="D345" s="93">
        <f>IFERROR(SUM(E327:E329)/SUM(D327:D329),1)</f>
        <v>1.0285042609462238</v>
      </c>
      <c r="E345" s="93">
        <f>IFERROR(SUM(F326:F328)/SUM(E326:E328),1)</f>
        <v>1.0106225557552055</v>
      </c>
      <c r="F345" s="93">
        <f>IFERROR(SUM(G325:G327)/SUM(F325:F327),1)</f>
        <v>1.006347110795166</v>
      </c>
      <c r="G345" s="93">
        <f>IFERROR(SUM(H324:H326)/SUM(G324:G326),1)</f>
        <v>1.003471712874676</v>
      </c>
      <c r="H345" s="93">
        <f>IFERROR(SUM(I323:I325)/SUM(H323:H325),1)</f>
        <v>1.0028427192079596</v>
      </c>
      <c r="I345" s="93">
        <f>IFERROR(SUM(J322:J324)/SUM(I322:I324),1)</f>
        <v>1.0014914243102162</v>
      </c>
      <c r="J345" s="93">
        <f>IFERROR(SUM(K322:K323)/SUM(J322:J323),1)</f>
        <v>1.0024130303639653</v>
      </c>
      <c r="K345" s="93">
        <f>IFERROR(SUM(L322:L322)/SUM(K322:K322),1)</f>
        <v>1.0005179334455523</v>
      </c>
      <c r="L345" s="93">
        <v>1</v>
      </c>
      <c r="M345" s="285" t="s">
        <v>37</v>
      </c>
      <c r="N345" s="107"/>
      <c r="O345" s="93">
        <f>IFERROR(SUM(P328:P330)/SUM(O328:O330),1)</f>
        <v>1</v>
      </c>
      <c r="P345" s="93">
        <f>IFERROR(SUM(Q327:Q329)/SUM(P327:P329),1)</f>
        <v>1</v>
      </c>
      <c r="Q345" s="93">
        <f>IFERROR(SUM(R326:R328)/SUM(Q326:Q328),1)</f>
        <v>1</v>
      </c>
      <c r="R345" s="93">
        <f>IFERROR(SUM(S325:S327)/SUM(R325:R327),1)</f>
        <v>1</v>
      </c>
      <c r="S345" s="93">
        <f>IFERROR(SUM(T324:T326)/SUM(S324:S326),1)</f>
        <v>1</v>
      </c>
      <c r="T345" s="93">
        <f>IFERROR(SUM(U323:U325)/SUM(T323:T325),1)</f>
        <v>1</v>
      </c>
      <c r="U345" s="93">
        <f>IFERROR(SUM(V322:V324)/SUM(U322:U324),1)</f>
        <v>1</v>
      </c>
      <c r="V345" s="93">
        <f>IFERROR(SUM(W322:W323)/SUM(V322:V323),1)</f>
        <v>1</v>
      </c>
      <c r="W345" s="93">
        <f>IFERROR(SUM(X322:X322)/SUM(W322:W322),1)</f>
        <v>1</v>
      </c>
      <c r="X345" s="93">
        <v>1</v>
      </c>
      <c r="Y345" s="285" t="s">
        <v>37</v>
      </c>
      <c r="Z345" s="107"/>
      <c r="AA345" s="93">
        <f>IFERROR(SUM(AB328:AB330)/SUM(AA328:AA330),1)</f>
        <v>1</v>
      </c>
      <c r="AB345" s="93">
        <f>IFERROR(SUM(AC327:AC329)/SUM(AB327:AB329),1)</f>
        <v>1</v>
      </c>
      <c r="AC345" s="93">
        <f>IFERROR(SUM(AD326:AD328)/SUM(AC326:AC328),1)</f>
        <v>1</v>
      </c>
      <c r="AD345" s="93">
        <f>IFERROR(SUM(AE325:AE327)/SUM(AD325:AD327),1)</f>
        <v>1</v>
      </c>
      <c r="AE345" s="93">
        <f>IFERROR(SUM(AF324:AF326)/SUM(AE324:AE326),1)</f>
        <v>1</v>
      </c>
      <c r="AF345" s="93">
        <f>IFERROR(SUM(AG323:AG325)/SUM(AF323:AF325),1)</f>
        <v>1</v>
      </c>
      <c r="AG345" s="93">
        <f>IFERROR(SUM(AH322:AH324)/SUM(AG322:AG324),1)</f>
        <v>1</v>
      </c>
      <c r="AH345" s="93">
        <f>IFERROR(SUM(AI322:AI323)/SUM(AH322:AH323),1)</f>
        <v>1</v>
      </c>
      <c r="AI345" s="93">
        <f>IFERROR(SUM(AJ322:AJ322)/SUM(AI322:AI322),1)</f>
        <v>1</v>
      </c>
      <c r="AJ345" s="93">
        <v>1</v>
      </c>
      <c r="AK345" s="285" t="s">
        <v>37</v>
      </c>
      <c r="AL345" s="107"/>
      <c r="AM345" s="93">
        <f>IFERROR(SUM(AN328:AN330)/SUM(AM328:AM330),1)</f>
        <v>1</v>
      </c>
      <c r="AN345" s="93">
        <f>IFERROR(SUM(AO327:AO329)/SUM(AN327:AN329),1)</f>
        <v>1</v>
      </c>
      <c r="AO345" s="93">
        <f>IFERROR(SUM(AP326:AP328)/SUM(AO326:AO328),1)</f>
        <v>1</v>
      </c>
      <c r="AP345" s="93">
        <f>IFERROR(SUM(AQ325:AQ327)/SUM(AP325:AP327),1)</f>
        <v>1</v>
      </c>
      <c r="AQ345" s="93">
        <f>IFERROR(SUM(AR324:AR326)/SUM(AQ324:AQ326),1)</f>
        <v>1</v>
      </c>
      <c r="AR345" s="93">
        <f>IFERROR(SUM(AS323:AS325)/SUM(AR323:AR325),1)</f>
        <v>1</v>
      </c>
      <c r="AS345" s="93">
        <f>IFERROR(SUM(AT322:AT324)/SUM(AS322:AS324),1)</f>
        <v>1</v>
      </c>
      <c r="AT345" s="93">
        <f>IFERROR(SUM(AU322:AU323)/SUM(AT322:AT323),1)</f>
        <v>1</v>
      </c>
      <c r="AU345" s="93">
        <f>IFERROR(SUM(AV322:AV322)/SUM(AU322:AU322),1)</f>
        <v>1</v>
      </c>
      <c r="AV345" s="93">
        <v>1</v>
      </c>
      <c r="AW345" s="285" t="s">
        <v>37</v>
      </c>
      <c r="AX345" s="107"/>
      <c r="AY345" s="93">
        <f>IFERROR(SUM(AZ328:AZ330)/SUM(AY328:AY330),1)</f>
        <v>1</v>
      </c>
      <c r="AZ345" s="93">
        <f>IFERROR(SUM(BA327:BA329)/SUM(AZ327:AZ329),1)</f>
        <v>1</v>
      </c>
      <c r="BA345" s="93">
        <f>IFERROR(SUM(BB326:BB328)/SUM(BA326:BA328),1)</f>
        <v>1</v>
      </c>
      <c r="BB345" s="93">
        <f>IFERROR(SUM(BC325:BC327)/SUM(BB325:BB327),1)</f>
        <v>1</v>
      </c>
      <c r="BC345" s="93">
        <f>IFERROR(SUM(BD324:BD326)/SUM(BC324:BC326),1)</f>
        <v>1</v>
      </c>
      <c r="BD345" s="93">
        <f>IFERROR(SUM(BE323:BE325)/SUM(BD323:BD325),1)</f>
        <v>1</v>
      </c>
      <c r="BE345" s="93">
        <f>IFERROR(SUM(BF322:BF324)/SUM(BE322:BE324),1)</f>
        <v>1</v>
      </c>
      <c r="BF345" s="93">
        <f>IFERROR(SUM(BG322:BG323)/SUM(BF322:BF323),1)</f>
        <v>1</v>
      </c>
      <c r="BG345" s="93">
        <f>IFERROR(SUM(BH322:BH322)/SUM(BG322:BG322),1)</f>
        <v>1</v>
      </c>
      <c r="BH345" s="93">
        <v>1</v>
      </c>
      <c r="BI345" s="285" t="s">
        <v>37</v>
      </c>
      <c r="BJ345" s="107"/>
      <c r="BK345" s="93">
        <f>IFERROR(SUM(BL328:BL330)/SUM(BK328:BK330),1)</f>
        <v>1</v>
      </c>
      <c r="BL345" s="93">
        <f>IFERROR(SUM(BM327:BM329)/SUM(BL327:BL329),1)</f>
        <v>1</v>
      </c>
      <c r="BM345" s="93">
        <f>IFERROR(SUM(BN326:BN328)/SUM(BM326:BM328),1)</f>
        <v>1</v>
      </c>
      <c r="BN345" s="93">
        <f>IFERROR(SUM(BO325:BO327)/SUM(BN325:BN327),1)</f>
        <v>1</v>
      </c>
      <c r="BO345" s="93">
        <f>IFERROR(SUM(BP324:BP326)/SUM(BO324:BO326),1)</f>
        <v>1</v>
      </c>
      <c r="BP345" s="93">
        <f>IFERROR(SUM(BQ323:BQ325)/SUM(BP323:BP325),1)</f>
        <v>1</v>
      </c>
      <c r="BQ345" s="93">
        <f>IFERROR(SUM(BR322:BR324)/SUM(BQ322:BQ324),1)</f>
        <v>1</v>
      </c>
      <c r="BR345" s="93">
        <f>IFERROR(SUM(BS322:BS323)/SUM(BR322:BR323),1)</f>
        <v>1</v>
      </c>
      <c r="BS345" s="93">
        <f>IFERROR(SUM(BT322:BT322)/SUM(BS322:BS322),1)</f>
        <v>1</v>
      </c>
      <c r="BT345" s="93">
        <v>1</v>
      </c>
      <c r="BU345" s="285" t="s">
        <v>37</v>
      </c>
      <c r="BV345" s="107"/>
      <c r="BW345" s="93">
        <f>IFERROR(SUM(BX328:BX330)/SUM(BW328:BW330),1)</f>
        <v>1</v>
      </c>
      <c r="BX345" s="93">
        <f>IFERROR(SUM(BY327:BY329)/SUM(BX327:BX329),1)</f>
        <v>1</v>
      </c>
      <c r="BY345" s="93">
        <f>IFERROR(SUM(BZ326:BZ328)/SUM(BY326:BY328),1)</f>
        <v>1</v>
      </c>
      <c r="BZ345" s="93">
        <f>IFERROR(SUM(CA325:CA327)/SUM(BZ325:BZ327),1)</f>
        <v>1</v>
      </c>
      <c r="CA345" s="93">
        <f>IFERROR(SUM(CB324:CB326)/SUM(CA324:CA326),1)</f>
        <v>1</v>
      </c>
      <c r="CB345" s="93">
        <f>IFERROR(SUM(CC323:CC325)/SUM(CB323:CB325),1)</f>
        <v>1</v>
      </c>
      <c r="CC345" s="93">
        <f>IFERROR(SUM(CD322:CD324)/SUM(CC322:CC324),1)</f>
        <v>1</v>
      </c>
      <c r="CD345" s="93">
        <f>IFERROR(SUM(CE322:CE323)/SUM(CD322:CD323),1)</f>
        <v>1</v>
      </c>
      <c r="CE345" s="93">
        <f>IFERROR(SUM(CF322:CF322)/SUM(CE322:CE322),1)</f>
        <v>1</v>
      </c>
      <c r="CF345" s="93">
        <v>1</v>
      </c>
      <c r="CG345" s="285" t="s">
        <v>37</v>
      </c>
      <c r="CH345" s="107"/>
      <c r="CI345" s="93">
        <f>IFERROR(SUM(CJ328:CJ330)/SUM(CI328:CI330),1)</f>
        <v>1</v>
      </c>
      <c r="CJ345" s="93">
        <f>IFERROR(SUM(CK327:CK329)/SUM(CJ327:CJ329),1)</f>
        <v>1</v>
      </c>
      <c r="CK345" s="93">
        <f>IFERROR(SUM(CL326:CL328)/SUM(CK326:CK328),1)</f>
        <v>1</v>
      </c>
      <c r="CL345" s="93">
        <f>IFERROR(SUM(CM325:CM327)/SUM(CL325:CL327),1)</f>
        <v>1</v>
      </c>
      <c r="CM345" s="93">
        <f>IFERROR(SUM(CN324:CN326)/SUM(CM324:CM326),1)</f>
        <v>1</v>
      </c>
      <c r="CN345" s="93">
        <f>IFERROR(SUM(CO323:CO325)/SUM(CN323:CN325),1)</f>
        <v>1</v>
      </c>
      <c r="CO345" s="93">
        <f>IFERROR(SUM(CP322:CP324)/SUM(CO322:CO324),1)</f>
        <v>1</v>
      </c>
      <c r="CP345" s="93">
        <f>IFERROR(SUM(CQ322:CQ323)/SUM(CP322:CP323),1)</f>
        <v>1</v>
      </c>
      <c r="CQ345" s="93">
        <f>IFERROR(SUM(CR322:CR322)/SUM(CQ322:CQ322),1)</f>
        <v>1</v>
      </c>
      <c r="CR345" s="93">
        <v>1</v>
      </c>
      <c r="CS345" s="285" t="s">
        <v>37</v>
      </c>
      <c r="CT345" s="107"/>
      <c r="CU345" s="93">
        <f>IFERROR(SUM(CV328:CV330)/SUM(CU328:CU330),1)</f>
        <v>1</v>
      </c>
      <c r="CV345" s="93">
        <f>IFERROR(SUM(CW327:CW329)/SUM(CV327:CV329),1)</f>
        <v>1</v>
      </c>
      <c r="CW345" s="93">
        <f>IFERROR(SUM(CX326:CX328)/SUM(CW326:CW328),1)</f>
        <v>1</v>
      </c>
      <c r="CX345" s="93">
        <f>IFERROR(SUM(CY325:CY327)/SUM(CX325:CX327),1)</f>
        <v>1</v>
      </c>
      <c r="CY345" s="93">
        <f>IFERROR(SUM(CZ324:CZ326)/SUM(CY324:CY326),1)</f>
        <v>1</v>
      </c>
      <c r="CZ345" s="93">
        <f>IFERROR(SUM(DA323:DA325)/SUM(CZ323:CZ325),1)</f>
        <v>1</v>
      </c>
      <c r="DA345" s="93">
        <f>IFERROR(SUM(DB322:DB324)/SUM(DA322:DA324),1)</f>
        <v>1</v>
      </c>
      <c r="DB345" s="93">
        <f>IFERROR(SUM(DC322:DC323)/SUM(DB322:DB323),1)</f>
        <v>1</v>
      </c>
      <c r="DC345" s="93">
        <f>IFERROR(SUM(DD322:DD322)/SUM(DC322:DC322),1)</f>
        <v>1</v>
      </c>
      <c r="DD345" s="93">
        <v>1</v>
      </c>
      <c r="DE345" s="285" t="s">
        <v>37</v>
      </c>
      <c r="DF345" s="107"/>
      <c r="DG345" s="93">
        <f>IFERROR(SUM(DH328:DH330)/SUM(DG328:DG330),1)</f>
        <v>1</v>
      </c>
      <c r="DH345" s="93">
        <f>IFERROR(SUM(DI327:DI329)/SUM(DH327:DH329),1)</f>
        <v>1</v>
      </c>
      <c r="DI345" s="93">
        <f>IFERROR(SUM(DJ326:DJ328)/SUM(DI326:DI328),1)</f>
        <v>1</v>
      </c>
      <c r="DJ345" s="93">
        <f>IFERROR(SUM(DK325:DK327)/SUM(DJ325:DJ327),1)</f>
        <v>1</v>
      </c>
      <c r="DK345" s="93">
        <f>IFERROR(SUM(DL324:DL326)/SUM(DK324:DK326),1)</f>
        <v>1</v>
      </c>
      <c r="DL345" s="93">
        <f>IFERROR(SUM(DM323:DM325)/SUM(DL323:DL325),1)</f>
        <v>1</v>
      </c>
      <c r="DM345" s="93">
        <f>IFERROR(SUM(DN322:DN324)/SUM(DM322:DM324),1)</f>
        <v>1</v>
      </c>
      <c r="DN345" s="93">
        <f>IFERROR(SUM(DO322:DO323)/SUM(DN322:DN323),1)</f>
        <v>1</v>
      </c>
      <c r="DO345" s="93">
        <f>IFERROR(SUM(DP322:DP322)/SUM(DO322:DO322),1)</f>
        <v>1</v>
      </c>
      <c r="DP345" s="93">
        <v>1</v>
      </c>
    </row>
    <row r="346" spans="1:120" ht="15.75" thickBot="1" x14ac:dyDescent="0.3">
      <c r="A346" s="11" t="s">
        <v>40</v>
      </c>
      <c r="B346" s="107"/>
      <c r="C346" s="93">
        <f>IF(C345=0,1,C345)</f>
        <v>1.1399188278186696</v>
      </c>
      <c r="D346" s="93">
        <f t="shared" ref="D346:K346" si="609">IF(D345=0,1,D345)</f>
        <v>1.0285042609462238</v>
      </c>
      <c r="E346" s="93">
        <f t="shared" si="609"/>
        <v>1.0106225557552055</v>
      </c>
      <c r="F346" s="93">
        <f t="shared" si="609"/>
        <v>1.006347110795166</v>
      </c>
      <c r="G346" s="93">
        <f t="shared" si="609"/>
        <v>1.003471712874676</v>
      </c>
      <c r="H346" s="93">
        <f t="shared" si="609"/>
        <v>1.0028427192079596</v>
      </c>
      <c r="I346" s="93">
        <f t="shared" si="609"/>
        <v>1.0014914243102162</v>
      </c>
      <c r="J346" s="93">
        <f t="shared" si="609"/>
        <v>1.0024130303639653</v>
      </c>
      <c r="K346" s="93">
        <f t="shared" si="609"/>
        <v>1.0005179334455523</v>
      </c>
      <c r="L346" s="93">
        <f>IF(L345=0,1,L345)</f>
        <v>1</v>
      </c>
      <c r="M346" s="285" t="s">
        <v>40</v>
      </c>
      <c r="N346" s="107"/>
      <c r="O346" s="93">
        <f>IF(O345=0,1,O345)</f>
        <v>1</v>
      </c>
      <c r="P346" s="93">
        <f t="shared" ref="P346:W346" si="610">IF(P345=0,1,P345)</f>
        <v>1</v>
      </c>
      <c r="Q346" s="93">
        <f t="shared" si="610"/>
        <v>1</v>
      </c>
      <c r="R346" s="93">
        <f t="shared" si="610"/>
        <v>1</v>
      </c>
      <c r="S346" s="93">
        <f t="shared" si="610"/>
        <v>1</v>
      </c>
      <c r="T346" s="93">
        <f t="shared" si="610"/>
        <v>1</v>
      </c>
      <c r="U346" s="93">
        <f t="shared" si="610"/>
        <v>1</v>
      </c>
      <c r="V346" s="93">
        <f t="shared" si="610"/>
        <v>1</v>
      </c>
      <c r="W346" s="93">
        <f t="shared" si="610"/>
        <v>1</v>
      </c>
      <c r="X346" s="93">
        <f>IF(X345=0,1,X345)</f>
        <v>1</v>
      </c>
      <c r="Y346" s="285" t="s">
        <v>40</v>
      </c>
      <c r="Z346" s="107"/>
      <c r="AA346" s="93">
        <f>IF(AA345=0,1,AA345)</f>
        <v>1</v>
      </c>
      <c r="AB346" s="93">
        <f t="shared" ref="AB346:AI346" si="611">IF(AB345=0,1,AB345)</f>
        <v>1</v>
      </c>
      <c r="AC346" s="93">
        <f t="shared" si="611"/>
        <v>1</v>
      </c>
      <c r="AD346" s="93">
        <f t="shared" si="611"/>
        <v>1</v>
      </c>
      <c r="AE346" s="93">
        <f t="shared" si="611"/>
        <v>1</v>
      </c>
      <c r="AF346" s="93">
        <f t="shared" si="611"/>
        <v>1</v>
      </c>
      <c r="AG346" s="93">
        <f t="shared" si="611"/>
        <v>1</v>
      </c>
      <c r="AH346" s="93">
        <f t="shared" si="611"/>
        <v>1</v>
      </c>
      <c r="AI346" s="93">
        <f t="shared" si="611"/>
        <v>1</v>
      </c>
      <c r="AJ346" s="93">
        <f>IF(AJ345=0,1,AJ345)</f>
        <v>1</v>
      </c>
      <c r="AK346" s="285" t="s">
        <v>40</v>
      </c>
      <c r="AL346" s="107"/>
      <c r="AM346" s="93">
        <f>IF(AM345=0,1,AM345)</f>
        <v>1</v>
      </c>
      <c r="AN346" s="93">
        <f t="shared" ref="AN346:AU346" si="612">IF(AN345=0,1,AN345)</f>
        <v>1</v>
      </c>
      <c r="AO346" s="93">
        <f t="shared" si="612"/>
        <v>1</v>
      </c>
      <c r="AP346" s="93">
        <f t="shared" si="612"/>
        <v>1</v>
      </c>
      <c r="AQ346" s="93">
        <f t="shared" si="612"/>
        <v>1</v>
      </c>
      <c r="AR346" s="93">
        <f t="shared" si="612"/>
        <v>1</v>
      </c>
      <c r="AS346" s="93">
        <f t="shared" si="612"/>
        <v>1</v>
      </c>
      <c r="AT346" s="93">
        <f t="shared" si="612"/>
        <v>1</v>
      </c>
      <c r="AU346" s="93">
        <f t="shared" si="612"/>
        <v>1</v>
      </c>
      <c r="AV346" s="93">
        <f>IF(AV345=0,1,AV345)</f>
        <v>1</v>
      </c>
      <c r="AW346" s="285" t="s">
        <v>40</v>
      </c>
      <c r="AX346" s="107"/>
      <c r="AY346" s="93">
        <f>IF(AY345=0,1,AY345)</f>
        <v>1</v>
      </c>
      <c r="AZ346" s="93">
        <f t="shared" ref="AZ346:BG346" si="613">IF(AZ345=0,1,AZ345)</f>
        <v>1</v>
      </c>
      <c r="BA346" s="93">
        <f t="shared" si="613"/>
        <v>1</v>
      </c>
      <c r="BB346" s="93">
        <f t="shared" si="613"/>
        <v>1</v>
      </c>
      <c r="BC346" s="93">
        <f t="shared" si="613"/>
        <v>1</v>
      </c>
      <c r="BD346" s="93">
        <f t="shared" si="613"/>
        <v>1</v>
      </c>
      <c r="BE346" s="93">
        <f t="shared" si="613"/>
        <v>1</v>
      </c>
      <c r="BF346" s="93">
        <f t="shared" si="613"/>
        <v>1</v>
      </c>
      <c r="BG346" s="93">
        <f t="shared" si="613"/>
        <v>1</v>
      </c>
      <c r="BH346" s="93">
        <f>IF(BH345=0,1,BH345)</f>
        <v>1</v>
      </c>
      <c r="BI346" s="285" t="s">
        <v>40</v>
      </c>
      <c r="BJ346" s="107"/>
      <c r="BK346" s="93">
        <f>IF(BK345=0,1,BK345)</f>
        <v>1</v>
      </c>
      <c r="BL346" s="93">
        <f t="shared" ref="BL346:BS346" si="614">IF(BL345=0,1,BL345)</f>
        <v>1</v>
      </c>
      <c r="BM346" s="93">
        <f t="shared" si="614"/>
        <v>1</v>
      </c>
      <c r="BN346" s="93">
        <f t="shared" si="614"/>
        <v>1</v>
      </c>
      <c r="BO346" s="93">
        <f t="shared" si="614"/>
        <v>1</v>
      </c>
      <c r="BP346" s="93">
        <f t="shared" si="614"/>
        <v>1</v>
      </c>
      <c r="BQ346" s="93">
        <f t="shared" si="614"/>
        <v>1</v>
      </c>
      <c r="BR346" s="93">
        <f t="shared" si="614"/>
        <v>1</v>
      </c>
      <c r="BS346" s="93">
        <f t="shared" si="614"/>
        <v>1</v>
      </c>
      <c r="BT346" s="93">
        <f>IF(BT345=0,1,BT345)</f>
        <v>1</v>
      </c>
      <c r="BU346" s="285" t="s">
        <v>40</v>
      </c>
      <c r="BV346" s="107"/>
      <c r="BW346" s="93">
        <f>IF(BW345=0,1,BW345)</f>
        <v>1</v>
      </c>
      <c r="BX346" s="93">
        <f t="shared" ref="BX346:CE346" si="615">IF(BX345=0,1,BX345)</f>
        <v>1</v>
      </c>
      <c r="BY346" s="93">
        <f t="shared" si="615"/>
        <v>1</v>
      </c>
      <c r="BZ346" s="93">
        <f t="shared" si="615"/>
        <v>1</v>
      </c>
      <c r="CA346" s="93">
        <f t="shared" si="615"/>
        <v>1</v>
      </c>
      <c r="CB346" s="93">
        <f t="shared" si="615"/>
        <v>1</v>
      </c>
      <c r="CC346" s="93">
        <f t="shared" si="615"/>
        <v>1</v>
      </c>
      <c r="CD346" s="93">
        <f t="shared" si="615"/>
        <v>1</v>
      </c>
      <c r="CE346" s="93">
        <f t="shared" si="615"/>
        <v>1</v>
      </c>
      <c r="CF346" s="93">
        <f>IF(CF345=0,1,CF345)</f>
        <v>1</v>
      </c>
      <c r="CG346" s="285" t="s">
        <v>40</v>
      </c>
      <c r="CH346" s="107"/>
      <c r="CI346" s="93">
        <f>IF(CI345=0,1,CI345)</f>
        <v>1</v>
      </c>
      <c r="CJ346" s="93">
        <f t="shared" ref="CJ346:CQ346" si="616">IF(CJ345=0,1,CJ345)</f>
        <v>1</v>
      </c>
      <c r="CK346" s="93">
        <f t="shared" si="616"/>
        <v>1</v>
      </c>
      <c r="CL346" s="93">
        <f t="shared" si="616"/>
        <v>1</v>
      </c>
      <c r="CM346" s="93">
        <f t="shared" si="616"/>
        <v>1</v>
      </c>
      <c r="CN346" s="93">
        <f t="shared" si="616"/>
        <v>1</v>
      </c>
      <c r="CO346" s="93">
        <f t="shared" si="616"/>
        <v>1</v>
      </c>
      <c r="CP346" s="93">
        <f t="shared" si="616"/>
        <v>1</v>
      </c>
      <c r="CQ346" s="93">
        <f t="shared" si="616"/>
        <v>1</v>
      </c>
      <c r="CR346" s="93">
        <f>IF(CR345=0,1,CR345)</f>
        <v>1</v>
      </c>
      <c r="CS346" s="285" t="s">
        <v>40</v>
      </c>
      <c r="CT346" s="107"/>
      <c r="CU346" s="93">
        <f>IF(CU345=0,1,CU345)</f>
        <v>1</v>
      </c>
      <c r="CV346" s="93">
        <f t="shared" ref="CV346:DC346" si="617">IF(CV345=0,1,CV345)</f>
        <v>1</v>
      </c>
      <c r="CW346" s="93">
        <f t="shared" si="617"/>
        <v>1</v>
      </c>
      <c r="CX346" s="93">
        <f t="shared" si="617"/>
        <v>1</v>
      </c>
      <c r="CY346" s="93">
        <f t="shared" si="617"/>
        <v>1</v>
      </c>
      <c r="CZ346" s="93">
        <f t="shared" si="617"/>
        <v>1</v>
      </c>
      <c r="DA346" s="93">
        <f t="shared" si="617"/>
        <v>1</v>
      </c>
      <c r="DB346" s="93">
        <f t="shared" si="617"/>
        <v>1</v>
      </c>
      <c r="DC346" s="93">
        <f t="shared" si="617"/>
        <v>1</v>
      </c>
      <c r="DD346" s="93">
        <f>IF(DD345=0,1,DD345)</f>
        <v>1</v>
      </c>
      <c r="DE346" s="285" t="s">
        <v>40</v>
      </c>
      <c r="DF346" s="107"/>
      <c r="DG346" s="93">
        <f>IF(DG345=0,1,DG345)</f>
        <v>1</v>
      </c>
      <c r="DH346" s="93">
        <f t="shared" ref="DH346:DO346" si="618">IF(DH345=0,1,DH345)</f>
        <v>1</v>
      </c>
      <c r="DI346" s="93">
        <f t="shared" si="618"/>
        <v>1</v>
      </c>
      <c r="DJ346" s="93">
        <f t="shared" si="618"/>
        <v>1</v>
      </c>
      <c r="DK346" s="93">
        <f t="shared" si="618"/>
        <v>1</v>
      </c>
      <c r="DL346" s="93">
        <f t="shared" si="618"/>
        <v>1</v>
      </c>
      <c r="DM346" s="93">
        <f t="shared" si="618"/>
        <v>1</v>
      </c>
      <c r="DN346" s="93">
        <f t="shared" si="618"/>
        <v>1</v>
      </c>
      <c r="DO346" s="93">
        <f t="shared" si="618"/>
        <v>1</v>
      </c>
      <c r="DP346" s="93">
        <f>IF(DP345=0,1,DP345)</f>
        <v>1</v>
      </c>
    </row>
    <row r="347" spans="1:120" ht="15.75" thickBot="1" x14ac:dyDescent="0.3">
      <c r="A347" s="111" t="s">
        <v>39</v>
      </c>
      <c r="B347" s="115"/>
      <c r="C347" s="113">
        <f>PRODUCT(C346:L346)</f>
        <v>1.205240145184471</v>
      </c>
      <c r="D347" s="113">
        <f>PRODUCT(D346:L346)</f>
        <v>1.057303481416128</v>
      </c>
      <c r="E347" s="113">
        <f>PRODUCT(E346:L346)</f>
        <v>1.0280010706454528</v>
      </c>
      <c r="F347" s="113">
        <f>PRODUCT(F346:L346)</f>
        <v>1.017195851004197</v>
      </c>
      <c r="G347" s="113">
        <f>PRODUCT(G346:L346)</f>
        <v>1.010780316346771</v>
      </c>
      <c r="H347" s="113">
        <f>PRODUCT(H346:L346)</f>
        <v>1.0072833178836278</v>
      </c>
      <c r="I347" s="113">
        <f>PRODUCT(I346:L346)</f>
        <v>1.0044280110835082</v>
      </c>
      <c r="J347" s="113">
        <f>PRODUCT(J346:L346)</f>
        <v>1.0029322135986483</v>
      </c>
      <c r="K347" s="113">
        <f>PRODUCT(K346:L346)</f>
        <v>1.0005179334455523</v>
      </c>
      <c r="L347" s="114">
        <f>PRODUCT(L346:L346)</f>
        <v>1</v>
      </c>
      <c r="M347" s="111" t="s">
        <v>39</v>
      </c>
      <c r="N347" s="115"/>
      <c r="O347" s="113">
        <f>PRODUCT(O346:X346)</f>
        <v>1</v>
      </c>
      <c r="P347" s="113">
        <f>PRODUCT(P346:X346)</f>
        <v>1</v>
      </c>
      <c r="Q347" s="113">
        <f>PRODUCT(Q346:X346)</f>
        <v>1</v>
      </c>
      <c r="R347" s="113">
        <f>PRODUCT(R346:X346)</f>
        <v>1</v>
      </c>
      <c r="S347" s="113">
        <f>PRODUCT(S346:X346)</f>
        <v>1</v>
      </c>
      <c r="T347" s="113">
        <f>PRODUCT(T346:X346)</f>
        <v>1</v>
      </c>
      <c r="U347" s="113">
        <f>PRODUCT(U346:X346)</f>
        <v>1</v>
      </c>
      <c r="V347" s="113">
        <f>PRODUCT(V346:X346)</f>
        <v>1</v>
      </c>
      <c r="W347" s="113">
        <f>PRODUCT(W346:X346)</f>
        <v>1</v>
      </c>
      <c r="X347" s="114">
        <f>PRODUCT(X346:X346)</f>
        <v>1</v>
      </c>
      <c r="Y347" s="111" t="s">
        <v>39</v>
      </c>
      <c r="Z347" s="115"/>
      <c r="AA347" s="113">
        <f>PRODUCT(AA346:AJ346)</f>
        <v>1</v>
      </c>
      <c r="AB347" s="113">
        <f>PRODUCT(AB346:AJ346)</f>
        <v>1</v>
      </c>
      <c r="AC347" s="113">
        <f>PRODUCT(AC346:AJ346)</f>
        <v>1</v>
      </c>
      <c r="AD347" s="113">
        <f>PRODUCT(AD346:AJ346)</f>
        <v>1</v>
      </c>
      <c r="AE347" s="113">
        <f>PRODUCT(AE346:AJ346)</f>
        <v>1</v>
      </c>
      <c r="AF347" s="113">
        <f>PRODUCT(AF346:AJ346)</f>
        <v>1</v>
      </c>
      <c r="AG347" s="113">
        <f>PRODUCT(AG346:AJ346)</f>
        <v>1</v>
      </c>
      <c r="AH347" s="113">
        <f>PRODUCT(AH346:AJ346)</f>
        <v>1</v>
      </c>
      <c r="AI347" s="113">
        <f>PRODUCT(AI346:AJ346)</f>
        <v>1</v>
      </c>
      <c r="AJ347" s="114">
        <f>PRODUCT(AJ346:AJ346)</f>
        <v>1</v>
      </c>
      <c r="AK347" s="111" t="s">
        <v>39</v>
      </c>
      <c r="AL347" s="115"/>
      <c r="AM347" s="113">
        <f>PRODUCT(AM346:AV346)</f>
        <v>1</v>
      </c>
      <c r="AN347" s="113">
        <f>PRODUCT(AN346:AV346)</f>
        <v>1</v>
      </c>
      <c r="AO347" s="113">
        <f>PRODUCT(AO346:AV346)</f>
        <v>1</v>
      </c>
      <c r="AP347" s="113">
        <f>PRODUCT(AP346:AV346)</f>
        <v>1</v>
      </c>
      <c r="AQ347" s="113">
        <f>PRODUCT(AQ346:AV346)</f>
        <v>1</v>
      </c>
      <c r="AR347" s="113">
        <f>PRODUCT(AR346:AV346)</f>
        <v>1</v>
      </c>
      <c r="AS347" s="113">
        <f>PRODUCT(AS346:AV346)</f>
        <v>1</v>
      </c>
      <c r="AT347" s="113">
        <f>PRODUCT(AT346:AV346)</f>
        <v>1</v>
      </c>
      <c r="AU347" s="113">
        <f>PRODUCT(AU346:AV346)</f>
        <v>1</v>
      </c>
      <c r="AV347" s="114">
        <f>PRODUCT(AV346:AV346)</f>
        <v>1</v>
      </c>
      <c r="AW347" s="111" t="s">
        <v>39</v>
      </c>
      <c r="AX347" s="115"/>
      <c r="AY347" s="113">
        <f>PRODUCT(AY346:BH346)</f>
        <v>1</v>
      </c>
      <c r="AZ347" s="113">
        <f>PRODUCT(AZ346:BH346)</f>
        <v>1</v>
      </c>
      <c r="BA347" s="113">
        <f>PRODUCT(BA346:BH346)</f>
        <v>1</v>
      </c>
      <c r="BB347" s="113">
        <f>PRODUCT(BB346:BH346)</f>
        <v>1</v>
      </c>
      <c r="BC347" s="113">
        <f>PRODUCT(BC346:BH346)</f>
        <v>1</v>
      </c>
      <c r="BD347" s="113">
        <f>PRODUCT(BD346:BH346)</f>
        <v>1</v>
      </c>
      <c r="BE347" s="113">
        <f>PRODUCT(BE346:BH346)</f>
        <v>1</v>
      </c>
      <c r="BF347" s="113">
        <f>PRODUCT(BF346:BH346)</f>
        <v>1</v>
      </c>
      <c r="BG347" s="113">
        <f>PRODUCT(BG346:BH346)</f>
        <v>1</v>
      </c>
      <c r="BH347" s="114">
        <f>PRODUCT(BH346:BH346)</f>
        <v>1</v>
      </c>
      <c r="BI347" s="111" t="s">
        <v>39</v>
      </c>
      <c r="BJ347" s="115"/>
      <c r="BK347" s="113">
        <f>PRODUCT(BK346:BT346)</f>
        <v>1</v>
      </c>
      <c r="BL347" s="113">
        <f>PRODUCT(BL346:BT346)</f>
        <v>1</v>
      </c>
      <c r="BM347" s="113">
        <f>PRODUCT(BM346:BT346)</f>
        <v>1</v>
      </c>
      <c r="BN347" s="113">
        <f>PRODUCT(BN346:BT346)</f>
        <v>1</v>
      </c>
      <c r="BO347" s="113">
        <f>PRODUCT(BO346:BT346)</f>
        <v>1</v>
      </c>
      <c r="BP347" s="113">
        <f>PRODUCT(BP346:BT346)</f>
        <v>1</v>
      </c>
      <c r="BQ347" s="113">
        <f>PRODUCT(BQ346:BT346)</f>
        <v>1</v>
      </c>
      <c r="BR347" s="113">
        <f>PRODUCT(BR346:BT346)</f>
        <v>1</v>
      </c>
      <c r="BS347" s="113">
        <f>PRODUCT(BS346:BT346)</f>
        <v>1</v>
      </c>
      <c r="BT347" s="114">
        <f>PRODUCT(BT346:BT346)</f>
        <v>1</v>
      </c>
      <c r="BU347" s="111" t="s">
        <v>39</v>
      </c>
      <c r="BV347" s="115"/>
      <c r="BW347" s="113">
        <f>PRODUCT(BW346:CF346)</f>
        <v>1</v>
      </c>
      <c r="BX347" s="113">
        <f>PRODUCT(BX346:CF346)</f>
        <v>1</v>
      </c>
      <c r="BY347" s="113">
        <f>PRODUCT(BY346:CF346)</f>
        <v>1</v>
      </c>
      <c r="BZ347" s="113">
        <f>PRODUCT(BZ346:CF346)</f>
        <v>1</v>
      </c>
      <c r="CA347" s="113">
        <f>PRODUCT(CA346:CF346)</f>
        <v>1</v>
      </c>
      <c r="CB347" s="113">
        <f>PRODUCT(CB346:CF346)</f>
        <v>1</v>
      </c>
      <c r="CC347" s="113">
        <f>PRODUCT(CC346:CF346)</f>
        <v>1</v>
      </c>
      <c r="CD347" s="113">
        <f>PRODUCT(CD346:CF346)</f>
        <v>1</v>
      </c>
      <c r="CE347" s="113">
        <f>PRODUCT(CE346:CF346)</f>
        <v>1</v>
      </c>
      <c r="CF347" s="114">
        <f>PRODUCT(CF346:CF346)</f>
        <v>1</v>
      </c>
      <c r="CG347" s="111" t="s">
        <v>39</v>
      </c>
      <c r="CH347" s="115"/>
      <c r="CI347" s="113">
        <f>PRODUCT(CI346:CR346)</f>
        <v>1</v>
      </c>
      <c r="CJ347" s="113">
        <f>PRODUCT(CJ346:CR346)</f>
        <v>1</v>
      </c>
      <c r="CK347" s="113">
        <f>PRODUCT(CK346:CR346)</f>
        <v>1</v>
      </c>
      <c r="CL347" s="113">
        <f>PRODUCT(CL346:CR346)</f>
        <v>1</v>
      </c>
      <c r="CM347" s="113">
        <f>PRODUCT(CM346:CR346)</f>
        <v>1</v>
      </c>
      <c r="CN347" s="113">
        <f>PRODUCT(CN346:CR346)</f>
        <v>1</v>
      </c>
      <c r="CO347" s="113">
        <f>PRODUCT(CO346:CR346)</f>
        <v>1</v>
      </c>
      <c r="CP347" s="113">
        <f>PRODUCT(CP346:CR346)</f>
        <v>1</v>
      </c>
      <c r="CQ347" s="113">
        <f>PRODUCT(CQ346:CR346)</f>
        <v>1</v>
      </c>
      <c r="CR347" s="114">
        <f>PRODUCT(CR346:CR346)</f>
        <v>1</v>
      </c>
      <c r="CS347" s="111" t="s">
        <v>39</v>
      </c>
      <c r="CT347" s="115"/>
      <c r="CU347" s="113">
        <f>PRODUCT(CU346:DD346)</f>
        <v>1</v>
      </c>
      <c r="CV347" s="113">
        <f>PRODUCT(CV346:DD346)</f>
        <v>1</v>
      </c>
      <c r="CW347" s="113">
        <f>PRODUCT(CW346:DD346)</f>
        <v>1</v>
      </c>
      <c r="CX347" s="113">
        <f>PRODUCT(CX346:DD346)</f>
        <v>1</v>
      </c>
      <c r="CY347" s="113">
        <f>PRODUCT(CY346:DD346)</f>
        <v>1</v>
      </c>
      <c r="CZ347" s="113">
        <f>PRODUCT(CZ346:DD346)</f>
        <v>1</v>
      </c>
      <c r="DA347" s="113">
        <f>PRODUCT(DA346:DD346)</f>
        <v>1</v>
      </c>
      <c r="DB347" s="113">
        <f>PRODUCT(DB346:DD346)</f>
        <v>1</v>
      </c>
      <c r="DC347" s="113">
        <f>PRODUCT(DC346:DD346)</f>
        <v>1</v>
      </c>
      <c r="DD347" s="114">
        <f>PRODUCT(DD346:DD346)</f>
        <v>1</v>
      </c>
      <c r="DE347" s="111" t="s">
        <v>39</v>
      </c>
      <c r="DF347" s="115"/>
      <c r="DG347" s="113">
        <f>PRODUCT(DG346:DP346)</f>
        <v>1</v>
      </c>
      <c r="DH347" s="113">
        <f>PRODUCT(DH346:DP346)</f>
        <v>1</v>
      </c>
      <c r="DI347" s="113">
        <f>PRODUCT(DI346:DP346)</f>
        <v>1</v>
      </c>
      <c r="DJ347" s="113">
        <f>PRODUCT(DJ346:DP346)</f>
        <v>1</v>
      </c>
      <c r="DK347" s="113">
        <f>PRODUCT(DK346:DP346)</f>
        <v>1</v>
      </c>
      <c r="DL347" s="113">
        <f>PRODUCT(DL346:DP346)</f>
        <v>1</v>
      </c>
      <c r="DM347" s="113">
        <f>PRODUCT(DM346:DP346)</f>
        <v>1</v>
      </c>
      <c r="DN347" s="113">
        <f>PRODUCT(DN346:DP346)</f>
        <v>1</v>
      </c>
      <c r="DO347" s="113">
        <f>PRODUCT(DO346:DP346)</f>
        <v>1</v>
      </c>
      <c r="DP347" s="114">
        <f>PRODUCT(DP346:DP346)</f>
        <v>1</v>
      </c>
    </row>
    <row r="348" spans="1:120" x14ac:dyDescent="0.25">
      <c r="A348" s="95" t="s">
        <v>208</v>
      </c>
      <c r="B348" s="106"/>
      <c r="C348" s="99">
        <f>C347*C331</f>
        <v>5258.4627534398469</v>
      </c>
      <c r="D348" s="99">
        <f>D347*D330</f>
        <v>5491.6342824753683</v>
      </c>
      <c r="E348" s="99">
        <f>E347*E329</f>
        <v>5912.0341572819989</v>
      </c>
      <c r="F348" s="99">
        <f>F347*F328</f>
        <v>6142.8457442143454</v>
      </c>
      <c r="G348" s="99">
        <f>G347*G327</f>
        <v>5949.4529420170938</v>
      </c>
      <c r="H348" s="99">
        <f>H347*H326</f>
        <v>7353.1682205504831</v>
      </c>
      <c r="I348" s="99">
        <f>I347*I325</f>
        <v>6739.7119543703402</v>
      </c>
      <c r="J348" s="99">
        <f>J347*J324</f>
        <v>6588.2617111295203</v>
      </c>
      <c r="K348" s="99">
        <f>K347*K323</f>
        <v>7235.745694678234</v>
      </c>
      <c r="L348" s="99">
        <f>L347*L322</f>
        <v>7727</v>
      </c>
      <c r="M348" s="95" t="s">
        <v>208</v>
      </c>
      <c r="N348" s="106"/>
      <c r="O348" s="99">
        <f>O347*O331</f>
        <v>0</v>
      </c>
      <c r="P348" s="99">
        <f>P347*P330</f>
        <v>0</v>
      </c>
      <c r="Q348" s="99">
        <f>Q347*Q329</f>
        <v>0</v>
      </c>
      <c r="R348" s="99">
        <f>R347*R328</f>
        <v>0</v>
      </c>
      <c r="S348" s="99">
        <f>S347*S327</f>
        <v>0</v>
      </c>
      <c r="T348" s="99">
        <f>T347*T326</f>
        <v>0</v>
      </c>
      <c r="U348" s="99">
        <f>U347*U325</f>
        <v>0</v>
      </c>
      <c r="V348" s="99">
        <f>V347*V324</f>
        <v>0</v>
      </c>
      <c r="W348" s="99">
        <f>W347*W323</f>
        <v>0</v>
      </c>
      <c r="X348" s="99">
        <f>X347*X322</f>
        <v>0</v>
      </c>
      <c r="Y348" s="95" t="s">
        <v>208</v>
      </c>
      <c r="Z348" s="106"/>
      <c r="AA348" s="99">
        <f>AA347*AA331</f>
        <v>0</v>
      </c>
      <c r="AB348" s="99">
        <f>AB347*AB330</f>
        <v>0</v>
      </c>
      <c r="AC348" s="99">
        <f>AC347*AC329</f>
        <v>0</v>
      </c>
      <c r="AD348" s="99">
        <f>AD347*AD328</f>
        <v>0</v>
      </c>
      <c r="AE348" s="99">
        <f>AE347*AE327</f>
        <v>0</v>
      </c>
      <c r="AF348" s="99">
        <f>AF347*AF326</f>
        <v>0</v>
      </c>
      <c r="AG348" s="99">
        <f>AG347*AG325</f>
        <v>0</v>
      </c>
      <c r="AH348" s="99">
        <f>AH347*AH324</f>
        <v>0</v>
      </c>
      <c r="AI348" s="99">
        <f>AI347*AI323</f>
        <v>0</v>
      </c>
      <c r="AJ348" s="99">
        <f>AJ347*AJ322</f>
        <v>0</v>
      </c>
      <c r="AK348" s="95" t="s">
        <v>208</v>
      </c>
      <c r="AL348" s="106"/>
      <c r="AM348" s="99">
        <f>AM347*AM331</f>
        <v>0</v>
      </c>
      <c r="AN348" s="99">
        <f>AN347*AN330</f>
        <v>0</v>
      </c>
      <c r="AO348" s="99">
        <f>AO347*AO329</f>
        <v>0</v>
      </c>
      <c r="AP348" s="99">
        <f>AP347*AP328</f>
        <v>0</v>
      </c>
      <c r="AQ348" s="99">
        <f>AQ347*AQ327</f>
        <v>0</v>
      </c>
      <c r="AR348" s="99">
        <f>AR347*AR326</f>
        <v>0</v>
      </c>
      <c r="AS348" s="99">
        <f>AS347*AS325</f>
        <v>0</v>
      </c>
      <c r="AT348" s="99">
        <f>AT347*AT324</f>
        <v>0</v>
      </c>
      <c r="AU348" s="99">
        <f>AU347*AU323</f>
        <v>0</v>
      </c>
      <c r="AV348" s="99">
        <f>AV347*AV322</f>
        <v>0</v>
      </c>
      <c r="AW348" s="95" t="s">
        <v>208</v>
      </c>
      <c r="AX348" s="106"/>
      <c r="AY348" s="99">
        <f>AY347*AY331</f>
        <v>0</v>
      </c>
      <c r="AZ348" s="99">
        <f>AZ347*AZ330</f>
        <v>0</v>
      </c>
      <c r="BA348" s="99">
        <f>BA347*BA329</f>
        <v>0</v>
      </c>
      <c r="BB348" s="99">
        <f>BB347*BB328</f>
        <v>0</v>
      </c>
      <c r="BC348" s="99">
        <f>BC347*BC327</f>
        <v>0</v>
      </c>
      <c r="BD348" s="99">
        <f>BD347*BD326</f>
        <v>0</v>
      </c>
      <c r="BE348" s="99">
        <f>BE347*BE325</f>
        <v>0</v>
      </c>
      <c r="BF348" s="99">
        <f>BF347*BF324</f>
        <v>0</v>
      </c>
      <c r="BG348" s="99">
        <f>BG347*BG323</f>
        <v>0</v>
      </c>
      <c r="BH348" s="99">
        <f>BH347*BH322</f>
        <v>0</v>
      </c>
      <c r="BI348" s="95" t="s">
        <v>208</v>
      </c>
      <c r="BJ348" s="106"/>
      <c r="BK348" s="99">
        <f>BK347*BK331</f>
        <v>0</v>
      </c>
      <c r="BL348" s="99">
        <f>BL347*BL330</f>
        <v>0</v>
      </c>
      <c r="BM348" s="99">
        <f>BM347*BM329</f>
        <v>0</v>
      </c>
      <c r="BN348" s="99">
        <f>BN347*BN328</f>
        <v>0</v>
      </c>
      <c r="BO348" s="99">
        <f>BO347*BO327</f>
        <v>0</v>
      </c>
      <c r="BP348" s="99">
        <f>BP347*BP326</f>
        <v>0</v>
      </c>
      <c r="BQ348" s="99">
        <f>BQ347*BQ325</f>
        <v>0</v>
      </c>
      <c r="BR348" s="99">
        <f>BR347*BR324</f>
        <v>0</v>
      </c>
      <c r="BS348" s="99">
        <f>BS347*BS323</f>
        <v>0</v>
      </c>
      <c r="BT348" s="99">
        <f>BT347*BT322</f>
        <v>0</v>
      </c>
      <c r="BU348" s="95" t="s">
        <v>208</v>
      </c>
      <c r="BV348" s="106"/>
      <c r="BW348" s="99">
        <f>BW347*BW331</f>
        <v>0</v>
      </c>
      <c r="BX348" s="99">
        <f>BX347*BX330</f>
        <v>0</v>
      </c>
      <c r="BY348" s="99">
        <f>BY347*BY329</f>
        <v>0</v>
      </c>
      <c r="BZ348" s="99">
        <f>BZ347*BZ328</f>
        <v>0</v>
      </c>
      <c r="CA348" s="99">
        <f>CA347*CA327</f>
        <v>0</v>
      </c>
      <c r="CB348" s="99">
        <f>CB347*CB326</f>
        <v>0</v>
      </c>
      <c r="CC348" s="99">
        <f>CC347*CC325</f>
        <v>0</v>
      </c>
      <c r="CD348" s="99">
        <f>CD347*CD324</f>
        <v>0</v>
      </c>
      <c r="CE348" s="99">
        <f>CE347*CE323</f>
        <v>0</v>
      </c>
      <c r="CF348" s="99">
        <f>CF347*CF322</f>
        <v>0</v>
      </c>
      <c r="CG348" s="95" t="s">
        <v>208</v>
      </c>
      <c r="CH348" s="106"/>
      <c r="CI348" s="99">
        <f>CI347*CI331</f>
        <v>0</v>
      </c>
      <c r="CJ348" s="99">
        <f>CJ347*CJ330</f>
        <v>0</v>
      </c>
      <c r="CK348" s="99">
        <f>CK347*CK329</f>
        <v>0</v>
      </c>
      <c r="CL348" s="99">
        <f>CL347*CL328</f>
        <v>0</v>
      </c>
      <c r="CM348" s="99">
        <f>CM347*CM327</f>
        <v>0</v>
      </c>
      <c r="CN348" s="99">
        <f>CN347*CN326</f>
        <v>0</v>
      </c>
      <c r="CO348" s="99">
        <f>CO347*CO325</f>
        <v>0</v>
      </c>
      <c r="CP348" s="99">
        <f>CP347*CP324</f>
        <v>0</v>
      </c>
      <c r="CQ348" s="99">
        <f>CQ347*CQ323</f>
        <v>0</v>
      </c>
      <c r="CR348" s="99">
        <f>CR347*CR322</f>
        <v>0</v>
      </c>
      <c r="CS348" s="95" t="s">
        <v>208</v>
      </c>
      <c r="CT348" s="106"/>
      <c r="CU348" s="99">
        <f>CU347*CU331</f>
        <v>0</v>
      </c>
      <c r="CV348" s="99">
        <f>CV347*CV330</f>
        <v>0</v>
      </c>
      <c r="CW348" s="99">
        <f>CW347*CW329</f>
        <v>0</v>
      </c>
      <c r="CX348" s="99">
        <f>CX347*CX328</f>
        <v>0</v>
      </c>
      <c r="CY348" s="99">
        <f>CY347*CY327</f>
        <v>0</v>
      </c>
      <c r="CZ348" s="99">
        <f>CZ347*CZ326</f>
        <v>0</v>
      </c>
      <c r="DA348" s="99">
        <f>DA347*DA325</f>
        <v>0</v>
      </c>
      <c r="DB348" s="99">
        <f>DB347*DB324</f>
        <v>0</v>
      </c>
      <c r="DC348" s="99">
        <f>DC347*DC323</f>
        <v>0</v>
      </c>
      <c r="DD348" s="99">
        <f>DD347*DD322</f>
        <v>0</v>
      </c>
      <c r="DE348" s="95" t="s">
        <v>208</v>
      </c>
      <c r="DF348" s="106"/>
      <c r="DG348" s="99">
        <f>DG347*DG331</f>
        <v>0</v>
      </c>
      <c r="DH348" s="99">
        <f>DH347*DH330</f>
        <v>0</v>
      </c>
      <c r="DI348" s="99">
        <f>DI347*DI329</f>
        <v>0</v>
      </c>
      <c r="DJ348" s="99">
        <f>DJ347*DJ328</f>
        <v>0</v>
      </c>
      <c r="DK348" s="99">
        <f>DK347*DK327</f>
        <v>0</v>
      </c>
      <c r="DL348" s="99">
        <f>DL347*DL326</f>
        <v>0</v>
      </c>
      <c r="DM348" s="99">
        <f>DM347*DM325</f>
        <v>0</v>
      </c>
      <c r="DN348" s="99">
        <f>DN347*DN324</f>
        <v>0</v>
      </c>
      <c r="DO348" s="99">
        <f>DO347*DO323</f>
        <v>0</v>
      </c>
      <c r="DP348" s="99">
        <f>DP347*DP322</f>
        <v>0</v>
      </c>
    </row>
    <row r="349" spans="1:120" ht="21" x14ac:dyDescent="0.35">
      <c r="A349" s="137" t="str">
        <f>Co_Name</f>
        <v>State Farm General Insurance Company</v>
      </c>
      <c r="B349" s="68"/>
      <c r="C349" s="40"/>
      <c r="D349" s="18"/>
      <c r="E349" s="18"/>
      <c r="F349" s="18"/>
      <c r="G349" s="18"/>
      <c r="H349" s="18"/>
      <c r="I349" s="18"/>
      <c r="J349" s="18"/>
      <c r="K349" s="18"/>
      <c r="L349" s="18"/>
      <c r="M349" s="137" t="str">
        <f>Co_Name</f>
        <v>State Farm General Insurance Company</v>
      </c>
      <c r="N349" s="68"/>
      <c r="O349" s="40"/>
      <c r="P349" s="18"/>
      <c r="Q349" s="18"/>
      <c r="R349" s="18"/>
      <c r="S349" s="18"/>
      <c r="T349" s="18"/>
      <c r="U349" s="18"/>
      <c r="V349" s="18"/>
      <c r="W349" s="18"/>
      <c r="X349" s="18"/>
      <c r="Y349" s="137" t="str">
        <f>Co_Name</f>
        <v>State Farm General Insurance Company</v>
      </c>
      <c r="Z349" s="68"/>
      <c r="AA349" s="40"/>
      <c r="AB349" s="18"/>
      <c r="AC349" s="18"/>
      <c r="AD349" s="18"/>
      <c r="AE349" s="18"/>
      <c r="AF349" s="18"/>
      <c r="AG349" s="18"/>
      <c r="AH349" s="18"/>
      <c r="AI349" s="18"/>
      <c r="AJ349" s="18"/>
      <c r="AK349" s="137" t="str">
        <f>Co_Name</f>
        <v>State Farm General Insurance Company</v>
      </c>
      <c r="AL349" s="68"/>
      <c r="AM349" s="40"/>
      <c r="AN349" s="18"/>
      <c r="AO349" s="18"/>
      <c r="AP349" s="18"/>
      <c r="AQ349" s="18"/>
      <c r="AR349" s="18"/>
      <c r="AS349" s="18"/>
      <c r="AT349" s="18"/>
      <c r="AU349" s="18"/>
      <c r="AV349" s="18"/>
      <c r="AW349" s="137" t="str">
        <f>Co_Name</f>
        <v>State Farm General Insurance Company</v>
      </c>
      <c r="AX349" s="68"/>
      <c r="AY349" s="40"/>
      <c r="AZ349" s="18"/>
      <c r="BA349" s="18"/>
      <c r="BB349" s="18"/>
      <c r="BC349" s="18"/>
      <c r="BD349" s="18"/>
      <c r="BE349" s="18"/>
      <c r="BF349" s="18"/>
      <c r="BG349" s="18"/>
      <c r="BH349" s="18"/>
      <c r="BI349" s="137" t="str">
        <f>Co_Name</f>
        <v>State Farm General Insurance Company</v>
      </c>
      <c r="BJ349" s="68"/>
      <c r="BK349" s="40"/>
      <c r="BL349" s="18"/>
      <c r="BM349" s="18"/>
      <c r="BN349" s="18"/>
      <c r="BO349" s="18"/>
      <c r="BP349" s="18"/>
      <c r="BQ349" s="18"/>
      <c r="BR349" s="18"/>
      <c r="BS349" s="18"/>
      <c r="BT349" s="18"/>
      <c r="BU349" s="137" t="str">
        <f>Co_Name</f>
        <v>State Farm General Insurance Company</v>
      </c>
      <c r="BV349" s="68"/>
      <c r="BW349" s="40"/>
      <c r="BX349" s="18"/>
      <c r="BY349" s="18"/>
      <c r="BZ349" s="18"/>
      <c r="CA349" s="18"/>
      <c r="CB349" s="18"/>
      <c r="CC349" s="18"/>
      <c r="CD349" s="18"/>
      <c r="CE349" s="18"/>
      <c r="CF349" s="18"/>
      <c r="CG349" s="137" t="str">
        <f>Co_Name</f>
        <v>State Farm General Insurance Company</v>
      </c>
      <c r="CH349" s="68"/>
      <c r="CI349" s="40"/>
      <c r="CJ349" s="18"/>
      <c r="CK349" s="18"/>
      <c r="CL349" s="18"/>
      <c r="CM349" s="18"/>
      <c r="CN349" s="18"/>
      <c r="CO349" s="18"/>
      <c r="CP349" s="18"/>
      <c r="CQ349" s="18"/>
      <c r="CR349" s="18"/>
      <c r="CS349" s="137" t="str">
        <f>Co_Name</f>
        <v>State Farm General Insurance Company</v>
      </c>
      <c r="CT349" s="68"/>
      <c r="CU349" s="40"/>
      <c r="CV349" s="18"/>
      <c r="CW349" s="18"/>
      <c r="CX349" s="18"/>
      <c r="CY349" s="18"/>
      <c r="CZ349" s="18"/>
      <c r="DA349" s="18"/>
      <c r="DB349" s="18"/>
      <c r="DC349" s="18"/>
      <c r="DD349" s="18"/>
      <c r="DE349" s="137" t="str">
        <f>Co_Name</f>
        <v>State Farm General Insurance Company</v>
      </c>
      <c r="DF349" s="68"/>
      <c r="DG349" s="40"/>
      <c r="DH349" s="18"/>
      <c r="DI349" s="18"/>
      <c r="DJ349" s="18"/>
      <c r="DK349" s="18"/>
      <c r="DL349" s="18"/>
      <c r="DM349" s="18"/>
      <c r="DN349" s="18"/>
      <c r="DO349" s="18"/>
      <c r="DP349" s="18"/>
    </row>
    <row r="350" spans="1:120" ht="21" x14ac:dyDescent="0.35">
      <c r="A350" s="137" t="str">
        <f>A$2</f>
        <v>Homeowners Multiple Peril</v>
      </c>
      <c r="B350" s="68"/>
      <c r="C350" s="40"/>
      <c r="D350" s="18"/>
      <c r="E350" s="18"/>
      <c r="F350" s="18"/>
      <c r="G350" s="18"/>
      <c r="H350" s="18"/>
      <c r="I350" s="18"/>
      <c r="J350" s="18"/>
      <c r="K350" s="18"/>
      <c r="L350" s="18"/>
      <c r="M350" s="137" t="str">
        <f>M$2</f>
        <v/>
      </c>
      <c r="N350" s="68"/>
      <c r="O350" s="40"/>
      <c r="P350" s="18"/>
      <c r="Q350" s="18"/>
      <c r="R350" s="18"/>
      <c r="S350" s="18"/>
      <c r="T350" s="18"/>
      <c r="U350" s="18"/>
      <c r="V350" s="18"/>
      <c r="W350" s="18"/>
      <c r="X350" s="18"/>
      <c r="Y350" s="137" t="str">
        <f>Y$2</f>
        <v/>
      </c>
      <c r="Z350" s="68"/>
      <c r="AA350" s="40"/>
      <c r="AB350" s="18"/>
      <c r="AC350" s="18"/>
      <c r="AD350" s="18"/>
      <c r="AE350" s="18"/>
      <c r="AF350" s="18"/>
      <c r="AG350" s="18"/>
      <c r="AH350" s="18"/>
      <c r="AI350" s="18"/>
      <c r="AJ350" s="18"/>
      <c r="AK350" s="137" t="str">
        <f>AK$2</f>
        <v/>
      </c>
      <c r="AL350" s="68"/>
      <c r="AM350" s="40"/>
      <c r="AN350" s="18"/>
      <c r="AO350" s="18"/>
      <c r="AP350" s="18"/>
      <c r="AQ350" s="18"/>
      <c r="AR350" s="18"/>
      <c r="AS350" s="18"/>
      <c r="AT350" s="18"/>
      <c r="AU350" s="18"/>
      <c r="AV350" s="18"/>
      <c r="AW350" s="137" t="str">
        <f>AW$2</f>
        <v/>
      </c>
      <c r="AX350" s="68"/>
      <c r="AY350" s="40"/>
      <c r="AZ350" s="18"/>
      <c r="BA350" s="18"/>
      <c r="BB350" s="18"/>
      <c r="BC350" s="18"/>
      <c r="BD350" s="18"/>
      <c r="BE350" s="18"/>
      <c r="BF350" s="18"/>
      <c r="BG350" s="18"/>
      <c r="BH350" s="18"/>
      <c r="BI350" s="137" t="str">
        <f>BI$2</f>
        <v/>
      </c>
      <c r="BJ350" s="68"/>
      <c r="BK350" s="40"/>
      <c r="BL350" s="18"/>
      <c r="BM350" s="18"/>
      <c r="BN350" s="18"/>
      <c r="BO350" s="18"/>
      <c r="BP350" s="18"/>
      <c r="BQ350" s="18"/>
      <c r="BR350" s="18"/>
      <c r="BS350" s="18"/>
      <c r="BT350" s="18"/>
      <c r="BU350" s="137" t="str">
        <f>BU$2</f>
        <v/>
      </c>
      <c r="BV350" s="68"/>
      <c r="BW350" s="40"/>
      <c r="BX350" s="18"/>
      <c r="BY350" s="18"/>
      <c r="BZ350" s="18"/>
      <c r="CA350" s="18"/>
      <c r="CB350" s="18"/>
      <c r="CC350" s="18"/>
      <c r="CD350" s="18"/>
      <c r="CE350" s="18"/>
      <c r="CF350" s="18"/>
      <c r="CG350" s="137" t="str">
        <f>CG$2</f>
        <v/>
      </c>
      <c r="CH350" s="68"/>
      <c r="CI350" s="40"/>
      <c r="CJ350" s="18"/>
      <c r="CK350" s="18"/>
      <c r="CL350" s="18"/>
      <c r="CM350" s="18"/>
      <c r="CN350" s="18"/>
      <c r="CO350" s="18"/>
      <c r="CP350" s="18"/>
      <c r="CQ350" s="18"/>
      <c r="CR350" s="18"/>
      <c r="CS350" s="137" t="str">
        <f>CS$2</f>
        <v/>
      </c>
      <c r="CT350" s="68"/>
      <c r="CU350" s="40"/>
      <c r="CV350" s="18"/>
      <c r="CW350" s="18"/>
      <c r="CX350" s="18"/>
      <c r="CY350" s="18"/>
      <c r="CZ350" s="18"/>
      <c r="DA350" s="18"/>
      <c r="DB350" s="18"/>
      <c r="DC350" s="18"/>
      <c r="DD350" s="18"/>
      <c r="DE350" s="137" t="str">
        <f>DE$2</f>
        <v/>
      </c>
      <c r="DF350" s="68"/>
      <c r="DG350" s="40"/>
      <c r="DH350" s="18"/>
      <c r="DI350" s="18"/>
      <c r="DJ350" s="18"/>
      <c r="DK350" s="18"/>
      <c r="DL350" s="18"/>
      <c r="DM350" s="18"/>
      <c r="DN350" s="18"/>
      <c r="DO350" s="18"/>
      <c r="DP350" s="18"/>
    </row>
    <row r="351" spans="1:120" ht="21" customHeight="1" x14ac:dyDescent="0.25"/>
    <row r="352" spans="1:120" ht="21" x14ac:dyDescent="0.25">
      <c r="A352" s="48" t="s">
        <v>212</v>
      </c>
      <c r="B352" s="48"/>
      <c r="C352" s="18"/>
      <c r="D352" s="18"/>
      <c r="E352" s="18"/>
      <c r="F352" s="18"/>
      <c r="G352" s="18"/>
      <c r="H352" s="18"/>
      <c r="I352" s="18"/>
      <c r="J352" s="18"/>
      <c r="K352" s="18"/>
      <c r="L352" s="18"/>
      <c r="M352" s="48" t="s">
        <v>212</v>
      </c>
      <c r="N352" s="48"/>
      <c r="O352" s="18"/>
      <c r="P352" s="18"/>
      <c r="Q352" s="18"/>
      <c r="R352" s="18"/>
      <c r="S352" s="18"/>
      <c r="T352" s="18"/>
      <c r="U352" s="18"/>
      <c r="V352" s="18"/>
      <c r="W352" s="18"/>
      <c r="X352" s="18"/>
      <c r="Y352" s="48" t="s">
        <v>212</v>
      </c>
      <c r="Z352" s="48"/>
      <c r="AA352" s="18"/>
      <c r="AB352" s="18"/>
      <c r="AC352" s="18"/>
      <c r="AD352" s="18"/>
      <c r="AE352" s="18"/>
      <c r="AF352" s="18"/>
      <c r="AG352" s="18"/>
      <c r="AH352" s="18"/>
      <c r="AI352" s="18"/>
      <c r="AJ352" s="18"/>
      <c r="AK352" s="48" t="s">
        <v>212</v>
      </c>
      <c r="AL352" s="48"/>
      <c r="AM352" s="18"/>
      <c r="AN352" s="18"/>
      <c r="AO352" s="18"/>
      <c r="AP352" s="18"/>
      <c r="AQ352" s="18"/>
      <c r="AR352" s="18"/>
      <c r="AS352" s="18"/>
      <c r="AT352" s="18"/>
      <c r="AU352" s="18"/>
      <c r="AV352" s="18"/>
      <c r="AW352" s="48" t="s">
        <v>212</v>
      </c>
      <c r="AX352" s="48"/>
      <c r="AY352" s="18"/>
      <c r="AZ352" s="18"/>
      <c r="BA352" s="18"/>
      <c r="BB352" s="18"/>
      <c r="BC352" s="18"/>
      <c r="BD352" s="18"/>
      <c r="BE352" s="18"/>
      <c r="BF352" s="18"/>
      <c r="BG352" s="18"/>
      <c r="BH352" s="18"/>
      <c r="BI352" s="48" t="s">
        <v>212</v>
      </c>
      <c r="BJ352" s="48"/>
      <c r="BK352" s="18"/>
      <c r="BL352" s="18"/>
      <c r="BM352" s="18"/>
      <c r="BN352" s="18"/>
      <c r="BO352" s="18"/>
      <c r="BP352" s="18"/>
      <c r="BQ352" s="18"/>
      <c r="BR352" s="18"/>
      <c r="BS352" s="18"/>
      <c r="BT352" s="18"/>
      <c r="BU352" s="48" t="s">
        <v>212</v>
      </c>
      <c r="BV352" s="48"/>
      <c r="BW352" s="18"/>
      <c r="BX352" s="18"/>
      <c r="BY352" s="18"/>
      <c r="BZ352" s="18"/>
      <c r="CA352" s="18"/>
      <c r="CB352" s="18"/>
      <c r="CC352" s="18"/>
      <c r="CD352" s="18"/>
      <c r="CE352" s="18"/>
      <c r="CF352" s="18"/>
      <c r="CG352" s="48" t="s">
        <v>212</v>
      </c>
      <c r="CH352" s="48"/>
      <c r="CI352" s="18"/>
      <c r="CJ352" s="18"/>
      <c r="CK352" s="18"/>
      <c r="CL352" s="18"/>
      <c r="CM352" s="18"/>
      <c r="CN352" s="18"/>
      <c r="CO352" s="18"/>
      <c r="CP352" s="18"/>
      <c r="CQ352" s="18"/>
      <c r="CR352" s="18"/>
      <c r="CS352" s="48" t="s">
        <v>212</v>
      </c>
      <c r="CT352" s="48"/>
      <c r="CU352" s="18"/>
      <c r="CV352" s="18"/>
      <c r="CW352" s="18"/>
      <c r="CX352" s="18"/>
      <c r="CY352" s="18"/>
      <c r="CZ352" s="18"/>
      <c r="DA352" s="18"/>
      <c r="DB352" s="18"/>
      <c r="DC352" s="18"/>
      <c r="DD352" s="18"/>
      <c r="DE352" s="48" t="s">
        <v>212</v>
      </c>
      <c r="DF352" s="48"/>
      <c r="DG352" s="18"/>
      <c r="DH352" s="18"/>
      <c r="DI352" s="18"/>
      <c r="DJ352" s="18"/>
      <c r="DK352" s="18"/>
      <c r="DL352" s="18"/>
      <c r="DM352" s="18"/>
      <c r="DN352" s="18"/>
      <c r="DO352" s="18"/>
      <c r="DP352" s="18"/>
    </row>
    <row r="353" spans="1:120" x14ac:dyDescent="0.25">
      <c r="A353" s="138" t="str">
        <f>A$5</f>
        <v>Rental Dwelling</v>
      </c>
      <c r="B353" s="69"/>
      <c r="C353" s="18"/>
      <c r="D353" s="18"/>
      <c r="E353" s="18"/>
      <c r="F353" s="18"/>
      <c r="G353" s="18"/>
      <c r="H353" s="18"/>
      <c r="I353" s="18"/>
      <c r="J353" s="18"/>
      <c r="K353" s="18"/>
      <c r="L353" s="18"/>
      <c r="M353" s="138">
        <f>M$5</f>
        <v>0</v>
      </c>
      <c r="N353" s="69"/>
      <c r="O353" s="18"/>
      <c r="P353" s="18"/>
      <c r="Q353" s="18"/>
      <c r="R353" s="18"/>
      <c r="S353" s="18"/>
      <c r="T353" s="18"/>
      <c r="U353" s="18"/>
      <c r="V353" s="18"/>
      <c r="W353" s="18"/>
      <c r="X353" s="18"/>
      <c r="Y353" s="138">
        <f>Y$5</f>
        <v>0</v>
      </c>
      <c r="Z353" s="69"/>
      <c r="AA353" s="18"/>
      <c r="AB353" s="18"/>
      <c r="AC353" s="18"/>
      <c r="AD353" s="18"/>
      <c r="AE353" s="18"/>
      <c r="AF353" s="18"/>
      <c r="AG353" s="18"/>
      <c r="AH353" s="18"/>
      <c r="AI353" s="18"/>
      <c r="AJ353" s="18"/>
      <c r="AK353" s="138">
        <f>AK$5</f>
        <v>0</v>
      </c>
      <c r="AL353" s="69"/>
      <c r="AM353" s="18"/>
      <c r="AN353" s="18"/>
      <c r="AO353" s="18"/>
      <c r="AP353" s="18"/>
      <c r="AQ353" s="18"/>
      <c r="AR353" s="18"/>
      <c r="AS353" s="18"/>
      <c r="AT353" s="18"/>
      <c r="AU353" s="18"/>
      <c r="AV353" s="18"/>
      <c r="AW353" s="138">
        <f>AW$5</f>
        <v>0</v>
      </c>
      <c r="AX353" s="69"/>
      <c r="AY353" s="18"/>
      <c r="AZ353" s="18"/>
      <c r="BA353" s="18"/>
      <c r="BB353" s="18"/>
      <c r="BC353" s="18"/>
      <c r="BD353" s="18"/>
      <c r="BE353" s="18"/>
      <c r="BF353" s="18"/>
      <c r="BG353" s="18"/>
      <c r="BH353" s="18"/>
      <c r="BI353" s="138">
        <f>BI$5</f>
        <v>0</v>
      </c>
      <c r="BJ353" s="69"/>
      <c r="BK353" s="18"/>
      <c r="BL353" s="18"/>
      <c r="BM353" s="18"/>
      <c r="BN353" s="18"/>
      <c r="BO353" s="18"/>
      <c r="BP353" s="18"/>
      <c r="BQ353" s="18"/>
      <c r="BR353" s="18"/>
      <c r="BS353" s="18"/>
      <c r="BT353" s="18"/>
      <c r="BU353" s="138">
        <f>BU$5</f>
        <v>0</v>
      </c>
      <c r="BV353" s="69"/>
      <c r="BW353" s="18"/>
      <c r="BX353" s="18"/>
      <c r="BY353" s="18"/>
      <c r="BZ353" s="18"/>
      <c r="CA353" s="18"/>
      <c r="CB353" s="18"/>
      <c r="CC353" s="18"/>
      <c r="CD353" s="18"/>
      <c r="CE353" s="18"/>
      <c r="CF353" s="18"/>
      <c r="CG353" s="138">
        <f>CG$5</f>
        <v>0</v>
      </c>
      <c r="CH353" s="69"/>
      <c r="CI353" s="18"/>
      <c r="CJ353" s="18"/>
      <c r="CK353" s="18"/>
      <c r="CL353" s="18"/>
      <c r="CM353" s="18"/>
      <c r="CN353" s="18"/>
      <c r="CO353" s="18"/>
      <c r="CP353" s="18"/>
      <c r="CQ353" s="18"/>
      <c r="CR353" s="18"/>
      <c r="CS353" s="138">
        <f>CS$5</f>
        <v>0</v>
      </c>
      <c r="CT353" s="69"/>
      <c r="CU353" s="18"/>
      <c r="CV353" s="18"/>
      <c r="CW353" s="18"/>
      <c r="CX353" s="18"/>
      <c r="CY353" s="18"/>
      <c r="CZ353" s="18"/>
      <c r="DA353" s="18"/>
      <c r="DB353" s="18"/>
      <c r="DC353" s="18"/>
      <c r="DD353" s="18"/>
      <c r="DE353" s="138">
        <f>DE$5</f>
        <v>0</v>
      </c>
      <c r="DF353" s="69"/>
      <c r="DG353" s="18"/>
      <c r="DH353" s="18"/>
      <c r="DI353" s="18"/>
      <c r="DJ353" s="18"/>
      <c r="DK353" s="18"/>
      <c r="DL353" s="18"/>
      <c r="DM353" s="18"/>
      <c r="DN353" s="18"/>
      <c r="DO353" s="18"/>
      <c r="DP353" s="18"/>
    </row>
    <row r="355" spans="1:120" x14ac:dyDescent="0.25">
      <c r="A355" s="102"/>
      <c r="B355" s="129"/>
      <c r="C355" s="129" t="s">
        <v>4</v>
      </c>
      <c r="D355" s="103"/>
      <c r="E355" s="103"/>
      <c r="F355" s="103"/>
      <c r="G355" s="103"/>
      <c r="H355" s="103"/>
      <c r="I355" s="103"/>
      <c r="J355" s="103"/>
      <c r="K355" s="103"/>
      <c r="L355" s="103"/>
      <c r="M355" s="102"/>
      <c r="N355" s="129"/>
      <c r="O355" s="129" t="s">
        <v>4</v>
      </c>
      <c r="P355" s="103"/>
      <c r="Q355" s="103"/>
      <c r="R355" s="103"/>
      <c r="S355" s="103"/>
      <c r="T355" s="103"/>
      <c r="U355" s="103"/>
      <c r="V355" s="103"/>
      <c r="W355" s="103"/>
      <c r="X355" s="103"/>
      <c r="Y355" s="102"/>
      <c r="Z355" s="129"/>
      <c r="AA355" s="129" t="s">
        <v>4</v>
      </c>
      <c r="AB355" s="103"/>
      <c r="AC355" s="103"/>
      <c r="AD355" s="103"/>
      <c r="AE355" s="103"/>
      <c r="AF355" s="103"/>
      <c r="AG355" s="103"/>
      <c r="AH355" s="103"/>
      <c r="AI355" s="103"/>
      <c r="AJ355" s="103"/>
      <c r="AK355" s="102"/>
      <c r="AL355" s="129"/>
      <c r="AM355" s="129" t="s">
        <v>4</v>
      </c>
      <c r="AN355" s="103"/>
      <c r="AO355" s="103"/>
      <c r="AP355" s="103"/>
      <c r="AQ355" s="103"/>
      <c r="AR355" s="103"/>
      <c r="AS355" s="103"/>
      <c r="AT355" s="103"/>
      <c r="AU355" s="103"/>
      <c r="AV355" s="103"/>
      <c r="AW355" s="102"/>
      <c r="AX355" s="129"/>
      <c r="AY355" s="129" t="s">
        <v>4</v>
      </c>
      <c r="AZ355" s="103"/>
      <c r="BA355" s="103"/>
      <c r="BB355" s="103"/>
      <c r="BC355" s="103"/>
      <c r="BD355" s="103"/>
      <c r="BE355" s="103"/>
      <c r="BF355" s="103"/>
      <c r="BG355" s="103"/>
      <c r="BH355" s="103"/>
      <c r="BI355" s="102"/>
      <c r="BJ355" s="129"/>
      <c r="BK355" s="129" t="s">
        <v>4</v>
      </c>
      <c r="BL355" s="103"/>
      <c r="BM355" s="103"/>
      <c r="BN355" s="103"/>
      <c r="BO355" s="103"/>
      <c r="BP355" s="103"/>
      <c r="BQ355" s="103"/>
      <c r="BR355" s="103"/>
      <c r="BS355" s="103"/>
      <c r="BT355" s="103"/>
      <c r="BU355" s="102"/>
      <c r="BV355" s="129"/>
      <c r="BW355" s="129" t="s">
        <v>4</v>
      </c>
      <c r="BX355" s="103"/>
      <c r="BY355" s="103"/>
      <c r="BZ355" s="103"/>
      <c r="CA355" s="103"/>
      <c r="CB355" s="103"/>
      <c r="CC355" s="103"/>
      <c r="CD355" s="103"/>
      <c r="CE355" s="103"/>
      <c r="CF355" s="103"/>
      <c r="CG355" s="102"/>
      <c r="CH355" s="129"/>
      <c r="CI355" s="129" t="s">
        <v>4</v>
      </c>
      <c r="CJ355" s="103"/>
      <c r="CK355" s="103"/>
      <c r="CL355" s="103"/>
      <c r="CM355" s="103"/>
      <c r="CN355" s="103"/>
      <c r="CO355" s="103"/>
      <c r="CP355" s="103"/>
      <c r="CQ355" s="103"/>
      <c r="CR355" s="103"/>
      <c r="CS355" s="102"/>
      <c r="CT355" s="129"/>
      <c r="CU355" s="129" t="s">
        <v>4</v>
      </c>
      <c r="CV355" s="103"/>
      <c r="CW355" s="103"/>
      <c r="CX355" s="103"/>
      <c r="CY355" s="103"/>
      <c r="CZ355" s="103"/>
      <c r="DA355" s="103"/>
      <c r="DB355" s="103"/>
      <c r="DC355" s="103"/>
      <c r="DD355" s="103"/>
      <c r="DE355" s="102"/>
      <c r="DF355" s="129"/>
      <c r="DG355" s="129" t="s">
        <v>4</v>
      </c>
      <c r="DH355" s="103"/>
      <c r="DI355" s="103"/>
      <c r="DJ355" s="103"/>
      <c r="DK355" s="103"/>
      <c r="DL355" s="103"/>
      <c r="DM355" s="103"/>
      <c r="DN355" s="103"/>
      <c r="DO355" s="103"/>
      <c r="DP355" s="103"/>
    </row>
    <row r="356" spans="1:120" ht="30" x14ac:dyDescent="0.25">
      <c r="A356" s="92" t="str">
        <f>$A$35</f>
        <v>Fiscal Accident Year Data Ending</v>
      </c>
      <c r="B356" s="98">
        <f>$B$35</f>
        <v>0</v>
      </c>
      <c r="C356" s="98" t="str">
        <f>$C$35</f>
        <v>12</v>
      </c>
      <c r="D356" s="98">
        <f>$D$35</f>
        <v>24</v>
      </c>
      <c r="E356" s="98">
        <f>$E$35</f>
        <v>36</v>
      </c>
      <c r="F356" s="98">
        <f>$F$35</f>
        <v>48</v>
      </c>
      <c r="G356" s="98">
        <f>$G$35</f>
        <v>60</v>
      </c>
      <c r="H356" s="98">
        <f>$H$35</f>
        <v>72</v>
      </c>
      <c r="I356" s="98">
        <f>$I$35</f>
        <v>84</v>
      </c>
      <c r="J356" s="98">
        <f>$J$35</f>
        <v>96</v>
      </c>
      <c r="K356" s="98">
        <f>$K$35</f>
        <v>108</v>
      </c>
      <c r="L356" s="98">
        <f>$L$35</f>
        <v>120</v>
      </c>
      <c r="M356" s="92" t="str">
        <f>$A$35</f>
        <v>Fiscal Accident Year Data Ending</v>
      </c>
      <c r="N356" s="98">
        <f>$B$35</f>
        <v>0</v>
      </c>
      <c r="O356" s="98" t="str">
        <f>$C$35</f>
        <v>12</v>
      </c>
      <c r="P356" s="98">
        <f>$D$35</f>
        <v>24</v>
      </c>
      <c r="Q356" s="98">
        <f>$E$35</f>
        <v>36</v>
      </c>
      <c r="R356" s="98">
        <f>$F$35</f>
        <v>48</v>
      </c>
      <c r="S356" s="98">
        <f>$G$35</f>
        <v>60</v>
      </c>
      <c r="T356" s="98">
        <f>$H$35</f>
        <v>72</v>
      </c>
      <c r="U356" s="98">
        <f>$I$35</f>
        <v>84</v>
      </c>
      <c r="V356" s="98">
        <f>$J$35</f>
        <v>96</v>
      </c>
      <c r="W356" s="98">
        <f>$K$35</f>
        <v>108</v>
      </c>
      <c r="X356" s="98">
        <f>$L$35</f>
        <v>120</v>
      </c>
      <c r="Y356" s="92" t="str">
        <f>$A$35</f>
        <v>Fiscal Accident Year Data Ending</v>
      </c>
      <c r="Z356" s="98">
        <f>$B$35</f>
        <v>0</v>
      </c>
      <c r="AA356" s="98" t="str">
        <f>$C$35</f>
        <v>12</v>
      </c>
      <c r="AB356" s="98">
        <f>$D$35</f>
        <v>24</v>
      </c>
      <c r="AC356" s="98">
        <f>$E$35</f>
        <v>36</v>
      </c>
      <c r="AD356" s="98">
        <f>$F$35</f>
        <v>48</v>
      </c>
      <c r="AE356" s="98">
        <f>$G$35</f>
        <v>60</v>
      </c>
      <c r="AF356" s="98">
        <f>$H$35</f>
        <v>72</v>
      </c>
      <c r="AG356" s="98">
        <f>$I$35</f>
        <v>84</v>
      </c>
      <c r="AH356" s="98">
        <f>$J$35</f>
        <v>96</v>
      </c>
      <c r="AI356" s="98">
        <f>$K$35</f>
        <v>108</v>
      </c>
      <c r="AJ356" s="98">
        <f>$L$35</f>
        <v>120</v>
      </c>
      <c r="AK356" s="92" t="str">
        <f>$A$35</f>
        <v>Fiscal Accident Year Data Ending</v>
      </c>
      <c r="AL356" s="98">
        <f>$B$35</f>
        <v>0</v>
      </c>
      <c r="AM356" s="98" t="str">
        <f>$C$35</f>
        <v>12</v>
      </c>
      <c r="AN356" s="98">
        <f>$D$35</f>
        <v>24</v>
      </c>
      <c r="AO356" s="98">
        <f>$E$35</f>
        <v>36</v>
      </c>
      <c r="AP356" s="98">
        <f>$F$35</f>
        <v>48</v>
      </c>
      <c r="AQ356" s="98">
        <f>$G$35</f>
        <v>60</v>
      </c>
      <c r="AR356" s="98">
        <f>$H$35</f>
        <v>72</v>
      </c>
      <c r="AS356" s="98">
        <f>$I$35</f>
        <v>84</v>
      </c>
      <c r="AT356" s="98">
        <f>$J$35</f>
        <v>96</v>
      </c>
      <c r="AU356" s="98">
        <f>$K$35</f>
        <v>108</v>
      </c>
      <c r="AV356" s="98">
        <f>$L$35</f>
        <v>120</v>
      </c>
      <c r="AW356" s="92" t="str">
        <f>$A$35</f>
        <v>Fiscal Accident Year Data Ending</v>
      </c>
      <c r="AX356" s="98">
        <f>$B$35</f>
        <v>0</v>
      </c>
      <c r="AY356" s="98" t="str">
        <f>$C$35</f>
        <v>12</v>
      </c>
      <c r="AZ356" s="98">
        <f>$D$35</f>
        <v>24</v>
      </c>
      <c r="BA356" s="98">
        <f>$E$35</f>
        <v>36</v>
      </c>
      <c r="BB356" s="98">
        <f>$F$35</f>
        <v>48</v>
      </c>
      <c r="BC356" s="98">
        <f>$G$35</f>
        <v>60</v>
      </c>
      <c r="BD356" s="98">
        <f>$H$35</f>
        <v>72</v>
      </c>
      <c r="BE356" s="98">
        <f>$I$35</f>
        <v>84</v>
      </c>
      <c r="BF356" s="98">
        <f>$J$35</f>
        <v>96</v>
      </c>
      <c r="BG356" s="98">
        <f>$K$35</f>
        <v>108</v>
      </c>
      <c r="BH356" s="98">
        <f>$L$35</f>
        <v>120</v>
      </c>
      <c r="BI356" s="92" t="str">
        <f>$A$35</f>
        <v>Fiscal Accident Year Data Ending</v>
      </c>
      <c r="BJ356" s="98">
        <f>$B$35</f>
        <v>0</v>
      </c>
      <c r="BK356" s="98" t="str">
        <f>$C$35</f>
        <v>12</v>
      </c>
      <c r="BL356" s="98">
        <f>$D$35</f>
        <v>24</v>
      </c>
      <c r="BM356" s="98">
        <f>$E$35</f>
        <v>36</v>
      </c>
      <c r="BN356" s="98">
        <f>$F$35</f>
        <v>48</v>
      </c>
      <c r="BO356" s="98">
        <f>$G$35</f>
        <v>60</v>
      </c>
      <c r="BP356" s="98">
        <f>$H$35</f>
        <v>72</v>
      </c>
      <c r="BQ356" s="98">
        <f>$I$35</f>
        <v>84</v>
      </c>
      <c r="BR356" s="98">
        <f>$J$35</f>
        <v>96</v>
      </c>
      <c r="BS356" s="98">
        <f>$K$35</f>
        <v>108</v>
      </c>
      <c r="BT356" s="98">
        <f>$L$35</f>
        <v>120</v>
      </c>
      <c r="BU356" s="92" t="str">
        <f>$A$35</f>
        <v>Fiscal Accident Year Data Ending</v>
      </c>
      <c r="BV356" s="98">
        <f>$B$35</f>
        <v>0</v>
      </c>
      <c r="BW356" s="98" t="str">
        <f>$C$35</f>
        <v>12</v>
      </c>
      <c r="BX356" s="98">
        <f>$D$35</f>
        <v>24</v>
      </c>
      <c r="BY356" s="98">
        <f>$E$35</f>
        <v>36</v>
      </c>
      <c r="BZ356" s="98">
        <f>$F$35</f>
        <v>48</v>
      </c>
      <c r="CA356" s="98">
        <f>$G$35</f>
        <v>60</v>
      </c>
      <c r="CB356" s="98">
        <f>$H$35</f>
        <v>72</v>
      </c>
      <c r="CC356" s="98">
        <f>$I$35</f>
        <v>84</v>
      </c>
      <c r="CD356" s="98">
        <f>$J$35</f>
        <v>96</v>
      </c>
      <c r="CE356" s="98">
        <f>$K$35</f>
        <v>108</v>
      </c>
      <c r="CF356" s="98">
        <f>$L$35</f>
        <v>120</v>
      </c>
      <c r="CG356" s="92" t="str">
        <f>$A$35</f>
        <v>Fiscal Accident Year Data Ending</v>
      </c>
      <c r="CH356" s="98">
        <f>$B$35</f>
        <v>0</v>
      </c>
      <c r="CI356" s="98" t="str">
        <f>$C$35</f>
        <v>12</v>
      </c>
      <c r="CJ356" s="98">
        <f>$D$35</f>
        <v>24</v>
      </c>
      <c r="CK356" s="98">
        <f>$E$35</f>
        <v>36</v>
      </c>
      <c r="CL356" s="98">
        <f>$F$35</f>
        <v>48</v>
      </c>
      <c r="CM356" s="98">
        <f>$G$35</f>
        <v>60</v>
      </c>
      <c r="CN356" s="98">
        <f>$H$35</f>
        <v>72</v>
      </c>
      <c r="CO356" s="98">
        <f>$I$35</f>
        <v>84</v>
      </c>
      <c r="CP356" s="98">
        <f>$J$35</f>
        <v>96</v>
      </c>
      <c r="CQ356" s="98">
        <f>$K$35</f>
        <v>108</v>
      </c>
      <c r="CR356" s="98">
        <f>$L$35</f>
        <v>120</v>
      </c>
      <c r="CS356" s="92" t="str">
        <f>$A$35</f>
        <v>Fiscal Accident Year Data Ending</v>
      </c>
      <c r="CT356" s="98">
        <f>$B$35</f>
        <v>0</v>
      </c>
      <c r="CU356" s="98" t="str">
        <f>$C$35</f>
        <v>12</v>
      </c>
      <c r="CV356" s="98">
        <f>$D$35</f>
        <v>24</v>
      </c>
      <c r="CW356" s="98">
        <f>$E$35</f>
        <v>36</v>
      </c>
      <c r="CX356" s="98">
        <f>$F$35</f>
        <v>48</v>
      </c>
      <c r="CY356" s="98">
        <f>$G$35</f>
        <v>60</v>
      </c>
      <c r="CZ356" s="98">
        <f>$H$35</f>
        <v>72</v>
      </c>
      <c r="DA356" s="98">
        <f>$I$35</f>
        <v>84</v>
      </c>
      <c r="DB356" s="98">
        <f>$J$35</f>
        <v>96</v>
      </c>
      <c r="DC356" s="98">
        <f>$K$35</f>
        <v>108</v>
      </c>
      <c r="DD356" s="98">
        <f>$L$35</f>
        <v>120</v>
      </c>
      <c r="DE356" s="92" t="str">
        <f>$A$35</f>
        <v>Fiscal Accident Year Data Ending</v>
      </c>
      <c r="DF356" s="98">
        <f>$B$35</f>
        <v>0</v>
      </c>
      <c r="DG356" s="98" t="str">
        <f>$C$35</f>
        <v>12</v>
      </c>
      <c r="DH356" s="98">
        <f>$D$35</f>
        <v>24</v>
      </c>
      <c r="DI356" s="98">
        <f>$E$35</f>
        <v>36</v>
      </c>
      <c r="DJ356" s="98">
        <f>$F$35</f>
        <v>48</v>
      </c>
      <c r="DK356" s="98">
        <f>$G$35</f>
        <v>60</v>
      </c>
      <c r="DL356" s="98">
        <f>$H$35</f>
        <v>72</v>
      </c>
      <c r="DM356" s="98">
        <f>$I$35</f>
        <v>84</v>
      </c>
      <c r="DN356" s="98">
        <f>$J$35</f>
        <v>96</v>
      </c>
      <c r="DO356" s="98">
        <f>$K$35</f>
        <v>108</v>
      </c>
      <c r="DP356" s="98">
        <f>$L$35</f>
        <v>120</v>
      </c>
    </row>
    <row r="357" spans="1:120" ht="15" customHeight="1" x14ac:dyDescent="0.25">
      <c r="A357" s="31">
        <f>$A$36</f>
        <v>20132</v>
      </c>
      <c r="B357" s="21"/>
      <c r="C357" s="21">
        <v>4000</v>
      </c>
      <c r="D357" s="21">
        <v>5152</v>
      </c>
      <c r="E357" s="21">
        <v>5262</v>
      </c>
      <c r="F357" s="21">
        <v>5300</v>
      </c>
      <c r="G357" s="21">
        <v>5320</v>
      </c>
      <c r="H357" s="21">
        <v>5331</v>
      </c>
      <c r="I357" s="21">
        <v>5339</v>
      </c>
      <c r="J357" s="21">
        <v>5342</v>
      </c>
      <c r="K357" s="21">
        <v>5346</v>
      </c>
      <c r="L357" s="21">
        <v>5349</v>
      </c>
      <c r="M357" s="31">
        <f>$A$36</f>
        <v>20132</v>
      </c>
      <c r="N357" s="21"/>
      <c r="O357" s="21"/>
      <c r="P357" s="21"/>
      <c r="Q357" s="21"/>
      <c r="R357" s="21"/>
      <c r="S357" s="21"/>
      <c r="T357" s="21"/>
      <c r="U357" s="21"/>
      <c r="V357" s="21"/>
      <c r="W357" s="21"/>
      <c r="X357" s="21"/>
      <c r="Y357" s="31">
        <f>$A$36</f>
        <v>20132</v>
      </c>
      <c r="Z357" s="21"/>
      <c r="AA357" s="21"/>
      <c r="AB357" s="21"/>
      <c r="AC357" s="21"/>
      <c r="AD357" s="21"/>
      <c r="AE357" s="21"/>
      <c r="AF357" s="21"/>
      <c r="AG357" s="21"/>
      <c r="AH357" s="21"/>
      <c r="AI357" s="21"/>
      <c r="AJ357" s="21"/>
      <c r="AK357" s="31">
        <f>$A$36</f>
        <v>20132</v>
      </c>
      <c r="AL357" s="21"/>
      <c r="AM357" s="21"/>
      <c r="AN357" s="21"/>
      <c r="AO357" s="21"/>
      <c r="AP357" s="21"/>
      <c r="AQ357" s="21"/>
      <c r="AR357" s="21"/>
      <c r="AS357" s="21"/>
      <c r="AT357" s="21"/>
      <c r="AU357" s="21"/>
      <c r="AV357" s="21"/>
      <c r="AW357" s="31">
        <f>$A$36</f>
        <v>20132</v>
      </c>
      <c r="AX357" s="21"/>
      <c r="AY357" s="21"/>
      <c r="AZ357" s="21"/>
      <c r="BA357" s="21"/>
      <c r="BB357" s="21"/>
      <c r="BC357" s="21"/>
      <c r="BD357" s="21"/>
      <c r="BE357" s="21"/>
      <c r="BF357" s="21"/>
      <c r="BG357" s="21"/>
      <c r="BH357" s="21"/>
      <c r="BI357" s="31">
        <f>$A$36</f>
        <v>20132</v>
      </c>
      <c r="BJ357" s="21"/>
      <c r="BK357" s="21"/>
      <c r="BL357" s="21"/>
      <c r="BM357" s="21"/>
      <c r="BN357" s="21"/>
      <c r="BO357" s="21"/>
      <c r="BP357" s="21"/>
      <c r="BQ357" s="21"/>
      <c r="BR357" s="21"/>
      <c r="BS357" s="21"/>
      <c r="BT357" s="21"/>
      <c r="BU357" s="31">
        <f>$A$36</f>
        <v>20132</v>
      </c>
      <c r="BV357" s="21"/>
      <c r="BW357" s="21"/>
      <c r="BX357" s="21"/>
      <c r="BY357" s="21"/>
      <c r="BZ357" s="21"/>
      <c r="CA357" s="21"/>
      <c r="CB357" s="21"/>
      <c r="CC357" s="21"/>
      <c r="CD357" s="21"/>
      <c r="CE357" s="21"/>
      <c r="CF357" s="21"/>
      <c r="CG357" s="31">
        <f>$A$36</f>
        <v>20132</v>
      </c>
      <c r="CH357" s="21"/>
      <c r="CI357" s="21"/>
      <c r="CJ357" s="21"/>
      <c r="CK357" s="21"/>
      <c r="CL357" s="21"/>
      <c r="CM357" s="21"/>
      <c r="CN357" s="21"/>
      <c r="CO357" s="21"/>
      <c r="CP357" s="21"/>
      <c r="CQ357" s="21"/>
      <c r="CR357" s="21"/>
      <c r="CS357" s="31">
        <f>$A$36</f>
        <v>20132</v>
      </c>
      <c r="CT357" s="21"/>
      <c r="CU357" s="21"/>
      <c r="CV357" s="21"/>
      <c r="CW357" s="21"/>
      <c r="CX357" s="21"/>
      <c r="CY357" s="21"/>
      <c r="CZ357" s="21"/>
      <c r="DA357" s="21"/>
      <c r="DB357" s="21"/>
      <c r="DC357" s="21"/>
      <c r="DD357" s="21"/>
      <c r="DE357" s="31">
        <f>$A$36</f>
        <v>20132</v>
      </c>
      <c r="DF357" s="21"/>
      <c r="DG357" s="21"/>
      <c r="DH357" s="21"/>
      <c r="DI357" s="21"/>
      <c r="DJ357" s="21"/>
      <c r="DK357" s="21"/>
      <c r="DL357" s="21"/>
      <c r="DM357" s="21"/>
      <c r="DN357" s="21"/>
      <c r="DO357" s="21"/>
      <c r="DP357" s="21"/>
    </row>
    <row r="358" spans="1:120" ht="15" customHeight="1" x14ac:dyDescent="0.25">
      <c r="A358" s="31">
        <f>$A$37</f>
        <v>20142</v>
      </c>
      <c r="B358" s="21"/>
      <c r="C358" s="21">
        <v>3759</v>
      </c>
      <c r="D358" s="21">
        <v>4724</v>
      </c>
      <c r="E358" s="21">
        <v>4819</v>
      </c>
      <c r="F358" s="21">
        <v>4857</v>
      </c>
      <c r="G358" s="21">
        <v>4877</v>
      </c>
      <c r="H358" s="21">
        <v>4885</v>
      </c>
      <c r="I358" s="21">
        <v>4895</v>
      </c>
      <c r="J358" s="21">
        <v>4901</v>
      </c>
      <c r="K358" s="21">
        <v>4905</v>
      </c>
      <c r="L358" s="134"/>
      <c r="M358" s="31">
        <f>$A$37</f>
        <v>20142</v>
      </c>
      <c r="N358" s="21"/>
      <c r="O358" s="21"/>
      <c r="P358" s="21"/>
      <c r="Q358" s="21"/>
      <c r="R358" s="21"/>
      <c r="S358" s="21"/>
      <c r="T358" s="21"/>
      <c r="U358" s="21"/>
      <c r="V358" s="21"/>
      <c r="W358" s="21"/>
      <c r="X358" s="134"/>
      <c r="Y358" s="31">
        <f>$A$37</f>
        <v>20142</v>
      </c>
      <c r="Z358" s="21"/>
      <c r="AA358" s="21"/>
      <c r="AB358" s="21"/>
      <c r="AC358" s="21"/>
      <c r="AD358" s="21"/>
      <c r="AE358" s="21"/>
      <c r="AF358" s="21"/>
      <c r="AG358" s="21"/>
      <c r="AH358" s="21"/>
      <c r="AI358" s="21"/>
      <c r="AJ358" s="134"/>
      <c r="AK358" s="31">
        <f>$A$37</f>
        <v>20142</v>
      </c>
      <c r="AL358" s="21"/>
      <c r="AM358" s="21"/>
      <c r="AN358" s="21"/>
      <c r="AO358" s="21"/>
      <c r="AP358" s="21"/>
      <c r="AQ358" s="21"/>
      <c r="AR358" s="21"/>
      <c r="AS358" s="21"/>
      <c r="AT358" s="21"/>
      <c r="AU358" s="21"/>
      <c r="AV358" s="134"/>
      <c r="AW358" s="31">
        <f>$A$37</f>
        <v>20142</v>
      </c>
      <c r="AX358" s="21"/>
      <c r="AY358" s="21"/>
      <c r="AZ358" s="21"/>
      <c r="BA358" s="21"/>
      <c r="BB358" s="21"/>
      <c r="BC358" s="21"/>
      <c r="BD358" s="21"/>
      <c r="BE358" s="21"/>
      <c r="BF358" s="21"/>
      <c r="BG358" s="21"/>
      <c r="BH358" s="134"/>
      <c r="BI358" s="31">
        <f>$A$37</f>
        <v>20142</v>
      </c>
      <c r="BJ358" s="21"/>
      <c r="BK358" s="21"/>
      <c r="BL358" s="21"/>
      <c r="BM358" s="21"/>
      <c r="BN358" s="21"/>
      <c r="BO358" s="21"/>
      <c r="BP358" s="21"/>
      <c r="BQ358" s="21"/>
      <c r="BR358" s="21"/>
      <c r="BS358" s="21"/>
      <c r="BT358" s="134"/>
      <c r="BU358" s="31">
        <f>$A$37</f>
        <v>20142</v>
      </c>
      <c r="BV358" s="21"/>
      <c r="BW358" s="21"/>
      <c r="BX358" s="21"/>
      <c r="BY358" s="21"/>
      <c r="BZ358" s="21"/>
      <c r="CA358" s="21"/>
      <c r="CB358" s="21"/>
      <c r="CC358" s="21"/>
      <c r="CD358" s="21"/>
      <c r="CE358" s="21"/>
      <c r="CF358" s="134"/>
      <c r="CG358" s="31">
        <f>$A$37</f>
        <v>20142</v>
      </c>
      <c r="CH358" s="21"/>
      <c r="CI358" s="21"/>
      <c r="CJ358" s="21"/>
      <c r="CK358" s="21"/>
      <c r="CL358" s="21"/>
      <c r="CM358" s="21"/>
      <c r="CN358" s="21"/>
      <c r="CO358" s="21"/>
      <c r="CP358" s="21"/>
      <c r="CQ358" s="21"/>
      <c r="CR358" s="134"/>
      <c r="CS358" s="31">
        <f>$A$37</f>
        <v>20142</v>
      </c>
      <c r="CT358" s="21"/>
      <c r="CU358" s="21"/>
      <c r="CV358" s="21"/>
      <c r="CW358" s="21"/>
      <c r="CX358" s="21"/>
      <c r="CY358" s="21"/>
      <c r="CZ358" s="21"/>
      <c r="DA358" s="21"/>
      <c r="DB358" s="21"/>
      <c r="DC358" s="21"/>
      <c r="DD358" s="134"/>
      <c r="DE358" s="31">
        <f>$A$37</f>
        <v>20142</v>
      </c>
      <c r="DF358" s="21"/>
      <c r="DG358" s="21"/>
      <c r="DH358" s="21"/>
      <c r="DI358" s="21"/>
      <c r="DJ358" s="21"/>
      <c r="DK358" s="21"/>
      <c r="DL358" s="21"/>
      <c r="DM358" s="21"/>
      <c r="DN358" s="21"/>
      <c r="DO358" s="21"/>
      <c r="DP358" s="134"/>
    </row>
    <row r="359" spans="1:120" ht="15" customHeight="1" x14ac:dyDescent="0.25">
      <c r="A359" s="31">
        <f>$A$38</f>
        <v>20152</v>
      </c>
      <c r="B359" s="21"/>
      <c r="C359" s="21">
        <v>3383</v>
      </c>
      <c r="D359" s="21">
        <v>4355</v>
      </c>
      <c r="E359" s="21">
        <v>4438</v>
      </c>
      <c r="F359" s="21">
        <v>4494</v>
      </c>
      <c r="G359" s="21">
        <v>4522</v>
      </c>
      <c r="H359" s="21">
        <v>4530</v>
      </c>
      <c r="I359" s="21">
        <v>4535</v>
      </c>
      <c r="J359" s="21">
        <v>4543</v>
      </c>
      <c r="K359" s="134"/>
      <c r="L359" s="134"/>
      <c r="M359" s="31">
        <f>$A$38</f>
        <v>20152</v>
      </c>
      <c r="N359" s="21"/>
      <c r="O359" s="21"/>
      <c r="P359" s="21"/>
      <c r="Q359" s="21"/>
      <c r="R359" s="21"/>
      <c r="S359" s="21"/>
      <c r="T359" s="21"/>
      <c r="U359" s="21"/>
      <c r="V359" s="21"/>
      <c r="W359" s="134"/>
      <c r="X359" s="134"/>
      <c r="Y359" s="31">
        <f>$A$38</f>
        <v>20152</v>
      </c>
      <c r="Z359" s="21"/>
      <c r="AA359" s="21"/>
      <c r="AB359" s="21"/>
      <c r="AC359" s="21"/>
      <c r="AD359" s="21"/>
      <c r="AE359" s="21"/>
      <c r="AF359" s="21"/>
      <c r="AG359" s="21"/>
      <c r="AH359" s="21"/>
      <c r="AI359" s="134"/>
      <c r="AJ359" s="134"/>
      <c r="AK359" s="31">
        <f>$A$38</f>
        <v>20152</v>
      </c>
      <c r="AL359" s="21"/>
      <c r="AM359" s="21"/>
      <c r="AN359" s="21"/>
      <c r="AO359" s="21"/>
      <c r="AP359" s="21"/>
      <c r="AQ359" s="21"/>
      <c r="AR359" s="21"/>
      <c r="AS359" s="21"/>
      <c r="AT359" s="21"/>
      <c r="AU359" s="134"/>
      <c r="AV359" s="134"/>
      <c r="AW359" s="31">
        <f>$A$38</f>
        <v>20152</v>
      </c>
      <c r="AX359" s="21"/>
      <c r="AY359" s="21"/>
      <c r="AZ359" s="21"/>
      <c r="BA359" s="21"/>
      <c r="BB359" s="21"/>
      <c r="BC359" s="21"/>
      <c r="BD359" s="21"/>
      <c r="BE359" s="21"/>
      <c r="BF359" s="21"/>
      <c r="BG359" s="134"/>
      <c r="BH359" s="134"/>
      <c r="BI359" s="31">
        <f>$A$38</f>
        <v>20152</v>
      </c>
      <c r="BJ359" s="21"/>
      <c r="BK359" s="21"/>
      <c r="BL359" s="21"/>
      <c r="BM359" s="21"/>
      <c r="BN359" s="21"/>
      <c r="BO359" s="21"/>
      <c r="BP359" s="21"/>
      <c r="BQ359" s="21"/>
      <c r="BR359" s="21"/>
      <c r="BS359" s="134"/>
      <c r="BT359" s="134"/>
      <c r="BU359" s="31">
        <f>$A$38</f>
        <v>20152</v>
      </c>
      <c r="BV359" s="21"/>
      <c r="BW359" s="21"/>
      <c r="BX359" s="21"/>
      <c r="BY359" s="21"/>
      <c r="BZ359" s="21"/>
      <c r="CA359" s="21"/>
      <c r="CB359" s="21"/>
      <c r="CC359" s="21"/>
      <c r="CD359" s="21"/>
      <c r="CE359" s="134"/>
      <c r="CF359" s="134"/>
      <c r="CG359" s="31">
        <f>$A$38</f>
        <v>20152</v>
      </c>
      <c r="CH359" s="21"/>
      <c r="CI359" s="21"/>
      <c r="CJ359" s="21"/>
      <c r="CK359" s="21"/>
      <c r="CL359" s="21"/>
      <c r="CM359" s="21"/>
      <c r="CN359" s="21"/>
      <c r="CO359" s="21"/>
      <c r="CP359" s="21"/>
      <c r="CQ359" s="134"/>
      <c r="CR359" s="134"/>
      <c r="CS359" s="31">
        <f>$A$38</f>
        <v>20152</v>
      </c>
      <c r="CT359" s="21"/>
      <c r="CU359" s="21"/>
      <c r="CV359" s="21"/>
      <c r="CW359" s="21"/>
      <c r="CX359" s="21"/>
      <c r="CY359" s="21"/>
      <c r="CZ359" s="21"/>
      <c r="DA359" s="21"/>
      <c r="DB359" s="21"/>
      <c r="DC359" s="134"/>
      <c r="DD359" s="134"/>
      <c r="DE359" s="31">
        <f>$A$38</f>
        <v>20152</v>
      </c>
      <c r="DF359" s="21"/>
      <c r="DG359" s="21"/>
      <c r="DH359" s="21"/>
      <c r="DI359" s="21"/>
      <c r="DJ359" s="21"/>
      <c r="DK359" s="21"/>
      <c r="DL359" s="21"/>
      <c r="DM359" s="21"/>
      <c r="DN359" s="21"/>
      <c r="DO359" s="134"/>
      <c r="DP359" s="134"/>
    </row>
    <row r="360" spans="1:120" ht="15" customHeight="1" x14ac:dyDescent="0.25">
      <c r="A360" s="31">
        <f>$A$39</f>
        <v>20162</v>
      </c>
      <c r="B360" s="21"/>
      <c r="C360" s="21">
        <v>3476</v>
      </c>
      <c r="D360" s="21">
        <v>4374</v>
      </c>
      <c r="E360" s="21">
        <v>4443</v>
      </c>
      <c r="F360" s="21">
        <v>4493</v>
      </c>
      <c r="G360" s="21">
        <v>4519</v>
      </c>
      <c r="H360" s="21">
        <v>4531</v>
      </c>
      <c r="I360" s="21">
        <v>4541</v>
      </c>
      <c r="J360" s="134"/>
      <c r="K360" s="134"/>
      <c r="L360" s="134"/>
      <c r="M360" s="31">
        <f>$A$39</f>
        <v>20162</v>
      </c>
      <c r="N360" s="21"/>
      <c r="O360" s="21"/>
      <c r="P360" s="21"/>
      <c r="Q360" s="21"/>
      <c r="R360" s="21"/>
      <c r="S360" s="21"/>
      <c r="T360" s="21"/>
      <c r="U360" s="21"/>
      <c r="V360" s="134"/>
      <c r="W360" s="134"/>
      <c r="X360" s="134"/>
      <c r="Y360" s="31">
        <f>$A$39</f>
        <v>20162</v>
      </c>
      <c r="Z360" s="21"/>
      <c r="AA360" s="21"/>
      <c r="AB360" s="21"/>
      <c r="AC360" s="21"/>
      <c r="AD360" s="21"/>
      <c r="AE360" s="21"/>
      <c r="AF360" s="21"/>
      <c r="AG360" s="21"/>
      <c r="AH360" s="134"/>
      <c r="AI360" s="134"/>
      <c r="AJ360" s="134"/>
      <c r="AK360" s="31">
        <f>$A$39</f>
        <v>20162</v>
      </c>
      <c r="AL360" s="21"/>
      <c r="AM360" s="21"/>
      <c r="AN360" s="21"/>
      <c r="AO360" s="21"/>
      <c r="AP360" s="21"/>
      <c r="AQ360" s="21"/>
      <c r="AR360" s="21"/>
      <c r="AS360" s="21"/>
      <c r="AT360" s="134"/>
      <c r="AU360" s="134"/>
      <c r="AV360" s="134"/>
      <c r="AW360" s="31">
        <f>$A$39</f>
        <v>20162</v>
      </c>
      <c r="AX360" s="21"/>
      <c r="AY360" s="21"/>
      <c r="AZ360" s="21"/>
      <c r="BA360" s="21"/>
      <c r="BB360" s="21"/>
      <c r="BC360" s="21"/>
      <c r="BD360" s="21"/>
      <c r="BE360" s="21"/>
      <c r="BF360" s="134"/>
      <c r="BG360" s="134"/>
      <c r="BH360" s="134"/>
      <c r="BI360" s="31">
        <f>$A$39</f>
        <v>20162</v>
      </c>
      <c r="BJ360" s="21"/>
      <c r="BK360" s="21"/>
      <c r="BL360" s="21"/>
      <c r="BM360" s="21"/>
      <c r="BN360" s="21"/>
      <c r="BO360" s="21"/>
      <c r="BP360" s="21"/>
      <c r="BQ360" s="21"/>
      <c r="BR360" s="134"/>
      <c r="BS360" s="134"/>
      <c r="BT360" s="134"/>
      <c r="BU360" s="31">
        <f>$A$39</f>
        <v>20162</v>
      </c>
      <c r="BV360" s="21"/>
      <c r="BW360" s="21"/>
      <c r="BX360" s="21"/>
      <c r="BY360" s="21"/>
      <c r="BZ360" s="21"/>
      <c r="CA360" s="21"/>
      <c r="CB360" s="21"/>
      <c r="CC360" s="21"/>
      <c r="CD360" s="134"/>
      <c r="CE360" s="134"/>
      <c r="CF360" s="134"/>
      <c r="CG360" s="31">
        <f>$A$39</f>
        <v>20162</v>
      </c>
      <c r="CH360" s="21"/>
      <c r="CI360" s="21"/>
      <c r="CJ360" s="21"/>
      <c r="CK360" s="21"/>
      <c r="CL360" s="21"/>
      <c r="CM360" s="21"/>
      <c r="CN360" s="21"/>
      <c r="CO360" s="21"/>
      <c r="CP360" s="134"/>
      <c r="CQ360" s="134"/>
      <c r="CR360" s="134"/>
      <c r="CS360" s="31">
        <f>$A$39</f>
        <v>20162</v>
      </c>
      <c r="CT360" s="21"/>
      <c r="CU360" s="21"/>
      <c r="CV360" s="21"/>
      <c r="CW360" s="21"/>
      <c r="CX360" s="21"/>
      <c r="CY360" s="21"/>
      <c r="CZ360" s="21"/>
      <c r="DA360" s="21"/>
      <c r="DB360" s="134"/>
      <c r="DC360" s="134"/>
      <c r="DD360" s="134"/>
      <c r="DE360" s="31">
        <f>$A$39</f>
        <v>20162</v>
      </c>
      <c r="DF360" s="21"/>
      <c r="DG360" s="21"/>
      <c r="DH360" s="21"/>
      <c r="DI360" s="21"/>
      <c r="DJ360" s="21"/>
      <c r="DK360" s="21"/>
      <c r="DL360" s="21"/>
      <c r="DM360" s="21"/>
      <c r="DN360" s="134"/>
      <c r="DO360" s="134"/>
      <c r="DP360" s="134"/>
    </row>
    <row r="361" spans="1:120" ht="15" customHeight="1" x14ac:dyDescent="0.25">
      <c r="A361" s="31">
        <f>$A$40</f>
        <v>20172</v>
      </c>
      <c r="B361" s="21"/>
      <c r="C361" s="21">
        <v>3857</v>
      </c>
      <c r="D361" s="21">
        <v>4610</v>
      </c>
      <c r="E361" s="21">
        <v>4691</v>
      </c>
      <c r="F361" s="21">
        <v>4740</v>
      </c>
      <c r="G361" s="21">
        <v>4764</v>
      </c>
      <c r="H361" s="21">
        <v>4791</v>
      </c>
      <c r="I361" s="134"/>
      <c r="J361" s="134"/>
      <c r="K361" s="134"/>
      <c r="L361" s="134"/>
      <c r="M361" s="31">
        <f>$A$40</f>
        <v>20172</v>
      </c>
      <c r="N361" s="21"/>
      <c r="O361" s="21"/>
      <c r="P361" s="21"/>
      <c r="Q361" s="21"/>
      <c r="R361" s="21"/>
      <c r="S361" s="21"/>
      <c r="T361" s="21"/>
      <c r="U361" s="134"/>
      <c r="V361" s="134"/>
      <c r="W361" s="134"/>
      <c r="X361" s="134"/>
      <c r="Y361" s="31">
        <f>$A$40</f>
        <v>20172</v>
      </c>
      <c r="Z361" s="21"/>
      <c r="AA361" s="21"/>
      <c r="AB361" s="21"/>
      <c r="AC361" s="21"/>
      <c r="AD361" s="21"/>
      <c r="AE361" s="21"/>
      <c r="AF361" s="21"/>
      <c r="AG361" s="134"/>
      <c r="AH361" s="134"/>
      <c r="AI361" s="134"/>
      <c r="AJ361" s="134"/>
      <c r="AK361" s="31">
        <f>$A$40</f>
        <v>20172</v>
      </c>
      <c r="AL361" s="21"/>
      <c r="AM361" s="21"/>
      <c r="AN361" s="21"/>
      <c r="AO361" s="21"/>
      <c r="AP361" s="21"/>
      <c r="AQ361" s="21"/>
      <c r="AR361" s="21"/>
      <c r="AS361" s="134"/>
      <c r="AT361" s="134"/>
      <c r="AU361" s="134"/>
      <c r="AV361" s="134"/>
      <c r="AW361" s="31">
        <f>$A$40</f>
        <v>20172</v>
      </c>
      <c r="AX361" s="21"/>
      <c r="AY361" s="21"/>
      <c r="AZ361" s="21"/>
      <c r="BA361" s="21"/>
      <c r="BB361" s="21"/>
      <c r="BC361" s="21"/>
      <c r="BD361" s="21"/>
      <c r="BE361" s="134"/>
      <c r="BF361" s="134"/>
      <c r="BG361" s="134"/>
      <c r="BH361" s="134"/>
      <c r="BI361" s="31">
        <f>$A$40</f>
        <v>20172</v>
      </c>
      <c r="BJ361" s="21"/>
      <c r="BK361" s="21"/>
      <c r="BL361" s="21"/>
      <c r="BM361" s="21"/>
      <c r="BN361" s="21"/>
      <c r="BO361" s="21"/>
      <c r="BP361" s="21"/>
      <c r="BQ361" s="134"/>
      <c r="BR361" s="134"/>
      <c r="BS361" s="134"/>
      <c r="BT361" s="134"/>
      <c r="BU361" s="31">
        <f>$A$40</f>
        <v>20172</v>
      </c>
      <c r="BV361" s="21"/>
      <c r="BW361" s="21"/>
      <c r="BX361" s="21"/>
      <c r="BY361" s="21"/>
      <c r="BZ361" s="21"/>
      <c r="CA361" s="21"/>
      <c r="CB361" s="21"/>
      <c r="CC361" s="134"/>
      <c r="CD361" s="134"/>
      <c r="CE361" s="134"/>
      <c r="CF361" s="134"/>
      <c r="CG361" s="31">
        <f>$A$40</f>
        <v>20172</v>
      </c>
      <c r="CH361" s="21"/>
      <c r="CI361" s="21"/>
      <c r="CJ361" s="21"/>
      <c r="CK361" s="21"/>
      <c r="CL361" s="21"/>
      <c r="CM361" s="21"/>
      <c r="CN361" s="21"/>
      <c r="CO361" s="134"/>
      <c r="CP361" s="134"/>
      <c r="CQ361" s="134"/>
      <c r="CR361" s="134"/>
      <c r="CS361" s="31">
        <f>$A$40</f>
        <v>20172</v>
      </c>
      <c r="CT361" s="21"/>
      <c r="CU361" s="21"/>
      <c r="CV361" s="21"/>
      <c r="CW361" s="21"/>
      <c r="CX361" s="21"/>
      <c r="CY361" s="21"/>
      <c r="CZ361" s="21"/>
      <c r="DA361" s="134"/>
      <c r="DB361" s="134"/>
      <c r="DC361" s="134"/>
      <c r="DD361" s="134"/>
      <c r="DE361" s="31">
        <f>$A$40</f>
        <v>20172</v>
      </c>
      <c r="DF361" s="21"/>
      <c r="DG361" s="21"/>
      <c r="DH361" s="21"/>
      <c r="DI361" s="21"/>
      <c r="DJ361" s="21"/>
      <c r="DK361" s="21"/>
      <c r="DL361" s="21"/>
      <c r="DM361" s="134"/>
      <c r="DN361" s="134"/>
      <c r="DO361" s="134"/>
      <c r="DP361" s="134"/>
    </row>
    <row r="362" spans="1:120" ht="15" customHeight="1" x14ac:dyDescent="0.25">
      <c r="A362" s="31">
        <f>$A$41</f>
        <v>20182</v>
      </c>
      <c r="B362" s="21"/>
      <c r="C362" s="21">
        <v>2721</v>
      </c>
      <c r="D362" s="21">
        <v>3332</v>
      </c>
      <c r="E362" s="21">
        <v>3409</v>
      </c>
      <c r="F362" s="21">
        <v>3437</v>
      </c>
      <c r="G362" s="21">
        <v>3466</v>
      </c>
      <c r="H362" s="134"/>
      <c r="I362" s="134"/>
      <c r="J362" s="134"/>
      <c r="K362" s="134"/>
      <c r="L362" s="134"/>
      <c r="M362" s="31">
        <f>$A$41</f>
        <v>20182</v>
      </c>
      <c r="N362" s="21"/>
      <c r="O362" s="21"/>
      <c r="P362" s="21"/>
      <c r="Q362" s="21"/>
      <c r="R362" s="21"/>
      <c r="S362" s="21"/>
      <c r="T362" s="134"/>
      <c r="U362" s="134"/>
      <c r="V362" s="134"/>
      <c r="W362" s="134"/>
      <c r="X362" s="134"/>
      <c r="Y362" s="31">
        <f>$A$41</f>
        <v>20182</v>
      </c>
      <c r="Z362" s="21"/>
      <c r="AA362" s="21"/>
      <c r="AB362" s="21"/>
      <c r="AC362" s="21"/>
      <c r="AD362" s="21"/>
      <c r="AE362" s="21"/>
      <c r="AF362" s="134"/>
      <c r="AG362" s="134"/>
      <c r="AH362" s="134"/>
      <c r="AI362" s="134"/>
      <c r="AJ362" s="134"/>
      <c r="AK362" s="31">
        <f>$A$41</f>
        <v>20182</v>
      </c>
      <c r="AL362" s="21"/>
      <c r="AM362" s="21"/>
      <c r="AN362" s="21"/>
      <c r="AO362" s="21"/>
      <c r="AP362" s="21"/>
      <c r="AQ362" s="21"/>
      <c r="AR362" s="134"/>
      <c r="AS362" s="134"/>
      <c r="AT362" s="134"/>
      <c r="AU362" s="134"/>
      <c r="AV362" s="134"/>
      <c r="AW362" s="31">
        <f>$A$41</f>
        <v>20182</v>
      </c>
      <c r="AX362" s="21"/>
      <c r="AY362" s="21"/>
      <c r="AZ362" s="21"/>
      <c r="BA362" s="21"/>
      <c r="BB362" s="21"/>
      <c r="BC362" s="21"/>
      <c r="BD362" s="134"/>
      <c r="BE362" s="134"/>
      <c r="BF362" s="134"/>
      <c r="BG362" s="134"/>
      <c r="BH362" s="134"/>
      <c r="BI362" s="31">
        <f>$A$41</f>
        <v>20182</v>
      </c>
      <c r="BJ362" s="21"/>
      <c r="BK362" s="21"/>
      <c r="BL362" s="21"/>
      <c r="BM362" s="21"/>
      <c r="BN362" s="21"/>
      <c r="BO362" s="21"/>
      <c r="BP362" s="134"/>
      <c r="BQ362" s="134"/>
      <c r="BR362" s="134"/>
      <c r="BS362" s="134"/>
      <c r="BT362" s="134"/>
      <c r="BU362" s="31">
        <f>$A$41</f>
        <v>20182</v>
      </c>
      <c r="BV362" s="21"/>
      <c r="BW362" s="21"/>
      <c r="BX362" s="21"/>
      <c r="BY362" s="21"/>
      <c r="BZ362" s="21"/>
      <c r="CA362" s="21"/>
      <c r="CB362" s="134"/>
      <c r="CC362" s="134"/>
      <c r="CD362" s="134"/>
      <c r="CE362" s="134"/>
      <c r="CF362" s="134"/>
      <c r="CG362" s="31">
        <f>$A$41</f>
        <v>20182</v>
      </c>
      <c r="CH362" s="21"/>
      <c r="CI362" s="21"/>
      <c r="CJ362" s="21"/>
      <c r="CK362" s="21"/>
      <c r="CL362" s="21"/>
      <c r="CM362" s="21"/>
      <c r="CN362" s="134"/>
      <c r="CO362" s="134"/>
      <c r="CP362" s="134"/>
      <c r="CQ362" s="134"/>
      <c r="CR362" s="134"/>
      <c r="CS362" s="31">
        <f>$A$41</f>
        <v>20182</v>
      </c>
      <c r="CT362" s="21"/>
      <c r="CU362" s="21"/>
      <c r="CV362" s="21"/>
      <c r="CW362" s="21"/>
      <c r="CX362" s="21"/>
      <c r="CY362" s="21"/>
      <c r="CZ362" s="134"/>
      <c r="DA362" s="134"/>
      <c r="DB362" s="134"/>
      <c r="DC362" s="134"/>
      <c r="DD362" s="134"/>
      <c r="DE362" s="31">
        <f>$A$41</f>
        <v>20182</v>
      </c>
      <c r="DF362" s="21"/>
      <c r="DG362" s="21"/>
      <c r="DH362" s="21"/>
      <c r="DI362" s="21"/>
      <c r="DJ362" s="21"/>
      <c r="DK362" s="21"/>
      <c r="DL362" s="134"/>
      <c r="DM362" s="134"/>
      <c r="DN362" s="134"/>
      <c r="DO362" s="134"/>
      <c r="DP362" s="134"/>
    </row>
    <row r="363" spans="1:120" ht="15" customHeight="1" x14ac:dyDescent="0.25">
      <c r="A363" s="31">
        <f>$A$42</f>
        <v>20192</v>
      </c>
      <c r="B363" s="21"/>
      <c r="C363" s="21">
        <v>2813</v>
      </c>
      <c r="D363" s="21">
        <v>3496</v>
      </c>
      <c r="E363" s="21">
        <v>3585</v>
      </c>
      <c r="F363" s="21">
        <v>3649</v>
      </c>
      <c r="G363" s="134"/>
      <c r="H363" s="134"/>
      <c r="I363" s="134"/>
      <c r="J363" s="134"/>
      <c r="K363" s="134"/>
      <c r="L363" s="134"/>
      <c r="M363" s="31">
        <f>$A$42</f>
        <v>20192</v>
      </c>
      <c r="N363" s="21"/>
      <c r="O363" s="21"/>
      <c r="P363" s="21"/>
      <c r="Q363" s="21"/>
      <c r="R363" s="21"/>
      <c r="S363" s="134"/>
      <c r="T363" s="134"/>
      <c r="U363" s="134"/>
      <c r="V363" s="134"/>
      <c r="W363" s="134"/>
      <c r="X363" s="134"/>
      <c r="Y363" s="31">
        <f>$A$42</f>
        <v>20192</v>
      </c>
      <c r="Z363" s="21"/>
      <c r="AA363" s="21"/>
      <c r="AB363" s="21"/>
      <c r="AC363" s="21"/>
      <c r="AD363" s="21"/>
      <c r="AE363" s="134"/>
      <c r="AF363" s="134"/>
      <c r="AG363" s="134"/>
      <c r="AH363" s="134"/>
      <c r="AI363" s="134"/>
      <c r="AJ363" s="134"/>
      <c r="AK363" s="31">
        <f>$A$42</f>
        <v>20192</v>
      </c>
      <c r="AL363" s="21"/>
      <c r="AM363" s="21"/>
      <c r="AN363" s="21"/>
      <c r="AO363" s="21"/>
      <c r="AP363" s="21"/>
      <c r="AQ363" s="134"/>
      <c r="AR363" s="134"/>
      <c r="AS363" s="134"/>
      <c r="AT363" s="134"/>
      <c r="AU363" s="134"/>
      <c r="AV363" s="134"/>
      <c r="AW363" s="31">
        <f>$A$42</f>
        <v>20192</v>
      </c>
      <c r="AX363" s="21"/>
      <c r="AY363" s="21"/>
      <c r="AZ363" s="21"/>
      <c r="BA363" s="21"/>
      <c r="BB363" s="21"/>
      <c r="BC363" s="134"/>
      <c r="BD363" s="134"/>
      <c r="BE363" s="134"/>
      <c r="BF363" s="134"/>
      <c r="BG363" s="134"/>
      <c r="BH363" s="134"/>
      <c r="BI363" s="31">
        <f>$A$42</f>
        <v>20192</v>
      </c>
      <c r="BJ363" s="21"/>
      <c r="BK363" s="21"/>
      <c r="BL363" s="21"/>
      <c r="BM363" s="21"/>
      <c r="BN363" s="21"/>
      <c r="BO363" s="134"/>
      <c r="BP363" s="134"/>
      <c r="BQ363" s="134"/>
      <c r="BR363" s="134"/>
      <c r="BS363" s="134"/>
      <c r="BT363" s="134"/>
      <c r="BU363" s="31">
        <f>$A$42</f>
        <v>20192</v>
      </c>
      <c r="BV363" s="21"/>
      <c r="BW363" s="21"/>
      <c r="BX363" s="21"/>
      <c r="BY363" s="21"/>
      <c r="BZ363" s="21"/>
      <c r="CA363" s="134"/>
      <c r="CB363" s="134"/>
      <c r="CC363" s="134"/>
      <c r="CD363" s="134"/>
      <c r="CE363" s="134"/>
      <c r="CF363" s="134"/>
      <c r="CG363" s="31">
        <f>$A$42</f>
        <v>20192</v>
      </c>
      <c r="CH363" s="21"/>
      <c r="CI363" s="21"/>
      <c r="CJ363" s="21"/>
      <c r="CK363" s="21"/>
      <c r="CL363" s="21"/>
      <c r="CM363" s="134"/>
      <c r="CN363" s="134"/>
      <c r="CO363" s="134"/>
      <c r="CP363" s="134"/>
      <c r="CQ363" s="134"/>
      <c r="CR363" s="134"/>
      <c r="CS363" s="31">
        <f>$A$42</f>
        <v>20192</v>
      </c>
      <c r="CT363" s="21"/>
      <c r="CU363" s="21"/>
      <c r="CV363" s="21"/>
      <c r="CW363" s="21"/>
      <c r="CX363" s="21"/>
      <c r="CY363" s="134"/>
      <c r="CZ363" s="134"/>
      <c r="DA363" s="134"/>
      <c r="DB363" s="134"/>
      <c r="DC363" s="134"/>
      <c r="DD363" s="134"/>
      <c r="DE363" s="31">
        <f>$A$42</f>
        <v>20192</v>
      </c>
      <c r="DF363" s="21"/>
      <c r="DG363" s="21"/>
      <c r="DH363" s="21"/>
      <c r="DI363" s="21"/>
      <c r="DJ363" s="21"/>
      <c r="DK363" s="134"/>
      <c r="DL363" s="134"/>
      <c r="DM363" s="134"/>
      <c r="DN363" s="134"/>
      <c r="DO363" s="134"/>
      <c r="DP363" s="134"/>
    </row>
    <row r="364" spans="1:120" ht="15" customHeight="1" x14ac:dyDescent="0.25">
      <c r="A364" s="31">
        <f>$A$43</f>
        <v>20202</v>
      </c>
      <c r="B364" s="21"/>
      <c r="C364" s="21">
        <v>2474</v>
      </c>
      <c r="D364" s="21">
        <v>3168</v>
      </c>
      <c r="E364" s="21">
        <v>3258</v>
      </c>
      <c r="F364" s="134"/>
      <c r="G364" s="134"/>
      <c r="H364" s="134"/>
      <c r="I364" s="134"/>
      <c r="J364" s="134"/>
      <c r="K364" s="134"/>
      <c r="L364" s="134"/>
      <c r="M364" s="31">
        <f>$A$43</f>
        <v>20202</v>
      </c>
      <c r="N364" s="21"/>
      <c r="O364" s="21"/>
      <c r="P364" s="21"/>
      <c r="Q364" s="21"/>
      <c r="R364" s="134"/>
      <c r="S364" s="134"/>
      <c r="T364" s="134"/>
      <c r="U364" s="134"/>
      <c r="V364" s="134"/>
      <c r="W364" s="134"/>
      <c r="X364" s="134"/>
      <c r="Y364" s="31">
        <f>$A$43</f>
        <v>20202</v>
      </c>
      <c r="Z364" s="21"/>
      <c r="AA364" s="21"/>
      <c r="AB364" s="21"/>
      <c r="AC364" s="21"/>
      <c r="AD364" s="134"/>
      <c r="AE364" s="134"/>
      <c r="AF364" s="134"/>
      <c r="AG364" s="134"/>
      <c r="AH364" s="134"/>
      <c r="AI364" s="134"/>
      <c r="AJ364" s="134"/>
      <c r="AK364" s="31">
        <f>$A$43</f>
        <v>20202</v>
      </c>
      <c r="AL364" s="21"/>
      <c r="AM364" s="21"/>
      <c r="AN364" s="21"/>
      <c r="AO364" s="21"/>
      <c r="AP364" s="134"/>
      <c r="AQ364" s="134"/>
      <c r="AR364" s="134"/>
      <c r="AS364" s="134"/>
      <c r="AT364" s="134"/>
      <c r="AU364" s="134"/>
      <c r="AV364" s="134"/>
      <c r="AW364" s="31">
        <f>$A$43</f>
        <v>20202</v>
      </c>
      <c r="AX364" s="21"/>
      <c r="AY364" s="21"/>
      <c r="AZ364" s="21"/>
      <c r="BA364" s="21"/>
      <c r="BB364" s="134"/>
      <c r="BC364" s="134"/>
      <c r="BD364" s="134"/>
      <c r="BE364" s="134"/>
      <c r="BF364" s="134"/>
      <c r="BG364" s="134"/>
      <c r="BH364" s="134"/>
      <c r="BI364" s="31">
        <f>$A$43</f>
        <v>20202</v>
      </c>
      <c r="BJ364" s="21"/>
      <c r="BK364" s="21"/>
      <c r="BL364" s="21"/>
      <c r="BM364" s="21"/>
      <c r="BN364" s="134"/>
      <c r="BO364" s="134"/>
      <c r="BP364" s="134"/>
      <c r="BQ364" s="134"/>
      <c r="BR364" s="134"/>
      <c r="BS364" s="134"/>
      <c r="BT364" s="134"/>
      <c r="BU364" s="31">
        <f>$A$43</f>
        <v>20202</v>
      </c>
      <c r="BV364" s="21"/>
      <c r="BW364" s="21"/>
      <c r="BX364" s="21"/>
      <c r="BY364" s="21"/>
      <c r="BZ364" s="134"/>
      <c r="CA364" s="134"/>
      <c r="CB364" s="134"/>
      <c r="CC364" s="134"/>
      <c r="CD364" s="134"/>
      <c r="CE364" s="134"/>
      <c r="CF364" s="134"/>
      <c r="CG364" s="31">
        <f>$A$43</f>
        <v>20202</v>
      </c>
      <c r="CH364" s="21"/>
      <c r="CI364" s="21"/>
      <c r="CJ364" s="21"/>
      <c r="CK364" s="21"/>
      <c r="CL364" s="134"/>
      <c r="CM364" s="134"/>
      <c r="CN364" s="134"/>
      <c r="CO364" s="134"/>
      <c r="CP364" s="134"/>
      <c r="CQ364" s="134"/>
      <c r="CR364" s="134"/>
      <c r="CS364" s="31">
        <f>$A$43</f>
        <v>20202</v>
      </c>
      <c r="CT364" s="21"/>
      <c r="CU364" s="21"/>
      <c r="CV364" s="21"/>
      <c r="CW364" s="21"/>
      <c r="CX364" s="134"/>
      <c r="CY364" s="134"/>
      <c r="CZ364" s="134"/>
      <c r="DA364" s="134"/>
      <c r="DB364" s="134"/>
      <c r="DC364" s="134"/>
      <c r="DD364" s="134"/>
      <c r="DE364" s="31">
        <f>$A$43</f>
        <v>20202</v>
      </c>
      <c r="DF364" s="21"/>
      <c r="DG364" s="21"/>
      <c r="DH364" s="21"/>
      <c r="DI364" s="21"/>
      <c r="DJ364" s="134"/>
      <c r="DK364" s="134"/>
      <c r="DL364" s="134"/>
      <c r="DM364" s="134"/>
      <c r="DN364" s="134"/>
      <c r="DO364" s="134"/>
      <c r="DP364" s="134"/>
    </row>
    <row r="365" spans="1:120" ht="15" customHeight="1" x14ac:dyDescent="0.25">
      <c r="A365" s="31">
        <f>$A$44</f>
        <v>20212</v>
      </c>
      <c r="B365" s="21"/>
      <c r="C365" s="21">
        <v>2090</v>
      </c>
      <c r="D365" s="21">
        <v>2752</v>
      </c>
      <c r="E365" s="134"/>
      <c r="F365" s="134"/>
      <c r="G365" s="134"/>
      <c r="H365" s="134"/>
      <c r="I365" s="134"/>
      <c r="J365" s="134"/>
      <c r="K365" s="134"/>
      <c r="L365" s="134"/>
      <c r="M365" s="31">
        <f>$A$44</f>
        <v>20212</v>
      </c>
      <c r="N365" s="21"/>
      <c r="O365" s="21"/>
      <c r="P365" s="21"/>
      <c r="Q365" s="134"/>
      <c r="R365" s="134"/>
      <c r="S365" s="134"/>
      <c r="T365" s="134"/>
      <c r="U365" s="134"/>
      <c r="V365" s="134"/>
      <c r="W365" s="134"/>
      <c r="X365" s="134"/>
      <c r="Y365" s="31">
        <f>$A$44</f>
        <v>20212</v>
      </c>
      <c r="Z365" s="21"/>
      <c r="AA365" s="21"/>
      <c r="AB365" s="21"/>
      <c r="AC365" s="134"/>
      <c r="AD365" s="134"/>
      <c r="AE365" s="134"/>
      <c r="AF365" s="134"/>
      <c r="AG365" s="134"/>
      <c r="AH365" s="134"/>
      <c r="AI365" s="134"/>
      <c r="AJ365" s="134"/>
      <c r="AK365" s="31">
        <f>$A$44</f>
        <v>20212</v>
      </c>
      <c r="AL365" s="21"/>
      <c r="AM365" s="21"/>
      <c r="AN365" s="21"/>
      <c r="AO365" s="134"/>
      <c r="AP365" s="134"/>
      <c r="AQ365" s="134"/>
      <c r="AR365" s="134"/>
      <c r="AS365" s="134"/>
      <c r="AT365" s="134"/>
      <c r="AU365" s="134"/>
      <c r="AV365" s="134"/>
      <c r="AW365" s="31">
        <f>$A$44</f>
        <v>20212</v>
      </c>
      <c r="AX365" s="21"/>
      <c r="AY365" s="21"/>
      <c r="AZ365" s="21"/>
      <c r="BA365" s="134"/>
      <c r="BB365" s="134"/>
      <c r="BC365" s="134"/>
      <c r="BD365" s="134"/>
      <c r="BE365" s="134"/>
      <c r="BF365" s="134"/>
      <c r="BG365" s="134"/>
      <c r="BH365" s="134"/>
      <c r="BI365" s="31">
        <f>$A$44</f>
        <v>20212</v>
      </c>
      <c r="BJ365" s="21"/>
      <c r="BK365" s="21"/>
      <c r="BL365" s="21"/>
      <c r="BM365" s="134"/>
      <c r="BN365" s="134"/>
      <c r="BO365" s="134"/>
      <c r="BP365" s="134"/>
      <c r="BQ365" s="134"/>
      <c r="BR365" s="134"/>
      <c r="BS365" s="134"/>
      <c r="BT365" s="134"/>
      <c r="BU365" s="31">
        <f>$A$44</f>
        <v>20212</v>
      </c>
      <c r="BV365" s="21"/>
      <c r="BW365" s="21"/>
      <c r="BX365" s="21"/>
      <c r="BY365" s="134"/>
      <c r="BZ365" s="134"/>
      <c r="CA365" s="134"/>
      <c r="CB365" s="134"/>
      <c r="CC365" s="134"/>
      <c r="CD365" s="134"/>
      <c r="CE365" s="134"/>
      <c r="CF365" s="134"/>
      <c r="CG365" s="31">
        <f>$A$44</f>
        <v>20212</v>
      </c>
      <c r="CH365" s="21"/>
      <c r="CI365" s="21"/>
      <c r="CJ365" s="21"/>
      <c r="CK365" s="134"/>
      <c r="CL365" s="134"/>
      <c r="CM365" s="134"/>
      <c r="CN365" s="134"/>
      <c r="CO365" s="134"/>
      <c r="CP365" s="134"/>
      <c r="CQ365" s="134"/>
      <c r="CR365" s="134"/>
      <c r="CS365" s="31">
        <f>$A$44</f>
        <v>20212</v>
      </c>
      <c r="CT365" s="21"/>
      <c r="CU365" s="21"/>
      <c r="CV365" s="21"/>
      <c r="CW365" s="134"/>
      <c r="CX365" s="134"/>
      <c r="CY365" s="134"/>
      <c r="CZ365" s="134"/>
      <c r="DA365" s="134"/>
      <c r="DB365" s="134"/>
      <c r="DC365" s="134"/>
      <c r="DD365" s="134"/>
      <c r="DE365" s="31">
        <f>$A$44</f>
        <v>20212</v>
      </c>
      <c r="DF365" s="21"/>
      <c r="DG365" s="21"/>
      <c r="DH365" s="21"/>
      <c r="DI365" s="134"/>
      <c r="DJ365" s="134"/>
      <c r="DK365" s="134"/>
      <c r="DL365" s="134"/>
      <c r="DM365" s="134"/>
      <c r="DN365" s="134"/>
      <c r="DO365" s="134"/>
      <c r="DP365" s="134"/>
    </row>
    <row r="366" spans="1:120" ht="15" customHeight="1" x14ac:dyDescent="0.25">
      <c r="A366" s="31">
        <f>$A$45</f>
        <v>20222</v>
      </c>
      <c r="B366" s="21"/>
      <c r="C366" s="21">
        <v>2023</v>
      </c>
      <c r="D366" s="134"/>
      <c r="E366" s="134"/>
      <c r="F366" s="134"/>
      <c r="G366" s="134"/>
      <c r="H366" s="134"/>
      <c r="I366" s="134"/>
      <c r="J366" s="134"/>
      <c r="K366" s="134"/>
      <c r="L366" s="134"/>
      <c r="M366" s="31">
        <f>$A$45</f>
        <v>20222</v>
      </c>
      <c r="N366" s="21"/>
      <c r="O366" s="21"/>
      <c r="P366" s="134"/>
      <c r="Q366" s="134"/>
      <c r="R366" s="134"/>
      <c r="S366" s="134"/>
      <c r="T366" s="134"/>
      <c r="U366" s="134"/>
      <c r="V366" s="134"/>
      <c r="W366" s="134"/>
      <c r="X366" s="134"/>
      <c r="Y366" s="31">
        <f>$A$45</f>
        <v>20222</v>
      </c>
      <c r="Z366" s="21"/>
      <c r="AA366" s="21"/>
      <c r="AB366" s="134"/>
      <c r="AC366" s="134"/>
      <c r="AD366" s="134"/>
      <c r="AE366" s="134"/>
      <c r="AF366" s="134"/>
      <c r="AG366" s="134"/>
      <c r="AH366" s="134"/>
      <c r="AI366" s="134"/>
      <c r="AJ366" s="134"/>
      <c r="AK366" s="31">
        <f>$A$45</f>
        <v>20222</v>
      </c>
      <c r="AL366" s="21"/>
      <c r="AM366" s="21"/>
      <c r="AN366" s="134"/>
      <c r="AO366" s="134"/>
      <c r="AP366" s="134"/>
      <c r="AQ366" s="134"/>
      <c r="AR366" s="134"/>
      <c r="AS366" s="134"/>
      <c r="AT366" s="134"/>
      <c r="AU366" s="134"/>
      <c r="AV366" s="134"/>
      <c r="AW366" s="31">
        <f>$A$45</f>
        <v>20222</v>
      </c>
      <c r="AX366" s="21"/>
      <c r="AY366" s="21"/>
      <c r="AZ366" s="134"/>
      <c r="BA366" s="134"/>
      <c r="BB366" s="134"/>
      <c r="BC366" s="134"/>
      <c r="BD366" s="134"/>
      <c r="BE366" s="134"/>
      <c r="BF366" s="134"/>
      <c r="BG366" s="134"/>
      <c r="BH366" s="134"/>
      <c r="BI366" s="31">
        <f>$A$45</f>
        <v>20222</v>
      </c>
      <c r="BJ366" s="21"/>
      <c r="BK366" s="21"/>
      <c r="BL366" s="134"/>
      <c r="BM366" s="134"/>
      <c r="BN366" s="134"/>
      <c r="BO366" s="134"/>
      <c r="BP366" s="134"/>
      <c r="BQ366" s="134"/>
      <c r="BR366" s="134"/>
      <c r="BS366" s="134"/>
      <c r="BT366" s="134"/>
      <c r="BU366" s="31">
        <f>$A$45</f>
        <v>20222</v>
      </c>
      <c r="BV366" s="21"/>
      <c r="BW366" s="21"/>
      <c r="BX366" s="134"/>
      <c r="BY366" s="134"/>
      <c r="BZ366" s="134"/>
      <c r="CA366" s="134"/>
      <c r="CB366" s="134"/>
      <c r="CC366" s="134"/>
      <c r="CD366" s="134"/>
      <c r="CE366" s="134"/>
      <c r="CF366" s="134"/>
      <c r="CG366" s="31">
        <f>$A$45</f>
        <v>20222</v>
      </c>
      <c r="CH366" s="21"/>
      <c r="CI366" s="21"/>
      <c r="CJ366" s="134"/>
      <c r="CK366" s="134"/>
      <c r="CL366" s="134"/>
      <c r="CM366" s="134"/>
      <c r="CN366" s="134"/>
      <c r="CO366" s="134"/>
      <c r="CP366" s="134"/>
      <c r="CQ366" s="134"/>
      <c r="CR366" s="134"/>
      <c r="CS366" s="31">
        <f>$A$45</f>
        <v>20222</v>
      </c>
      <c r="CT366" s="21"/>
      <c r="CU366" s="21"/>
      <c r="CV366" s="134"/>
      <c r="CW366" s="134"/>
      <c r="CX366" s="134"/>
      <c r="CY366" s="134"/>
      <c r="CZ366" s="134"/>
      <c r="DA366" s="134"/>
      <c r="DB366" s="134"/>
      <c r="DC366" s="134"/>
      <c r="DD366" s="134"/>
      <c r="DE366" s="31">
        <f>$A$45</f>
        <v>20222</v>
      </c>
      <c r="DF366" s="21"/>
      <c r="DG366" s="21"/>
      <c r="DH366" s="134"/>
      <c r="DI366" s="134"/>
      <c r="DJ366" s="134"/>
      <c r="DK366" s="134"/>
      <c r="DL366" s="134"/>
      <c r="DM366" s="134"/>
      <c r="DN366" s="134"/>
      <c r="DO366" s="134"/>
      <c r="DP366" s="134"/>
    </row>
    <row r="367" spans="1:120" ht="15" customHeight="1" x14ac:dyDescent="0.25"/>
    <row r="368" spans="1:120" x14ac:dyDescent="0.25">
      <c r="A368" s="130"/>
      <c r="B368" s="131"/>
      <c r="C368" s="131" t="s">
        <v>36</v>
      </c>
      <c r="D368" s="132"/>
      <c r="E368" s="132"/>
      <c r="F368" s="132"/>
      <c r="G368" s="132"/>
      <c r="H368" s="132"/>
      <c r="I368" s="132"/>
      <c r="J368" s="132"/>
      <c r="K368" s="132"/>
      <c r="L368" s="132"/>
      <c r="M368" s="130"/>
      <c r="N368" s="131"/>
      <c r="O368" s="131" t="s">
        <v>36</v>
      </c>
      <c r="P368" s="132"/>
      <c r="Q368" s="132"/>
      <c r="R368" s="132"/>
      <c r="S368" s="132"/>
      <c r="T368" s="132"/>
      <c r="U368" s="132"/>
      <c r="V368" s="132"/>
      <c r="W368" s="132"/>
      <c r="X368" s="132"/>
      <c r="Y368" s="130"/>
      <c r="Z368" s="131"/>
      <c r="AA368" s="131" t="s">
        <v>36</v>
      </c>
      <c r="AB368" s="132"/>
      <c r="AC368" s="132"/>
      <c r="AD368" s="132"/>
      <c r="AE368" s="132"/>
      <c r="AF368" s="132"/>
      <c r="AG368" s="132"/>
      <c r="AH368" s="132"/>
      <c r="AI368" s="132"/>
      <c r="AJ368" s="132"/>
      <c r="AK368" s="130"/>
      <c r="AL368" s="131"/>
      <c r="AM368" s="131" t="s">
        <v>36</v>
      </c>
      <c r="AN368" s="132"/>
      <c r="AO368" s="132"/>
      <c r="AP368" s="132"/>
      <c r="AQ368" s="132"/>
      <c r="AR368" s="132"/>
      <c r="AS368" s="132"/>
      <c r="AT368" s="132"/>
      <c r="AU368" s="132"/>
      <c r="AV368" s="132"/>
      <c r="AW368" s="130"/>
      <c r="AX368" s="131"/>
      <c r="AY368" s="131" t="s">
        <v>36</v>
      </c>
      <c r="AZ368" s="132"/>
      <c r="BA368" s="132"/>
      <c r="BB368" s="132"/>
      <c r="BC368" s="132"/>
      <c r="BD368" s="132"/>
      <c r="BE368" s="132"/>
      <c r="BF368" s="132"/>
      <c r="BG368" s="132"/>
      <c r="BH368" s="132"/>
      <c r="BI368" s="130"/>
      <c r="BJ368" s="131"/>
      <c r="BK368" s="131" t="s">
        <v>36</v>
      </c>
      <c r="BL368" s="132"/>
      <c r="BM368" s="132"/>
      <c r="BN368" s="132"/>
      <c r="BO368" s="132"/>
      <c r="BP368" s="132"/>
      <c r="BQ368" s="132"/>
      <c r="BR368" s="132"/>
      <c r="BS368" s="132"/>
      <c r="BT368" s="132"/>
      <c r="BU368" s="130"/>
      <c r="BV368" s="131"/>
      <c r="BW368" s="131" t="s">
        <v>36</v>
      </c>
      <c r="BX368" s="132"/>
      <c r="BY368" s="132"/>
      <c r="BZ368" s="132"/>
      <c r="CA368" s="132"/>
      <c r="CB368" s="132"/>
      <c r="CC368" s="132"/>
      <c r="CD368" s="132"/>
      <c r="CE368" s="132"/>
      <c r="CF368" s="132"/>
      <c r="CG368" s="130"/>
      <c r="CH368" s="131"/>
      <c r="CI368" s="131" t="s">
        <v>36</v>
      </c>
      <c r="CJ368" s="132"/>
      <c r="CK368" s="132"/>
      <c r="CL368" s="132"/>
      <c r="CM368" s="132"/>
      <c r="CN368" s="132"/>
      <c r="CO368" s="132"/>
      <c r="CP368" s="132"/>
      <c r="CQ368" s="132"/>
      <c r="CR368" s="132"/>
      <c r="CS368" s="130"/>
      <c r="CT368" s="131"/>
      <c r="CU368" s="131" t="s">
        <v>36</v>
      </c>
      <c r="CV368" s="132"/>
      <c r="CW368" s="132"/>
      <c r="CX368" s="132"/>
      <c r="CY368" s="132"/>
      <c r="CZ368" s="132"/>
      <c r="DA368" s="132"/>
      <c r="DB368" s="132"/>
      <c r="DC368" s="132"/>
      <c r="DD368" s="132"/>
      <c r="DE368" s="130"/>
      <c r="DF368" s="131"/>
      <c r="DG368" s="131" t="s">
        <v>36</v>
      </c>
      <c r="DH368" s="132"/>
      <c r="DI368" s="132"/>
      <c r="DJ368" s="132"/>
      <c r="DK368" s="132"/>
      <c r="DL368" s="132"/>
      <c r="DM368" s="132"/>
      <c r="DN368" s="132"/>
      <c r="DO368" s="132"/>
      <c r="DP368" s="132"/>
    </row>
    <row r="369" spans="1:120" ht="30" x14ac:dyDescent="0.25">
      <c r="A369" s="92" t="str">
        <f>$A$35</f>
        <v>Fiscal Accident Year Data Ending</v>
      </c>
      <c r="B369" s="92"/>
      <c r="C369" s="100" t="str">
        <f>$C$35&amp;"-"&amp;$D$35</f>
        <v>12-24</v>
      </c>
      <c r="D369" s="100" t="str">
        <f>$D$35&amp;"-"&amp;$E$35</f>
        <v>24-36</v>
      </c>
      <c r="E369" s="100" t="str">
        <f>$E$35&amp;"-"&amp;$F$35</f>
        <v>36-48</v>
      </c>
      <c r="F369" s="100" t="str">
        <f>$F$35&amp;"-"&amp;$G$35</f>
        <v>48-60</v>
      </c>
      <c r="G369" s="100" t="str">
        <f>$G$35&amp;"-"&amp;$H$35</f>
        <v>60-72</v>
      </c>
      <c r="H369" s="100" t="str">
        <f>$H$35&amp;"-"&amp;$I$35</f>
        <v>72-84</v>
      </c>
      <c r="I369" s="100" t="str">
        <f>$I$35&amp;"-"&amp;$J$35</f>
        <v>84-96</v>
      </c>
      <c r="J369" s="100" t="str">
        <f>$J$35&amp;"-"&amp;$K$35</f>
        <v>96-108</v>
      </c>
      <c r="K369" s="100" t="str">
        <f>$K$35&amp;"-"&amp;$L$35</f>
        <v>108-120</v>
      </c>
      <c r="L369" s="100" t="str">
        <f>$L$35&amp;"-Ult"</f>
        <v>120-Ult</v>
      </c>
      <c r="M369" s="92" t="str">
        <f>$A$35</f>
        <v>Fiscal Accident Year Data Ending</v>
      </c>
      <c r="N369" s="92"/>
      <c r="O369" s="100" t="str">
        <f>$C$35&amp;"-"&amp;$D$35</f>
        <v>12-24</v>
      </c>
      <c r="P369" s="100" t="str">
        <f>$D$35&amp;"-"&amp;$E$35</f>
        <v>24-36</v>
      </c>
      <c r="Q369" s="100" t="str">
        <f>$E$35&amp;"-"&amp;$F$35</f>
        <v>36-48</v>
      </c>
      <c r="R369" s="100" t="str">
        <f>$F$35&amp;"-"&amp;$G$35</f>
        <v>48-60</v>
      </c>
      <c r="S369" s="100" t="str">
        <f>$G$35&amp;"-"&amp;$H$35</f>
        <v>60-72</v>
      </c>
      <c r="T369" s="100" t="str">
        <f>$H$35&amp;"-"&amp;$I$35</f>
        <v>72-84</v>
      </c>
      <c r="U369" s="100" t="str">
        <f>$I$35&amp;"-"&amp;$J$35</f>
        <v>84-96</v>
      </c>
      <c r="V369" s="100" t="str">
        <f>$J$35&amp;"-"&amp;$K$35</f>
        <v>96-108</v>
      </c>
      <c r="W369" s="100" t="str">
        <f>$K$35&amp;"-"&amp;$L$35</f>
        <v>108-120</v>
      </c>
      <c r="X369" s="100" t="str">
        <f>$L$35&amp;"-Ult"</f>
        <v>120-Ult</v>
      </c>
      <c r="Y369" s="92" t="str">
        <f>$A$35</f>
        <v>Fiscal Accident Year Data Ending</v>
      </c>
      <c r="Z369" s="92"/>
      <c r="AA369" s="100" t="str">
        <f>$C$35&amp;"-"&amp;$D$35</f>
        <v>12-24</v>
      </c>
      <c r="AB369" s="100" t="str">
        <f>$D$35&amp;"-"&amp;$E$35</f>
        <v>24-36</v>
      </c>
      <c r="AC369" s="100" t="str">
        <f>$E$35&amp;"-"&amp;$F$35</f>
        <v>36-48</v>
      </c>
      <c r="AD369" s="100" t="str">
        <f>$F$35&amp;"-"&amp;$G$35</f>
        <v>48-60</v>
      </c>
      <c r="AE369" s="100" t="str">
        <f>$G$35&amp;"-"&amp;$H$35</f>
        <v>60-72</v>
      </c>
      <c r="AF369" s="100" t="str">
        <f>$H$35&amp;"-"&amp;$I$35</f>
        <v>72-84</v>
      </c>
      <c r="AG369" s="100" t="str">
        <f>$I$35&amp;"-"&amp;$J$35</f>
        <v>84-96</v>
      </c>
      <c r="AH369" s="100" t="str">
        <f>$J$35&amp;"-"&amp;$K$35</f>
        <v>96-108</v>
      </c>
      <c r="AI369" s="100" t="str">
        <f>$K$35&amp;"-"&amp;$L$35</f>
        <v>108-120</v>
      </c>
      <c r="AJ369" s="100" t="str">
        <f>$L$35&amp;"-Ult"</f>
        <v>120-Ult</v>
      </c>
      <c r="AK369" s="92" t="str">
        <f>$A$35</f>
        <v>Fiscal Accident Year Data Ending</v>
      </c>
      <c r="AL369" s="92"/>
      <c r="AM369" s="100" t="str">
        <f>$C$35&amp;"-"&amp;$D$35</f>
        <v>12-24</v>
      </c>
      <c r="AN369" s="100" t="str">
        <f>$D$35&amp;"-"&amp;$E$35</f>
        <v>24-36</v>
      </c>
      <c r="AO369" s="100" t="str">
        <f>$E$35&amp;"-"&amp;$F$35</f>
        <v>36-48</v>
      </c>
      <c r="AP369" s="100" t="str">
        <f>$F$35&amp;"-"&amp;$G$35</f>
        <v>48-60</v>
      </c>
      <c r="AQ369" s="100" t="str">
        <f>$G$35&amp;"-"&amp;$H$35</f>
        <v>60-72</v>
      </c>
      <c r="AR369" s="100" t="str">
        <f>$H$35&amp;"-"&amp;$I$35</f>
        <v>72-84</v>
      </c>
      <c r="AS369" s="100" t="str">
        <f>$I$35&amp;"-"&amp;$J$35</f>
        <v>84-96</v>
      </c>
      <c r="AT369" s="100" t="str">
        <f>$J$35&amp;"-"&amp;$K$35</f>
        <v>96-108</v>
      </c>
      <c r="AU369" s="100" t="str">
        <f>$K$35&amp;"-"&amp;$L$35</f>
        <v>108-120</v>
      </c>
      <c r="AV369" s="100" t="str">
        <f>$L$35&amp;"-Ult"</f>
        <v>120-Ult</v>
      </c>
      <c r="AW369" s="92" t="str">
        <f>$A$35</f>
        <v>Fiscal Accident Year Data Ending</v>
      </c>
      <c r="AX369" s="92"/>
      <c r="AY369" s="100" t="str">
        <f>$C$35&amp;"-"&amp;$D$35</f>
        <v>12-24</v>
      </c>
      <c r="AZ369" s="100" t="str">
        <f>$D$35&amp;"-"&amp;$E$35</f>
        <v>24-36</v>
      </c>
      <c r="BA369" s="100" t="str">
        <f>$E$35&amp;"-"&amp;$F$35</f>
        <v>36-48</v>
      </c>
      <c r="BB369" s="100" t="str">
        <f>$F$35&amp;"-"&amp;$G$35</f>
        <v>48-60</v>
      </c>
      <c r="BC369" s="100" t="str">
        <f>$G$35&amp;"-"&amp;$H$35</f>
        <v>60-72</v>
      </c>
      <c r="BD369" s="100" t="str">
        <f>$H$35&amp;"-"&amp;$I$35</f>
        <v>72-84</v>
      </c>
      <c r="BE369" s="100" t="str">
        <f>$I$35&amp;"-"&amp;$J$35</f>
        <v>84-96</v>
      </c>
      <c r="BF369" s="100" t="str">
        <f>$J$35&amp;"-"&amp;$K$35</f>
        <v>96-108</v>
      </c>
      <c r="BG369" s="100" t="str">
        <f>$K$35&amp;"-"&amp;$L$35</f>
        <v>108-120</v>
      </c>
      <c r="BH369" s="100" t="str">
        <f>$L$35&amp;"-Ult"</f>
        <v>120-Ult</v>
      </c>
      <c r="BI369" s="92" t="str">
        <f>$A$35</f>
        <v>Fiscal Accident Year Data Ending</v>
      </c>
      <c r="BJ369" s="92"/>
      <c r="BK369" s="100" t="str">
        <f>$C$35&amp;"-"&amp;$D$35</f>
        <v>12-24</v>
      </c>
      <c r="BL369" s="100" t="str">
        <f>$D$35&amp;"-"&amp;$E$35</f>
        <v>24-36</v>
      </c>
      <c r="BM369" s="100" t="str">
        <f>$E$35&amp;"-"&amp;$F$35</f>
        <v>36-48</v>
      </c>
      <c r="BN369" s="100" t="str">
        <f>$F$35&amp;"-"&amp;$G$35</f>
        <v>48-60</v>
      </c>
      <c r="BO369" s="100" t="str">
        <f>$G$35&amp;"-"&amp;$H$35</f>
        <v>60-72</v>
      </c>
      <c r="BP369" s="100" t="str">
        <f>$H$35&amp;"-"&amp;$I$35</f>
        <v>72-84</v>
      </c>
      <c r="BQ369" s="100" t="str">
        <f>$I$35&amp;"-"&amp;$J$35</f>
        <v>84-96</v>
      </c>
      <c r="BR369" s="100" t="str">
        <f>$J$35&amp;"-"&amp;$K$35</f>
        <v>96-108</v>
      </c>
      <c r="BS369" s="100" t="str">
        <f>$K$35&amp;"-"&amp;$L$35</f>
        <v>108-120</v>
      </c>
      <c r="BT369" s="100" t="str">
        <f>$L$35&amp;"-Ult"</f>
        <v>120-Ult</v>
      </c>
      <c r="BU369" s="92" t="str">
        <f>$A$35</f>
        <v>Fiscal Accident Year Data Ending</v>
      </c>
      <c r="BV369" s="92"/>
      <c r="BW369" s="100" t="str">
        <f>$C$35&amp;"-"&amp;$D$35</f>
        <v>12-24</v>
      </c>
      <c r="BX369" s="100" t="str">
        <f>$D$35&amp;"-"&amp;$E$35</f>
        <v>24-36</v>
      </c>
      <c r="BY369" s="100" t="str">
        <f>$E$35&amp;"-"&amp;$F$35</f>
        <v>36-48</v>
      </c>
      <c r="BZ369" s="100" t="str">
        <f>$F$35&amp;"-"&amp;$G$35</f>
        <v>48-60</v>
      </c>
      <c r="CA369" s="100" t="str">
        <f>$G$35&amp;"-"&amp;$H$35</f>
        <v>60-72</v>
      </c>
      <c r="CB369" s="100" t="str">
        <f>$H$35&amp;"-"&amp;$I$35</f>
        <v>72-84</v>
      </c>
      <c r="CC369" s="100" t="str">
        <f>$I$35&amp;"-"&amp;$J$35</f>
        <v>84-96</v>
      </c>
      <c r="CD369" s="100" t="str">
        <f>$J$35&amp;"-"&amp;$K$35</f>
        <v>96-108</v>
      </c>
      <c r="CE369" s="100" t="str">
        <f>$K$35&amp;"-"&amp;$L$35</f>
        <v>108-120</v>
      </c>
      <c r="CF369" s="100" t="str">
        <f>$L$35&amp;"-Ult"</f>
        <v>120-Ult</v>
      </c>
      <c r="CG369" s="92" t="str">
        <f>$A$35</f>
        <v>Fiscal Accident Year Data Ending</v>
      </c>
      <c r="CH369" s="92"/>
      <c r="CI369" s="100" t="str">
        <f>$C$35&amp;"-"&amp;$D$35</f>
        <v>12-24</v>
      </c>
      <c r="CJ369" s="100" t="str">
        <f>$D$35&amp;"-"&amp;$E$35</f>
        <v>24-36</v>
      </c>
      <c r="CK369" s="100" t="str">
        <f>$E$35&amp;"-"&amp;$F$35</f>
        <v>36-48</v>
      </c>
      <c r="CL369" s="100" t="str">
        <f>$F$35&amp;"-"&amp;$G$35</f>
        <v>48-60</v>
      </c>
      <c r="CM369" s="100" t="str">
        <f>$G$35&amp;"-"&amp;$H$35</f>
        <v>60-72</v>
      </c>
      <c r="CN369" s="100" t="str">
        <f>$H$35&amp;"-"&amp;$I$35</f>
        <v>72-84</v>
      </c>
      <c r="CO369" s="100" t="str">
        <f>$I$35&amp;"-"&amp;$J$35</f>
        <v>84-96</v>
      </c>
      <c r="CP369" s="100" t="str">
        <f>$J$35&amp;"-"&amp;$K$35</f>
        <v>96-108</v>
      </c>
      <c r="CQ369" s="100" t="str">
        <f>$K$35&amp;"-"&amp;$L$35</f>
        <v>108-120</v>
      </c>
      <c r="CR369" s="100" t="str">
        <f>$L$35&amp;"-Ult"</f>
        <v>120-Ult</v>
      </c>
      <c r="CS369" s="92" t="str">
        <f>$A$35</f>
        <v>Fiscal Accident Year Data Ending</v>
      </c>
      <c r="CT369" s="92"/>
      <c r="CU369" s="100" t="str">
        <f>$C$35&amp;"-"&amp;$D$35</f>
        <v>12-24</v>
      </c>
      <c r="CV369" s="100" t="str">
        <f>$D$35&amp;"-"&amp;$E$35</f>
        <v>24-36</v>
      </c>
      <c r="CW369" s="100" t="str">
        <f>$E$35&amp;"-"&amp;$F$35</f>
        <v>36-48</v>
      </c>
      <c r="CX369" s="100" t="str">
        <f>$F$35&amp;"-"&amp;$G$35</f>
        <v>48-60</v>
      </c>
      <c r="CY369" s="100" t="str">
        <f>$G$35&amp;"-"&amp;$H$35</f>
        <v>60-72</v>
      </c>
      <c r="CZ369" s="100" t="str">
        <f>$H$35&amp;"-"&amp;$I$35</f>
        <v>72-84</v>
      </c>
      <c r="DA369" s="100" t="str">
        <f>$I$35&amp;"-"&amp;$J$35</f>
        <v>84-96</v>
      </c>
      <c r="DB369" s="100" t="str">
        <f>$J$35&amp;"-"&amp;$K$35</f>
        <v>96-108</v>
      </c>
      <c r="DC369" s="100" t="str">
        <f>$K$35&amp;"-"&amp;$L$35</f>
        <v>108-120</v>
      </c>
      <c r="DD369" s="100" t="str">
        <f>$L$35&amp;"-Ult"</f>
        <v>120-Ult</v>
      </c>
      <c r="DE369" s="92" t="str">
        <f>$A$35</f>
        <v>Fiscal Accident Year Data Ending</v>
      </c>
      <c r="DF369" s="92"/>
      <c r="DG369" s="100" t="str">
        <f>$C$35&amp;"-"&amp;$D$35</f>
        <v>12-24</v>
      </c>
      <c r="DH369" s="100" t="str">
        <f>$D$35&amp;"-"&amp;$E$35</f>
        <v>24-36</v>
      </c>
      <c r="DI369" s="100" t="str">
        <f>$E$35&amp;"-"&amp;$F$35</f>
        <v>36-48</v>
      </c>
      <c r="DJ369" s="100" t="str">
        <f>$F$35&amp;"-"&amp;$G$35</f>
        <v>48-60</v>
      </c>
      <c r="DK369" s="100" t="str">
        <f>$G$35&amp;"-"&amp;$H$35</f>
        <v>60-72</v>
      </c>
      <c r="DL369" s="100" t="str">
        <f>$H$35&amp;"-"&amp;$I$35</f>
        <v>72-84</v>
      </c>
      <c r="DM369" s="100" t="str">
        <f>$I$35&amp;"-"&amp;$J$35</f>
        <v>84-96</v>
      </c>
      <c r="DN369" s="100" t="str">
        <f>$J$35&amp;"-"&amp;$K$35</f>
        <v>96-108</v>
      </c>
      <c r="DO369" s="100" t="str">
        <f>$K$35&amp;"-"&amp;$L$35</f>
        <v>108-120</v>
      </c>
      <c r="DP369" s="100" t="str">
        <f>$L$35&amp;"-Ult"</f>
        <v>120-Ult</v>
      </c>
    </row>
    <row r="370" spans="1:120" x14ac:dyDescent="0.25">
      <c r="A370" s="91">
        <f>$A$36</f>
        <v>20132</v>
      </c>
      <c r="B370" s="105"/>
      <c r="C370" s="90">
        <f>IFERROR(D357/C357,"")</f>
        <v>1.288</v>
      </c>
      <c r="D370" s="90">
        <f t="shared" ref="D370:K370" si="619">IFERROR(E357/D357,"")</f>
        <v>1.0213509316770186</v>
      </c>
      <c r="E370" s="90">
        <f t="shared" si="619"/>
        <v>1.0072215887495248</v>
      </c>
      <c r="F370" s="90">
        <f t="shared" si="619"/>
        <v>1.0037735849056604</v>
      </c>
      <c r="G370" s="90">
        <f t="shared" si="619"/>
        <v>1.0020676691729324</v>
      </c>
      <c r="H370" s="90">
        <f t="shared" si="619"/>
        <v>1.0015006565372351</v>
      </c>
      <c r="I370" s="90">
        <f t="shared" si="619"/>
        <v>1.0005619029780859</v>
      </c>
      <c r="J370" s="90">
        <f t="shared" si="619"/>
        <v>1.0007487832272557</v>
      </c>
      <c r="K370" s="90">
        <f t="shared" si="619"/>
        <v>1.0005611672278338</v>
      </c>
      <c r="L370" s="22"/>
      <c r="M370" s="91">
        <f>$A$36</f>
        <v>20132</v>
      </c>
      <c r="N370" s="105"/>
      <c r="O370" s="90" t="str">
        <f>IFERROR(P357/O357,"")</f>
        <v/>
      </c>
      <c r="P370" s="90" t="str">
        <f t="shared" ref="P370:W370" si="620">IFERROR(Q357/P357,"")</f>
        <v/>
      </c>
      <c r="Q370" s="90" t="str">
        <f t="shared" si="620"/>
        <v/>
      </c>
      <c r="R370" s="90" t="str">
        <f t="shared" si="620"/>
        <v/>
      </c>
      <c r="S370" s="90" t="str">
        <f t="shared" si="620"/>
        <v/>
      </c>
      <c r="T370" s="90" t="str">
        <f t="shared" si="620"/>
        <v/>
      </c>
      <c r="U370" s="90" t="str">
        <f t="shared" si="620"/>
        <v/>
      </c>
      <c r="V370" s="90" t="str">
        <f t="shared" si="620"/>
        <v/>
      </c>
      <c r="W370" s="90" t="str">
        <f t="shared" si="620"/>
        <v/>
      </c>
      <c r="X370" s="22"/>
      <c r="Y370" s="91">
        <f>$A$36</f>
        <v>20132</v>
      </c>
      <c r="Z370" s="105"/>
      <c r="AA370" s="90" t="str">
        <f>IFERROR(AB357/AA357,"")</f>
        <v/>
      </c>
      <c r="AB370" s="90" t="str">
        <f t="shared" ref="AB370:AI370" si="621">IFERROR(AC357/AB357,"")</f>
        <v/>
      </c>
      <c r="AC370" s="90" t="str">
        <f t="shared" si="621"/>
        <v/>
      </c>
      <c r="AD370" s="90" t="str">
        <f t="shared" si="621"/>
        <v/>
      </c>
      <c r="AE370" s="90" t="str">
        <f t="shared" si="621"/>
        <v/>
      </c>
      <c r="AF370" s="90" t="str">
        <f t="shared" si="621"/>
        <v/>
      </c>
      <c r="AG370" s="90" t="str">
        <f t="shared" si="621"/>
        <v/>
      </c>
      <c r="AH370" s="90" t="str">
        <f t="shared" si="621"/>
        <v/>
      </c>
      <c r="AI370" s="90" t="str">
        <f t="shared" si="621"/>
        <v/>
      </c>
      <c r="AJ370" s="22"/>
      <c r="AK370" s="91">
        <f>$A$36</f>
        <v>20132</v>
      </c>
      <c r="AL370" s="105"/>
      <c r="AM370" s="90" t="str">
        <f>IFERROR(AN357/AM357,"")</f>
        <v/>
      </c>
      <c r="AN370" s="90" t="str">
        <f t="shared" ref="AN370:AU370" si="622">IFERROR(AO357/AN357,"")</f>
        <v/>
      </c>
      <c r="AO370" s="90" t="str">
        <f t="shared" si="622"/>
        <v/>
      </c>
      <c r="AP370" s="90" t="str">
        <f t="shared" si="622"/>
        <v/>
      </c>
      <c r="AQ370" s="90" t="str">
        <f t="shared" si="622"/>
        <v/>
      </c>
      <c r="AR370" s="90" t="str">
        <f t="shared" si="622"/>
        <v/>
      </c>
      <c r="AS370" s="90" t="str">
        <f t="shared" si="622"/>
        <v/>
      </c>
      <c r="AT370" s="90" t="str">
        <f t="shared" si="622"/>
        <v/>
      </c>
      <c r="AU370" s="90" t="str">
        <f t="shared" si="622"/>
        <v/>
      </c>
      <c r="AV370" s="22"/>
      <c r="AW370" s="91">
        <f>$A$36</f>
        <v>20132</v>
      </c>
      <c r="AX370" s="105"/>
      <c r="AY370" s="90" t="str">
        <f>IFERROR(AZ357/AY357,"")</f>
        <v/>
      </c>
      <c r="AZ370" s="90" t="str">
        <f t="shared" ref="AZ370:BG370" si="623">IFERROR(BA357/AZ357,"")</f>
        <v/>
      </c>
      <c r="BA370" s="90" t="str">
        <f t="shared" si="623"/>
        <v/>
      </c>
      <c r="BB370" s="90" t="str">
        <f t="shared" si="623"/>
        <v/>
      </c>
      <c r="BC370" s="90" t="str">
        <f t="shared" si="623"/>
        <v/>
      </c>
      <c r="BD370" s="90" t="str">
        <f t="shared" si="623"/>
        <v/>
      </c>
      <c r="BE370" s="90" t="str">
        <f t="shared" si="623"/>
        <v/>
      </c>
      <c r="BF370" s="90" t="str">
        <f t="shared" si="623"/>
        <v/>
      </c>
      <c r="BG370" s="90" t="str">
        <f t="shared" si="623"/>
        <v/>
      </c>
      <c r="BH370" s="22"/>
      <c r="BI370" s="91">
        <f>$A$36</f>
        <v>20132</v>
      </c>
      <c r="BJ370" s="105"/>
      <c r="BK370" s="90" t="str">
        <f>IFERROR(BL357/BK357,"")</f>
        <v/>
      </c>
      <c r="BL370" s="90" t="str">
        <f t="shared" ref="BL370:BS370" si="624">IFERROR(BM357/BL357,"")</f>
        <v/>
      </c>
      <c r="BM370" s="90" t="str">
        <f t="shared" si="624"/>
        <v/>
      </c>
      <c r="BN370" s="90" t="str">
        <f t="shared" si="624"/>
        <v/>
      </c>
      <c r="BO370" s="90" t="str">
        <f t="shared" si="624"/>
        <v/>
      </c>
      <c r="BP370" s="90" t="str">
        <f t="shared" si="624"/>
        <v/>
      </c>
      <c r="BQ370" s="90" t="str">
        <f t="shared" si="624"/>
        <v/>
      </c>
      <c r="BR370" s="90" t="str">
        <f t="shared" si="624"/>
        <v/>
      </c>
      <c r="BS370" s="90" t="str">
        <f t="shared" si="624"/>
        <v/>
      </c>
      <c r="BT370" s="22"/>
      <c r="BU370" s="91">
        <f>$A$36</f>
        <v>20132</v>
      </c>
      <c r="BV370" s="105"/>
      <c r="BW370" s="90" t="str">
        <f>IFERROR(BX357/BW357,"")</f>
        <v/>
      </c>
      <c r="BX370" s="90" t="str">
        <f t="shared" ref="BX370:CE370" si="625">IFERROR(BY357/BX357,"")</f>
        <v/>
      </c>
      <c r="BY370" s="90" t="str">
        <f t="shared" si="625"/>
        <v/>
      </c>
      <c r="BZ370" s="90" t="str">
        <f t="shared" si="625"/>
        <v/>
      </c>
      <c r="CA370" s="90" t="str">
        <f t="shared" si="625"/>
        <v/>
      </c>
      <c r="CB370" s="90" t="str">
        <f t="shared" si="625"/>
        <v/>
      </c>
      <c r="CC370" s="90" t="str">
        <f t="shared" si="625"/>
        <v/>
      </c>
      <c r="CD370" s="90" t="str">
        <f t="shared" si="625"/>
        <v/>
      </c>
      <c r="CE370" s="90" t="str">
        <f t="shared" si="625"/>
        <v/>
      </c>
      <c r="CF370" s="22"/>
      <c r="CG370" s="91">
        <f>$A$36</f>
        <v>20132</v>
      </c>
      <c r="CH370" s="105"/>
      <c r="CI370" s="90" t="str">
        <f>IFERROR(CJ357/CI357,"")</f>
        <v/>
      </c>
      <c r="CJ370" s="90" t="str">
        <f t="shared" ref="CJ370:CQ370" si="626">IFERROR(CK357/CJ357,"")</f>
        <v/>
      </c>
      <c r="CK370" s="90" t="str">
        <f t="shared" si="626"/>
        <v/>
      </c>
      <c r="CL370" s="90" t="str">
        <f t="shared" si="626"/>
        <v/>
      </c>
      <c r="CM370" s="90" t="str">
        <f t="shared" si="626"/>
        <v/>
      </c>
      <c r="CN370" s="90" t="str">
        <f t="shared" si="626"/>
        <v/>
      </c>
      <c r="CO370" s="90" t="str">
        <f t="shared" si="626"/>
        <v/>
      </c>
      <c r="CP370" s="90" t="str">
        <f t="shared" si="626"/>
        <v/>
      </c>
      <c r="CQ370" s="90" t="str">
        <f t="shared" si="626"/>
        <v/>
      </c>
      <c r="CR370" s="22"/>
      <c r="CS370" s="91">
        <f>$A$36</f>
        <v>20132</v>
      </c>
      <c r="CT370" s="105"/>
      <c r="CU370" s="90" t="str">
        <f>IFERROR(CV357/CU357,"")</f>
        <v/>
      </c>
      <c r="CV370" s="90" t="str">
        <f t="shared" ref="CV370:DC370" si="627">IFERROR(CW357/CV357,"")</f>
        <v/>
      </c>
      <c r="CW370" s="90" t="str">
        <f t="shared" si="627"/>
        <v/>
      </c>
      <c r="CX370" s="90" t="str">
        <f t="shared" si="627"/>
        <v/>
      </c>
      <c r="CY370" s="90" t="str">
        <f t="shared" si="627"/>
        <v/>
      </c>
      <c r="CZ370" s="90" t="str">
        <f t="shared" si="627"/>
        <v/>
      </c>
      <c r="DA370" s="90" t="str">
        <f t="shared" si="627"/>
        <v/>
      </c>
      <c r="DB370" s="90" t="str">
        <f t="shared" si="627"/>
        <v/>
      </c>
      <c r="DC370" s="90" t="str">
        <f t="shared" si="627"/>
        <v/>
      </c>
      <c r="DD370" s="22"/>
      <c r="DE370" s="91">
        <f>$A$36</f>
        <v>20132</v>
      </c>
      <c r="DF370" s="105"/>
      <c r="DG370" s="90" t="str">
        <f>IFERROR(DH357/DG357,"")</f>
        <v/>
      </c>
      <c r="DH370" s="90" t="str">
        <f t="shared" ref="DH370:DO370" si="628">IFERROR(DI357/DH357,"")</f>
        <v/>
      </c>
      <c r="DI370" s="90" t="str">
        <f t="shared" si="628"/>
        <v/>
      </c>
      <c r="DJ370" s="90" t="str">
        <f t="shared" si="628"/>
        <v/>
      </c>
      <c r="DK370" s="90" t="str">
        <f t="shared" si="628"/>
        <v/>
      </c>
      <c r="DL370" s="90" t="str">
        <f t="shared" si="628"/>
        <v/>
      </c>
      <c r="DM370" s="90" t="str">
        <f t="shared" si="628"/>
        <v/>
      </c>
      <c r="DN370" s="90" t="str">
        <f t="shared" si="628"/>
        <v/>
      </c>
      <c r="DO370" s="90" t="str">
        <f t="shared" si="628"/>
        <v/>
      </c>
      <c r="DP370" s="22"/>
    </row>
    <row r="371" spans="1:120" x14ac:dyDescent="0.25">
      <c r="A371" s="91">
        <f>$A$37</f>
        <v>20142</v>
      </c>
      <c r="B371" s="105"/>
      <c r="C371" s="90">
        <f t="shared" ref="C371:J378" si="629">IFERROR(D358/C358,"")</f>
        <v>1.2567172120244745</v>
      </c>
      <c r="D371" s="90">
        <f t="shared" si="629"/>
        <v>1.0201100762066047</v>
      </c>
      <c r="E371" s="90">
        <f t="shared" si="629"/>
        <v>1.0078854534135713</v>
      </c>
      <c r="F371" s="90">
        <f t="shared" si="629"/>
        <v>1.004117768169652</v>
      </c>
      <c r="G371" s="90">
        <f t="shared" si="629"/>
        <v>1.0016403526758253</v>
      </c>
      <c r="H371" s="90">
        <f t="shared" si="629"/>
        <v>1.0020470829068577</v>
      </c>
      <c r="I371" s="90">
        <f t="shared" si="629"/>
        <v>1.0012257405515832</v>
      </c>
      <c r="J371" s="90">
        <f t="shared" si="629"/>
        <v>1.0008161599673535</v>
      </c>
      <c r="K371" s="22"/>
      <c r="L371" s="22"/>
      <c r="M371" s="91">
        <f>$A$37</f>
        <v>20142</v>
      </c>
      <c r="N371" s="105"/>
      <c r="O371" s="90" t="str">
        <f t="shared" ref="O371:V378" si="630">IFERROR(P358/O358,"")</f>
        <v/>
      </c>
      <c r="P371" s="90" t="str">
        <f t="shared" si="630"/>
        <v/>
      </c>
      <c r="Q371" s="90" t="str">
        <f t="shared" si="630"/>
        <v/>
      </c>
      <c r="R371" s="90" t="str">
        <f t="shared" si="630"/>
        <v/>
      </c>
      <c r="S371" s="90" t="str">
        <f t="shared" si="630"/>
        <v/>
      </c>
      <c r="T371" s="90" t="str">
        <f t="shared" si="630"/>
        <v/>
      </c>
      <c r="U371" s="90" t="str">
        <f t="shared" si="630"/>
        <v/>
      </c>
      <c r="V371" s="90" t="str">
        <f t="shared" si="630"/>
        <v/>
      </c>
      <c r="W371" s="22"/>
      <c r="X371" s="22"/>
      <c r="Y371" s="91">
        <f>$A$37</f>
        <v>20142</v>
      </c>
      <c r="Z371" s="105"/>
      <c r="AA371" s="90" t="str">
        <f t="shared" ref="AA371:AH378" si="631">IFERROR(AB358/AA358,"")</f>
        <v/>
      </c>
      <c r="AB371" s="90" t="str">
        <f t="shared" si="631"/>
        <v/>
      </c>
      <c r="AC371" s="90" t="str">
        <f t="shared" si="631"/>
        <v/>
      </c>
      <c r="AD371" s="90" t="str">
        <f t="shared" si="631"/>
        <v/>
      </c>
      <c r="AE371" s="90" t="str">
        <f t="shared" si="631"/>
        <v/>
      </c>
      <c r="AF371" s="90" t="str">
        <f t="shared" si="631"/>
        <v/>
      </c>
      <c r="AG371" s="90" t="str">
        <f t="shared" si="631"/>
        <v/>
      </c>
      <c r="AH371" s="90" t="str">
        <f t="shared" si="631"/>
        <v/>
      </c>
      <c r="AI371" s="22"/>
      <c r="AJ371" s="22"/>
      <c r="AK371" s="91">
        <f>$A$37</f>
        <v>20142</v>
      </c>
      <c r="AL371" s="105"/>
      <c r="AM371" s="90" t="str">
        <f t="shared" ref="AM371:AT378" si="632">IFERROR(AN358/AM358,"")</f>
        <v/>
      </c>
      <c r="AN371" s="90" t="str">
        <f t="shared" si="632"/>
        <v/>
      </c>
      <c r="AO371" s="90" t="str">
        <f t="shared" si="632"/>
        <v/>
      </c>
      <c r="AP371" s="90" t="str">
        <f t="shared" si="632"/>
        <v/>
      </c>
      <c r="AQ371" s="90" t="str">
        <f t="shared" si="632"/>
        <v/>
      </c>
      <c r="AR371" s="90" t="str">
        <f t="shared" si="632"/>
        <v/>
      </c>
      <c r="AS371" s="90" t="str">
        <f t="shared" si="632"/>
        <v/>
      </c>
      <c r="AT371" s="90" t="str">
        <f t="shared" si="632"/>
        <v/>
      </c>
      <c r="AU371" s="22"/>
      <c r="AV371" s="22"/>
      <c r="AW371" s="91">
        <f>$A$37</f>
        <v>20142</v>
      </c>
      <c r="AX371" s="105"/>
      <c r="AY371" s="90" t="str">
        <f t="shared" ref="AY371:BF378" si="633">IFERROR(AZ358/AY358,"")</f>
        <v/>
      </c>
      <c r="AZ371" s="90" t="str">
        <f t="shared" si="633"/>
        <v/>
      </c>
      <c r="BA371" s="90" t="str">
        <f t="shared" si="633"/>
        <v/>
      </c>
      <c r="BB371" s="90" t="str">
        <f t="shared" si="633"/>
        <v/>
      </c>
      <c r="BC371" s="90" t="str">
        <f t="shared" si="633"/>
        <v/>
      </c>
      <c r="BD371" s="90" t="str">
        <f t="shared" si="633"/>
        <v/>
      </c>
      <c r="BE371" s="90" t="str">
        <f t="shared" si="633"/>
        <v/>
      </c>
      <c r="BF371" s="90" t="str">
        <f t="shared" si="633"/>
        <v/>
      </c>
      <c r="BG371" s="22"/>
      <c r="BH371" s="22"/>
      <c r="BI371" s="91">
        <f>$A$37</f>
        <v>20142</v>
      </c>
      <c r="BJ371" s="105"/>
      <c r="BK371" s="90" t="str">
        <f t="shared" ref="BK371:BR378" si="634">IFERROR(BL358/BK358,"")</f>
        <v/>
      </c>
      <c r="BL371" s="90" t="str">
        <f t="shared" si="634"/>
        <v/>
      </c>
      <c r="BM371" s="90" t="str">
        <f t="shared" si="634"/>
        <v/>
      </c>
      <c r="BN371" s="90" t="str">
        <f t="shared" si="634"/>
        <v/>
      </c>
      <c r="BO371" s="90" t="str">
        <f t="shared" si="634"/>
        <v/>
      </c>
      <c r="BP371" s="90" t="str">
        <f t="shared" si="634"/>
        <v/>
      </c>
      <c r="BQ371" s="90" t="str">
        <f t="shared" si="634"/>
        <v/>
      </c>
      <c r="BR371" s="90" t="str">
        <f t="shared" si="634"/>
        <v/>
      </c>
      <c r="BS371" s="22"/>
      <c r="BT371" s="22"/>
      <c r="BU371" s="91">
        <f>$A$37</f>
        <v>20142</v>
      </c>
      <c r="BV371" s="105"/>
      <c r="BW371" s="90" t="str">
        <f t="shared" ref="BW371:CD378" si="635">IFERROR(BX358/BW358,"")</f>
        <v/>
      </c>
      <c r="BX371" s="90" t="str">
        <f t="shared" si="635"/>
        <v/>
      </c>
      <c r="BY371" s="90" t="str">
        <f t="shared" si="635"/>
        <v/>
      </c>
      <c r="BZ371" s="90" t="str">
        <f t="shared" si="635"/>
        <v/>
      </c>
      <c r="CA371" s="90" t="str">
        <f t="shared" si="635"/>
        <v/>
      </c>
      <c r="CB371" s="90" t="str">
        <f t="shared" si="635"/>
        <v/>
      </c>
      <c r="CC371" s="90" t="str">
        <f t="shared" si="635"/>
        <v/>
      </c>
      <c r="CD371" s="90" t="str">
        <f t="shared" si="635"/>
        <v/>
      </c>
      <c r="CE371" s="22"/>
      <c r="CF371" s="22"/>
      <c r="CG371" s="91">
        <f>$A$37</f>
        <v>20142</v>
      </c>
      <c r="CH371" s="105"/>
      <c r="CI371" s="90" t="str">
        <f t="shared" ref="CI371:CP378" si="636">IFERROR(CJ358/CI358,"")</f>
        <v/>
      </c>
      <c r="CJ371" s="90" t="str">
        <f t="shared" si="636"/>
        <v/>
      </c>
      <c r="CK371" s="90" t="str">
        <f t="shared" si="636"/>
        <v/>
      </c>
      <c r="CL371" s="90" t="str">
        <f t="shared" si="636"/>
        <v/>
      </c>
      <c r="CM371" s="90" t="str">
        <f t="shared" si="636"/>
        <v/>
      </c>
      <c r="CN371" s="90" t="str">
        <f t="shared" si="636"/>
        <v/>
      </c>
      <c r="CO371" s="90" t="str">
        <f t="shared" si="636"/>
        <v/>
      </c>
      <c r="CP371" s="90" t="str">
        <f t="shared" si="636"/>
        <v/>
      </c>
      <c r="CQ371" s="22"/>
      <c r="CR371" s="22"/>
      <c r="CS371" s="91">
        <f>$A$37</f>
        <v>20142</v>
      </c>
      <c r="CT371" s="105"/>
      <c r="CU371" s="90" t="str">
        <f t="shared" ref="CU371:DB378" si="637">IFERROR(CV358/CU358,"")</f>
        <v/>
      </c>
      <c r="CV371" s="90" t="str">
        <f t="shared" si="637"/>
        <v/>
      </c>
      <c r="CW371" s="90" t="str">
        <f t="shared" si="637"/>
        <v/>
      </c>
      <c r="CX371" s="90" t="str">
        <f t="shared" si="637"/>
        <v/>
      </c>
      <c r="CY371" s="90" t="str">
        <f t="shared" si="637"/>
        <v/>
      </c>
      <c r="CZ371" s="90" t="str">
        <f t="shared" si="637"/>
        <v/>
      </c>
      <c r="DA371" s="90" t="str">
        <f t="shared" si="637"/>
        <v/>
      </c>
      <c r="DB371" s="90" t="str">
        <f t="shared" si="637"/>
        <v/>
      </c>
      <c r="DC371" s="22"/>
      <c r="DD371" s="22"/>
      <c r="DE371" s="91">
        <f>$A$37</f>
        <v>20142</v>
      </c>
      <c r="DF371" s="105"/>
      <c r="DG371" s="90" t="str">
        <f t="shared" ref="DG371:DN378" si="638">IFERROR(DH358/DG358,"")</f>
        <v/>
      </c>
      <c r="DH371" s="90" t="str">
        <f t="shared" si="638"/>
        <v/>
      </c>
      <c r="DI371" s="90" t="str">
        <f t="shared" si="638"/>
        <v/>
      </c>
      <c r="DJ371" s="90" t="str">
        <f t="shared" si="638"/>
        <v/>
      </c>
      <c r="DK371" s="90" t="str">
        <f t="shared" si="638"/>
        <v/>
      </c>
      <c r="DL371" s="90" t="str">
        <f t="shared" si="638"/>
        <v/>
      </c>
      <c r="DM371" s="90" t="str">
        <f t="shared" si="638"/>
        <v/>
      </c>
      <c r="DN371" s="90" t="str">
        <f t="shared" si="638"/>
        <v/>
      </c>
      <c r="DO371" s="22"/>
      <c r="DP371" s="22"/>
    </row>
    <row r="372" spans="1:120" x14ac:dyDescent="0.25">
      <c r="A372" s="91">
        <f>$A$38</f>
        <v>20152</v>
      </c>
      <c r="B372" s="105"/>
      <c r="C372" s="90">
        <f t="shared" si="629"/>
        <v>1.2873189476795743</v>
      </c>
      <c r="D372" s="90">
        <f t="shared" si="629"/>
        <v>1.0190585533869116</v>
      </c>
      <c r="E372" s="90">
        <f t="shared" si="629"/>
        <v>1.0126182965299684</v>
      </c>
      <c r="F372" s="90">
        <f t="shared" si="629"/>
        <v>1.0062305295950156</v>
      </c>
      <c r="G372" s="90">
        <f t="shared" si="629"/>
        <v>1.0017691287041133</v>
      </c>
      <c r="H372" s="90">
        <f t="shared" si="629"/>
        <v>1.0011037527593818</v>
      </c>
      <c r="I372" s="90">
        <f t="shared" si="629"/>
        <v>1.0017640573318634</v>
      </c>
      <c r="J372" s="22"/>
      <c r="K372" s="22"/>
      <c r="L372" s="22"/>
      <c r="M372" s="91">
        <f>$A$38</f>
        <v>20152</v>
      </c>
      <c r="N372" s="105"/>
      <c r="O372" s="90" t="str">
        <f t="shared" si="630"/>
        <v/>
      </c>
      <c r="P372" s="90" t="str">
        <f t="shared" si="630"/>
        <v/>
      </c>
      <c r="Q372" s="90" t="str">
        <f t="shared" si="630"/>
        <v/>
      </c>
      <c r="R372" s="90" t="str">
        <f t="shared" si="630"/>
        <v/>
      </c>
      <c r="S372" s="90" t="str">
        <f t="shared" si="630"/>
        <v/>
      </c>
      <c r="T372" s="90" t="str">
        <f t="shared" si="630"/>
        <v/>
      </c>
      <c r="U372" s="90" t="str">
        <f t="shared" si="630"/>
        <v/>
      </c>
      <c r="V372" s="22"/>
      <c r="W372" s="22"/>
      <c r="X372" s="22"/>
      <c r="Y372" s="91">
        <f>$A$38</f>
        <v>20152</v>
      </c>
      <c r="Z372" s="105"/>
      <c r="AA372" s="90" t="str">
        <f t="shared" si="631"/>
        <v/>
      </c>
      <c r="AB372" s="90" t="str">
        <f t="shared" si="631"/>
        <v/>
      </c>
      <c r="AC372" s="90" t="str">
        <f t="shared" si="631"/>
        <v/>
      </c>
      <c r="AD372" s="90" t="str">
        <f t="shared" si="631"/>
        <v/>
      </c>
      <c r="AE372" s="90" t="str">
        <f t="shared" si="631"/>
        <v/>
      </c>
      <c r="AF372" s="90" t="str">
        <f t="shared" si="631"/>
        <v/>
      </c>
      <c r="AG372" s="90" t="str">
        <f t="shared" si="631"/>
        <v/>
      </c>
      <c r="AH372" s="22"/>
      <c r="AI372" s="22"/>
      <c r="AJ372" s="22"/>
      <c r="AK372" s="91">
        <f>$A$38</f>
        <v>20152</v>
      </c>
      <c r="AL372" s="105"/>
      <c r="AM372" s="90" t="str">
        <f t="shared" si="632"/>
        <v/>
      </c>
      <c r="AN372" s="90" t="str">
        <f t="shared" si="632"/>
        <v/>
      </c>
      <c r="AO372" s="90" t="str">
        <f t="shared" si="632"/>
        <v/>
      </c>
      <c r="AP372" s="90" t="str">
        <f t="shared" si="632"/>
        <v/>
      </c>
      <c r="AQ372" s="90" t="str">
        <f t="shared" si="632"/>
        <v/>
      </c>
      <c r="AR372" s="90" t="str">
        <f t="shared" si="632"/>
        <v/>
      </c>
      <c r="AS372" s="90" t="str">
        <f t="shared" si="632"/>
        <v/>
      </c>
      <c r="AT372" s="22"/>
      <c r="AU372" s="22"/>
      <c r="AV372" s="22"/>
      <c r="AW372" s="91">
        <f>$A$38</f>
        <v>20152</v>
      </c>
      <c r="AX372" s="105"/>
      <c r="AY372" s="90" t="str">
        <f t="shared" si="633"/>
        <v/>
      </c>
      <c r="AZ372" s="90" t="str">
        <f t="shared" si="633"/>
        <v/>
      </c>
      <c r="BA372" s="90" t="str">
        <f t="shared" si="633"/>
        <v/>
      </c>
      <c r="BB372" s="90" t="str">
        <f t="shared" si="633"/>
        <v/>
      </c>
      <c r="BC372" s="90" t="str">
        <f t="shared" si="633"/>
        <v/>
      </c>
      <c r="BD372" s="90" t="str">
        <f t="shared" si="633"/>
        <v/>
      </c>
      <c r="BE372" s="90" t="str">
        <f t="shared" si="633"/>
        <v/>
      </c>
      <c r="BF372" s="22"/>
      <c r="BG372" s="22"/>
      <c r="BH372" s="22"/>
      <c r="BI372" s="91">
        <f>$A$38</f>
        <v>20152</v>
      </c>
      <c r="BJ372" s="105"/>
      <c r="BK372" s="90" t="str">
        <f t="shared" si="634"/>
        <v/>
      </c>
      <c r="BL372" s="90" t="str">
        <f t="shared" si="634"/>
        <v/>
      </c>
      <c r="BM372" s="90" t="str">
        <f t="shared" si="634"/>
        <v/>
      </c>
      <c r="BN372" s="90" t="str">
        <f t="shared" si="634"/>
        <v/>
      </c>
      <c r="BO372" s="90" t="str">
        <f t="shared" si="634"/>
        <v/>
      </c>
      <c r="BP372" s="90" t="str">
        <f t="shared" si="634"/>
        <v/>
      </c>
      <c r="BQ372" s="90" t="str">
        <f t="shared" si="634"/>
        <v/>
      </c>
      <c r="BR372" s="22"/>
      <c r="BS372" s="22"/>
      <c r="BT372" s="22"/>
      <c r="BU372" s="91">
        <f>$A$38</f>
        <v>20152</v>
      </c>
      <c r="BV372" s="105"/>
      <c r="BW372" s="90" t="str">
        <f t="shared" si="635"/>
        <v/>
      </c>
      <c r="BX372" s="90" t="str">
        <f t="shared" si="635"/>
        <v/>
      </c>
      <c r="BY372" s="90" t="str">
        <f t="shared" si="635"/>
        <v/>
      </c>
      <c r="BZ372" s="90" t="str">
        <f t="shared" si="635"/>
        <v/>
      </c>
      <c r="CA372" s="90" t="str">
        <f t="shared" si="635"/>
        <v/>
      </c>
      <c r="CB372" s="90" t="str">
        <f t="shared" si="635"/>
        <v/>
      </c>
      <c r="CC372" s="90" t="str">
        <f t="shared" si="635"/>
        <v/>
      </c>
      <c r="CD372" s="22"/>
      <c r="CE372" s="22"/>
      <c r="CF372" s="22"/>
      <c r="CG372" s="91">
        <f>$A$38</f>
        <v>20152</v>
      </c>
      <c r="CH372" s="105"/>
      <c r="CI372" s="90" t="str">
        <f t="shared" si="636"/>
        <v/>
      </c>
      <c r="CJ372" s="90" t="str">
        <f t="shared" si="636"/>
        <v/>
      </c>
      <c r="CK372" s="90" t="str">
        <f t="shared" si="636"/>
        <v/>
      </c>
      <c r="CL372" s="90" t="str">
        <f t="shared" si="636"/>
        <v/>
      </c>
      <c r="CM372" s="90" t="str">
        <f t="shared" si="636"/>
        <v/>
      </c>
      <c r="CN372" s="90" t="str">
        <f t="shared" si="636"/>
        <v/>
      </c>
      <c r="CO372" s="90" t="str">
        <f t="shared" si="636"/>
        <v/>
      </c>
      <c r="CP372" s="22"/>
      <c r="CQ372" s="22"/>
      <c r="CR372" s="22"/>
      <c r="CS372" s="91">
        <f>$A$38</f>
        <v>20152</v>
      </c>
      <c r="CT372" s="105"/>
      <c r="CU372" s="90" t="str">
        <f t="shared" si="637"/>
        <v/>
      </c>
      <c r="CV372" s="90" t="str">
        <f t="shared" si="637"/>
        <v/>
      </c>
      <c r="CW372" s="90" t="str">
        <f t="shared" si="637"/>
        <v/>
      </c>
      <c r="CX372" s="90" t="str">
        <f t="shared" si="637"/>
        <v/>
      </c>
      <c r="CY372" s="90" t="str">
        <f t="shared" si="637"/>
        <v/>
      </c>
      <c r="CZ372" s="90" t="str">
        <f t="shared" si="637"/>
        <v/>
      </c>
      <c r="DA372" s="90" t="str">
        <f t="shared" si="637"/>
        <v/>
      </c>
      <c r="DB372" s="22"/>
      <c r="DC372" s="22"/>
      <c r="DD372" s="22"/>
      <c r="DE372" s="91">
        <f>$A$38</f>
        <v>20152</v>
      </c>
      <c r="DF372" s="105"/>
      <c r="DG372" s="90" t="str">
        <f t="shared" si="638"/>
        <v/>
      </c>
      <c r="DH372" s="90" t="str">
        <f t="shared" si="638"/>
        <v/>
      </c>
      <c r="DI372" s="90" t="str">
        <f t="shared" si="638"/>
        <v/>
      </c>
      <c r="DJ372" s="90" t="str">
        <f t="shared" si="638"/>
        <v/>
      </c>
      <c r="DK372" s="90" t="str">
        <f t="shared" si="638"/>
        <v/>
      </c>
      <c r="DL372" s="90" t="str">
        <f t="shared" si="638"/>
        <v/>
      </c>
      <c r="DM372" s="90" t="str">
        <f t="shared" si="638"/>
        <v/>
      </c>
      <c r="DN372" s="22"/>
      <c r="DO372" s="22"/>
      <c r="DP372" s="22"/>
    </row>
    <row r="373" spans="1:120" x14ac:dyDescent="0.25">
      <c r="A373" s="91">
        <f>$A$39</f>
        <v>20162</v>
      </c>
      <c r="B373" s="105"/>
      <c r="C373" s="90">
        <f t="shared" si="629"/>
        <v>1.258342922899885</v>
      </c>
      <c r="D373" s="90">
        <f t="shared" si="629"/>
        <v>1.0157750342935528</v>
      </c>
      <c r="E373" s="90">
        <f t="shared" si="629"/>
        <v>1.0112536574386675</v>
      </c>
      <c r="F373" s="90">
        <f t="shared" si="629"/>
        <v>1.0057867794346762</v>
      </c>
      <c r="G373" s="90">
        <f t="shared" si="629"/>
        <v>1.0026554547466253</v>
      </c>
      <c r="H373" s="90">
        <f t="shared" si="629"/>
        <v>1.0022070183182521</v>
      </c>
      <c r="I373" s="22"/>
      <c r="J373" s="22"/>
      <c r="K373" s="22"/>
      <c r="L373" s="22"/>
      <c r="M373" s="91">
        <f>$A$39</f>
        <v>20162</v>
      </c>
      <c r="N373" s="105"/>
      <c r="O373" s="90" t="str">
        <f t="shared" si="630"/>
        <v/>
      </c>
      <c r="P373" s="90" t="str">
        <f t="shared" si="630"/>
        <v/>
      </c>
      <c r="Q373" s="90" t="str">
        <f t="shared" si="630"/>
        <v/>
      </c>
      <c r="R373" s="90" t="str">
        <f t="shared" si="630"/>
        <v/>
      </c>
      <c r="S373" s="90" t="str">
        <f t="shared" si="630"/>
        <v/>
      </c>
      <c r="T373" s="90" t="str">
        <f t="shared" si="630"/>
        <v/>
      </c>
      <c r="U373" s="22"/>
      <c r="V373" s="22"/>
      <c r="W373" s="22"/>
      <c r="X373" s="22"/>
      <c r="Y373" s="91">
        <f>$A$39</f>
        <v>20162</v>
      </c>
      <c r="Z373" s="105"/>
      <c r="AA373" s="90" t="str">
        <f t="shared" si="631"/>
        <v/>
      </c>
      <c r="AB373" s="90" t="str">
        <f t="shared" si="631"/>
        <v/>
      </c>
      <c r="AC373" s="90" t="str">
        <f t="shared" si="631"/>
        <v/>
      </c>
      <c r="AD373" s="90" t="str">
        <f t="shared" si="631"/>
        <v/>
      </c>
      <c r="AE373" s="90" t="str">
        <f t="shared" si="631"/>
        <v/>
      </c>
      <c r="AF373" s="90" t="str">
        <f t="shared" si="631"/>
        <v/>
      </c>
      <c r="AG373" s="22"/>
      <c r="AH373" s="22"/>
      <c r="AI373" s="22"/>
      <c r="AJ373" s="22"/>
      <c r="AK373" s="91">
        <f>$A$39</f>
        <v>20162</v>
      </c>
      <c r="AL373" s="105"/>
      <c r="AM373" s="90" t="str">
        <f t="shared" si="632"/>
        <v/>
      </c>
      <c r="AN373" s="90" t="str">
        <f t="shared" si="632"/>
        <v/>
      </c>
      <c r="AO373" s="90" t="str">
        <f t="shared" si="632"/>
        <v/>
      </c>
      <c r="AP373" s="90" t="str">
        <f t="shared" si="632"/>
        <v/>
      </c>
      <c r="AQ373" s="90" t="str">
        <f t="shared" si="632"/>
        <v/>
      </c>
      <c r="AR373" s="90" t="str">
        <f t="shared" si="632"/>
        <v/>
      </c>
      <c r="AS373" s="22"/>
      <c r="AT373" s="22"/>
      <c r="AU373" s="22"/>
      <c r="AV373" s="22"/>
      <c r="AW373" s="91">
        <f>$A$39</f>
        <v>20162</v>
      </c>
      <c r="AX373" s="105"/>
      <c r="AY373" s="90" t="str">
        <f t="shared" si="633"/>
        <v/>
      </c>
      <c r="AZ373" s="90" t="str">
        <f t="shared" si="633"/>
        <v/>
      </c>
      <c r="BA373" s="90" t="str">
        <f t="shared" si="633"/>
        <v/>
      </c>
      <c r="BB373" s="90" t="str">
        <f t="shared" si="633"/>
        <v/>
      </c>
      <c r="BC373" s="90" t="str">
        <f t="shared" si="633"/>
        <v/>
      </c>
      <c r="BD373" s="90" t="str">
        <f t="shared" si="633"/>
        <v/>
      </c>
      <c r="BE373" s="22"/>
      <c r="BF373" s="22"/>
      <c r="BG373" s="22"/>
      <c r="BH373" s="22"/>
      <c r="BI373" s="91">
        <f>$A$39</f>
        <v>20162</v>
      </c>
      <c r="BJ373" s="105"/>
      <c r="BK373" s="90" t="str">
        <f t="shared" si="634"/>
        <v/>
      </c>
      <c r="BL373" s="90" t="str">
        <f t="shared" si="634"/>
        <v/>
      </c>
      <c r="BM373" s="90" t="str">
        <f t="shared" si="634"/>
        <v/>
      </c>
      <c r="BN373" s="90" t="str">
        <f t="shared" si="634"/>
        <v/>
      </c>
      <c r="BO373" s="90" t="str">
        <f t="shared" si="634"/>
        <v/>
      </c>
      <c r="BP373" s="90" t="str">
        <f t="shared" si="634"/>
        <v/>
      </c>
      <c r="BQ373" s="22"/>
      <c r="BR373" s="22"/>
      <c r="BS373" s="22"/>
      <c r="BT373" s="22"/>
      <c r="BU373" s="91">
        <f>$A$39</f>
        <v>20162</v>
      </c>
      <c r="BV373" s="105"/>
      <c r="BW373" s="90" t="str">
        <f t="shared" si="635"/>
        <v/>
      </c>
      <c r="BX373" s="90" t="str">
        <f t="shared" si="635"/>
        <v/>
      </c>
      <c r="BY373" s="90" t="str">
        <f t="shared" si="635"/>
        <v/>
      </c>
      <c r="BZ373" s="90" t="str">
        <f t="shared" si="635"/>
        <v/>
      </c>
      <c r="CA373" s="90" t="str">
        <f t="shared" si="635"/>
        <v/>
      </c>
      <c r="CB373" s="90" t="str">
        <f t="shared" si="635"/>
        <v/>
      </c>
      <c r="CC373" s="22"/>
      <c r="CD373" s="22"/>
      <c r="CE373" s="22"/>
      <c r="CF373" s="22"/>
      <c r="CG373" s="91">
        <f>$A$39</f>
        <v>20162</v>
      </c>
      <c r="CH373" s="105"/>
      <c r="CI373" s="90" t="str">
        <f t="shared" si="636"/>
        <v/>
      </c>
      <c r="CJ373" s="90" t="str">
        <f t="shared" si="636"/>
        <v/>
      </c>
      <c r="CK373" s="90" t="str">
        <f t="shared" si="636"/>
        <v/>
      </c>
      <c r="CL373" s="90" t="str">
        <f t="shared" si="636"/>
        <v/>
      </c>
      <c r="CM373" s="90" t="str">
        <f t="shared" si="636"/>
        <v/>
      </c>
      <c r="CN373" s="90" t="str">
        <f t="shared" si="636"/>
        <v/>
      </c>
      <c r="CO373" s="22"/>
      <c r="CP373" s="22"/>
      <c r="CQ373" s="22"/>
      <c r="CR373" s="22"/>
      <c r="CS373" s="91">
        <f>$A$39</f>
        <v>20162</v>
      </c>
      <c r="CT373" s="105"/>
      <c r="CU373" s="90" t="str">
        <f t="shared" si="637"/>
        <v/>
      </c>
      <c r="CV373" s="90" t="str">
        <f t="shared" si="637"/>
        <v/>
      </c>
      <c r="CW373" s="90" t="str">
        <f t="shared" si="637"/>
        <v/>
      </c>
      <c r="CX373" s="90" t="str">
        <f t="shared" si="637"/>
        <v/>
      </c>
      <c r="CY373" s="90" t="str">
        <f t="shared" si="637"/>
        <v/>
      </c>
      <c r="CZ373" s="90" t="str">
        <f t="shared" si="637"/>
        <v/>
      </c>
      <c r="DA373" s="22"/>
      <c r="DB373" s="22"/>
      <c r="DC373" s="22"/>
      <c r="DD373" s="22"/>
      <c r="DE373" s="91">
        <f>$A$39</f>
        <v>20162</v>
      </c>
      <c r="DF373" s="105"/>
      <c r="DG373" s="90" t="str">
        <f t="shared" si="638"/>
        <v/>
      </c>
      <c r="DH373" s="90" t="str">
        <f t="shared" si="638"/>
        <v/>
      </c>
      <c r="DI373" s="90" t="str">
        <f t="shared" si="638"/>
        <v/>
      </c>
      <c r="DJ373" s="90" t="str">
        <f t="shared" si="638"/>
        <v/>
      </c>
      <c r="DK373" s="90" t="str">
        <f t="shared" si="638"/>
        <v/>
      </c>
      <c r="DL373" s="90" t="str">
        <f t="shared" si="638"/>
        <v/>
      </c>
      <c r="DM373" s="22"/>
      <c r="DN373" s="22"/>
      <c r="DO373" s="22"/>
      <c r="DP373" s="22"/>
    </row>
    <row r="374" spans="1:120" x14ac:dyDescent="0.25">
      <c r="A374" s="91">
        <f>$A$40</f>
        <v>20172</v>
      </c>
      <c r="B374" s="105"/>
      <c r="C374" s="90">
        <f t="shared" si="629"/>
        <v>1.1952294529427017</v>
      </c>
      <c r="D374" s="90">
        <f t="shared" si="629"/>
        <v>1.0175704989154013</v>
      </c>
      <c r="E374" s="90">
        <f t="shared" si="629"/>
        <v>1.010445534001279</v>
      </c>
      <c r="F374" s="90">
        <f t="shared" si="629"/>
        <v>1.0050632911392405</v>
      </c>
      <c r="G374" s="90">
        <f t="shared" si="629"/>
        <v>1.0056675062972291</v>
      </c>
      <c r="H374" s="22"/>
      <c r="I374" s="22"/>
      <c r="J374" s="22"/>
      <c r="K374" s="22"/>
      <c r="L374" s="22"/>
      <c r="M374" s="91">
        <f>$A$40</f>
        <v>20172</v>
      </c>
      <c r="N374" s="105"/>
      <c r="O374" s="90" t="str">
        <f t="shared" si="630"/>
        <v/>
      </c>
      <c r="P374" s="90" t="str">
        <f t="shared" si="630"/>
        <v/>
      </c>
      <c r="Q374" s="90" t="str">
        <f t="shared" si="630"/>
        <v/>
      </c>
      <c r="R374" s="90" t="str">
        <f t="shared" si="630"/>
        <v/>
      </c>
      <c r="S374" s="90" t="str">
        <f t="shared" si="630"/>
        <v/>
      </c>
      <c r="T374" s="22"/>
      <c r="U374" s="22"/>
      <c r="V374" s="22"/>
      <c r="W374" s="22"/>
      <c r="X374" s="22"/>
      <c r="Y374" s="91">
        <f>$A$40</f>
        <v>20172</v>
      </c>
      <c r="Z374" s="105"/>
      <c r="AA374" s="90" t="str">
        <f t="shared" si="631"/>
        <v/>
      </c>
      <c r="AB374" s="90" t="str">
        <f t="shared" si="631"/>
        <v/>
      </c>
      <c r="AC374" s="90" t="str">
        <f t="shared" si="631"/>
        <v/>
      </c>
      <c r="AD374" s="90" t="str">
        <f t="shared" si="631"/>
        <v/>
      </c>
      <c r="AE374" s="90" t="str">
        <f t="shared" si="631"/>
        <v/>
      </c>
      <c r="AF374" s="22"/>
      <c r="AG374" s="22"/>
      <c r="AH374" s="22"/>
      <c r="AI374" s="22"/>
      <c r="AJ374" s="22"/>
      <c r="AK374" s="91">
        <f>$A$40</f>
        <v>20172</v>
      </c>
      <c r="AL374" s="105"/>
      <c r="AM374" s="90" t="str">
        <f t="shared" si="632"/>
        <v/>
      </c>
      <c r="AN374" s="90" t="str">
        <f t="shared" si="632"/>
        <v/>
      </c>
      <c r="AO374" s="90" t="str">
        <f t="shared" si="632"/>
        <v/>
      </c>
      <c r="AP374" s="90" t="str">
        <f t="shared" si="632"/>
        <v/>
      </c>
      <c r="AQ374" s="90" t="str">
        <f t="shared" si="632"/>
        <v/>
      </c>
      <c r="AR374" s="22"/>
      <c r="AS374" s="22"/>
      <c r="AT374" s="22"/>
      <c r="AU374" s="22"/>
      <c r="AV374" s="22"/>
      <c r="AW374" s="91">
        <f>$A$40</f>
        <v>20172</v>
      </c>
      <c r="AX374" s="105"/>
      <c r="AY374" s="90" t="str">
        <f t="shared" si="633"/>
        <v/>
      </c>
      <c r="AZ374" s="90" t="str">
        <f t="shared" si="633"/>
        <v/>
      </c>
      <c r="BA374" s="90" t="str">
        <f t="shared" si="633"/>
        <v/>
      </c>
      <c r="BB374" s="90" t="str">
        <f t="shared" si="633"/>
        <v/>
      </c>
      <c r="BC374" s="90" t="str">
        <f t="shared" si="633"/>
        <v/>
      </c>
      <c r="BD374" s="22"/>
      <c r="BE374" s="22"/>
      <c r="BF374" s="22"/>
      <c r="BG374" s="22"/>
      <c r="BH374" s="22"/>
      <c r="BI374" s="91">
        <f>$A$40</f>
        <v>20172</v>
      </c>
      <c r="BJ374" s="105"/>
      <c r="BK374" s="90" t="str">
        <f t="shared" si="634"/>
        <v/>
      </c>
      <c r="BL374" s="90" t="str">
        <f t="shared" si="634"/>
        <v/>
      </c>
      <c r="BM374" s="90" t="str">
        <f t="shared" si="634"/>
        <v/>
      </c>
      <c r="BN374" s="90" t="str">
        <f t="shared" si="634"/>
        <v/>
      </c>
      <c r="BO374" s="90" t="str">
        <f t="shared" si="634"/>
        <v/>
      </c>
      <c r="BP374" s="22"/>
      <c r="BQ374" s="22"/>
      <c r="BR374" s="22"/>
      <c r="BS374" s="22"/>
      <c r="BT374" s="22"/>
      <c r="BU374" s="91">
        <f>$A$40</f>
        <v>20172</v>
      </c>
      <c r="BV374" s="105"/>
      <c r="BW374" s="90" t="str">
        <f t="shared" si="635"/>
        <v/>
      </c>
      <c r="BX374" s="90" t="str">
        <f t="shared" si="635"/>
        <v/>
      </c>
      <c r="BY374" s="90" t="str">
        <f t="shared" si="635"/>
        <v/>
      </c>
      <c r="BZ374" s="90" t="str">
        <f t="shared" si="635"/>
        <v/>
      </c>
      <c r="CA374" s="90" t="str">
        <f t="shared" si="635"/>
        <v/>
      </c>
      <c r="CB374" s="22"/>
      <c r="CC374" s="22"/>
      <c r="CD374" s="22"/>
      <c r="CE374" s="22"/>
      <c r="CF374" s="22"/>
      <c r="CG374" s="91">
        <f>$A$40</f>
        <v>20172</v>
      </c>
      <c r="CH374" s="105"/>
      <c r="CI374" s="90" t="str">
        <f t="shared" si="636"/>
        <v/>
      </c>
      <c r="CJ374" s="90" t="str">
        <f t="shared" si="636"/>
        <v/>
      </c>
      <c r="CK374" s="90" t="str">
        <f t="shared" si="636"/>
        <v/>
      </c>
      <c r="CL374" s="90" t="str">
        <f t="shared" si="636"/>
        <v/>
      </c>
      <c r="CM374" s="90" t="str">
        <f t="shared" si="636"/>
        <v/>
      </c>
      <c r="CN374" s="22"/>
      <c r="CO374" s="22"/>
      <c r="CP374" s="22"/>
      <c r="CQ374" s="22"/>
      <c r="CR374" s="22"/>
      <c r="CS374" s="91">
        <f>$A$40</f>
        <v>20172</v>
      </c>
      <c r="CT374" s="105"/>
      <c r="CU374" s="90" t="str">
        <f t="shared" si="637"/>
        <v/>
      </c>
      <c r="CV374" s="90" t="str">
        <f t="shared" si="637"/>
        <v/>
      </c>
      <c r="CW374" s="90" t="str">
        <f t="shared" si="637"/>
        <v/>
      </c>
      <c r="CX374" s="90" t="str">
        <f t="shared" si="637"/>
        <v/>
      </c>
      <c r="CY374" s="90" t="str">
        <f t="shared" si="637"/>
        <v/>
      </c>
      <c r="CZ374" s="22"/>
      <c r="DA374" s="22"/>
      <c r="DB374" s="22"/>
      <c r="DC374" s="22"/>
      <c r="DD374" s="22"/>
      <c r="DE374" s="91">
        <f>$A$40</f>
        <v>20172</v>
      </c>
      <c r="DF374" s="105"/>
      <c r="DG374" s="90" t="str">
        <f t="shared" si="638"/>
        <v/>
      </c>
      <c r="DH374" s="90" t="str">
        <f t="shared" si="638"/>
        <v/>
      </c>
      <c r="DI374" s="90" t="str">
        <f t="shared" si="638"/>
        <v/>
      </c>
      <c r="DJ374" s="90" t="str">
        <f t="shared" si="638"/>
        <v/>
      </c>
      <c r="DK374" s="90" t="str">
        <f t="shared" si="638"/>
        <v/>
      </c>
      <c r="DL374" s="22"/>
      <c r="DM374" s="22"/>
      <c r="DN374" s="22"/>
      <c r="DO374" s="22"/>
      <c r="DP374" s="22"/>
    </row>
    <row r="375" spans="1:120" x14ac:dyDescent="0.25">
      <c r="A375" s="91">
        <f>$A$41</f>
        <v>20182</v>
      </c>
      <c r="B375" s="105"/>
      <c r="C375" s="90">
        <f t="shared" si="629"/>
        <v>1.2245497978684308</v>
      </c>
      <c r="D375" s="90">
        <f t="shared" si="629"/>
        <v>1.0231092436974789</v>
      </c>
      <c r="E375" s="90">
        <f t="shared" si="629"/>
        <v>1.0082135523613962</v>
      </c>
      <c r="F375" s="90">
        <f t="shared" si="629"/>
        <v>1.008437590922316</v>
      </c>
      <c r="G375" s="22"/>
      <c r="H375" s="22"/>
      <c r="I375" s="22"/>
      <c r="J375" s="22"/>
      <c r="K375" s="22"/>
      <c r="L375" s="22"/>
      <c r="M375" s="91">
        <f>$A$41</f>
        <v>20182</v>
      </c>
      <c r="N375" s="105"/>
      <c r="O375" s="90" t="str">
        <f t="shared" si="630"/>
        <v/>
      </c>
      <c r="P375" s="90" t="str">
        <f t="shared" si="630"/>
        <v/>
      </c>
      <c r="Q375" s="90" t="str">
        <f t="shared" si="630"/>
        <v/>
      </c>
      <c r="R375" s="90" t="str">
        <f t="shared" si="630"/>
        <v/>
      </c>
      <c r="S375" s="22"/>
      <c r="T375" s="22"/>
      <c r="U375" s="22"/>
      <c r="V375" s="22"/>
      <c r="W375" s="22"/>
      <c r="X375" s="22"/>
      <c r="Y375" s="91">
        <f>$A$41</f>
        <v>20182</v>
      </c>
      <c r="Z375" s="105"/>
      <c r="AA375" s="90" t="str">
        <f t="shared" si="631"/>
        <v/>
      </c>
      <c r="AB375" s="90" t="str">
        <f t="shared" si="631"/>
        <v/>
      </c>
      <c r="AC375" s="90" t="str">
        <f t="shared" si="631"/>
        <v/>
      </c>
      <c r="AD375" s="90" t="str">
        <f t="shared" si="631"/>
        <v/>
      </c>
      <c r="AE375" s="22"/>
      <c r="AF375" s="22"/>
      <c r="AG375" s="22"/>
      <c r="AH375" s="22"/>
      <c r="AI375" s="22"/>
      <c r="AJ375" s="22"/>
      <c r="AK375" s="91">
        <f>$A$41</f>
        <v>20182</v>
      </c>
      <c r="AL375" s="105"/>
      <c r="AM375" s="90" t="str">
        <f t="shared" si="632"/>
        <v/>
      </c>
      <c r="AN375" s="90" t="str">
        <f t="shared" si="632"/>
        <v/>
      </c>
      <c r="AO375" s="90" t="str">
        <f t="shared" si="632"/>
        <v/>
      </c>
      <c r="AP375" s="90" t="str">
        <f t="shared" si="632"/>
        <v/>
      </c>
      <c r="AQ375" s="22"/>
      <c r="AR375" s="22"/>
      <c r="AS375" s="22"/>
      <c r="AT375" s="22"/>
      <c r="AU375" s="22"/>
      <c r="AV375" s="22"/>
      <c r="AW375" s="91">
        <f>$A$41</f>
        <v>20182</v>
      </c>
      <c r="AX375" s="105"/>
      <c r="AY375" s="90" t="str">
        <f t="shared" si="633"/>
        <v/>
      </c>
      <c r="AZ375" s="90" t="str">
        <f t="shared" si="633"/>
        <v/>
      </c>
      <c r="BA375" s="90" t="str">
        <f t="shared" si="633"/>
        <v/>
      </c>
      <c r="BB375" s="90" t="str">
        <f t="shared" si="633"/>
        <v/>
      </c>
      <c r="BC375" s="22"/>
      <c r="BD375" s="22"/>
      <c r="BE375" s="22"/>
      <c r="BF375" s="22"/>
      <c r="BG375" s="22"/>
      <c r="BH375" s="22"/>
      <c r="BI375" s="91">
        <f>$A$41</f>
        <v>20182</v>
      </c>
      <c r="BJ375" s="105"/>
      <c r="BK375" s="90" t="str">
        <f t="shared" si="634"/>
        <v/>
      </c>
      <c r="BL375" s="90" t="str">
        <f t="shared" si="634"/>
        <v/>
      </c>
      <c r="BM375" s="90" t="str">
        <f t="shared" si="634"/>
        <v/>
      </c>
      <c r="BN375" s="90" t="str">
        <f t="shared" si="634"/>
        <v/>
      </c>
      <c r="BO375" s="22"/>
      <c r="BP375" s="22"/>
      <c r="BQ375" s="22"/>
      <c r="BR375" s="22"/>
      <c r="BS375" s="22"/>
      <c r="BT375" s="22"/>
      <c r="BU375" s="91">
        <f>$A$41</f>
        <v>20182</v>
      </c>
      <c r="BV375" s="105"/>
      <c r="BW375" s="90" t="str">
        <f t="shared" si="635"/>
        <v/>
      </c>
      <c r="BX375" s="90" t="str">
        <f t="shared" si="635"/>
        <v/>
      </c>
      <c r="BY375" s="90" t="str">
        <f t="shared" si="635"/>
        <v/>
      </c>
      <c r="BZ375" s="90" t="str">
        <f t="shared" si="635"/>
        <v/>
      </c>
      <c r="CA375" s="22"/>
      <c r="CB375" s="22"/>
      <c r="CC375" s="22"/>
      <c r="CD375" s="22"/>
      <c r="CE375" s="22"/>
      <c r="CF375" s="22"/>
      <c r="CG375" s="91">
        <f>$A$41</f>
        <v>20182</v>
      </c>
      <c r="CH375" s="105"/>
      <c r="CI375" s="90" t="str">
        <f t="shared" si="636"/>
        <v/>
      </c>
      <c r="CJ375" s="90" t="str">
        <f t="shared" si="636"/>
        <v/>
      </c>
      <c r="CK375" s="90" t="str">
        <f t="shared" si="636"/>
        <v/>
      </c>
      <c r="CL375" s="90" t="str">
        <f t="shared" si="636"/>
        <v/>
      </c>
      <c r="CM375" s="22"/>
      <c r="CN375" s="22"/>
      <c r="CO375" s="22"/>
      <c r="CP375" s="22"/>
      <c r="CQ375" s="22"/>
      <c r="CR375" s="22"/>
      <c r="CS375" s="91">
        <f>$A$41</f>
        <v>20182</v>
      </c>
      <c r="CT375" s="105"/>
      <c r="CU375" s="90" t="str">
        <f t="shared" si="637"/>
        <v/>
      </c>
      <c r="CV375" s="90" t="str">
        <f t="shared" si="637"/>
        <v/>
      </c>
      <c r="CW375" s="90" t="str">
        <f t="shared" si="637"/>
        <v/>
      </c>
      <c r="CX375" s="90" t="str">
        <f t="shared" si="637"/>
        <v/>
      </c>
      <c r="CY375" s="22"/>
      <c r="CZ375" s="22"/>
      <c r="DA375" s="22"/>
      <c r="DB375" s="22"/>
      <c r="DC375" s="22"/>
      <c r="DD375" s="22"/>
      <c r="DE375" s="91">
        <f>$A$41</f>
        <v>20182</v>
      </c>
      <c r="DF375" s="105"/>
      <c r="DG375" s="90" t="str">
        <f t="shared" si="638"/>
        <v/>
      </c>
      <c r="DH375" s="90" t="str">
        <f t="shared" si="638"/>
        <v/>
      </c>
      <c r="DI375" s="90" t="str">
        <f t="shared" si="638"/>
        <v/>
      </c>
      <c r="DJ375" s="90" t="str">
        <f t="shared" si="638"/>
        <v/>
      </c>
      <c r="DK375" s="22"/>
      <c r="DL375" s="22"/>
      <c r="DM375" s="22"/>
      <c r="DN375" s="22"/>
      <c r="DO375" s="22"/>
      <c r="DP375" s="22"/>
    </row>
    <row r="376" spans="1:120" x14ac:dyDescent="0.25">
      <c r="A376" s="91">
        <f>$A$42</f>
        <v>20192</v>
      </c>
      <c r="B376" s="105"/>
      <c r="C376" s="90">
        <f t="shared" si="629"/>
        <v>1.242801279772485</v>
      </c>
      <c r="D376" s="90">
        <f t="shared" si="629"/>
        <v>1.0254576659038901</v>
      </c>
      <c r="E376" s="90">
        <f t="shared" si="629"/>
        <v>1.0178521617852161</v>
      </c>
      <c r="F376" s="22"/>
      <c r="G376" s="22"/>
      <c r="H376" s="22"/>
      <c r="I376" s="22"/>
      <c r="J376" s="22"/>
      <c r="K376" s="22"/>
      <c r="L376" s="22"/>
      <c r="M376" s="91">
        <f>$A$42</f>
        <v>20192</v>
      </c>
      <c r="N376" s="105"/>
      <c r="O376" s="90" t="str">
        <f t="shared" si="630"/>
        <v/>
      </c>
      <c r="P376" s="90" t="str">
        <f t="shared" si="630"/>
        <v/>
      </c>
      <c r="Q376" s="90" t="str">
        <f t="shared" si="630"/>
        <v/>
      </c>
      <c r="R376" s="22"/>
      <c r="S376" s="22"/>
      <c r="T376" s="22"/>
      <c r="U376" s="22"/>
      <c r="V376" s="22"/>
      <c r="W376" s="22"/>
      <c r="X376" s="22"/>
      <c r="Y376" s="91">
        <f>$A$42</f>
        <v>20192</v>
      </c>
      <c r="Z376" s="105"/>
      <c r="AA376" s="90" t="str">
        <f t="shared" si="631"/>
        <v/>
      </c>
      <c r="AB376" s="90" t="str">
        <f t="shared" si="631"/>
        <v/>
      </c>
      <c r="AC376" s="90" t="str">
        <f t="shared" si="631"/>
        <v/>
      </c>
      <c r="AD376" s="22"/>
      <c r="AE376" s="22"/>
      <c r="AF376" s="22"/>
      <c r="AG376" s="22"/>
      <c r="AH376" s="22"/>
      <c r="AI376" s="22"/>
      <c r="AJ376" s="22"/>
      <c r="AK376" s="91">
        <f>$A$42</f>
        <v>20192</v>
      </c>
      <c r="AL376" s="105"/>
      <c r="AM376" s="90" t="str">
        <f t="shared" si="632"/>
        <v/>
      </c>
      <c r="AN376" s="90" t="str">
        <f t="shared" si="632"/>
        <v/>
      </c>
      <c r="AO376" s="90" t="str">
        <f t="shared" si="632"/>
        <v/>
      </c>
      <c r="AP376" s="22"/>
      <c r="AQ376" s="22"/>
      <c r="AR376" s="22"/>
      <c r="AS376" s="22"/>
      <c r="AT376" s="22"/>
      <c r="AU376" s="22"/>
      <c r="AV376" s="22"/>
      <c r="AW376" s="91">
        <f>$A$42</f>
        <v>20192</v>
      </c>
      <c r="AX376" s="105"/>
      <c r="AY376" s="90" t="str">
        <f t="shared" si="633"/>
        <v/>
      </c>
      <c r="AZ376" s="90" t="str">
        <f t="shared" si="633"/>
        <v/>
      </c>
      <c r="BA376" s="90" t="str">
        <f t="shared" si="633"/>
        <v/>
      </c>
      <c r="BB376" s="22"/>
      <c r="BC376" s="22"/>
      <c r="BD376" s="22"/>
      <c r="BE376" s="22"/>
      <c r="BF376" s="22"/>
      <c r="BG376" s="22"/>
      <c r="BH376" s="22"/>
      <c r="BI376" s="91">
        <f>$A$42</f>
        <v>20192</v>
      </c>
      <c r="BJ376" s="105"/>
      <c r="BK376" s="90" t="str">
        <f t="shared" si="634"/>
        <v/>
      </c>
      <c r="BL376" s="90" t="str">
        <f t="shared" si="634"/>
        <v/>
      </c>
      <c r="BM376" s="90" t="str">
        <f t="shared" si="634"/>
        <v/>
      </c>
      <c r="BN376" s="22"/>
      <c r="BO376" s="22"/>
      <c r="BP376" s="22"/>
      <c r="BQ376" s="22"/>
      <c r="BR376" s="22"/>
      <c r="BS376" s="22"/>
      <c r="BT376" s="22"/>
      <c r="BU376" s="91">
        <f>$A$42</f>
        <v>20192</v>
      </c>
      <c r="BV376" s="105"/>
      <c r="BW376" s="90" t="str">
        <f t="shared" si="635"/>
        <v/>
      </c>
      <c r="BX376" s="90" t="str">
        <f t="shared" si="635"/>
        <v/>
      </c>
      <c r="BY376" s="90" t="str">
        <f t="shared" si="635"/>
        <v/>
      </c>
      <c r="BZ376" s="22"/>
      <c r="CA376" s="22"/>
      <c r="CB376" s="22"/>
      <c r="CC376" s="22"/>
      <c r="CD376" s="22"/>
      <c r="CE376" s="22"/>
      <c r="CF376" s="22"/>
      <c r="CG376" s="91">
        <f>$A$42</f>
        <v>20192</v>
      </c>
      <c r="CH376" s="105"/>
      <c r="CI376" s="90" t="str">
        <f t="shared" si="636"/>
        <v/>
      </c>
      <c r="CJ376" s="90" t="str">
        <f t="shared" si="636"/>
        <v/>
      </c>
      <c r="CK376" s="90" t="str">
        <f t="shared" si="636"/>
        <v/>
      </c>
      <c r="CL376" s="22"/>
      <c r="CM376" s="22"/>
      <c r="CN376" s="22"/>
      <c r="CO376" s="22"/>
      <c r="CP376" s="22"/>
      <c r="CQ376" s="22"/>
      <c r="CR376" s="22"/>
      <c r="CS376" s="91">
        <f>$A$42</f>
        <v>20192</v>
      </c>
      <c r="CT376" s="105"/>
      <c r="CU376" s="90" t="str">
        <f t="shared" si="637"/>
        <v/>
      </c>
      <c r="CV376" s="90" t="str">
        <f t="shared" si="637"/>
        <v/>
      </c>
      <c r="CW376" s="90" t="str">
        <f t="shared" si="637"/>
        <v/>
      </c>
      <c r="CX376" s="22"/>
      <c r="CY376" s="22"/>
      <c r="CZ376" s="22"/>
      <c r="DA376" s="22"/>
      <c r="DB376" s="22"/>
      <c r="DC376" s="22"/>
      <c r="DD376" s="22"/>
      <c r="DE376" s="91">
        <f>$A$42</f>
        <v>20192</v>
      </c>
      <c r="DF376" s="105"/>
      <c r="DG376" s="90" t="str">
        <f t="shared" si="638"/>
        <v/>
      </c>
      <c r="DH376" s="90" t="str">
        <f t="shared" si="638"/>
        <v/>
      </c>
      <c r="DI376" s="90" t="str">
        <f t="shared" si="638"/>
        <v/>
      </c>
      <c r="DJ376" s="22"/>
      <c r="DK376" s="22"/>
      <c r="DL376" s="22"/>
      <c r="DM376" s="22"/>
      <c r="DN376" s="22"/>
      <c r="DO376" s="22"/>
      <c r="DP376" s="22"/>
    </row>
    <row r="377" spans="1:120" x14ac:dyDescent="0.25">
      <c r="A377" s="91">
        <f>$A$43</f>
        <v>20202</v>
      </c>
      <c r="B377" s="105"/>
      <c r="C377" s="90">
        <f t="shared" si="629"/>
        <v>1.2805173807599031</v>
      </c>
      <c r="D377" s="90">
        <f t="shared" si="629"/>
        <v>1.0284090909090908</v>
      </c>
      <c r="E377" s="22"/>
      <c r="F377" s="22"/>
      <c r="G377" s="22"/>
      <c r="H377" s="22"/>
      <c r="I377" s="22"/>
      <c r="J377" s="22"/>
      <c r="K377" s="22"/>
      <c r="L377" s="22"/>
      <c r="M377" s="91">
        <f>$A$43</f>
        <v>20202</v>
      </c>
      <c r="N377" s="105"/>
      <c r="O377" s="90" t="str">
        <f t="shared" si="630"/>
        <v/>
      </c>
      <c r="P377" s="90" t="str">
        <f t="shared" si="630"/>
        <v/>
      </c>
      <c r="Q377" s="22"/>
      <c r="R377" s="22"/>
      <c r="S377" s="22"/>
      <c r="T377" s="22"/>
      <c r="U377" s="22"/>
      <c r="V377" s="22"/>
      <c r="W377" s="22"/>
      <c r="X377" s="22"/>
      <c r="Y377" s="91">
        <f>$A$43</f>
        <v>20202</v>
      </c>
      <c r="Z377" s="105"/>
      <c r="AA377" s="90" t="str">
        <f t="shared" si="631"/>
        <v/>
      </c>
      <c r="AB377" s="90" t="str">
        <f t="shared" si="631"/>
        <v/>
      </c>
      <c r="AC377" s="22"/>
      <c r="AD377" s="22"/>
      <c r="AE377" s="22"/>
      <c r="AF377" s="22"/>
      <c r="AG377" s="22"/>
      <c r="AH377" s="22"/>
      <c r="AI377" s="22"/>
      <c r="AJ377" s="22"/>
      <c r="AK377" s="91">
        <f>$A$43</f>
        <v>20202</v>
      </c>
      <c r="AL377" s="105"/>
      <c r="AM377" s="90" t="str">
        <f t="shared" si="632"/>
        <v/>
      </c>
      <c r="AN377" s="90" t="str">
        <f t="shared" si="632"/>
        <v/>
      </c>
      <c r="AO377" s="22"/>
      <c r="AP377" s="22"/>
      <c r="AQ377" s="22"/>
      <c r="AR377" s="22"/>
      <c r="AS377" s="22"/>
      <c r="AT377" s="22"/>
      <c r="AU377" s="22"/>
      <c r="AV377" s="22"/>
      <c r="AW377" s="91">
        <f>$A$43</f>
        <v>20202</v>
      </c>
      <c r="AX377" s="105"/>
      <c r="AY377" s="90" t="str">
        <f t="shared" si="633"/>
        <v/>
      </c>
      <c r="AZ377" s="90" t="str">
        <f t="shared" si="633"/>
        <v/>
      </c>
      <c r="BA377" s="22"/>
      <c r="BB377" s="22"/>
      <c r="BC377" s="22"/>
      <c r="BD377" s="22"/>
      <c r="BE377" s="22"/>
      <c r="BF377" s="22"/>
      <c r="BG377" s="22"/>
      <c r="BH377" s="22"/>
      <c r="BI377" s="91">
        <f>$A$43</f>
        <v>20202</v>
      </c>
      <c r="BJ377" s="105"/>
      <c r="BK377" s="90" t="str">
        <f t="shared" si="634"/>
        <v/>
      </c>
      <c r="BL377" s="90" t="str">
        <f t="shared" si="634"/>
        <v/>
      </c>
      <c r="BM377" s="22"/>
      <c r="BN377" s="22"/>
      <c r="BO377" s="22"/>
      <c r="BP377" s="22"/>
      <c r="BQ377" s="22"/>
      <c r="BR377" s="22"/>
      <c r="BS377" s="22"/>
      <c r="BT377" s="22"/>
      <c r="BU377" s="91">
        <f>$A$43</f>
        <v>20202</v>
      </c>
      <c r="BV377" s="105"/>
      <c r="BW377" s="90" t="str">
        <f t="shared" si="635"/>
        <v/>
      </c>
      <c r="BX377" s="90" t="str">
        <f t="shared" si="635"/>
        <v/>
      </c>
      <c r="BY377" s="22"/>
      <c r="BZ377" s="22"/>
      <c r="CA377" s="22"/>
      <c r="CB377" s="22"/>
      <c r="CC377" s="22"/>
      <c r="CD377" s="22"/>
      <c r="CE377" s="22"/>
      <c r="CF377" s="22"/>
      <c r="CG377" s="91">
        <f>$A$43</f>
        <v>20202</v>
      </c>
      <c r="CH377" s="105"/>
      <c r="CI377" s="90" t="str">
        <f t="shared" si="636"/>
        <v/>
      </c>
      <c r="CJ377" s="90" t="str">
        <f t="shared" si="636"/>
        <v/>
      </c>
      <c r="CK377" s="22"/>
      <c r="CL377" s="22"/>
      <c r="CM377" s="22"/>
      <c r="CN377" s="22"/>
      <c r="CO377" s="22"/>
      <c r="CP377" s="22"/>
      <c r="CQ377" s="22"/>
      <c r="CR377" s="22"/>
      <c r="CS377" s="91">
        <f>$A$43</f>
        <v>20202</v>
      </c>
      <c r="CT377" s="105"/>
      <c r="CU377" s="90" t="str">
        <f t="shared" si="637"/>
        <v/>
      </c>
      <c r="CV377" s="90" t="str">
        <f t="shared" si="637"/>
        <v/>
      </c>
      <c r="CW377" s="22"/>
      <c r="CX377" s="22"/>
      <c r="CY377" s="22"/>
      <c r="CZ377" s="22"/>
      <c r="DA377" s="22"/>
      <c r="DB377" s="22"/>
      <c r="DC377" s="22"/>
      <c r="DD377" s="22"/>
      <c r="DE377" s="91">
        <f>$A$43</f>
        <v>20202</v>
      </c>
      <c r="DF377" s="105"/>
      <c r="DG377" s="90" t="str">
        <f t="shared" si="638"/>
        <v/>
      </c>
      <c r="DH377" s="90" t="str">
        <f t="shared" si="638"/>
        <v/>
      </c>
      <c r="DI377" s="22"/>
      <c r="DJ377" s="22"/>
      <c r="DK377" s="22"/>
      <c r="DL377" s="22"/>
      <c r="DM377" s="22"/>
      <c r="DN377" s="22"/>
      <c r="DO377" s="22"/>
      <c r="DP377" s="22"/>
    </row>
    <row r="378" spans="1:120" x14ac:dyDescent="0.25">
      <c r="A378" s="91">
        <f>$A$44</f>
        <v>20212</v>
      </c>
      <c r="B378" s="105"/>
      <c r="C378" s="90">
        <f t="shared" si="629"/>
        <v>1.3167464114832537</v>
      </c>
      <c r="D378" s="22"/>
      <c r="E378" s="22"/>
      <c r="F378" s="22"/>
      <c r="G378" s="22"/>
      <c r="H378" s="22"/>
      <c r="I378" s="22"/>
      <c r="J378" s="22"/>
      <c r="K378" s="22"/>
      <c r="L378" s="22"/>
      <c r="M378" s="91">
        <f>$A$44</f>
        <v>20212</v>
      </c>
      <c r="N378" s="105"/>
      <c r="O378" s="90" t="str">
        <f t="shared" si="630"/>
        <v/>
      </c>
      <c r="P378" s="22"/>
      <c r="Q378" s="22"/>
      <c r="R378" s="22"/>
      <c r="S378" s="22"/>
      <c r="T378" s="22"/>
      <c r="U378" s="22"/>
      <c r="V378" s="22"/>
      <c r="W378" s="22"/>
      <c r="X378" s="22"/>
      <c r="Y378" s="91">
        <f>$A$44</f>
        <v>20212</v>
      </c>
      <c r="Z378" s="105"/>
      <c r="AA378" s="90" t="str">
        <f t="shared" si="631"/>
        <v/>
      </c>
      <c r="AB378" s="22"/>
      <c r="AC378" s="22"/>
      <c r="AD378" s="22"/>
      <c r="AE378" s="22"/>
      <c r="AF378" s="22"/>
      <c r="AG378" s="22"/>
      <c r="AH378" s="22"/>
      <c r="AI378" s="22"/>
      <c r="AJ378" s="22"/>
      <c r="AK378" s="91">
        <f>$A$44</f>
        <v>20212</v>
      </c>
      <c r="AL378" s="105"/>
      <c r="AM378" s="90" t="str">
        <f t="shared" si="632"/>
        <v/>
      </c>
      <c r="AN378" s="22"/>
      <c r="AO378" s="22"/>
      <c r="AP378" s="22"/>
      <c r="AQ378" s="22"/>
      <c r="AR378" s="22"/>
      <c r="AS378" s="22"/>
      <c r="AT378" s="22"/>
      <c r="AU378" s="22"/>
      <c r="AV378" s="22"/>
      <c r="AW378" s="91">
        <f>$A$44</f>
        <v>20212</v>
      </c>
      <c r="AX378" s="105"/>
      <c r="AY378" s="90" t="str">
        <f t="shared" si="633"/>
        <v/>
      </c>
      <c r="AZ378" s="22"/>
      <c r="BA378" s="22"/>
      <c r="BB378" s="22"/>
      <c r="BC378" s="22"/>
      <c r="BD378" s="22"/>
      <c r="BE378" s="22"/>
      <c r="BF378" s="22"/>
      <c r="BG378" s="22"/>
      <c r="BH378" s="22"/>
      <c r="BI378" s="91">
        <f>$A$44</f>
        <v>20212</v>
      </c>
      <c r="BJ378" s="105"/>
      <c r="BK378" s="90" t="str">
        <f t="shared" si="634"/>
        <v/>
      </c>
      <c r="BL378" s="22"/>
      <c r="BM378" s="22"/>
      <c r="BN378" s="22"/>
      <c r="BO378" s="22"/>
      <c r="BP378" s="22"/>
      <c r="BQ378" s="22"/>
      <c r="BR378" s="22"/>
      <c r="BS378" s="22"/>
      <c r="BT378" s="22"/>
      <c r="BU378" s="91">
        <f>$A$44</f>
        <v>20212</v>
      </c>
      <c r="BV378" s="105"/>
      <c r="BW378" s="90" t="str">
        <f t="shared" si="635"/>
        <v/>
      </c>
      <c r="BX378" s="22"/>
      <c r="BY378" s="22"/>
      <c r="BZ378" s="22"/>
      <c r="CA378" s="22"/>
      <c r="CB378" s="22"/>
      <c r="CC378" s="22"/>
      <c r="CD378" s="22"/>
      <c r="CE378" s="22"/>
      <c r="CF378" s="22"/>
      <c r="CG378" s="91">
        <f>$A$44</f>
        <v>20212</v>
      </c>
      <c r="CH378" s="105"/>
      <c r="CI378" s="90" t="str">
        <f t="shared" si="636"/>
        <v/>
      </c>
      <c r="CJ378" s="22"/>
      <c r="CK378" s="22"/>
      <c r="CL378" s="22"/>
      <c r="CM378" s="22"/>
      <c r="CN378" s="22"/>
      <c r="CO378" s="22"/>
      <c r="CP378" s="22"/>
      <c r="CQ378" s="22"/>
      <c r="CR378" s="22"/>
      <c r="CS378" s="91">
        <f>$A$44</f>
        <v>20212</v>
      </c>
      <c r="CT378" s="105"/>
      <c r="CU378" s="90" t="str">
        <f t="shared" si="637"/>
        <v/>
      </c>
      <c r="CV378" s="22"/>
      <c r="CW378" s="22"/>
      <c r="CX378" s="22"/>
      <c r="CY378" s="22"/>
      <c r="CZ378" s="22"/>
      <c r="DA378" s="22"/>
      <c r="DB378" s="22"/>
      <c r="DC378" s="22"/>
      <c r="DD378" s="22"/>
      <c r="DE378" s="91">
        <f>$A$44</f>
        <v>20212</v>
      </c>
      <c r="DF378" s="105"/>
      <c r="DG378" s="90" t="str">
        <f t="shared" si="638"/>
        <v/>
      </c>
      <c r="DH378" s="22"/>
      <c r="DI378" s="22"/>
      <c r="DJ378" s="22"/>
      <c r="DK378" s="22"/>
      <c r="DL378" s="22"/>
      <c r="DM378" s="22"/>
      <c r="DN378" s="22"/>
      <c r="DO378" s="22"/>
      <c r="DP378" s="22"/>
    </row>
    <row r="379" spans="1:120" x14ac:dyDescent="0.25">
      <c r="A379" s="108"/>
      <c r="B379" s="108"/>
      <c r="C379" s="108"/>
      <c r="D379" s="108"/>
      <c r="E379" s="108"/>
      <c r="F379" s="108"/>
      <c r="G379" s="108"/>
      <c r="H379" s="108"/>
      <c r="I379" s="108"/>
      <c r="J379" s="108"/>
      <c r="K379" s="108"/>
      <c r="L379" s="109" t="s">
        <v>38</v>
      </c>
      <c r="M379" s="108"/>
      <c r="N379" s="108"/>
      <c r="O379" s="108"/>
      <c r="P379" s="108"/>
      <c r="Q379" s="108"/>
      <c r="R379" s="108"/>
      <c r="S379" s="108"/>
      <c r="T379" s="108"/>
      <c r="U379" s="108"/>
      <c r="V379" s="108"/>
      <c r="W379" s="108"/>
      <c r="X379" s="109" t="s">
        <v>38</v>
      </c>
      <c r="Y379" s="108"/>
      <c r="Z379" s="108"/>
      <c r="AA379" s="108"/>
      <c r="AB379" s="108"/>
      <c r="AC379" s="108"/>
      <c r="AD379" s="108"/>
      <c r="AE379" s="108"/>
      <c r="AF379" s="108"/>
      <c r="AG379" s="108"/>
      <c r="AH379" s="108"/>
      <c r="AI379" s="108"/>
      <c r="AJ379" s="109" t="s">
        <v>38</v>
      </c>
      <c r="AK379" s="108"/>
      <c r="AL379" s="108"/>
      <c r="AM379" s="108"/>
      <c r="AN379" s="108"/>
      <c r="AO379" s="108"/>
      <c r="AP379" s="108"/>
      <c r="AQ379" s="108"/>
      <c r="AR379" s="108"/>
      <c r="AS379" s="108"/>
      <c r="AT379" s="108"/>
      <c r="AU379" s="108"/>
      <c r="AV379" s="109" t="s">
        <v>38</v>
      </c>
      <c r="AW379" s="108"/>
      <c r="AX379" s="108"/>
      <c r="AY379" s="108"/>
      <c r="AZ379" s="108"/>
      <c r="BA379" s="108"/>
      <c r="BB379" s="108"/>
      <c r="BC379" s="108"/>
      <c r="BD379" s="108"/>
      <c r="BE379" s="108"/>
      <c r="BF379" s="108"/>
      <c r="BG379" s="108"/>
      <c r="BH379" s="109" t="s">
        <v>38</v>
      </c>
      <c r="BI379" s="108"/>
      <c r="BJ379" s="108"/>
      <c r="BK379" s="108"/>
      <c r="BL379" s="108"/>
      <c r="BM379" s="108"/>
      <c r="BN379" s="108"/>
      <c r="BO379" s="108"/>
      <c r="BP379" s="108"/>
      <c r="BQ379" s="108"/>
      <c r="BR379" s="108"/>
      <c r="BS379" s="108"/>
      <c r="BT379" s="109" t="s">
        <v>38</v>
      </c>
      <c r="BU379" s="108"/>
      <c r="BV379" s="108"/>
      <c r="BW379" s="108"/>
      <c r="BX379" s="108"/>
      <c r="BY379" s="108"/>
      <c r="BZ379" s="108"/>
      <c r="CA379" s="108"/>
      <c r="CB379" s="108"/>
      <c r="CC379" s="108"/>
      <c r="CD379" s="108"/>
      <c r="CE379" s="108"/>
      <c r="CF379" s="109" t="s">
        <v>38</v>
      </c>
      <c r="CG379" s="108"/>
      <c r="CH379" s="108"/>
      <c r="CI379" s="108"/>
      <c r="CJ379" s="108"/>
      <c r="CK379" s="108"/>
      <c r="CL379" s="108"/>
      <c r="CM379" s="108"/>
      <c r="CN379" s="108"/>
      <c r="CO379" s="108"/>
      <c r="CP379" s="108"/>
      <c r="CQ379" s="108"/>
      <c r="CR379" s="109" t="s">
        <v>38</v>
      </c>
      <c r="CS379" s="108"/>
      <c r="CT379" s="108"/>
      <c r="CU379" s="108"/>
      <c r="CV379" s="108"/>
      <c r="CW379" s="108"/>
      <c r="CX379" s="108"/>
      <c r="CY379" s="108"/>
      <c r="CZ379" s="108"/>
      <c r="DA379" s="108"/>
      <c r="DB379" s="108"/>
      <c r="DC379" s="108"/>
      <c r="DD379" s="109" t="s">
        <v>38</v>
      </c>
      <c r="DE379" s="108"/>
      <c r="DF379" s="108"/>
      <c r="DG379" s="108"/>
      <c r="DH379" s="108"/>
      <c r="DI379" s="108"/>
      <c r="DJ379" s="108"/>
      <c r="DK379" s="108"/>
      <c r="DL379" s="108"/>
      <c r="DM379" s="108"/>
      <c r="DN379" s="108"/>
      <c r="DO379" s="108"/>
      <c r="DP379" s="109" t="s">
        <v>38</v>
      </c>
    </row>
    <row r="380" spans="1:120" x14ac:dyDescent="0.25">
      <c r="A380" s="11" t="s">
        <v>37</v>
      </c>
      <c r="B380" s="107"/>
      <c r="C380" s="93">
        <f>IFERROR(SUM(D363:D365)/SUM(C363:C365),1)</f>
        <v>1.2763996204419141</v>
      </c>
      <c r="D380" s="93">
        <f>IFERROR(SUM(E362:E364)/SUM(D362:D364),1)</f>
        <v>1.0256102440976391</v>
      </c>
      <c r="E380" s="93">
        <f>IFERROR(SUM(F361:F363)/SUM(E361:E363),1)</f>
        <v>1.0120667522464699</v>
      </c>
      <c r="F380" s="93">
        <f>IFERROR(SUM(G360:G362)/SUM(F360:F362),1)</f>
        <v>1.0062352012628255</v>
      </c>
      <c r="G380" s="93">
        <f>IFERROR(SUM(H359:H361)/SUM(G359:G361),1)</f>
        <v>1.0034045635639262</v>
      </c>
      <c r="H380" s="93">
        <f>IFERROR(SUM(I358:I360)/SUM(H358:H360),1)</f>
        <v>1.0017926287107415</v>
      </c>
      <c r="I380" s="93">
        <f>IFERROR(SUM(J357:J359)/SUM(I357:I359),1)</f>
        <v>1.0011510596519737</v>
      </c>
      <c r="J380" s="93">
        <f>IFERROR(SUM(K357:K358)/SUM(J357:J358),1)</f>
        <v>1.0007810211851997</v>
      </c>
      <c r="K380" s="93">
        <f>IFERROR(SUM(L357:L357)/SUM(K357:K357),1)</f>
        <v>1.0005611672278338</v>
      </c>
      <c r="L380" s="93">
        <v>1</v>
      </c>
      <c r="M380" s="285" t="s">
        <v>37</v>
      </c>
      <c r="N380" s="107"/>
      <c r="O380" s="93">
        <f>IFERROR(SUM(P363:P365)/SUM(O363:O365),1)</f>
        <v>1</v>
      </c>
      <c r="P380" s="93">
        <f>IFERROR(SUM(Q362:Q364)/SUM(P362:P364),1)</f>
        <v>1</v>
      </c>
      <c r="Q380" s="93">
        <f>IFERROR(SUM(R361:R363)/SUM(Q361:Q363),1)</f>
        <v>1</v>
      </c>
      <c r="R380" s="93">
        <f>IFERROR(SUM(S360:S362)/SUM(R360:R362),1)</f>
        <v>1</v>
      </c>
      <c r="S380" s="93">
        <f>IFERROR(SUM(T359:T361)/SUM(S359:S361),1)</f>
        <v>1</v>
      </c>
      <c r="T380" s="93">
        <f>IFERROR(SUM(U358:U360)/SUM(T358:T360),1)</f>
        <v>1</v>
      </c>
      <c r="U380" s="93">
        <f>IFERROR(SUM(V357:V359)/SUM(U357:U359),1)</f>
        <v>1</v>
      </c>
      <c r="V380" s="93">
        <f>IFERROR(SUM(W357:W358)/SUM(V357:V358),1)</f>
        <v>1</v>
      </c>
      <c r="W380" s="93">
        <f>IFERROR(SUM(X357:X357)/SUM(W357:W357),1)</f>
        <v>1</v>
      </c>
      <c r="X380" s="93">
        <v>1</v>
      </c>
      <c r="Y380" s="285" t="s">
        <v>37</v>
      </c>
      <c r="Z380" s="107"/>
      <c r="AA380" s="93">
        <f>IFERROR(SUM(AB363:AB365)/SUM(AA363:AA365),1)</f>
        <v>1</v>
      </c>
      <c r="AB380" s="93">
        <f>IFERROR(SUM(AC362:AC364)/SUM(AB362:AB364),1)</f>
        <v>1</v>
      </c>
      <c r="AC380" s="93">
        <f>IFERROR(SUM(AD361:AD363)/SUM(AC361:AC363),1)</f>
        <v>1</v>
      </c>
      <c r="AD380" s="93">
        <f>IFERROR(SUM(AE360:AE362)/SUM(AD360:AD362),1)</f>
        <v>1</v>
      </c>
      <c r="AE380" s="93">
        <f>IFERROR(SUM(AF359:AF361)/SUM(AE359:AE361),1)</f>
        <v>1</v>
      </c>
      <c r="AF380" s="93">
        <f>IFERROR(SUM(AG358:AG360)/SUM(AF358:AF360),1)</f>
        <v>1</v>
      </c>
      <c r="AG380" s="93">
        <f>IFERROR(SUM(AH357:AH359)/SUM(AG357:AG359),1)</f>
        <v>1</v>
      </c>
      <c r="AH380" s="93">
        <f>IFERROR(SUM(AI357:AI358)/SUM(AH357:AH358),1)</f>
        <v>1</v>
      </c>
      <c r="AI380" s="93">
        <f>IFERROR(SUM(AJ357:AJ357)/SUM(AI357:AI357),1)</f>
        <v>1</v>
      </c>
      <c r="AJ380" s="93">
        <v>1</v>
      </c>
      <c r="AK380" s="285" t="s">
        <v>37</v>
      </c>
      <c r="AL380" s="107"/>
      <c r="AM380" s="93">
        <f>IFERROR(SUM(AN363:AN365)/SUM(AM363:AM365),1)</f>
        <v>1</v>
      </c>
      <c r="AN380" s="93">
        <f>IFERROR(SUM(AO362:AO364)/SUM(AN362:AN364),1)</f>
        <v>1</v>
      </c>
      <c r="AO380" s="93">
        <f>IFERROR(SUM(AP361:AP363)/SUM(AO361:AO363),1)</f>
        <v>1</v>
      </c>
      <c r="AP380" s="93">
        <f>IFERROR(SUM(AQ360:AQ362)/SUM(AP360:AP362),1)</f>
        <v>1</v>
      </c>
      <c r="AQ380" s="93">
        <f>IFERROR(SUM(AR359:AR361)/SUM(AQ359:AQ361),1)</f>
        <v>1</v>
      </c>
      <c r="AR380" s="93">
        <f>IFERROR(SUM(AS358:AS360)/SUM(AR358:AR360),1)</f>
        <v>1</v>
      </c>
      <c r="AS380" s="93">
        <f>IFERROR(SUM(AT357:AT359)/SUM(AS357:AS359),1)</f>
        <v>1</v>
      </c>
      <c r="AT380" s="93">
        <f>IFERROR(SUM(AU357:AU358)/SUM(AT357:AT358),1)</f>
        <v>1</v>
      </c>
      <c r="AU380" s="93">
        <f>IFERROR(SUM(AV357:AV357)/SUM(AU357:AU357),1)</f>
        <v>1</v>
      </c>
      <c r="AV380" s="93">
        <v>1</v>
      </c>
      <c r="AW380" s="285" t="s">
        <v>37</v>
      </c>
      <c r="AX380" s="107"/>
      <c r="AY380" s="93">
        <f>IFERROR(SUM(AZ363:AZ365)/SUM(AY363:AY365),1)</f>
        <v>1</v>
      </c>
      <c r="AZ380" s="93">
        <f>IFERROR(SUM(BA362:BA364)/SUM(AZ362:AZ364),1)</f>
        <v>1</v>
      </c>
      <c r="BA380" s="93">
        <f>IFERROR(SUM(BB361:BB363)/SUM(BA361:BA363),1)</f>
        <v>1</v>
      </c>
      <c r="BB380" s="93">
        <f>IFERROR(SUM(BC360:BC362)/SUM(BB360:BB362),1)</f>
        <v>1</v>
      </c>
      <c r="BC380" s="93">
        <f>IFERROR(SUM(BD359:BD361)/SUM(BC359:BC361),1)</f>
        <v>1</v>
      </c>
      <c r="BD380" s="93">
        <f>IFERROR(SUM(BE358:BE360)/SUM(BD358:BD360),1)</f>
        <v>1</v>
      </c>
      <c r="BE380" s="93">
        <f>IFERROR(SUM(BF357:BF359)/SUM(BE357:BE359),1)</f>
        <v>1</v>
      </c>
      <c r="BF380" s="93">
        <f>IFERROR(SUM(BG357:BG358)/SUM(BF357:BF358),1)</f>
        <v>1</v>
      </c>
      <c r="BG380" s="93">
        <f>IFERROR(SUM(BH357:BH357)/SUM(BG357:BG357),1)</f>
        <v>1</v>
      </c>
      <c r="BH380" s="93">
        <v>1</v>
      </c>
      <c r="BI380" s="285" t="s">
        <v>37</v>
      </c>
      <c r="BJ380" s="107"/>
      <c r="BK380" s="93">
        <f>IFERROR(SUM(BL363:BL365)/SUM(BK363:BK365),1)</f>
        <v>1</v>
      </c>
      <c r="BL380" s="93">
        <f>IFERROR(SUM(BM362:BM364)/SUM(BL362:BL364),1)</f>
        <v>1</v>
      </c>
      <c r="BM380" s="93">
        <f>IFERROR(SUM(BN361:BN363)/SUM(BM361:BM363),1)</f>
        <v>1</v>
      </c>
      <c r="BN380" s="93">
        <f>IFERROR(SUM(BO360:BO362)/SUM(BN360:BN362),1)</f>
        <v>1</v>
      </c>
      <c r="BO380" s="93">
        <f>IFERROR(SUM(BP359:BP361)/SUM(BO359:BO361),1)</f>
        <v>1</v>
      </c>
      <c r="BP380" s="93">
        <f>IFERROR(SUM(BQ358:BQ360)/SUM(BP358:BP360),1)</f>
        <v>1</v>
      </c>
      <c r="BQ380" s="93">
        <f>IFERROR(SUM(BR357:BR359)/SUM(BQ357:BQ359),1)</f>
        <v>1</v>
      </c>
      <c r="BR380" s="93">
        <f>IFERROR(SUM(BS357:BS358)/SUM(BR357:BR358),1)</f>
        <v>1</v>
      </c>
      <c r="BS380" s="93">
        <f>IFERROR(SUM(BT357:BT357)/SUM(BS357:BS357),1)</f>
        <v>1</v>
      </c>
      <c r="BT380" s="93">
        <v>1</v>
      </c>
      <c r="BU380" s="285" t="s">
        <v>37</v>
      </c>
      <c r="BV380" s="107"/>
      <c r="BW380" s="93">
        <f>IFERROR(SUM(BX363:BX365)/SUM(BW363:BW365),1)</f>
        <v>1</v>
      </c>
      <c r="BX380" s="93">
        <f>IFERROR(SUM(BY362:BY364)/SUM(BX362:BX364),1)</f>
        <v>1</v>
      </c>
      <c r="BY380" s="93">
        <f>IFERROR(SUM(BZ361:BZ363)/SUM(BY361:BY363),1)</f>
        <v>1</v>
      </c>
      <c r="BZ380" s="93">
        <f>IFERROR(SUM(CA360:CA362)/SUM(BZ360:BZ362),1)</f>
        <v>1</v>
      </c>
      <c r="CA380" s="93">
        <f>IFERROR(SUM(CB359:CB361)/SUM(CA359:CA361),1)</f>
        <v>1</v>
      </c>
      <c r="CB380" s="93">
        <f>IFERROR(SUM(CC358:CC360)/SUM(CB358:CB360),1)</f>
        <v>1</v>
      </c>
      <c r="CC380" s="93">
        <f>IFERROR(SUM(CD357:CD359)/SUM(CC357:CC359),1)</f>
        <v>1</v>
      </c>
      <c r="CD380" s="93">
        <f>IFERROR(SUM(CE357:CE358)/SUM(CD357:CD358),1)</f>
        <v>1</v>
      </c>
      <c r="CE380" s="93">
        <f>IFERROR(SUM(CF357:CF357)/SUM(CE357:CE357),1)</f>
        <v>1</v>
      </c>
      <c r="CF380" s="93">
        <v>1</v>
      </c>
      <c r="CG380" s="285" t="s">
        <v>37</v>
      </c>
      <c r="CH380" s="107"/>
      <c r="CI380" s="93">
        <f>IFERROR(SUM(CJ363:CJ365)/SUM(CI363:CI365),1)</f>
        <v>1</v>
      </c>
      <c r="CJ380" s="93">
        <f>IFERROR(SUM(CK362:CK364)/SUM(CJ362:CJ364),1)</f>
        <v>1</v>
      </c>
      <c r="CK380" s="93">
        <f>IFERROR(SUM(CL361:CL363)/SUM(CK361:CK363),1)</f>
        <v>1</v>
      </c>
      <c r="CL380" s="93">
        <f>IFERROR(SUM(CM360:CM362)/SUM(CL360:CL362),1)</f>
        <v>1</v>
      </c>
      <c r="CM380" s="93">
        <f>IFERROR(SUM(CN359:CN361)/SUM(CM359:CM361),1)</f>
        <v>1</v>
      </c>
      <c r="CN380" s="93">
        <f>IFERROR(SUM(CO358:CO360)/SUM(CN358:CN360),1)</f>
        <v>1</v>
      </c>
      <c r="CO380" s="93">
        <f>IFERROR(SUM(CP357:CP359)/SUM(CO357:CO359),1)</f>
        <v>1</v>
      </c>
      <c r="CP380" s="93">
        <f>IFERROR(SUM(CQ357:CQ358)/SUM(CP357:CP358),1)</f>
        <v>1</v>
      </c>
      <c r="CQ380" s="93">
        <f>IFERROR(SUM(CR357:CR357)/SUM(CQ357:CQ357),1)</f>
        <v>1</v>
      </c>
      <c r="CR380" s="93">
        <v>1</v>
      </c>
      <c r="CS380" s="285" t="s">
        <v>37</v>
      </c>
      <c r="CT380" s="107"/>
      <c r="CU380" s="93">
        <f>IFERROR(SUM(CV363:CV365)/SUM(CU363:CU365),1)</f>
        <v>1</v>
      </c>
      <c r="CV380" s="93">
        <f>IFERROR(SUM(CW362:CW364)/SUM(CV362:CV364),1)</f>
        <v>1</v>
      </c>
      <c r="CW380" s="93">
        <f>IFERROR(SUM(CX361:CX363)/SUM(CW361:CW363),1)</f>
        <v>1</v>
      </c>
      <c r="CX380" s="93">
        <f>IFERROR(SUM(CY360:CY362)/SUM(CX360:CX362),1)</f>
        <v>1</v>
      </c>
      <c r="CY380" s="93">
        <f>IFERROR(SUM(CZ359:CZ361)/SUM(CY359:CY361),1)</f>
        <v>1</v>
      </c>
      <c r="CZ380" s="93">
        <f>IFERROR(SUM(DA358:DA360)/SUM(CZ358:CZ360),1)</f>
        <v>1</v>
      </c>
      <c r="DA380" s="93">
        <f>IFERROR(SUM(DB357:DB359)/SUM(DA357:DA359),1)</f>
        <v>1</v>
      </c>
      <c r="DB380" s="93">
        <f>IFERROR(SUM(DC357:DC358)/SUM(DB357:DB358),1)</f>
        <v>1</v>
      </c>
      <c r="DC380" s="93">
        <f>IFERROR(SUM(DD357:DD357)/SUM(DC357:DC357),1)</f>
        <v>1</v>
      </c>
      <c r="DD380" s="93">
        <v>1</v>
      </c>
      <c r="DE380" s="285" t="s">
        <v>37</v>
      </c>
      <c r="DF380" s="107"/>
      <c r="DG380" s="93">
        <f>IFERROR(SUM(DH363:DH365)/SUM(DG363:DG365),1)</f>
        <v>1</v>
      </c>
      <c r="DH380" s="93">
        <f>IFERROR(SUM(DI362:DI364)/SUM(DH362:DH364),1)</f>
        <v>1</v>
      </c>
      <c r="DI380" s="93">
        <f>IFERROR(SUM(DJ361:DJ363)/SUM(DI361:DI363),1)</f>
        <v>1</v>
      </c>
      <c r="DJ380" s="93">
        <f>IFERROR(SUM(DK360:DK362)/SUM(DJ360:DJ362),1)</f>
        <v>1</v>
      </c>
      <c r="DK380" s="93">
        <f>IFERROR(SUM(DL359:DL361)/SUM(DK359:DK361),1)</f>
        <v>1</v>
      </c>
      <c r="DL380" s="93">
        <f>IFERROR(SUM(DM358:DM360)/SUM(DL358:DL360),1)</f>
        <v>1</v>
      </c>
      <c r="DM380" s="93">
        <f>IFERROR(SUM(DN357:DN359)/SUM(DM357:DM359),1)</f>
        <v>1</v>
      </c>
      <c r="DN380" s="93">
        <f>IFERROR(SUM(DO357:DO358)/SUM(DN357:DN358),1)</f>
        <v>1</v>
      </c>
      <c r="DO380" s="93">
        <f>IFERROR(SUM(DP357:DP357)/SUM(DO357:DO357),1)</f>
        <v>1</v>
      </c>
      <c r="DP380" s="93">
        <v>1</v>
      </c>
    </row>
    <row r="381" spans="1:120" ht="15.75" thickBot="1" x14ac:dyDescent="0.3">
      <c r="A381" s="11" t="s">
        <v>40</v>
      </c>
      <c r="B381" s="107"/>
      <c r="C381" s="93">
        <f>IF(C380=0,1,C380)</f>
        <v>1.2763996204419141</v>
      </c>
      <c r="D381" s="93">
        <f t="shared" ref="D381:K381" si="639">IF(D380=0,1,D380)</f>
        <v>1.0256102440976391</v>
      </c>
      <c r="E381" s="93">
        <f t="shared" si="639"/>
        <v>1.0120667522464699</v>
      </c>
      <c r="F381" s="93">
        <f t="shared" si="639"/>
        <v>1.0062352012628255</v>
      </c>
      <c r="G381" s="93">
        <f t="shared" si="639"/>
        <v>1.0034045635639262</v>
      </c>
      <c r="H381" s="93">
        <f t="shared" si="639"/>
        <v>1.0017926287107415</v>
      </c>
      <c r="I381" s="93">
        <f t="shared" si="639"/>
        <v>1.0011510596519737</v>
      </c>
      <c r="J381" s="93">
        <f t="shared" si="639"/>
        <v>1.0007810211851997</v>
      </c>
      <c r="K381" s="93">
        <f t="shared" si="639"/>
        <v>1.0005611672278338</v>
      </c>
      <c r="L381" s="93">
        <f>IF(L380=0,1,L380)</f>
        <v>1</v>
      </c>
      <c r="M381" s="285" t="s">
        <v>40</v>
      </c>
      <c r="N381" s="107"/>
      <c r="O381" s="93">
        <f>IF(O380=0,1,O380)</f>
        <v>1</v>
      </c>
      <c r="P381" s="93">
        <f t="shared" ref="P381:W381" si="640">IF(P380=0,1,P380)</f>
        <v>1</v>
      </c>
      <c r="Q381" s="93">
        <f t="shared" si="640"/>
        <v>1</v>
      </c>
      <c r="R381" s="93">
        <f t="shared" si="640"/>
        <v>1</v>
      </c>
      <c r="S381" s="93">
        <f t="shared" si="640"/>
        <v>1</v>
      </c>
      <c r="T381" s="93">
        <f t="shared" si="640"/>
        <v>1</v>
      </c>
      <c r="U381" s="93">
        <f t="shared" si="640"/>
        <v>1</v>
      </c>
      <c r="V381" s="93">
        <f t="shared" si="640"/>
        <v>1</v>
      </c>
      <c r="W381" s="93">
        <f t="shared" si="640"/>
        <v>1</v>
      </c>
      <c r="X381" s="93">
        <f>IF(X380=0,1,X380)</f>
        <v>1</v>
      </c>
      <c r="Y381" s="285" t="s">
        <v>40</v>
      </c>
      <c r="Z381" s="107"/>
      <c r="AA381" s="93">
        <f>IF(AA380=0,1,AA380)</f>
        <v>1</v>
      </c>
      <c r="AB381" s="93">
        <f t="shared" ref="AB381:AI381" si="641">IF(AB380=0,1,AB380)</f>
        <v>1</v>
      </c>
      <c r="AC381" s="93">
        <f t="shared" si="641"/>
        <v>1</v>
      </c>
      <c r="AD381" s="93">
        <f t="shared" si="641"/>
        <v>1</v>
      </c>
      <c r="AE381" s="93">
        <f t="shared" si="641"/>
        <v>1</v>
      </c>
      <c r="AF381" s="93">
        <f t="shared" si="641"/>
        <v>1</v>
      </c>
      <c r="AG381" s="93">
        <f t="shared" si="641"/>
        <v>1</v>
      </c>
      <c r="AH381" s="93">
        <f t="shared" si="641"/>
        <v>1</v>
      </c>
      <c r="AI381" s="93">
        <f t="shared" si="641"/>
        <v>1</v>
      </c>
      <c r="AJ381" s="93">
        <f>IF(AJ380=0,1,AJ380)</f>
        <v>1</v>
      </c>
      <c r="AK381" s="285" t="s">
        <v>40</v>
      </c>
      <c r="AL381" s="107"/>
      <c r="AM381" s="93">
        <f>IF(AM380=0,1,AM380)</f>
        <v>1</v>
      </c>
      <c r="AN381" s="93">
        <f t="shared" ref="AN381:AU381" si="642">IF(AN380=0,1,AN380)</f>
        <v>1</v>
      </c>
      <c r="AO381" s="93">
        <f t="shared" si="642"/>
        <v>1</v>
      </c>
      <c r="AP381" s="93">
        <f t="shared" si="642"/>
        <v>1</v>
      </c>
      <c r="AQ381" s="93">
        <f t="shared" si="642"/>
        <v>1</v>
      </c>
      <c r="AR381" s="93">
        <f t="shared" si="642"/>
        <v>1</v>
      </c>
      <c r="AS381" s="93">
        <f t="shared" si="642"/>
        <v>1</v>
      </c>
      <c r="AT381" s="93">
        <f t="shared" si="642"/>
        <v>1</v>
      </c>
      <c r="AU381" s="93">
        <f t="shared" si="642"/>
        <v>1</v>
      </c>
      <c r="AV381" s="93">
        <f>IF(AV380=0,1,AV380)</f>
        <v>1</v>
      </c>
      <c r="AW381" s="285" t="s">
        <v>40</v>
      </c>
      <c r="AX381" s="107"/>
      <c r="AY381" s="93">
        <f>IF(AY380=0,1,AY380)</f>
        <v>1</v>
      </c>
      <c r="AZ381" s="93">
        <f t="shared" ref="AZ381:BG381" si="643">IF(AZ380=0,1,AZ380)</f>
        <v>1</v>
      </c>
      <c r="BA381" s="93">
        <f t="shared" si="643"/>
        <v>1</v>
      </c>
      <c r="BB381" s="93">
        <f t="shared" si="643"/>
        <v>1</v>
      </c>
      <c r="BC381" s="93">
        <f t="shared" si="643"/>
        <v>1</v>
      </c>
      <c r="BD381" s="93">
        <f t="shared" si="643"/>
        <v>1</v>
      </c>
      <c r="BE381" s="93">
        <f t="shared" si="643"/>
        <v>1</v>
      </c>
      <c r="BF381" s="93">
        <f t="shared" si="643"/>
        <v>1</v>
      </c>
      <c r="BG381" s="93">
        <f t="shared" si="643"/>
        <v>1</v>
      </c>
      <c r="BH381" s="93">
        <f>IF(BH380=0,1,BH380)</f>
        <v>1</v>
      </c>
      <c r="BI381" s="285" t="s">
        <v>40</v>
      </c>
      <c r="BJ381" s="107"/>
      <c r="BK381" s="93">
        <f>IF(BK380=0,1,BK380)</f>
        <v>1</v>
      </c>
      <c r="BL381" s="93">
        <f t="shared" ref="BL381:BS381" si="644">IF(BL380=0,1,BL380)</f>
        <v>1</v>
      </c>
      <c r="BM381" s="93">
        <f t="shared" si="644"/>
        <v>1</v>
      </c>
      <c r="BN381" s="93">
        <f t="shared" si="644"/>
        <v>1</v>
      </c>
      <c r="BO381" s="93">
        <f t="shared" si="644"/>
        <v>1</v>
      </c>
      <c r="BP381" s="93">
        <f t="shared" si="644"/>
        <v>1</v>
      </c>
      <c r="BQ381" s="93">
        <f t="shared" si="644"/>
        <v>1</v>
      </c>
      <c r="BR381" s="93">
        <f t="shared" si="644"/>
        <v>1</v>
      </c>
      <c r="BS381" s="93">
        <f t="shared" si="644"/>
        <v>1</v>
      </c>
      <c r="BT381" s="93">
        <f>IF(BT380=0,1,BT380)</f>
        <v>1</v>
      </c>
      <c r="BU381" s="285" t="s">
        <v>40</v>
      </c>
      <c r="BV381" s="107"/>
      <c r="BW381" s="93">
        <f>IF(BW380=0,1,BW380)</f>
        <v>1</v>
      </c>
      <c r="BX381" s="93">
        <f t="shared" ref="BX381:CE381" si="645">IF(BX380=0,1,BX380)</f>
        <v>1</v>
      </c>
      <c r="BY381" s="93">
        <f t="shared" si="645"/>
        <v>1</v>
      </c>
      <c r="BZ381" s="93">
        <f t="shared" si="645"/>
        <v>1</v>
      </c>
      <c r="CA381" s="93">
        <f t="shared" si="645"/>
        <v>1</v>
      </c>
      <c r="CB381" s="93">
        <f t="shared" si="645"/>
        <v>1</v>
      </c>
      <c r="CC381" s="93">
        <f t="shared" si="645"/>
        <v>1</v>
      </c>
      <c r="CD381" s="93">
        <f t="shared" si="645"/>
        <v>1</v>
      </c>
      <c r="CE381" s="93">
        <f t="shared" si="645"/>
        <v>1</v>
      </c>
      <c r="CF381" s="93">
        <f>IF(CF380=0,1,CF380)</f>
        <v>1</v>
      </c>
      <c r="CG381" s="285" t="s">
        <v>40</v>
      </c>
      <c r="CH381" s="107"/>
      <c r="CI381" s="93">
        <f>IF(CI380=0,1,CI380)</f>
        <v>1</v>
      </c>
      <c r="CJ381" s="93">
        <f t="shared" ref="CJ381:CQ381" si="646">IF(CJ380=0,1,CJ380)</f>
        <v>1</v>
      </c>
      <c r="CK381" s="93">
        <f t="shared" si="646"/>
        <v>1</v>
      </c>
      <c r="CL381" s="93">
        <f t="shared" si="646"/>
        <v>1</v>
      </c>
      <c r="CM381" s="93">
        <f t="shared" si="646"/>
        <v>1</v>
      </c>
      <c r="CN381" s="93">
        <f t="shared" si="646"/>
        <v>1</v>
      </c>
      <c r="CO381" s="93">
        <f t="shared" si="646"/>
        <v>1</v>
      </c>
      <c r="CP381" s="93">
        <f t="shared" si="646"/>
        <v>1</v>
      </c>
      <c r="CQ381" s="93">
        <f t="shared" si="646"/>
        <v>1</v>
      </c>
      <c r="CR381" s="93">
        <f>IF(CR380=0,1,CR380)</f>
        <v>1</v>
      </c>
      <c r="CS381" s="285" t="s">
        <v>40</v>
      </c>
      <c r="CT381" s="107"/>
      <c r="CU381" s="93">
        <f>IF(CU380=0,1,CU380)</f>
        <v>1</v>
      </c>
      <c r="CV381" s="93">
        <f t="shared" ref="CV381:DC381" si="647">IF(CV380=0,1,CV380)</f>
        <v>1</v>
      </c>
      <c r="CW381" s="93">
        <f t="shared" si="647"/>
        <v>1</v>
      </c>
      <c r="CX381" s="93">
        <f t="shared" si="647"/>
        <v>1</v>
      </c>
      <c r="CY381" s="93">
        <f t="shared" si="647"/>
        <v>1</v>
      </c>
      <c r="CZ381" s="93">
        <f t="shared" si="647"/>
        <v>1</v>
      </c>
      <c r="DA381" s="93">
        <f t="shared" si="647"/>
        <v>1</v>
      </c>
      <c r="DB381" s="93">
        <f t="shared" si="647"/>
        <v>1</v>
      </c>
      <c r="DC381" s="93">
        <f t="shared" si="647"/>
        <v>1</v>
      </c>
      <c r="DD381" s="93">
        <f>IF(DD380=0,1,DD380)</f>
        <v>1</v>
      </c>
      <c r="DE381" s="285" t="s">
        <v>40</v>
      </c>
      <c r="DF381" s="107"/>
      <c r="DG381" s="93">
        <f>IF(DG380=0,1,DG380)</f>
        <v>1</v>
      </c>
      <c r="DH381" s="93">
        <f t="shared" ref="DH381:DO381" si="648">IF(DH380=0,1,DH380)</f>
        <v>1</v>
      </c>
      <c r="DI381" s="93">
        <f t="shared" si="648"/>
        <v>1</v>
      </c>
      <c r="DJ381" s="93">
        <f t="shared" si="648"/>
        <v>1</v>
      </c>
      <c r="DK381" s="93">
        <f t="shared" si="648"/>
        <v>1</v>
      </c>
      <c r="DL381" s="93">
        <f t="shared" si="648"/>
        <v>1</v>
      </c>
      <c r="DM381" s="93">
        <f t="shared" si="648"/>
        <v>1</v>
      </c>
      <c r="DN381" s="93">
        <f t="shared" si="648"/>
        <v>1</v>
      </c>
      <c r="DO381" s="93">
        <f t="shared" si="648"/>
        <v>1</v>
      </c>
      <c r="DP381" s="93">
        <f>IF(DP380=0,1,DP380)</f>
        <v>1</v>
      </c>
    </row>
    <row r="382" spans="1:120" ht="15.75" thickBot="1" x14ac:dyDescent="0.3">
      <c r="A382" s="111" t="s">
        <v>39</v>
      </c>
      <c r="B382" s="115"/>
      <c r="C382" s="113">
        <f>PRODUCT(C381:L381)</f>
        <v>1.3434264663995661</v>
      </c>
      <c r="D382" s="113">
        <f>PRODUCT(D381:L381)</f>
        <v>1.0525124301858109</v>
      </c>
      <c r="E382" s="113">
        <f>PRODUCT(E381:L381)</f>
        <v>1.0262304186634186</v>
      </c>
      <c r="F382" s="113">
        <f>PRODUCT(F381:L381)</f>
        <v>1.0139947946966046</v>
      </c>
      <c r="G382" s="113">
        <f>PRODUCT(G381:L381)</f>
        <v>1.0077115106130661</v>
      </c>
      <c r="H382" s="113">
        <f>PRODUCT(H381:L381)</f>
        <v>1.0042923335268104</v>
      </c>
      <c r="I382" s="113">
        <f>PRODUCT(I381:L381)</f>
        <v>1.0024952317919187</v>
      </c>
      <c r="J382" s="113">
        <f>PRODUCT(J381:L381)</f>
        <v>1.0013426266965268</v>
      </c>
      <c r="K382" s="113">
        <f>PRODUCT(K381:L381)</f>
        <v>1.0005611672278338</v>
      </c>
      <c r="L382" s="114">
        <f>PRODUCT(L381:L381)</f>
        <v>1</v>
      </c>
      <c r="M382" s="111" t="s">
        <v>39</v>
      </c>
      <c r="N382" s="115"/>
      <c r="O382" s="113">
        <f>PRODUCT(O381:X381)</f>
        <v>1</v>
      </c>
      <c r="P382" s="113">
        <f>PRODUCT(P381:X381)</f>
        <v>1</v>
      </c>
      <c r="Q382" s="113">
        <f>PRODUCT(Q381:X381)</f>
        <v>1</v>
      </c>
      <c r="R382" s="113">
        <f>PRODUCT(R381:X381)</f>
        <v>1</v>
      </c>
      <c r="S382" s="113">
        <f>PRODUCT(S381:X381)</f>
        <v>1</v>
      </c>
      <c r="T382" s="113">
        <f>PRODUCT(T381:X381)</f>
        <v>1</v>
      </c>
      <c r="U382" s="113">
        <f>PRODUCT(U381:X381)</f>
        <v>1</v>
      </c>
      <c r="V382" s="113">
        <f>PRODUCT(V381:X381)</f>
        <v>1</v>
      </c>
      <c r="W382" s="113">
        <f>PRODUCT(W381:X381)</f>
        <v>1</v>
      </c>
      <c r="X382" s="114">
        <f>PRODUCT(X381:X381)</f>
        <v>1</v>
      </c>
      <c r="Y382" s="111" t="s">
        <v>39</v>
      </c>
      <c r="Z382" s="115"/>
      <c r="AA382" s="113">
        <f>PRODUCT(AA381:AJ381)</f>
        <v>1</v>
      </c>
      <c r="AB382" s="113">
        <f>PRODUCT(AB381:AJ381)</f>
        <v>1</v>
      </c>
      <c r="AC382" s="113">
        <f>PRODUCT(AC381:AJ381)</f>
        <v>1</v>
      </c>
      <c r="AD382" s="113">
        <f>PRODUCT(AD381:AJ381)</f>
        <v>1</v>
      </c>
      <c r="AE382" s="113">
        <f>PRODUCT(AE381:AJ381)</f>
        <v>1</v>
      </c>
      <c r="AF382" s="113">
        <f>PRODUCT(AF381:AJ381)</f>
        <v>1</v>
      </c>
      <c r="AG382" s="113">
        <f>PRODUCT(AG381:AJ381)</f>
        <v>1</v>
      </c>
      <c r="AH382" s="113">
        <f>PRODUCT(AH381:AJ381)</f>
        <v>1</v>
      </c>
      <c r="AI382" s="113">
        <f>PRODUCT(AI381:AJ381)</f>
        <v>1</v>
      </c>
      <c r="AJ382" s="114">
        <f>PRODUCT(AJ381:AJ381)</f>
        <v>1</v>
      </c>
      <c r="AK382" s="111" t="s">
        <v>39</v>
      </c>
      <c r="AL382" s="115"/>
      <c r="AM382" s="113">
        <f>PRODUCT(AM381:AV381)</f>
        <v>1</v>
      </c>
      <c r="AN382" s="113">
        <f>PRODUCT(AN381:AV381)</f>
        <v>1</v>
      </c>
      <c r="AO382" s="113">
        <f>PRODUCT(AO381:AV381)</f>
        <v>1</v>
      </c>
      <c r="AP382" s="113">
        <f>PRODUCT(AP381:AV381)</f>
        <v>1</v>
      </c>
      <c r="AQ382" s="113">
        <f>PRODUCT(AQ381:AV381)</f>
        <v>1</v>
      </c>
      <c r="AR382" s="113">
        <f>PRODUCT(AR381:AV381)</f>
        <v>1</v>
      </c>
      <c r="AS382" s="113">
        <f>PRODUCT(AS381:AV381)</f>
        <v>1</v>
      </c>
      <c r="AT382" s="113">
        <f>PRODUCT(AT381:AV381)</f>
        <v>1</v>
      </c>
      <c r="AU382" s="113">
        <f>PRODUCT(AU381:AV381)</f>
        <v>1</v>
      </c>
      <c r="AV382" s="114">
        <f>PRODUCT(AV381:AV381)</f>
        <v>1</v>
      </c>
      <c r="AW382" s="111" t="s">
        <v>39</v>
      </c>
      <c r="AX382" s="115"/>
      <c r="AY382" s="113">
        <f>PRODUCT(AY381:BH381)</f>
        <v>1</v>
      </c>
      <c r="AZ382" s="113">
        <f>PRODUCT(AZ381:BH381)</f>
        <v>1</v>
      </c>
      <c r="BA382" s="113">
        <f>PRODUCT(BA381:BH381)</f>
        <v>1</v>
      </c>
      <c r="BB382" s="113">
        <f>PRODUCT(BB381:BH381)</f>
        <v>1</v>
      </c>
      <c r="BC382" s="113">
        <f>PRODUCT(BC381:BH381)</f>
        <v>1</v>
      </c>
      <c r="BD382" s="113">
        <f>PRODUCT(BD381:BH381)</f>
        <v>1</v>
      </c>
      <c r="BE382" s="113">
        <f>PRODUCT(BE381:BH381)</f>
        <v>1</v>
      </c>
      <c r="BF382" s="113">
        <f>PRODUCT(BF381:BH381)</f>
        <v>1</v>
      </c>
      <c r="BG382" s="113">
        <f>PRODUCT(BG381:BH381)</f>
        <v>1</v>
      </c>
      <c r="BH382" s="114">
        <f>PRODUCT(BH381:BH381)</f>
        <v>1</v>
      </c>
      <c r="BI382" s="111" t="s">
        <v>39</v>
      </c>
      <c r="BJ382" s="115"/>
      <c r="BK382" s="113">
        <f>PRODUCT(BK381:BT381)</f>
        <v>1</v>
      </c>
      <c r="BL382" s="113">
        <f>PRODUCT(BL381:BT381)</f>
        <v>1</v>
      </c>
      <c r="BM382" s="113">
        <f>PRODUCT(BM381:BT381)</f>
        <v>1</v>
      </c>
      <c r="BN382" s="113">
        <f>PRODUCT(BN381:BT381)</f>
        <v>1</v>
      </c>
      <c r="BO382" s="113">
        <f>PRODUCT(BO381:BT381)</f>
        <v>1</v>
      </c>
      <c r="BP382" s="113">
        <f>PRODUCT(BP381:BT381)</f>
        <v>1</v>
      </c>
      <c r="BQ382" s="113">
        <f>PRODUCT(BQ381:BT381)</f>
        <v>1</v>
      </c>
      <c r="BR382" s="113">
        <f>PRODUCT(BR381:BT381)</f>
        <v>1</v>
      </c>
      <c r="BS382" s="113">
        <f>PRODUCT(BS381:BT381)</f>
        <v>1</v>
      </c>
      <c r="BT382" s="114">
        <f>PRODUCT(BT381:BT381)</f>
        <v>1</v>
      </c>
      <c r="BU382" s="111" t="s">
        <v>39</v>
      </c>
      <c r="BV382" s="115"/>
      <c r="BW382" s="113">
        <f>PRODUCT(BW381:CF381)</f>
        <v>1</v>
      </c>
      <c r="BX382" s="113">
        <f>PRODUCT(BX381:CF381)</f>
        <v>1</v>
      </c>
      <c r="BY382" s="113">
        <f>PRODUCT(BY381:CF381)</f>
        <v>1</v>
      </c>
      <c r="BZ382" s="113">
        <f>PRODUCT(BZ381:CF381)</f>
        <v>1</v>
      </c>
      <c r="CA382" s="113">
        <f>PRODUCT(CA381:CF381)</f>
        <v>1</v>
      </c>
      <c r="CB382" s="113">
        <f>PRODUCT(CB381:CF381)</f>
        <v>1</v>
      </c>
      <c r="CC382" s="113">
        <f>PRODUCT(CC381:CF381)</f>
        <v>1</v>
      </c>
      <c r="CD382" s="113">
        <f>PRODUCT(CD381:CF381)</f>
        <v>1</v>
      </c>
      <c r="CE382" s="113">
        <f>PRODUCT(CE381:CF381)</f>
        <v>1</v>
      </c>
      <c r="CF382" s="114">
        <f>PRODUCT(CF381:CF381)</f>
        <v>1</v>
      </c>
      <c r="CG382" s="111" t="s">
        <v>39</v>
      </c>
      <c r="CH382" s="115"/>
      <c r="CI382" s="113">
        <f>PRODUCT(CI381:CR381)</f>
        <v>1</v>
      </c>
      <c r="CJ382" s="113">
        <f>PRODUCT(CJ381:CR381)</f>
        <v>1</v>
      </c>
      <c r="CK382" s="113">
        <f>PRODUCT(CK381:CR381)</f>
        <v>1</v>
      </c>
      <c r="CL382" s="113">
        <f>PRODUCT(CL381:CR381)</f>
        <v>1</v>
      </c>
      <c r="CM382" s="113">
        <f>PRODUCT(CM381:CR381)</f>
        <v>1</v>
      </c>
      <c r="CN382" s="113">
        <f>PRODUCT(CN381:CR381)</f>
        <v>1</v>
      </c>
      <c r="CO382" s="113">
        <f>PRODUCT(CO381:CR381)</f>
        <v>1</v>
      </c>
      <c r="CP382" s="113">
        <f>PRODUCT(CP381:CR381)</f>
        <v>1</v>
      </c>
      <c r="CQ382" s="113">
        <f>PRODUCT(CQ381:CR381)</f>
        <v>1</v>
      </c>
      <c r="CR382" s="114">
        <f>PRODUCT(CR381:CR381)</f>
        <v>1</v>
      </c>
      <c r="CS382" s="111" t="s">
        <v>39</v>
      </c>
      <c r="CT382" s="115"/>
      <c r="CU382" s="113">
        <f>PRODUCT(CU381:DD381)</f>
        <v>1</v>
      </c>
      <c r="CV382" s="113">
        <f>PRODUCT(CV381:DD381)</f>
        <v>1</v>
      </c>
      <c r="CW382" s="113">
        <f>PRODUCT(CW381:DD381)</f>
        <v>1</v>
      </c>
      <c r="CX382" s="113">
        <f>PRODUCT(CX381:DD381)</f>
        <v>1</v>
      </c>
      <c r="CY382" s="113">
        <f>PRODUCT(CY381:DD381)</f>
        <v>1</v>
      </c>
      <c r="CZ382" s="113">
        <f>PRODUCT(CZ381:DD381)</f>
        <v>1</v>
      </c>
      <c r="DA382" s="113">
        <f>PRODUCT(DA381:DD381)</f>
        <v>1</v>
      </c>
      <c r="DB382" s="113">
        <f>PRODUCT(DB381:DD381)</f>
        <v>1</v>
      </c>
      <c r="DC382" s="113">
        <f>PRODUCT(DC381:DD381)</f>
        <v>1</v>
      </c>
      <c r="DD382" s="114">
        <f>PRODUCT(DD381:DD381)</f>
        <v>1</v>
      </c>
      <c r="DE382" s="111" t="s">
        <v>39</v>
      </c>
      <c r="DF382" s="115"/>
      <c r="DG382" s="113">
        <f>PRODUCT(DG381:DP381)</f>
        <v>1</v>
      </c>
      <c r="DH382" s="113">
        <f>PRODUCT(DH381:DP381)</f>
        <v>1</v>
      </c>
      <c r="DI382" s="113">
        <f>PRODUCT(DI381:DP381)</f>
        <v>1</v>
      </c>
      <c r="DJ382" s="113">
        <f>PRODUCT(DJ381:DP381)</f>
        <v>1</v>
      </c>
      <c r="DK382" s="113">
        <f>PRODUCT(DK381:DP381)</f>
        <v>1</v>
      </c>
      <c r="DL382" s="113">
        <f>PRODUCT(DL381:DP381)</f>
        <v>1</v>
      </c>
      <c r="DM382" s="113">
        <f>PRODUCT(DM381:DP381)</f>
        <v>1</v>
      </c>
      <c r="DN382" s="113">
        <f>PRODUCT(DN381:DP381)</f>
        <v>1</v>
      </c>
      <c r="DO382" s="113">
        <f>PRODUCT(DO381:DP381)</f>
        <v>1</v>
      </c>
      <c r="DP382" s="114">
        <f>PRODUCT(DP381:DP381)</f>
        <v>1</v>
      </c>
    </row>
    <row r="383" spans="1:120" x14ac:dyDescent="0.25">
      <c r="A383" s="95" t="s">
        <v>208</v>
      </c>
      <c r="B383" s="106"/>
      <c r="C383" s="99">
        <f>C382*C366</f>
        <v>2717.7517415263223</v>
      </c>
      <c r="D383" s="99">
        <f>D382*D365</f>
        <v>2896.5142078713516</v>
      </c>
      <c r="E383" s="99">
        <f>E382*E364</f>
        <v>3343.4587040054175</v>
      </c>
      <c r="F383" s="99">
        <f>F382*F363</f>
        <v>3700.06700584791</v>
      </c>
      <c r="G383" s="99">
        <f>G382*G362</f>
        <v>3492.728095784887</v>
      </c>
      <c r="H383" s="99">
        <f>H382*H361</f>
        <v>4811.564569926948</v>
      </c>
      <c r="I383" s="99">
        <f>I382*I360</f>
        <v>4552.3308475671029</v>
      </c>
      <c r="J383" s="99">
        <f>J382*J359</f>
        <v>4549.0995530823211</v>
      </c>
      <c r="K383" s="99">
        <f>K382*K358</f>
        <v>4907.7525252525247</v>
      </c>
      <c r="L383" s="99">
        <f>L382*L357</f>
        <v>5349</v>
      </c>
      <c r="M383" s="95" t="s">
        <v>208</v>
      </c>
      <c r="N383" s="106"/>
      <c r="O383" s="99">
        <f>O382*O366</f>
        <v>0</v>
      </c>
      <c r="P383" s="99">
        <f>P382*P365</f>
        <v>0</v>
      </c>
      <c r="Q383" s="99">
        <f>Q382*Q364</f>
        <v>0</v>
      </c>
      <c r="R383" s="99">
        <f>R382*R363</f>
        <v>0</v>
      </c>
      <c r="S383" s="99">
        <f>S382*S362</f>
        <v>0</v>
      </c>
      <c r="T383" s="99">
        <f>T382*T361</f>
        <v>0</v>
      </c>
      <c r="U383" s="99">
        <f>U382*U360</f>
        <v>0</v>
      </c>
      <c r="V383" s="99">
        <f>V382*V359</f>
        <v>0</v>
      </c>
      <c r="W383" s="99">
        <f>W382*W358</f>
        <v>0</v>
      </c>
      <c r="X383" s="99">
        <f>X382*X357</f>
        <v>0</v>
      </c>
      <c r="Y383" s="95" t="s">
        <v>208</v>
      </c>
      <c r="Z383" s="106"/>
      <c r="AA383" s="99">
        <f>AA382*AA366</f>
        <v>0</v>
      </c>
      <c r="AB383" s="99">
        <f>AB382*AB365</f>
        <v>0</v>
      </c>
      <c r="AC383" s="99">
        <f>AC382*AC364</f>
        <v>0</v>
      </c>
      <c r="AD383" s="99">
        <f>AD382*AD363</f>
        <v>0</v>
      </c>
      <c r="AE383" s="99">
        <f>AE382*AE362</f>
        <v>0</v>
      </c>
      <c r="AF383" s="99">
        <f>AF382*AF361</f>
        <v>0</v>
      </c>
      <c r="AG383" s="99">
        <f>AG382*AG360</f>
        <v>0</v>
      </c>
      <c r="AH383" s="99">
        <f>AH382*AH359</f>
        <v>0</v>
      </c>
      <c r="AI383" s="99">
        <f>AI382*AI358</f>
        <v>0</v>
      </c>
      <c r="AJ383" s="99">
        <f>AJ382*AJ357</f>
        <v>0</v>
      </c>
      <c r="AK383" s="95" t="s">
        <v>208</v>
      </c>
      <c r="AL383" s="106"/>
      <c r="AM383" s="99">
        <f>AM382*AM366</f>
        <v>0</v>
      </c>
      <c r="AN383" s="99">
        <f>AN382*AN365</f>
        <v>0</v>
      </c>
      <c r="AO383" s="99">
        <f>AO382*AO364</f>
        <v>0</v>
      </c>
      <c r="AP383" s="99">
        <f>AP382*AP363</f>
        <v>0</v>
      </c>
      <c r="AQ383" s="99">
        <f>AQ382*AQ362</f>
        <v>0</v>
      </c>
      <c r="AR383" s="99">
        <f>AR382*AR361</f>
        <v>0</v>
      </c>
      <c r="AS383" s="99">
        <f>AS382*AS360</f>
        <v>0</v>
      </c>
      <c r="AT383" s="99">
        <f>AT382*AT359</f>
        <v>0</v>
      </c>
      <c r="AU383" s="99">
        <f>AU382*AU358</f>
        <v>0</v>
      </c>
      <c r="AV383" s="99">
        <f>AV382*AV357</f>
        <v>0</v>
      </c>
      <c r="AW383" s="95" t="s">
        <v>208</v>
      </c>
      <c r="AX383" s="106"/>
      <c r="AY383" s="99">
        <f>AY382*AY366</f>
        <v>0</v>
      </c>
      <c r="AZ383" s="99">
        <f>AZ382*AZ365</f>
        <v>0</v>
      </c>
      <c r="BA383" s="99">
        <f>BA382*BA364</f>
        <v>0</v>
      </c>
      <c r="BB383" s="99">
        <f>BB382*BB363</f>
        <v>0</v>
      </c>
      <c r="BC383" s="99">
        <f>BC382*BC362</f>
        <v>0</v>
      </c>
      <c r="BD383" s="99">
        <f>BD382*BD361</f>
        <v>0</v>
      </c>
      <c r="BE383" s="99">
        <f>BE382*BE360</f>
        <v>0</v>
      </c>
      <c r="BF383" s="99">
        <f>BF382*BF359</f>
        <v>0</v>
      </c>
      <c r="BG383" s="99">
        <f>BG382*BG358</f>
        <v>0</v>
      </c>
      <c r="BH383" s="99">
        <f>BH382*BH357</f>
        <v>0</v>
      </c>
      <c r="BI383" s="95" t="s">
        <v>208</v>
      </c>
      <c r="BJ383" s="106"/>
      <c r="BK383" s="99">
        <f>BK382*BK366</f>
        <v>0</v>
      </c>
      <c r="BL383" s="99">
        <f>BL382*BL365</f>
        <v>0</v>
      </c>
      <c r="BM383" s="99">
        <f>BM382*BM364</f>
        <v>0</v>
      </c>
      <c r="BN383" s="99">
        <f>BN382*BN363</f>
        <v>0</v>
      </c>
      <c r="BO383" s="99">
        <f>BO382*BO362</f>
        <v>0</v>
      </c>
      <c r="BP383" s="99">
        <f>BP382*BP361</f>
        <v>0</v>
      </c>
      <c r="BQ383" s="99">
        <f>BQ382*BQ360</f>
        <v>0</v>
      </c>
      <c r="BR383" s="99">
        <f>BR382*BR359</f>
        <v>0</v>
      </c>
      <c r="BS383" s="99">
        <f>BS382*BS358</f>
        <v>0</v>
      </c>
      <c r="BT383" s="99">
        <f>BT382*BT357</f>
        <v>0</v>
      </c>
      <c r="BU383" s="95" t="s">
        <v>208</v>
      </c>
      <c r="BV383" s="106"/>
      <c r="BW383" s="99">
        <f>BW382*BW366</f>
        <v>0</v>
      </c>
      <c r="BX383" s="99">
        <f>BX382*BX365</f>
        <v>0</v>
      </c>
      <c r="BY383" s="99">
        <f>BY382*BY364</f>
        <v>0</v>
      </c>
      <c r="BZ383" s="99">
        <f>BZ382*BZ363</f>
        <v>0</v>
      </c>
      <c r="CA383" s="99">
        <f>CA382*CA362</f>
        <v>0</v>
      </c>
      <c r="CB383" s="99">
        <f>CB382*CB361</f>
        <v>0</v>
      </c>
      <c r="CC383" s="99">
        <f>CC382*CC360</f>
        <v>0</v>
      </c>
      <c r="CD383" s="99">
        <f>CD382*CD359</f>
        <v>0</v>
      </c>
      <c r="CE383" s="99">
        <f>CE382*CE358</f>
        <v>0</v>
      </c>
      <c r="CF383" s="99">
        <f>CF382*CF357</f>
        <v>0</v>
      </c>
      <c r="CG383" s="95" t="s">
        <v>208</v>
      </c>
      <c r="CH383" s="106"/>
      <c r="CI383" s="99">
        <f>CI382*CI366</f>
        <v>0</v>
      </c>
      <c r="CJ383" s="99">
        <f>CJ382*CJ365</f>
        <v>0</v>
      </c>
      <c r="CK383" s="99">
        <f>CK382*CK364</f>
        <v>0</v>
      </c>
      <c r="CL383" s="99">
        <f>CL382*CL363</f>
        <v>0</v>
      </c>
      <c r="CM383" s="99">
        <f>CM382*CM362</f>
        <v>0</v>
      </c>
      <c r="CN383" s="99">
        <f>CN382*CN361</f>
        <v>0</v>
      </c>
      <c r="CO383" s="99">
        <f>CO382*CO360</f>
        <v>0</v>
      </c>
      <c r="CP383" s="99">
        <f>CP382*CP359</f>
        <v>0</v>
      </c>
      <c r="CQ383" s="99">
        <f>CQ382*CQ358</f>
        <v>0</v>
      </c>
      <c r="CR383" s="99">
        <f>CR382*CR357</f>
        <v>0</v>
      </c>
      <c r="CS383" s="95" t="s">
        <v>208</v>
      </c>
      <c r="CT383" s="106"/>
      <c r="CU383" s="99">
        <f>CU382*CU366</f>
        <v>0</v>
      </c>
      <c r="CV383" s="99">
        <f>CV382*CV365</f>
        <v>0</v>
      </c>
      <c r="CW383" s="99">
        <f>CW382*CW364</f>
        <v>0</v>
      </c>
      <c r="CX383" s="99">
        <f>CX382*CX363</f>
        <v>0</v>
      </c>
      <c r="CY383" s="99">
        <f>CY382*CY362</f>
        <v>0</v>
      </c>
      <c r="CZ383" s="99">
        <f>CZ382*CZ361</f>
        <v>0</v>
      </c>
      <c r="DA383" s="99">
        <f>DA382*DA360</f>
        <v>0</v>
      </c>
      <c r="DB383" s="99">
        <f>DB382*DB359</f>
        <v>0</v>
      </c>
      <c r="DC383" s="99">
        <f>DC382*DC358</f>
        <v>0</v>
      </c>
      <c r="DD383" s="99">
        <f>DD382*DD357</f>
        <v>0</v>
      </c>
      <c r="DE383" s="95" t="s">
        <v>208</v>
      </c>
      <c r="DF383" s="106"/>
      <c r="DG383" s="99">
        <f>DG382*DG366</f>
        <v>0</v>
      </c>
      <c r="DH383" s="99">
        <f>DH382*DH365</f>
        <v>0</v>
      </c>
      <c r="DI383" s="99">
        <f>DI382*DI364</f>
        <v>0</v>
      </c>
      <c r="DJ383" s="99">
        <f>DJ382*DJ363</f>
        <v>0</v>
      </c>
      <c r="DK383" s="99">
        <f>DK382*DK362</f>
        <v>0</v>
      </c>
      <c r="DL383" s="99">
        <f>DL382*DL361</f>
        <v>0</v>
      </c>
      <c r="DM383" s="99">
        <f>DM382*DM360</f>
        <v>0</v>
      </c>
      <c r="DN383" s="99">
        <f>DN382*DN359</f>
        <v>0</v>
      </c>
      <c r="DO383" s="99">
        <f>DO382*DO358</f>
        <v>0</v>
      </c>
      <c r="DP383" s="99">
        <f>DP382*DP357</f>
        <v>0</v>
      </c>
    </row>
    <row r="384" spans="1:120" ht="21" x14ac:dyDescent="0.35">
      <c r="A384" s="137" t="str">
        <f>Co_Name</f>
        <v>State Farm General Insurance Company</v>
      </c>
      <c r="B384" s="68"/>
      <c r="C384" s="40"/>
      <c r="D384" s="18"/>
      <c r="E384" s="18"/>
      <c r="F384" s="18"/>
      <c r="G384" s="18"/>
      <c r="H384" s="18"/>
      <c r="I384" s="18"/>
      <c r="J384" s="18"/>
      <c r="K384" s="18"/>
      <c r="L384" s="18"/>
      <c r="M384" s="137" t="str">
        <f>Co_Name</f>
        <v>State Farm General Insurance Company</v>
      </c>
      <c r="N384" s="68"/>
      <c r="O384" s="40"/>
      <c r="P384" s="18"/>
      <c r="Q384" s="18"/>
      <c r="R384" s="18"/>
      <c r="S384" s="18"/>
      <c r="T384" s="18"/>
      <c r="U384" s="18"/>
      <c r="V384" s="18"/>
      <c r="W384" s="18"/>
      <c r="X384" s="18"/>
      <c r="Y384" s="137" t="str">
        <f>Co_Name</f>
        <v>State Farm General Insurance Company</v>
      </c>
      <c r="Z384" s="68"/>
      <c r="AA384" s="40"/>
      <c r="AB384" s="18"/>
      <c r="AC384" s="18"/>
      <c r="AD384" s="18"/>
      <c r="AE384" s="18"/>
      <c r="AF384" s="18"/>
      <c r="AG384" s="18"/>
      <c r="AH384" s="18"/>
      <c r="AI384" s="18"/>
      <c r="AJ384" s="18"/>
      <c r="AK384" s="137" t="str">
        <f>Co_Name</f>
        <v>State Farm General Insurance Company</v>
      </c>
      <c r="AL384" s="68"/>
      <c r="AM384" s="40"/>
      <c r="AN384" s="18"/>
      <c r="AO384" s="18"/>
      <c r="AP384" s="18"/>
      <c r="AQ384" s="18"/>
      <c r="AR384" s="18"/>
      <c r="AS384" s="18"/>
      <c r="AT384" s="18"/>
      <c r="AU384" s="18"/>
      <c r="AV384" s="18"/>
      <c r="AW384" s="137" t="str">
        <f>Co_Name</f>
        <v>State Farm General Insurance Company</v>
      </c>
      <c r="AX384" s="68"/>
      <c r="AY384" s="40"/>
      <c r="AZ384" s="18"/>
      <c r="BA384" s="18"/>
      <c r="BB384" s="18"/>
      <c r="BC384" s="18"/>
      <c r="BD384" s="18"/>
      <c r="BE384" s="18"/>
      <c r="BF384" s="18"/>
      <c r="BG384" s="18"/>
      <c r="BH384" s="18"/>
      <c r="BI384" s="137" t="str">
        <f>Co_Name</f>
        <v>State Farm General Insurance Company</v>
      </c>
      <c r="BJ384" s="68"/>
      <c r="BK384" s="40"/>
      <c r="BL384" s="18"/>
      <c r="BM384" s="18"/>
      <c r="BN384" s="18"/>
      <c r="BO384" s="18"/>
      <c r="BP384" s="18"/>
      <c r="BQ384" s="18"/>
      <c r="BR384" s="18"/>
      <c r="BS384" s="18"/>
      <c r="BT384" s="18"/>
      <c r="BU384" s="137" t="str">
        <f>Co_Name</f>
        <v>State Farm General Insurance Company</v>
      </c>
      <c r="BV384" s="68"/>
      <c r="BW384" s="40"/>
      <c r="BX384" s="18"/>
      <c r="BY384" s="18"/>
      <c r="BZ384" s="18"/>
      <c r="CA384" s="18"/>
      <c r="CB384" s="18"/>
      <c r="CC384" s="18"/>
      <c r="CD384" s="18"/>
      <c r="CE384" s="18"/>
      <c r="CF384" s="18"/>
      <c r="CG384" s="137" t="str">
        <f>Co_Name</f>
        <v>State Farm General Insurance Company</v>
      </c>
      <c r="CH384" s="68"/>
      <c r="CI384" s="40"/>
      <c r="CJ384" s="18"/>
      <c r="CK384" s="18"/>
      <c r="CL384" s="18"/>
      <c r="CM384" s="18"/>
      <c r="CN384" s="18"/>
      <c r="CO384" s="18"/>
      <c r="CP384" s="18"/>
      <c r="CQ384" s="18"/>
      <c r="CR384" s="18"/>
      <c r="CS384" s="137" t="str">
        <f>Co_Name</f>
        <v>State Farm General Insurance Company</v>
      </c>
      <c r="CT384" s="68"/>
      <c r="CU384" s="40"/>
      <c r="CV384" s="18"/>
      <c r="CW384" s="18"/>
      <c r="CX384" s="18"/>
      <c r="CY384" s="18"/>
      <c r="CZ384" s="18"/>
      <c r="DA384" s="18"/>
      <c r="DB384" s="18"/>
      <c r="DC384" s="18"/>
      <c r="DD384" s="18"/>
      <c r="DE384" s="137" t="str">
        <f>Co_Name</f>
        <v>State Farm General Insurance Company</v>
      </c>
      <c r="DF384" s="68"/>
      <c r="DG384" s="40"/>
      <c r="DH384" s="18"/>
      <c r="DI384" s="18"/>
      <c r="DJ384" s="18"/>
      <c r="DK384" s="18"/>
      <c r="DL384" s="18"/>
      <c r="DM384" s="18"/>
      <c r="DN384" s="18"/>
      <c r="DO384" s="18"/>
      <c r="DP384" s="18"/>
    </row>
    <row r="385" spans="1:120" ht="21" x14ac:dyDescent="0.35">
      <c r="A385" s="137" t="str">
        <f>A$2</f>
        <v>Homeowners Multiple Peril</v>
      </c>
      <c r="B385" s="68"/>
      <c r="C385" s="40"/>
      <c r="D385" s="18"/>
      <c r="E385" s="18"/>
      <c r="F385" s="18"/>
      <c r="G385" s="18"/>
      <c r="H385" s="18"/>
      <c r="I385" s="18"/>
      <c r="J385" s="18"/>
      <c r="K385" s="18"/>
      <c r="L385" s="18"/>
      <c r="M385" s="137" t="str">
        <f>M$2</f>
        <v/>
      </c>
      <c r="N385" s="68"/>
      <c r="O385" s="40"/>
      <c r="P385" s="18"/>
      <c r="Q385" s="18"/>
      <c r="R385" s="18"/>
      <c r="S385" s="18"/>
      <c r="T385" s="18"/>
      <c r="U385" s="18"/>
      <c r="V385" s="18"/>
      <c r="W385" s="18"/>
      <c r="X385" s="18"/>
      <c r="Y385" s="137" t="str">
        <f>Y$2</f>
        <v/>
      </c>
      <c r="Z385" s="68"/>
      <c r="AA385" s="40"/>
      <c r="AB385" s="18"/>
      <c r="AC385" s="18"/>
      <c r="AD385" s="18"/>
      <c r="AE385" s="18"/>
      <c r="AF385" s="18"/>
      <c r="AG385" s="18"/>
      <c r="AH385" s="18"/>
      <c r="AI385" s="18"/>
      <c r="AJ385" s="18"/>
      <c r="AK385" s="137" t="str">
        <f>AK$2</f>
        <v/>
      </c>
      <c r="AL385" s="68"/>
      <c r="AM385" s="40"/>
      <c r="AN385" s="18"/>
      <c r="AO385" s="18"/>
      <c r="AP385" s="18"/>
      <c r="AQ385" s="18"/>
      <c r="AR385" s="18"/>
      <c r="AS385" s="18"/>
      <c r="AT385" s="18"/>
      <c r="AU385" s="18"/>
      <c r="AV385" s="18"/>
      <c r="AW385" s="137" t="str">
        <f>AW$2</f>
        <v/>
      </c>
      <c r="AX385" s="68"/>
      <c r="AY385" s="40"/>
      <c r="AZ385" s="18"/>
      <c r="BA385" s="18"/>
      <c r="BB385" s="18"/>
      <c r="BC385" s="18"/>
      <c r="BD385" s="18"/>
      <c r="BE385" s="18"/>
      <c r="BF385" s="18"/>
      <c r="BG385" s="18"/>
      <c r="BH385" s="18"/>
      <c r="BI385" s="137" t="str">
        <f>BI$2</f>
        <v/>
      </c>
      <c r="BJ385" s="68"/>
      <c r="BK385" s="40"/>
      <c r="BL385" s="18"/>
      <c r="BM385" s="18"/>
      <c r="BN385" s="18"/>
      <c r="BO385" s="18"/>
      <c r="BP385" s="18"/>
      <c r="BQ385" s="18"/>
      <c r="BR385" s="18"/>
      <c r="BS385" s="18"/>
      <c r="BT385" s="18"/>
      <c r="BU385" s="137" t="str">
        <f>BU$2</f>
        <v/>
      </c>
      <c r="BV385" s="68"/>
      <c r="BW385" s="40"/>
      <c r="BX385" s="18"/>
      <c r="BY385" s="18"/>
      <c r="BZ385" s="18"/>
      <c r="CA385" s="18"/>
      <c r="CB385" s="18"/>
      <c r="CC385" s="18"/>
      <c r="CD385" s="18"/>
      <c r="CE385" s="18"/>
      <c r="CF385" s="18"/>
      <c r="CG385" s="137" t="str">
        <f>CG$2</f>
        <v/>
      </c>
      <c r="CH385" s="68"/>
      <c r="CI385" s="40"/>
      <c r="CJ385" s="18"/>
      <c r="CK385" s="18"/>
      <c r="CL385" s="18"/>
      <c r="CM385" s="18"/>
      <c r="CN385" s="18"/>
      <c r="CO385" s="18"/>
      <c r="CP385" s="18"/>
      <c r="CQ385" s="18"/>
      <c r="CR385" s="18"/>
      <c r="CS385" s="137" t="str">
        <f>CS$2</f>
        <v/>
      </c>
      <c r="CT385" s="68"/>
      <c r="CU385" s="40"/>
      <c r="CV385" s="18"/>
      <c r="CW385" s="18"/>
      <c r="CX385" s="18"/>
      <c r="CY385" s="18"/>
      <c r="CZ385" s="18"/>
      <c r="DA385" s="18"/>
      <c r="DB385" s="18"/>
      <c r="DC385" s="18"/>
      <c r="DD385" s="18"/>
      <c r="DE385" s="137" t="str">
        <f>DE$2</f>
        <v/>
      </c>
      <c r="DF385" s="68"/>
      <c r="DG385" s="40"/>
      <c r="DH385" s="18"/>
      <c r="DI385" s="18"/>
      <c r="DJ385" s="18"/>
      <c r="DK385" s="18"/>
      <c r="DL385" s="18"/>
      <c r="DM385" s="18"/>
      <c r="DN385" s="18"/>
      <c r="DO385" s="18"/>
      <c r="DP385" s="18"/>
    </row>
    <row r="386" spans="1:120" ht="21" customHeight="1" x14ac:dyDescent="0.25"/>
    <row r="387" spans="1:120" ht="21" x14ac:dyDescent="0.25">
      <c r="A387" s="48" t="s">
        <v>211</v>
      </c>
      <c r="B387" s="48"/>
      <c r="C387" s="18"/>
      <c r="D387" s="18"/>
      <c r="E387" s="18"/>
      <c r="F387" s="18"/>
      <c r="G387" s="18"/>
      <c r="H387" s="18"/>
      <c r="I387" s="18"/>
      <c r="J387" s="18"/>
      <c r="K387" s="18"/>
      <c r="L387" s="18"/>
      <c r="M387" s="48" t="s">
        <v>211</v>
      </c>
      <c r="N387" s="48"/>
      <c r="O387" s="18"/>
      <c r="P387" s="18"/>
      <c r="Q387" s="18"/>
      <c r="R387" s="18"/>
      <c r="S387" s="18"/>
      <c r="T387" s="18"/>
      <c r="U387" s="18"/>
      <c r="V387" s="18"/>
      <c r="W387" s="18"/>
      <c r="X387" s="18"/>
      <c r="Y387" s="48" t="s">
        <v>211</v>
      </c>
      <c r="Z387" s="48"/>
      <c r="AA387" s="18"/>
      <c r="AB387" s="18"/>
      <c r="AC387" s="18"/>
      <c r="AD387" s="18"/>
      <c r="AE387" s="18"/>
      <c r="AF387" s="18"/>
      <c r="AG387" s="18"/>
      <c r="AH387" s="18"/>
      <c r="AI387" s="18"/>
      <c r="AJ387" s="18"/>
      <c r="AK387" s="48" t="s">
        <v>211</v>
      </c>
      <c r="AL387" s="48"/>
      <c r="AM387" s="18"/>
      <c r="AN387" s="18"/>
      <c r="AO387" s="18"/>
      <c r="AP387" s="18"/>
      <c r="AQ387" s="18"/>
      <c r="AR387" s="18"/>
      <c r="AS387" s="18"/>
      <c r="AT387" s="18"/>
      <c r="AU387" s="18"/>
      <c r="AV387" s="18"/>
      <c r="AW387" s="48" t="s">
        <v>211</v>
      </c>
      <c r="AX387" s="48"/>
      <c r="AY387" s="18"/>
      <c r="AZ387" s="18"/>
      <c r="BA387" s="18"/>
      <c r="BB387" s="18"/>
      <c r="BC387" s="18"/>
      <c r="BD387" s="18"/>
      <c r="BE387" s="18"/>
      <c r="BF387" s="18"/>
      <c r="BG387" s="18"/>
      <c r="BH387" s="18"/>
      <c r="BI387" s="48" t="s">
        <v>211</v>
      </c>
      <c r="BJ387" s="48"/>
      <c r="BK387" s="18"/>
      <c r="BL387" s="18"/>
      <c r="BM387" s="18"/>
      <c r="BN387" s="18"/>
      <c r="BO387" s="18"/>
      <c r="BP387" s="18"/>
      <c r="BQ387" s="18"/>
      <c r="BR387" s="18"/>
      <c r="BS387" s="18"/>
      <c r="BT387" s="18"/>
      <c r="BU387" s="48" t="s">
        <v>211</v>
      </c>
      <c r="BV387" s="48"/>
      <c r="BW387" s="18"/>
      <c r="BX387" s="18"/>
      <c r="BY387" s="18"/>
      <c r="BZ387" s="18"/>
      <c r="CA387" s="18"/>
      <c r="CB387" s="18"/>
      <c r="CC387" s="18"/>
      <c r="CD387" s="18"/>
      <c r="CE387" s="18"/>
      <c r="CF387" s="18"/>
      <c r="CG387" s="48" t="s">
        <v>211</v>
      </c>
      <c r="CH387" s="48"/>
      <c r="CI387" s="18"/>
      <c r="CJ387" s="18"/>
      <c r="CK387" s="18"/>
      <c r="CL387" s="18"/>
      <c r="CM387" s="18"/>
      <c r="CN387" s="18"/>
      <c r="CO387" s="18"/>
      <c r="CP387" s="18"/>
      <c r="CQ387" s="18"/>
      <c r="CR387" s="18"/>
      <c r="CS387" s="48" t="s">
        <v>211</v>
      </c>
      <c r="CT387" s="48"/>
      <c r="CU387" s="18"/>
      <c r="CV387" s="18"/>
      <c r="CW387" s="18"/>
      <c r="CX387" s="18"/>
      <c r="CY387" s="18"/>
      <c r="CZ387" s="18"/>
      <c r="DA387" s="18"/>
      <c r="DB387" s="18"/>
      <c r="DC387" s="18"/>
      <c r="DD387" s="18"/>
      <c r="DE387" s="48" t="s">
        <v>211</v>
      </c>
      <c r="DF387" s="48"/>
      <c r="DG387" s="18"/>
      <c r="DH387" s="18"/>
      <c r="DI387" s="18"/>
      <c r="DJ387" s="18"/>
      <c r="DK387" s="18"/>
      <c r="DL387" s="18"/>
      <c r="DM387" s="18"/>
      <c r="DN387" s="18"/>
      <c r="DO387" s="18"/>
      <c r="DP387" s="18"/>
    </row>
    <row r="388" spans="1:120" x14ac:dyDescent="0.25">
      <c r="A388" s="138" t="str">
        <f>A$5</f>
        <v>Rental Dwelling</v>
      </c>
      <c r="B388" s="69"/>
      <c r="C388" s="18"/>
      <c r="D388" s="18"/>
      <c r="E388" s="18"/>
      <c r="F388" s="18"/>
      <c r="G388" s="18"/>
      <c r="H388" s="18"/>
      <c r="I388" s="18"/>
      <c r="J388" s="18"/>
      <c r="K388" s="18"/>
      <c r="L388" s="18"/>
      <c r="M388" s="138">
        <f>M$5</f>
        <v>0</v>
      </c>
      <c r="N388" s="69"/>
      <c r="O388" s="18"/>
      <c r="P388" s="18"/>
      <c r="Q388" s="18"/>
      <c r="R388" s="18"/>
      <c r="S388" s="18"/>
      <c r="T388" s="18"/>
      <c r="U388" s="18"/>
      <c r="V388" s="18"/>
      <c r="W388" s="18"/>
      <c r="X388" s="18"/>
      <c r="Y388" s="138">
        <f>Y$5</f>
        <v>0</v>
      </c>
      <c r="Z388" s="69"/>
      <c r="AA388" s="18"/>
      <c r="AB388" s="18"/>
      <c r="AC388" s="18"/>
      <c r="AD388" s="18"/>
      <c r="AE388" s="18"/>
      <c r="AF388" s="18"/>
      <c r="AG388" s="18"/>
      <c r="AH388" s="18"/>
      <c r="AI388" s="18"/>
      <c r="AJ388" s="18"/>
      <c r="AK388" s="138">
        <f>AK$5</f>
        <v>0</v>
      </c>
      <c r="AL388" s="69"/>
      <c r="AM388" s="18"/>
      <c r="AN388" s="18"/>
      <c r="AO388" s="18"/>
      <c r="AP388" s="18"/>
      <c r="AQ388" s="18"/>
      <c r="AR388" s="18"/>
      <c r="AS388" s="18"/>
      <c r="AT388" s="18"/>
      <c r="AU388" s="18"/>
      <c r="AV388" s="18"/>
      <c r="AW388" s="138">
        <f>AW$5</f>
        <v>0</v>
      </c>
      <c r="AX388" s="69"/>
      <c r="AY388" s="18"/>
      <c r="AZ388" s="18"/>
      <c r="BA388" s="18"/>
      <c r="BB388" s="18"/>
      <c r="BC388" s="18"/>
      <c r="BD388" s="18"/>
      <c r="BE388" s="18"/>
      <c r="BF388" s="18"/>
      <c r="BG388" s="18"/>
      <c r="BH388" s="18"/>
      <c r="BI388" s="138">
        <f>BI$5</f>
        <v>0</v>
      </c>
      <c r="BJ388" s="69"/>
      <c r="BK388" s="18"/>
      <c r="BL388" s="18"/>
      <c r="BM388" s="18"/>
      <c r="BN388" s="18"/>
      <c r="BO388" s="18"/>
      <c r="BP388" s="18"/>
      <c r="BQ388" s="18"/>
      <c r="BR388" s="18"/>
      <c r="BS388" s="18"/>
      <c r="BT388" s="18"/>
      <c r="BU388" s="138">
        <f>BU$5</f>
        <v>0</v>
      </c>
      <c r="BV388" s="69"/>
      <c r="BW388" s="18"/>
      <c r="BX388" s="18"/>
      <c r="BY388" s="18"/>
      <c r="BZ388" s="18"/>
      <c r="CA388" s="18"/>
      <c r="CB388" s="18"/>
      <c r="CC388" s="18"/>
      <c r="CD388" s="18"/>
      <c r="CE388" s="18"/>
      <c r="CF388" s="18"/>
      <c r="CG388" s="138">
        <f>CG$5</f>
        <v>0</v>
      </c>
      <c r="CH388" s="69"/>
      <c r="CI388" s="18"/>
      <c r="CJ388" s="18"/>
      <c r="CK388" s="18"/>
      <c r="CL388" s="18"/>
      <c r="CM388" s="18"/>
      <c r="CN388" s="18"/>
      <c r="CO388" s="18"/>
      <c r="CP388" s="18"/>
      <c r="CQ388" s="18"/>
      <c r="CR388" s="18"/>
      <c r="CS388" s="138">
        <f>CS$5</f>
        <v>0</v>
      </c>
      <c r="CT388" s="69"/>
      <c r="CU388" s="18"/>
      <c r="CV388" s="18"/>
      <c r="CW388" s="18"/>
      <c r="CX388" s="18"/>
      <c r="CY388" s="18"/>
      <c r="CZ388" s="18"/>
      <c r="DA388" s="18"/>
      <c r="DB388" s="18"/>
      <c r="DC388" s="18"/>
      <c r="DD388" s="18"/>
      <c r="DE388" s="138">
        <f>DE$5</f>
        <v>0</v>
      </c>
      <c r="DF388" s="69"/>
      <c r="DG388" s="18"/>
      <c r="DH388" s="18"/>
      <c r="DI388" s="18"/>
      <c r="DJ388" s="18"/>
      <c r="DK388" s="18"/>
      <c r="DL388" s="18"/>
      <c r="DM388" s="18"/>
      <c r="DN388" s="18"/>
      <c r="DO388" s="18"/>
      <c r="DP388" s="18"/>
    </row>
    <row r="390" spans="1:120" x14ac:dyDescent="0.25">
      <c r="A390" s="102"/>
      <c r="B390" s="129"/>
      <c r="C390" s="129" t="s">
        <v>4</v>
      </c>
      <c r="D390" s="103"/>
      <c r="E390" s="103"/>
      <c r="F390" s="103"/>
      <c r="G390" s="103"/>
      <c r="H390" s="103"/>
      <c r="I390" s="103"/>
      <c r="J390" s="103"/>
      <c r="K390" s="103"/>
      <c r="L390" s="103"/>
      <c r="M390" s="102"/>
      <c r="N390" s="129"/>
      <c r="O390" s="129" t="s">
        <v>4</v>
      </c>
      <c r="P390" s="103"/>
      <c r="Q390" s="103"/>
      <c r="R390" s="103"/>
      <c r="S390" s="103"/>
      <c r="T390" s="103"/>
      <c r="U390" s="103"/>
      <c r="V390" s="103"/>
      <c r="W390" s="103"/>
      <c r="X390" s="103"/>
      <c r="Y390" s="102"/>
      <c r="Z390" s="129"/>
      <c r="AA390" s="129" t="s">
        <v>4</v>
      </c>
      <c r="AB390" s="103"/>
      <c r="AC390" s="103"/>
      <c r="AD390" s="103"/>
      <c r="AE390" s="103"/>
      <c r="AF390" s="103"/>
      <c r="AG390" s="103"/>
      <c r="AH390" s="103"/>
      <c r="AI390" s="103"/>
      <c r="AJ390" s="103"/>
      <c r="AK390" s="102"/>
      <c r="AL390" s="129"/>
      <c r="AM390" s="129" t="s">
        <v>4</v>
      </c>
      <c r="AN390" s="103"/>
      <c r="AO390" s="103"/>
      <c r="AP390" s="103"/>
      <c r="AQ390" s="103"/>
      <c r="AR390" s="103"/>
      <c r="AS390" s="103"/>
      <c r="AT390" s="103"/>
      <c r="AU390" s="103"/>
      <c r="AV390" s="103"/>
      <c r="AW390" s="102"/>
      <c r="AX390" s="129"/>
      <c r="AY390" s="129" t="s">
        <v>4</v>
      </c>
      <c r="AZ390" s="103"/>
      <c r="BA390" s="103"/>
      <c r="BB390" s="103"/>
      <c r="BC390" s="103"/>
      <c r="BD390" s="103"/>
      <c r="BE390" s="103"/>
      <c r="BF390" s="103"/>
      <c r="BG390" s="103"/>
      <c r="BH390" s="103"/>
      <c r="BI390" s="102"/>
      <c r="BJ390" s="129"/>
      <c r="BK390" s="129" t="s">
        <v>4</v>
      </c>
      <c r="BL390" s="103"/>
      <c r="BM390" s="103"/>
      <c r="BN390" s="103"/>
      <c r="BO390" s="103"/>
      <c r="BP390" s="103"/>
      <c r="BQ390" s="103"/>
      <c r="BR390" s="103"/>
      <c r="BS390" s="103"/>
      <c r="BT390" s="103"/>
      <c r="BU390" s="102"/>
      <c r="BV390" s="129"/>
      <c r="BW390" s="129" t="s">
        <v>4</v>
      </c>
      <c r="BX390" s="103"/>
      <c r="BY390" s="103"/>
      <c r="BZ390" s="103"/>
      <c r="CA390" s="103"/>
      <c r="CB390" s="103"/>
      <c r="CC390" s="103"/>
      <c r="CD390" s="103"/>
      <c r="CE390" s="103"/>
      <c r="CF390" s="103"/>
      <c r="CG390" s="102"/>
      <c r="CH390" s="129"/>
      <c r="CI390" s="129" t="s">
        <v>4</v>
      </c>
      <c r="CJ390" s="103"/>
      <c r="CK390" s="103"/>
      <c r="CL390" s="103"/>
      <c r="CM390" s="103"/>
      <c r="CN390" s="103"/>
      <c r="CO390" s="103"/>
      <c r="CP390" s="103"/>
      <c r="CQ390" s="103"/>
      <c r="CR390" s="103"/>
      <c r="CS390" s="102"/>
      <c r="CT390" s="129"/>
      <c r="CU390" s="129" t="s">
        <v>4</v>
      </c>
      <c r="CV390" s="103"/>
      <c r="CW390" s="103"/>
      <c r="CX390" s="103"/>
      <c r="CY390" s="103"/>
      <c r="CZ390" s="103"/>
      <c r="DA390" s="103"/>
      <c r="DB390" s="103"/>
      <c r="DC390" s="103"/>
      <c r="DD390" s="103"/>
      <c r="DE390" s="102"/>
      <c r="DF390" s="129"/>
      <c r="DG390" s="129" t="s">
        <v>4</v>
      </c>
      <c r="DH390" s="103"/>
      <c r="DI390" s="103"/>
      <c r="DJ390" s="103"/>
      <c r="DK390" s="103"/>
      <c r="DL390" s="103"/>
      <c r="DM390" s="103"/>
      <c r="DN390" s="103"/>
      <c r="DO390" s="103"/>
      <c r="DP390" s="103"/>
    </row>
    <row r="391" spans="1:120" ht="30" x14ac:dyDescent="0.25">
      <c r="A391" s="92" t="str">
        <f>$A$35</f>
        <v>Fiscal Accident Year Data Ending</v>
      </c>
      <c r="B391" s="98">
        <f>$B$35</f>
        <v>0</v>
      </c>
      <c r="C391" s="98" t="str">
        <f>$C$35</f>
        <v>12</v>
      </c>
      <c r="D391" s="98">
        <f>$D$35</f>
        <v>24</v>
      </c>
      <c r="E391" s="98">
        <f>$E$35</f>
        <v>36</v>
      </c>
      <c r="F391" s="98">
        <f>$F$35</f>
        <v>48</v>
      </c>
      <c r="G391" s="98">
        <f>$G$35</f>
        <v>60</v>
      </c>
      <c r="H391" s="98">
        <f>$H$35</f>
        <v>72</v>
      </c>
      <c r="I391" s="98">
        <f>$I$35</f>
        <v>84</v>
      </c>
      <c r="J391" s="98">
        <f>$J$35</f>
        <v>96</v>
      </c>
      <c r="K391" s="98">
        <f>$K$35</f>
        <v>108</v>
      </c>
      <c r="L391" s="98">
        <f>$L$35</f>
        <v>120</v>
      </c>
      <c r="M391" s="92" t="str">
        <f>$A$35</f>
        <v>Fiscal Accident Year Data Ending</v>
      </c>
      <c r="N391" s="98">
        <f>$B$35</f>
        <v>0</v>
      </c>
      <c r="O391" s="98" t="str">
        <f>$C$35</f>
        <v>12</v>
      </c>
      <c r="P391" s="98">
        <f>$D$35</f>
        <v>24</v>
      </c>
      <c r="Q391" s="98">
        <f>$E$35</f>
        <v>36</v>
      </c>
      <c r="R391" s="98">
        <f>$F$35</f>
        <v>48</v>
      </c>
      <c r="S391" s="98">
        <f>$G$35</f>
        <v>60</v>
      </c>
      <c r="T391" s="98">
        <f>$H$35</f>
        <v>72</v>
      </c>
      <c r="U391" s="98">
        <f>$I$35</f>
        <v>84</v>
      </c>
      <c r="V391" s="98">
        <f>$J$35</f>
        <v>96</v>
      </c>
      <c r="W391" s="98">
        <f>$K$35</f>
        <v>108</v>
      </c>
      <c r="X391" s="98">
        <f>$L$35</f>
        <v>120</v>
      </c>
      <c r="Y391" s="92" t="str">
        <f>$A$35</f>
        <v>Fiscal Accident Year Data Ending</v>
      </c>
      <c r="Z391" s="98">
        <f>$B$35</f>
        <v>0</v>
      </c>
      <c r="AA391" s="98" t="str">
        <f>$C$35</f>
        <v>12</v>
      </c>
      <c r="AB391" s="98">
        <f>$D$35</f>
        <v>24</v>
      </c>
      <c r="AC391" s="98">
        <f>$E$35</f>
        <v>36</v>
      </c>
      <c r="AD391" s="98">
        <f>$F$35</f>
        <v>48</v>
      </c>
      <c r="AE391" s="98">
        <f>$G$35</f>
        <v>60</v>
      </c>
      <c r="AF391" s="98">
        <f>$H$35</f>
        <v>72</v>
      </c>
      <c r="AG391" s="98">
        <f>$I$35</f>
        <v>84</v>
      </c>
      <c r="AH391" s="98">
        <f>$J$35</f>
        <v>96</v>
      </c>
      <c r="AI391" s="98">
        <f>$K$35</f>
        <v>108</v>
      </c>
      <c r="AJ391" s="98">
        <f>$L$35</f>
        <v>120</v>
      </c>
      <c r="AK391" s="92" t="str">
        <f>$A$35</f>
        <v>Fiscal Accident Year Data Ending</v>
      </c>
      <c r="AL391" s="98">
        <f>$B$35</f>
        <v>0</v>
      </c>
      <c r="AM391" s="98" t="str">
        <f>$C$35</f>
        <v>12</v>
      </c>
      <c r="AN391" s="98">
        <f>$D$35</f>
        <v>24</v>
      </c>
      <c r="AO391" s="98">
        <f>$E$35</f>
        <v>36</v>
      </c>
      <c r="AP391" s="98">
        <f>$F$35</f>
        <v>48</v>
      </c>
      <c r="AQ391" s="98">
        <f>$G$35</f>
        <v>60</v>
      </c>
      <c r="AR391" s="98">
        <f>$H$35</f>
        <v>72</v>
      </c>
      <c r="AS391" s="98">
        <f>$I$35</f>
        <v>84</v>
      </c>
      <c r="AT391" s="98">
        <f>$J$35</f>
        <v>96</v>
      </c>
      <c r="AU391" s="98">
        <f>$K$35</f>
        <v>108</v>
      </c>
      <c r="AV391" s="98">
        <f>$L$35</f>
        <v>120</v>
      </c>
      <c r="AW391" s="92" t="str">
        <f>$A$35</f>
        <v>Fiscal Accident Year Data Ending</v>
      </c>
      <c r="AX391" s="98">
        <f>$B$35</f>
        <v>0</v>
      </c>
      <c r="AY391" s="98" t="str">
        <f>$C$35</f>
        <v>12</v>
      </c>
      <c r="AZ391" s="98">
        <f>$D$35</f>
        <v>24</v>
      </c>
      <c r="BA391" s="98">
        <f>$E$35</f>
        <v>36</v>
      </c>
      <c r="BB391" s="98">
        <f>$F$35</f>
        <v>48</v>
      </c>
      <c r="BC391" s="98">
        <f>$G$35</f>
        <v>60</v>
      </c>
      <c r="BD391" s="98">
        <f>$H$35</f>
        <v>72</v>
      </c>
      <c r="BE391" s="98">
        <f>$I$35</f>
        <v>84</v>
      </c>
      <c r="BF391" s="98">
        <f>$J$35</f>
        <v>96</v>
      </c>
      <c r="BG391" s="98">
        <f>$K$35</f>
        <v>108</v>
      </c>
      <c r="BH391" s="98">
        <f>$L$35</f>
        <v>120</v>
      </c>
      <c r="BI391" s="92" t="str">
        <f>$A$35</f>
        <v>Fiscal Accident Year Data Ending</v>
      </c>
      <c r="BJ391" s="98">
        <f>$B$35</f>
        <v>0</v>
      </c>
      <c r="BK391" s="98" t="str">
        <f>$C$35</f>
        <v>12</v>
      </c>
      <c r="BL391" s="98">
        <f>$D$35</f>
        <v>24</v>
      </c>
      <c r="BM391" s="98">
        <f>$E$35</f>
        <v>36</v>
      </c>
      <c r="BN391" s="98">
        <f>$F$35</f>
        <v>48</v>
      </c>
      <c r="BO391" s="98">
        <f>$G$35</f>
        <v>60</v>
      </c>
      <c r="BP391" s="98">
        <f>$H$35</f>
        <v>72</v>
      </c>
      <c r="BQ391" s="98">
        <f>$I$35</f>
        <v>84</v>
      </c>
      <c r="BR391" s="98">
        <f>$J$35</f>
        <v>96</v>
      </c>
      <c r="BS391" s="98">
        <f>$K$35</f>
        <v>108</v>
      </c>
      <c r="BT391" s="98">
        <f>$L$35</f>
        <v>120</v>
      </c>
      <c r="BU391" s="92" t="str">
        <f>$A$35</f>
        <v>Fiscal Accident Year Data Ending</v>
      </c>
      <c r="BV391" s="98">
        <f>$B$35</f>
        <v>0</v>
      </c>
      <c r="BW391" s="98" t="str">
        <f>$C$35</f>
        <v>12</v>
      </c>
      <c r="BX391" s="98">
        <f>$D$35</f>
        <v>24</v>
      </c>
      <c r="BY391" s="98">
        <f>$E$35</f>
        <v>36</v>
      </c>
      <c r="BZ391" s="98">
        <f>$F$35</f>
        <v>48</v>
      </c>
      <c r="CA391" s="98">
        <f>$G$35</f>
        <v>60</v>
      </c>
      <c r="CB391" s="98">
        <f>$H$35</f>
        <v>72</v>
      </c>
      <c r="CC391" s="98">
        <f>$I$35</f>
        <v>84</v>
      </c>
      <c r="CD391" s="98">
        <f>$J$35</f>
        <v>96</v>
      </c>
      <c r="CE391" s="98">
        <f>$K$35</f>
        <v>108</v>
      </c>
      <c r="CF391" s="98">
        <f>$L$35</f>
        <v>120</v>
      </c>
      <c r="CG391" s="92" t="str">
        <f>$A$35</f>
        <v>Fiscal Accident Year Data Ending</v>
      </c>
      <c r="CH391" s="98">
        <f>$B$35</f>
        <v>0</v>
      </c>
      <c r="CI391" s="98" t="str">
        <f>$C$35</f>
        <v>12</v>
      </c>
      <c r="CJ391" s="98">
        <f>$D$35</f>
        <v>24</v>
      </c>
      <c r="CK391" s="98">
        <f>$E$35</f>
        <v>36</v>
      </c>
      <c r="CL391" s="98">
        <f>$F$35</f>
        <v>48</v>
      </c>
      <c r="CM391" s="98">
        <f>$G$35</f>
        <v>60</v>
      </c>
      <c r="CN391" s="98">
        <f>$H$35</f>
        <v>72</v>
      </c>
      <c r="CO391" s="98">
        <f>$I$35</f>
        <v>84</v>
      </c>
      <c r="CP391" s="98">
        <f>$J$35</f>
        <v>96</v>
      </c>
      <c r="CQ391" s="98">
        <f>$K$35</f>
        <v>108</v>
      </c>
      <c r="CR391" s="98">
        <f>$L$35</f>
        <v>120</v>
      </c>
      <c r="CS391" s="92" t="str">
        <f>$A$35</f>
        <v>Fiscal Accident Year Data Ending</v>
      </c>
      <c r="CT391" s="98">
        <f>$B$35</f>
        <v>0</v>
      </c>
      <c r="CU391" s="98" t="str">
        <f>$C$35</f>
        <v>12</v>
      </c>
      <c r="CV391" s="98">
        <f>$D$35</f>
        <v>24</v>
      </c>
      <c r="CW391" s="98">
        <f>$E$35</f>
        <v>36</v>
      </c>
      <c r="CX391" s="98">
        <f>$F$35</f>
        <v>48</v>
      </c>
      <c r="CY391" s="98">
        <f>$G$35</f>
        <v>60</v>
      </c>
      <c r="CZ391" s="98">
        <f>$H$35</f>
        <v>72</v>
      </c>
      <c r="DA391" s="98">
        <f>$I$35</f>
        <v>84</v>
      </c>
      <c r="DB391" s="98">
        <f>$J$35</f>
        <v>96</v>
      </c>
      <c r="DC391" s="98">
        <f>$K$35</f>
        <v>108</v>
      </c>
      <c r="DD391" s="98">
        <f>$L$35</f>
        <v>120</v>
      </c>
      <c r="DE391" s="92" t="str">
        <f>$A$35</f>
        <v>Fiscal Accident Year Data Ending</v>
      </c>
      <c r="DF391" s="98">
        <f>$B$35</f>
        <v>0</v>
      </c>
      <c r="DG391" s="98" t="str">
        <f>$C$35</f>
        <v>12</v>
      </c>
      <c r="DH391" s="98">
        <f>$D$35</f>
        <v>24</v>
      </c>
      <c r="DI391" s="98">
        <f>$E$35</f>
        <v>36</v>
      </c>
      <c r="DJ391" s="98">
        <f>$F$35</f>
        <v>48</v>
      </c>
      <c r="DK391" s="98">
        <f>$G$35</f>
        <v>60</v>
      </c>
      <c r="DL391" s="98">
        <f>$H$35</f>
        <v>72</v>
      </c>
      <c r="DM391" s="98">
        <f>$I$35</f>
        <v>84</v>
      </c>
      <c r="DN391" s="98">
        <f>$J$35</f>
        <v>96</v>
      </c>
      <c r="DO391" s="98">
        <f>$K$35</f>
        <v>108</v>
      </c>
      <c r="DP391" s="98">
        <f>$L$35</f>
        <v>120</v>
      </c>
    </row>
    <row r="392" spans="1:120" ht="15" customHeight="1" x14ac:dyDescent="0.25">
      <c r="A392" s="31">
        <f>$A$36</f>
        <v>20132</v>
      </c>
      <c r="B392" s="21"/>
      <c r="C392" s="21">
        <v>1571</v>
      </c>
      <c r="D392" s="21">
        <v>2715</v>
      </c>
      <c r="E392" s="21">
        <v>2868</v>
      </c>
      <c r="F392" s="21">
        <v>2935</v>
      </c>
      <c r="G392" s="21">
        <v>2973</v>
      </c>
      <c r="H392" s="21">
        <v>2994</v>
      </c>
      <c r="I392" s="21">
        <v>3002</v>
      </c>
      <c r="J392" s="21">
        <v>3012</v>
      </c>
      <c r="K392" s="21">
        <v>3017</v>
      </c>
      <c r="L392" s="21">
        <v>3022</v>
      </c>
      <c r="M392" s="31">
        <f>$A$36</f>
        <v>20132</v>
      </c>
      <c r="N392" s="21"/>
      <c r="O392" s="21"/>
      <c r="P392" s="21"/>
      <c r="Q392" s="21"/>
      <c r="R392" s="21"/>
      <c r="S392" s="21"/>
      <c r="T392" s="21"/>
      <c r="U392" s="21"/>
      <c r="V392" s="21"/>
      <c r="W392" s="21"/>
      <c r="X392" s="21"/>
      <c r="Y392" s="31">
        <f>$A$36</f>
        <v>20132</v>
      </c>
      <c r="Z392" s="21"/>
      <c r="AA392" s="21"/>
      <c r="AB392" s="21"/>
      <c r="AC392" s="21"/>
      <c r="AD392" s="21"/>
      <c r="AE392" s="21"/>
      <c r="AF392" s="21"/>
      <c r="AG392" s="21"/>
      <c r="AH392" s="21"/>
      <c r="AI392" s="21"/>
      <c r="AJ392" s="21"/>
      <c r="AK392" s="31">
        <f>$A$36</f>
        <v>20132</v>
      </c>
      <c r="AL392" s="21"/>
      <c r="AM392" s="21"/>
      <c r="AN392" s="21"/>
      <c r="AO392" s="21"/>
      <c r="AP392" s="21"/>
      <c r="AQ392" s="21"/>
      <c r="AR392" s="21"/>
      <c r="AS392" s="21"/>
      <c r="AT392" s="21"/>
      <c r="AU392" s="21"/>
      <c r="AV392" s="21"/>
      <c r="AW392" s="31">
        <f>$A$36</f>
        <v>20132</v>
      </c>
      <c r="AX392" s="21"/>
      <c r="AY392" s="21"/>
      <c r="AZ392" s="21"/>
      <c r="BA392" s="21"/>
      <c r="BB392" s="21"/>
      <c r="BC392" s="21"/>
      <c r="BD392" s="21"/>
      <c r="BE392" s="21"/>
      <c r="BF392" s="21"/>
      <c r="BG392" s="21"/>
      <c r="BH392" s="21"/>
      <c r="BI392" s="31">
        <f>$A$36</f>
        <v>20132</v>
      </c>
      <c r="BJ392" s="21"/>
      <c r="BK392" s="21"/>
      <c r="BL392" s="21"/>
      <c r="BM392" s="21"/>
      <c r="BN392" s="21"/>
      <c r="BO392" s="21"/>
      <c r="BP392" s="21"/>
      <c r="BQ392" s="21"/>
      <c r="BR392" s="21"/>
      <c r="BS392" s="21"/>
      <c r="BT392" s="21"/>
      <c r="BU392" s="31">
        <f>$A$36</f>
        <v>20132</v>
      </c>
      <c r="BV392" s="21"/>
      <c r="BW392" s="21"/>
      <c r="BX392" s="21"/>
      <c r="BY392" s="21"/>
      <c r="BZ392" s="21"/>
      <c r="CA392" s="21"/>
      <c r="CB392" s="21"/>
      <c r="CC392" s="21"/>
      <c r="CD392" s="21"/>
      <c r="CE392" s="21"/>
      <c r="CF392" s="21"/>
      <c r="CG392" s="31">
        <f>$A$36</f>
        <v>20132</v>
      </c>
      <c r="CH392" s="21"/>
      <c r="CI392" s="21"/>
      <c r="CJ392" s="21"/>
      <c r="CK392" s="21"/>
      <c r="CL392" s="21"/>
      <c r="CM392" s="21"/>
      <c r="CN392" s="21"/>
      <c r="CO392" s="21"/>
      <c r="CP392" s="21"/>
      <c r="CQ392" s="21"/>
      <c r="CR392" s="21"/>
      <c r="CS392" s="31">
        <f>$A$36</f>
        <v>20132</v>
      </c>
      <c r="CT392" s="21"/>
      <c r="CU392" s="21"/>
      <c r="CV392" s="21"/>
      <c r="CW392" s="21"/>
      <c r="CX392" s="21"/>
      <c r="CY392" s="21"/>
      <c r="CZ392" s="21"/>
      <c r="DA392" s="21"/>
      <c r="DB392" s="21"/>
      <c r="DC392" s="21"/>
      <c r="DD392" s="21"/>
      <c r="DE392" s="31">
        <f>$A$36</f>
        <v>20132</v>
      </c>
      <c r="DF392" s="21"/>
      <c r="DG392" s="21"/>
      <c r="DH392" s="21"/>
      <c r="DI392" s="21"/>
      <c r="DJ392" s="21"/>
      <c r="DK392" s="21"/>
      <c r="DL392" s="21"/>
      <c r="DM392" s="21"/>
      <c r="DN392" s="21"/>
      <c r="DO392" s="21"/>
      <c r="DP392" s="21"/>
    </row>
    <row r="393" spans="1:120" ht="15" customHeight="1" x14ac:dyDescent="0.25">
      <c r="A393" s="31">
        <f>$A$37</f>
        <v>20142</v>
      </c>
      <c r="B393" s="21"/>
      <c r="C393" s="21">
        <v>3879</v>
      </c>
      <c r="D393" s="21">
        <v>5127</v>
      </c>
      <c r="E393" s="21">
        <v>5326</v>
      </c>
      <c r="F393" s="21">
        <v>5415</v>
      </c>
      <c r="G393" s="21">
        <v>5450</v>
      </c>
      <c r="H393" s="21">
        <v>5473</v>
      </c>
      <c r="I393" s="21">
        <v>5491</v>
      </c>
      <c r="J393" s="21">
        <v>5502</v>
      </c>
      <c r="K393" s="21">
        <v>5510</v>
      </c>
      <c r="L393" s="134"/>
      <c r="M393" s="31">
        <f>$A$37</f>
        <v>20142</v>
      </c>
      <c r="N393" s="21"/>
      <c r="O393" s="21"/>
      <c r="P393" s="21"/>
      <c r="Q393" s="21"/>
      <c r="R393" s="21"/>
      <c r="S393" s="21"/>
      <c r="T393" s="21"/>
      <c r="U393" s="21"/>
      <c r="V393" s="21"/>
      <c r="W393" s="21"/>
      <c r="X393" s="134"/>
      <c r="Y393" s="31">
        <f>$A$37</f>
        <v>20142</v>
      </c>
      <c r="Z393" s="21"/>
      <c r="AA393" s="21"/>
      <c r="AB393" s="21"/>
      <c r="AC393" s="21"/>
      <c r="AD393" s="21"/>
      <c r="AE393" s="21"/>
      <c r="AF393" s="21"/>
      <c r="AG393" s="21"/>
      <c r="AH393" s="21"/>
      <c r="AI393" s="21"/>
      <c r="AJ393" s="134"/>
      <c r="AK393" s="31">
        <f>$A$37</f>
        <v>20142</v>
      </c>
      <c r="AL393" s="21"/>
      <c r="AM393" s="21"/>
      <c r="AN393" s="21"/>
      <c r="AO393" s="21"/>
      <c r="AP393" s="21"/>
      <c r="AQ393" s="21"/>
      <c r="AR393" s="21"/>
      <c r="AS393" s="21"/>
      <c r="AT393" s="21"/>
      <c r="AU393" s="21"/>
      <c r="AV393" s="134"/>
      <c r="AW393" s="31">
        <f>$A$37</f>
        <v>20142</v>
      </c>
      <c r="AX393" s="21"/>
      <c r="AY393" s="21"/>
      <c r="AZ393" s="21"/>
      <c r="BA393" s="21"/>
      <c r="BB393" s="21"/>
      <c r="BC393" s="21"/>
      <c r="BD393" s="21"/>
      <c r="BE393" s="21"/>
      <c r="BF393" s="21"/>
      <c r="BG393" s="21"/>
      <c r="BH393" s="134"/>
      <c r="BI393" s="31">
        <f>$A$37</f>
        <v>20142</v>
      </c>
      <c r="BJ393" s="21"/>
      <c r="BK393" s="21"/>
      <c r="BL393" s="21"/>
      <c r="BM393" s="21"/>
      <c r="BN393" s="21"/>
      <c r="BO393" s="21"/>
      <c r="BP393" s="21"/>
      <c r="BQ393" s="21"/>
      <c r="BR393" s="21"/>
      <c r="BS393" s="21"/>
      <c r="BT393" s="134"/>
      <c r="BU393" s="31">
        <f>$A$37</f>
        <v>20142</v>
      </c>
      <c r="BV393" s="21"/>
      <c r="BW393" s="21"/>
      <c r="BX393" s="21"/>
      <c r="BY393" s="21"/>
      <c r="BZ393" s="21"/>
      <c r="CA393" s="21"/>
      <c r="CB393" s="21"/>
      <c r="CC393" s="21"/>
      <c r="CD393" s="21"/>
      <c r="CE393" s="21"/>
      <c r="CF393" s="134"/>
      <c r="CG393" s="31">
        <f>$A$37</f>
        <v>20142</v>
      </c>
      <c r="CH393" s="21"/>
      <c r="CI393" s="21"/>
      <c r="CJ393" s="21"/>
      <c r="CK393" s="21"/>
      <c r="CL393" s="21"/>
      <c r="CM393" s="21"/>
      <c r="CN393" s="21"/>
      <c r="CO393" s="21"/>
      <c r="CP393" s="21"/>
      <c r="CQ393" s="21"/>
      <c r="CR393" s="134"/>
      <c r="CS393" s="31">
        <f>$A$37</f>
        <v>20142</v>
      </c>
      <c r="CT393" s="21"/>
      <c r="CU393" s="21"/>
      <c r="CV393" s="21"/>
      <c r="CW393" s="21"/>
      <c r="CX393" s="21"/>
      <c r="CY393" s="21"/>
      <c r="CZ393" s="21"/>
      <c r="DA393" s="21"/>
      <c r="DB393" s="21"/>
      <c r="DC393" s="21"/>
      <c r="DD393" s="134"/>
      <c r="DE393" s="31">
        <f>$A$37</f>
        <v>20142</v>
      </c>
      <c r="DF393" s="21"/>
      <c r="DG393" s="21"/>
      <c r="DH393" s="21"/>
      <c r="DI393" s="21"/>
      <c r="DJ393" s="21"/>
      <c r="DK393" s="21"/>
      <c r="DL393" s="21"/>
      <c r="DM393" s="21"/>
      <c r="DN393" s="21"/>
      <c r="DO393" s="21"/>
      <c r="DP393" s="134"/>
    </row>
    <row r="394" spans="1:120" ht="15" customHeight="1" x14ac:dyDescent="0.25">
      <c r="A394" s="31">
        <f>$A$38</f>
        <v>20152</v>
      </c>
      <c r="B394" s="21"/>
      <c r="C394" s="21">
        <v>3455</v>
      </c>
      <c r="D394" s="21">
        <v>4633</v>
      </c>
      <c r="E394" s="21">
        <v>4800</v>
      </c>
      <c r="F394" s="21">
        <v>4901</v>
      </c>
      <c r="G394" s="21">
        <v>4949</v>
      </c>
      <c r="H394" s="21">
        <v>4983</v>
      </c>
      <c r="I394" s="21">
        <v>4997</v>
      </c>
      <c r="J394" s="21">
        <v>5012</v>
      </c>
      <c r="K394" s="134"/>
      <c r="L394" s="134"/>
      <c r="M394" s="31">
        <f>$A$38</f>
        <v>20152</v>
      </c>
      <c r="N394" s="21"/>
      <c r="O394" s="21"/>
      <c r="P394" s="21"/>
      <c r="Q394" s="21"/>
      <c r="R394" s="21"/>
      <c r="S394" s="21"/>
      <c r="T394" s="21"/>
      <c r="U394" s="21"/>
      <c r="V394" s="21"/>
      <c r="W394" s="134"/>
      <c r="X394" s="134"/>
      <c r="Y394" s="31">
        <f>$A$38</f>
        <v>20152</v>
      </c>
      <c r="Z394" s="21"/>
      <c r="AA394" s="21"/>
      <c r="AB394" s="21"/>
      <c r="AC394" s="21"/>
      <c r="AD394" s="21"/>
      <c r="AE394" s="21"/>
      <c r="AF394" s="21"/>
      <c r="AG394" s="21"/>
      <c r="AH394" s="21"/>
      <c r="AI394" s="134"/>
      <c r="AJ394" s="134"/>
      <c r="AK394" s="31">
        <f>$A$38</f>
        <v>20152</v>
      </c>
      <c r="AL394" s="21"/>
      <c r="AM394" s="21"/>
      <c r="AN394" s="21"/>
      <c r="AO394" s="21"/>
      <c r="AP394" s="21"/>
      <c r="AQ394" s="21"/>
      <c r="AR394" s="21"/>
      <c r="AS394" s="21"/>
      <c r="AT394" s="21"/>
      <c r="AU394" s="134"/>
      <c r="AV394" s="134"/>
      <c r="AW394" s="31">
        <f>$A$38</f>
        <v>20152</v>
      </c>
      <c r="AX394" s="21"/>
      <c r="AY394" s="21"/>
      <c r="AZ394" s="21"/>
      <c r="BA394" s="21"/>
      <c r="BB394" s="21"/>
      <c r="BC394" s="21"/>
      <c r="BD394" s="21"/>
      <c r="BE394" s="21"/>
      <c r="BF394" s="21"/>
      <c r="BG394" s="134"/>
      <c r="BH394" s="134"/>
      <c r="BI394" s="31">
        <f>$A$38</f>
        <v>20152</v>
      </c>
      <c r="BJ394" s="21"/>
      <c r="BK394" s="21"/>
      <c r="BL394" s="21"/>
      <c r="BM394" s="21"/>
      <c r="BN394" s="21"/>
      <c r="BO394" s="21"/>
      <c r="BP394" s="21"/>
      <c r="BQ394" s="21"/>
      <c r="BR394" s="21"/>
      <c r="BS394" s="134"/>
      <c r="BT394" s="134"/>
      <c r="BU394" s="31">
        <f>$A$38</f>
        <v>20152</v>
      </c>
      <c r="BV394" s="21"/>
      <c r="BW394" s="21"/>
      <c r="BX394" s="21"/>
      <c r="BY394" s="21"/>
      <c r="BZ394" s="21"/>
      <c r="CA394" s="21"/>
      <c r="CB394" s="21"/>
      <c r="CC394" s="21"/>
      <c r="CD394" s="21"/>
      <c r="CE394" s="134"/>
      <c r="CF394" s="134"/>
      <c r="CG394" s="31">
        <f>$A$38</f>
        <v>20152</v>
      </c>
      <c r="CH394" s="21"/>
      <c r="CI394" s="21"/>
      <c r="CJ394" s="21"/>
      <c r="CK394" s="21"/>
      <c r="CL394" s="21"/>
      <c r="CM394" s="21"/>
      <c r="CN394" s="21"/>
      <c r="CO394" s="21"/>
      <c r="CP394" s="21"/>
      <c r="CQ394" s="134"/>
      <c r="CR394" s="134"/>
      <c r="CS394" s="31">
        <f>$A$38</f>
        <v>20152</v>
      </c>
      <c r="CT394" s="21"/>
      <c r="CU394" s="21"/>
      <c r="CV394" s="21"/>
      <c r="CW394" s="21"/>
      <c r="CX394" s="21"/>
      <c r="CY394" s="21"/>
      <c r="CZ394" s="21"/>
      <c r="DA394" s="21"/>
      <c r="DB394" s="21"/>
      <c r="DC394" s="134"/>
      <c r="DD394" s="134"/>
      <c r="DE394" s="31">
        <f>$A$38</f>
        <v>20152</v>
      </c>
      <c r="DF394" s="21"/>
      <c r="DG394" s="21"/>
      <c r="DH394" s="21"/>
      <c r="DI394" s="21"/>
      <c r="DJ394" s="21"/>
      <c r="DK394" s="21"/>
      <c r="DL394" s="21"/>
      <c r="DM394" s="21"/>
      <c r="DN394" s="21"/>
      <c r="DO394" s="134"/>
      <c r="DP394" s="134"/>
    </row>
    <row r="395" spans="1:120" ht="15" customHeight="1" x14ac:dyDescent="0.25">
      <c r="A395" s="31">
        <f>$A$39</f>
        <v>20162</v>
      </c>
      <c r="B395" s="21"/>
      <c r="C395" s="21">
        <v>3643</v>
      </c>
      <c r="D395" s="21">
        <v>4806</v>
      </c>
      <c r="E395" s="21">
        <v>4961</v>
      </c>
      <c r="F395" s="21">
        <v>5049</v>
      </c>
      <c r="G395" s="21">
        <v>5098</v>
      </c>
      <c r="H395" s="21">
        <v>5118</v>
      </c>
      <c r="I395" s="21">
        <v>5135</v>
      </c>
      <c r="J395" s="134"/>
      <c r="K395" s="134"/>
      <c r="L395" s="134"/>
      <c r="M395" s="31">
        <f>$A$39</f>
        <v>20162</v>
      </c>
      <c r="N395" s="21"/>
      <c r="O395" s="21"/>
      <c r="P395" s="21"/>
      <c r="Q395" s="21"/>
      <c r="R395" s="21"/>
      <c r="S395" s="21"/>
      <c r="T395" s="21"/>
      <c r="U395" s="21"/>
      <c r="V395" s="134"/>
      <c r="W395" s="134"/>
      <c r="X395" s="134"/>
      <c r="Y395" s="31">
        <f>$A$39</f>
        <v>20162</v>
      </c>
      <c r="Z395" s="21"/>
      <c r="AA395" s="21"/>
      <c r="AB395" s="21"/>
      <c r="AC395" s="21"/>
      <c r="AD395" s="21"/>
      <c r="AE395" s="21"/>
      <c r="AF395" s="21"/>
      <c r="AG395" s="21"/>
      <c r="AH395" s="134"/>
      <c r="AI395" s="134"/>
      <c r="AJ395" s="134"/>
      <c r="AK395" s="31">
        <f>$A$39</f>
        <v>20162</v>
      </c>
      <c r="AL395" s="21"/>
      <c r="AM395" s="21"/>
      <c r="AN395" s="21"/>
      <c r="AO395" s="21"/>
      <c r="AP395" s="21"/>
      <c r="AQ395" s="21"/>
      <c r="AR395" s="21"/>
      <c r="AS395" s="21"/>
      <c r="AT395" s="134"/>
      <c r="AU395" s="134"/>
      <c r="AV395" s="134"/>
      <c r="AW395" s="31">
        <f>$A$39</f>
        <v>20162</v>
      </c>
      <c r="AX395" s="21"/>
      <c r="AY395" s="21"/>
      <c r="AZ395" s="21"/>
      <c r="BA395" s="21"/>
      <c r="BB395" s="21"/>
      <c r="BC395" s="21"/>
      <c r="BD395" s="21"/>
      <c r="BE395" s="21"/>
      <c r="BF395" s="134"/>
      <c r="BG395" s="134"/>
      <c r="BH395" s="134"/>
      <c r="BI395" s="31">
        <f>$A$39</f>
        <v>20162</v>
      </c>
      <c r="BJ395" s="21"/>
      <c r="BK395" s="21"/>
      <c r="BL395" s="21"/>
      <c r="BM395" s="21"/>
      <c r="BN395" s="21"/>
      <c r="BO395" s="21"/>
      <c r="BP395" s="21"/>
      <c r="BQ395" s="21"/>
      <c r="BR395" s="134"/>
      <c r="BS395" s="134"/>
      <c r="BT395" s="134"/>
      <c r="BU395" s="31">
        <f>$A$39</f>
        <v>20162</v>
      </c>
      <c r="BV395" s="21"/>
      <c r="BW395" s="21"/>
      <c r="BX395" s="21"/>
      <c r="BY395" s="21"/>
      <c r="BZ395" s="21"/>
      <c r="CA395" s="21"/>
      <c r="CB395" s="21"/>
      <c r="CC395" s="21"/>
      <c r="CD395" s="134"/>
      <c r="CE395" s="134"/>
      <c r="CF395" s="134"/>
      <c r="CG395" s="31">
        <f>$A$39</f>
        <v>20162</v>
      </c>
      <c r="CH395" s="21"/>
      <c r="CI395" s="21"/>
      <c r="CJ395" s="21"/>
      <c r="CK395" s="21"/>
      <c r="CL395" s="21"/>
      <c r="CM395" s="21"/>
      <c r="CN395" s="21"/>
      <c r="CO395" s="21"/>
      <c r="CP395" s="134"/>
      <c r="CQ395" s="134"/>
      <c r="CR395" s="134"/>
      <c r="CS395" s="31">
        <f>$A$39</f>
        <v>20162</v>
      </c>
      <c r="CT395" s="21"/>
      <c r="CU395" s="21"/>
      <c r="CV395" s="21"/>
      <c r="CW395" s="21"/>
      <c r="CX395" s="21"/>
      <c r="CY395" s="21"/>
      <c r="CZ395" s="21"/>
      <c r="DA395" s="21"/>
      <c r="DB395" s="134"/>
      <c r="DC395" s="134"/>
      <c r="DD395" s="134"/>
      <c r="DE395" s="31">
        <f>$A$39</f>
        <v>20162</v>
      </c>
      <c r="DF395" s="21"/>
      <c r="DG395" s="21"/>
      <c r="DH395" s="21"/>
      <c r="DI395" s="21"/>
      <c r="DJ395" s="21"/>
      <c r="DK395" s="21"/>
      <c r="DL395" s="21"/>
      <c r="DM395" s="21"/>
      <c r="DN395" s="134"/>
      <c r="DO395" s="134"/>
      <c r="DP395" s="134"/>
    </row>
    <row r="396" spans="1:120" ht="15" customHeight="1" x14ac:dyDescent="0.25">
      <c r="A396" s="31">
        <f>$A$40</f>
        <v>20172</v>
      </c>
      <c r="B396" s="21"/>
      <c r="C396" s="21">
        <v>4018</v>
      </c>
      <c r="D396" s="21">
        <v>5157</v>
      </c>
      <c r="E396" s="21">
        <v>5335</v>
      </c>
      <c r="F396" s="21">
        <v>5432</v>
      </c>
      <c r="G396" s="21">
        <v>5486</v>
      </c>
      <c r="H396" s="21">
        <v>5528</v>
      </c>
      <c r="I396" s="134"/>
      <c r="J396" s="134"/>
      <c r="K396" s="134"/>
      <c r="L396" s="134"/>
      <c r="M396" s="31">
        <f>$A$40</f>
        <v>20172</v>
      </c>
      <c r="N396" s="21"/>
      <c r="O396" s="21"/>
      <c r="P396" s="21"/>
      <c r="Q396" s="21"/>
      <c r="R396" s="21"/>
      <c r="S396" s="21"/>
      <c r="T396" s="21"/>
      <c r="U396" s="134"/>
      <c r="V396" s="134"/>
      <c r="W396" s="134"/>
      <c r="X396" s="134"/>
      <c r="Y396" s="31">
        <f>$A$40</f>
        <v>20172</v>
      </c>
      <c r="Z396" s="21"/>
      <c r="AA396" s="21"/>
      <c r="AB396" s="21"/>
      <c r="AC396" s="21"/>
      <c r="AD396" s="21"/>
      <c r="AE396" s="21"/>
      <c r="AF396" s="21"/>
      <c r="AG396" s="134"/>
      <c r="AH396" s="134"/>
      <c r="AI396" s="134"/>
      <c r="AJ396" s="134"/>
      <c r="AK396" s="31">
        <f>$A$40</f>
        <v>20172</v>
      </c>
      <c r="AL396" s="21"/>
      <c r="AM396" s="21"/>
      <c r="AN396" s="21"/>
      <c r="AO396" s="21"/>
      <c r="AP396" s="21"/>
      <c r="AQ396" s="21"/>
      <c r="AR396" s="21"/>
      <c r="AS396" s="134"/>
      <c r="AT396" s="134"/>
      <c r="AU396" s="134"/>
      <c r="AV396" s="134"/>
      <c r="AW396" s="31">
        <f>$A$40</f>
        <v>20172</v>
      </c>
      <c r="AX396" s="21"/>
      <c r="AY396" s="21"/>
      <c r="AZ396" s="21"/>
      <c r="BA396" s="21"/>
      <c r="BB396" s="21"/>
      <c r="BC396" s="21"/>
      <c r="BD396" s="21"/>
      <c r="BE396" s="134"/>
      <c r="BF396" s="134"/>
      <c r="BG396" s="134"/>
      <c r="BH396" s="134"/>
      <c r="BI396" s="31">
        <f>$A$40</f>
        <v>20172</v>
      </c>
      <c r="BJ396" s="21"/>
      <c r="BK396" s="21"/>
      <c r="BL396" s="21"/>
      <c r="BM396" s="21"/>
      <c r="BN396" s="21"/>
      <c r="BO396" s="21"/>
      <c r="BP396" s="21"/>
      <c r="BQ396" s="134"/>
      <c r="BR396" s="134"/>
      <c r="BS396" s="134"/>
      <c r="BT396" s="134"/>
      <c r="BU396" s="31">
        <f>$A$40</f>
        <v>20172</v>
      </c>
      <c r="BV396" s="21"/>
      <c r="BW396" s="21"/>
      <c r="BX396" s="21"/>
      <c r="BY396" s="21"/>
      <c r="BZ396" s="21"/>
      <c r="CA396" s="21"/>
      <c r="CB396" s="21"/>
      <c r="CC396" s="134"/>
      <c r="CD396" s="134"/>
      <c r="CE396" s="134"/>
      <c r="CF396" s="134"/>
      <c r="CG396" s="31">
        <f>$A$40</f>
        <v>20172</v>
      </c>
      <c r="CH396" s="21"/>
      <c r="CI396" s="21"/>
      <c r="CJ396" s="21"/>
      <c r="CK396" s="21"/>
      <c r="CL396" s="21"/>
      <c r="CM396" s="21"/>
      <c r="CN396" s="21"/>
      <c r="CO396" s="134"/>
      <c r="CP396" s="134"/>
      <c r="CQ396" s="134"/>
      <c r="CR396" s="134"/>
      <c r="CS396" s="31">
        <f>$A$40</f>
        <v>20172</v>
      </c>
      <c r="CT396" s="21"/>
      <c r="CU396" s="21"/>
      <c r="CV396" s="21"/>
      <c r="CW396" s="21"/>
      <c r="CX396" s="21"/>
      <c r="CY396" s="21"/>
      <c r="CZ396" s="21"/>
      <c r="DA396" s="134"/>
      <c r="DB396" s="134"/>
      <c r="DC396" s="134"/>
      <c r="DD396" s="134"/>
      <c r="DE396" s="31">
        <f>$A$40</f>
        <v>20172</v>
      </c>
      <c r="DF396" s="21"/>
      <c r="DG396" s="21"/>
      <c r="DH396" s="21"/>
      <c r="DI396" s="21"/>
      <c r="DJ396" s="21"/>
      <c r="DK396" s="21"/>
      <c r="DL396" s="21"/>
      <c r="DM396" s="134"/>
      <c r="DN396" s="134"/>
      <c r="DO396" s="134"/>
      <c r="DP396" s="134"/>
    </row>
    <row r="397" spans="1:120" ht="15" customHeight="1" x14ac:dyDescent="0.25">
      <c r="A397" s="31">
        <f>$A$41</f>
        <v>20182</v>
      </c>
      <c r="B397" s="21"/>
      <c r="C397" s="21">
        <v>2860</v>
      </c>
      <c r="D397" s="21">
        <v>3757</v>
      </c>
      <c r="E397" s="21">
        <v>3920</v>
      </c>
      <c r="F397" s="21">
        <v>3989</v>
      </c>
      <c r="G397" s="21">
        <v>4048</v>
      </c>
      <c r="H397" s="134"/>
      <c r="I397" s="134"/>
      <c r="J397" s="134"/>
      <c r="K397" s="134"/>
      <c r="L397" s="134"/>
      <c r="M397" s="31">
        <f>$A$41</f>
        <v>20182</v>
      </c>
      <c r="N397" s="21"/>
      <c r="O397" s="21"/>
      <c r="P397" s="21"/>
      <c r="Q397" s="21"/>
      <c r="R397" s="21"/>
      <c r="S397" s="21"/>
      <c r="T397" s="134"/>
      <c r="U397" s="134"/>
      <c r="V397" s="134"/>
      <c r="W397" s="134"/>
      <c r="X397" s="134"/>
      <c r="Y397" s="31">
        <f>$A$41</f>
        <v>20182</v>
      </c>
      <c r="Z397" s="21"/>
      <c r="AA397" s="21"/>
      <c r="AB397" s="21"/>
      <c r="AC397" s="21"/>
      <c r="AD397" s="21"/>
      <c r="AE397" s="21"/>
      <c r="AF397" s="134"/>
      <c r="AG397" s="134"/>
      <c r="AH397" s="134"/>
      <c r="AI397" s="134"/>
      <c r="AJ397" s="134"/>
      <c r="AK397" s="31">
        <f>$A$41</f>
        <v>20182</v>
      </c>
      <c r="AL397" s="21"/>
      <c r="AM397" s="21"/>
      <c r="AN397" s="21"/>
      <c r="AO397" s="21"/>
      <c r="AP397" s="21"/>
      <c r="AQ397" s="21"/>
      <c r="AR397" s="134"/>
      <c r="AS397" s="134"/>
      <c r="AT397" s="134"/>
      <c r="AU397" s="134"/>
      <c r="AV397" s="134"/>
      <c r="AW397" s="31">
        <f>$A$41</f>
        <v>20182</v>
      </c>
      <c r="AX397" s="21"/>
      <c r="AY397" s="21"/>
      <c r="AZ397" s="21"/>
      <c r="BA397" s="21"/>
      <c r="BB397" s="21"/>
      <c r="BC397" s="21"/>
      <c r="BD397" s="134"/>
      <c r="BE397" s="134"/>
      <c r="BF397" s="134"/>
      <c r="BG397" s="134"/>
      <c r="BH397" s="134"/>
      <c r="BI397" s="31">
        <f>$A$41</f>
        <v>20182</v>
      </c>
      <c r="BJ397" s="21"/>
      <c r="BK397" s="21"/>
      <c r="BL397" s="21"/>
      <c r="BM397" s="21"/>
      <c r="BN397" s="21"/>
      <c r="BO397" s="21"/>
      <c r="BP397" s="134"/>
      <c r="BQ397" s="134"/>
      <c r="BR397" s="134"/>
      <c r="BS397" s="134"/>
      <c r="BT397" s="134"/>
      <c r="BU397" s="31">
        <f>$A$41</f>
        <v>20182</v>
      </c>
      <c r="BV397" s="21"/>
      <c r="BW397" s="21"/>
      <c r="BX397" s="21"/>
      <c r="BY397" s="21"/>
      <c r="BZ397" s="21"/>
      <c r="CA397" s="21"/>
      <c r="CB397" s="134"/>
      <c r="CC397" s="134"/>
      <c r="CD397" s="134"/>
      <c r="CE397" s="134"/>
      <c r="CF397" s="134"/>
      <c r="CG397" s="31">
        <f>$A$41</f>
        <v>20182</v>
      </c>
      <c r="CH397" s="21"/>
      <c r="CI397" s="21"/>
      <c r="CJ397" s="21"/>
      <c r="CK397" s="21"/>
      <c r="CL397" s="21"/>
      <c r="CM397" s="21"/>
      <c r="CN397" s="134"/>
      <c r="CO397" s="134"/>
      <c r="CP397" s="134"/>
      <c r="CQ397" s="134"/>
      <c r="CR397" s="134"/>
      <c r="CS397" s="31">
        <f>$A$41</f>
        <v>20182</v>
      </c>
      <c r="CT397" s="21"/>
      <c r="CU397" s="21"/>
      <c r="CV397" s="21"/>
      <c r="CW397" s="21"/>
      <c r="CX397" s="21"/>
      <c r="CY397" s="21"/>
      <c r="CZ397" s="134"/>
      <c r="DA397" s="134"/>
      <c r="DB397" s="134"/>
      <c r="DC397" s="134"/>
      <c r="DD397" s="134"/>
      <c r="DE397" s="31">
        <f>$A$41</f>
        <v>20182</v>
      </c>
      <c r="DF397" s="21"/>
      <c r="DG397" s="21"/>
      <c r="DH397" s="21"/>
      <c r="DI397" s="21"/>
      <c r="DJ397" s="21"/>
      <c r="DK397" s="21"/>
      <c r="DL397" s="134"/>
      <c r="DM397" s="134"/>
      <c r="DN397" s="134"/>
      <c r="DO397" s="134"/>
      <c r="DP397" s="134"/>
    </row>
    <row r="398" spans="1:120" ht="15" customHeight="1" x14ac:dyDescent="0.25">
      <c r="A398" s="31">
        <f>$A$42</f>
        <v>20192</v>
      </c>
      <c r="B398" s="21"/>
      <c r="C398" s="21">
        <v>2961</v>
      </c>
      <c r="D398" s="21">
        <v>3956</v>
      </c>
      <c r="E398" s="21">
        <v>4149</v>
      </c>
      <c r="F398" s="21">
        <v>4279</v>
      </c>
      <c r="G398" s="134"/>
      <c r="H398" s="134"/>
      <c r="I398" s="134"/>
      <c r="J398" s="134"/>
      <c r="K398" s="134"/>
      <c r="L398" s="134"/>
      <c r="M398" s="31">
        <f>$A$42</f>
        <v>20192</v>
      </c>
      <c r="N398" s="21"/>
      <c r="O398" s="21"/>
      <c r="P398" s="21"/>
      <c r="Q398" s="21"/>
      <c r="R398" s="21"/>
      <c r="S398" s="134"/>
      <c r="T398" s="134"/>
      <c r="U398" s="134"/>
      <c r="V398" s="134"/>
      <c r="W398" s="134"/>
      <c r="X398" s="134"/>
      <c r="Y398" s="31">
        <f>$A$42</f>
        <v>20192</v>
      </c>
      <c r="Z398" s="21"/>
      <c r="AA398" s="21"/>
      <c r="AB398" s="21"/>
      <c r="AC398" s="21"/>
      <c r="AD398" s="21"/>
      <c r="AE398" s="134"/>
      <c r="AF398" s="134"/>
      <c r="AG398" s="134"/>
      <c r="AH398" s="134"/>
      <c r="AI398" s="134"/>
      <c r="AJ398" s="134"/>
      <c r="AK398" s="31">
        <f>$A$42</f>
        <v>20192</v>
      </c>
      <c r="AL398" s="21"/>
      <c r="AM398" s="21"/>
      <c r="AN398" s="21"/>
      <c r="AO398" s="21"/>
      <c r="AP398" s="21"/>
      <c r="AQ398" s="134"/>
      <c r="AR398" s="134"/>
      <c r="AS398" s="134"/>
      <c r="AT398" s="134"/>
      <c r="AU398" s="134"/>
      <c r="AV398" s="134"/>
      <c r="AW398" s="31">
        <f>$A$42</f>
        <v>20192</v>
      </c>
      <c r="AX398" s="21"/>
      <c r="AY398" s="21"/>
      <c r="AZ398" s="21"/>
      <c r="BA398" s="21"/>
      <c r="BB398" s="21"/>
      <c r="BC398" s="134"/>
      <c r="BD398" s="134"/>
      <c r="BE398" s="134"/>
      <c r="BF398" s="134"/>
      <c r="BG398" s="134"/>
      <c r="BH398" s="134"/>
      <c r="BI398" s="31">
        <f>$A$42</f>
        <v>20192</v>
      </c>
      <c r="BJ398" s="21"/>
      <c r="BK398" s="21"/>
      <c r="BL398" s="21"/>
      <c r="BM398" s="21"/>
      <c r="BN398" s="21"/>
      <c r="BO398" s="134"/>
      <c r="BP398" s="134"/>
      <c r="BQ398" s="134"/>
      <c r="BR398" s="134"/>
      <c r="BS398" s="134"/>
      <c r="BT398" s="134"/>
      <c r="BU398" s="31">
        <f>$A$42</f>
        <v>20192</v>
      </c>
      <c r="BV398" s="21"/>
      <c r="BW398" s="21"/>
      <c r="BX398" s="21"/>
      <c r="BY398" s="21"/>
      <c r="BZ398" s="21"/>
      <c r="CA398" s="134"/>
      <c r="CB398" s="134"/>
      <c r="CC398" s="134"/>
      <c r="CD398" s="134"/>
      <c r="CE398" s="134"/>
      <c r="CF398" s="134"/>
      <c r="CG398" s="31">
        <f>$A$42</f>
        <v>20192</v>
      </c>
      <c r="CH398" s="21"/>
      <c r="CI398" s="21"/>
      <c r="CJ398" s="21"/>
      <c r="CK398" s="21"/>
      <c r="CL398" s="21"/>
      <c r="CM398" s="134"/>
      <c r="CN398" s="134"/>
      <c r="CO398" s="134"/>
      <c r="CP398" s="134"/>
      <c r="CQ398" s="134"/>
      <c r="CR398" s="134"/>
      <c r="CS398" s="31">
        <f>$A$42</f>
        <v>20192</v>
      </c>
      <c r="CT398" s="21"/>
      <c r="CU398" s="21"/>
      <c r="CV398" s="21"/>
      <c r="CW398" s="21"/>
      <c r="CX398" s="21"/>
      <c r="CY398" s="134"/>
      <c r="CZ398" s="134"/>
      <c r="DA398" s="134"/>
      <c r="DB398" s="134"/>
      <c r="DC398" s="134"/>
      <c r="DD398" s="134"/>
      <c r="DE398" s="31">
        <f>$A$42</f>
        <v>20192</v>
      </c>
      <c r="DF398" s="21"/>
      <c r="DG398" s="21"/>
      <c r="DH398" s="21"/>
      <c r="DI398" s="21"/>
      <c r="DJ398" s="21"/>
      <c r="DK398" s="134"/>
      <c r="DL398" s="134"/>
      <c r="DM398" s="134"/>
      <c r="DN398" s="134"/>
      <c r="DO398" s="134"/>
      <c r="DP398" s="134"/>
    </row>
    <row r="399" spans="1:120" ht="15" customHeight="1" x14ac:dyDescent="0.25">
      <c r="A399" s="31">
        <f>$A$43</f>
        <v>20202</v>
      </c>
      <c r="B399" s="21"/>
      <c r="C399" s="21">
        <v>2654</v>
      </c>
      <c r="D399" s="21">
        <v>3659</v>
      </c>
      <c r="E399" s="21">
        <v>3917</v>
      </c>
      <c r="F399" s="134"/>
      <c r="G399" s="134"/>
      <c r="H399" s="134"/>
      <c r="I399" s="134"/>
      <c r="J399" s="134"/>
      <c r="K399" s="134"/>
      <c r="L399" s="134"/>
      <c r="M399" s="31">
        <f>$A$43</f>
        <v>20202</v>
      </c>
      <c r="N399" s="21"/>
      <c r="O399" s="21"/>
      <c r="P399" s="21"/>
      <c r="Q399" s="21"/>
      <c r="R399" s="134"/>
      <c r="S399" s="134"/>
      <c r="T399" s="134"/>
      <c r="U399" s="134"/>
      <c r="V399" s="134"/>
      <c r="W399" s="134"/>
      <c r="X399" s="134"/>
      <c r="Y399" s="31">
        <f>$A$43</f>
        <v>20202</v>
      </c>
      <c r="Z399" s="21"/>
      <c r="AA399" s="21"/>
      <c r="AB399" s="21"/>
      <c r="AC399" s="21"/>
      <c r="AD399" s="134"/>
      <c r="AE399" s="134"/>
      <c r="AF399" s="134"/>
      <c r="AG399" s="134"/>
      <c r="AH399" s="134"/>
      <c r="AI399" s="134"/>
      <c r="AJ399" s="134"/>
      <c r="AK399" s="31">
        <f>$A$43</f>
        <v>20202</v>
      </c>
      <c r="AL399" s="21"/>
      <c r="AM399" s="21"/>
      <c r="AN399" s="21"/>
      <c r="AO399" s="21"/>
      <c r="AP399" s="134"/>
      <c r="AQ399" s="134"/>
      <c r="AR399" s="134"/>
      <c r="AS399" s="134"/>
      <c r="AT399" s="134"/>
      <c r="AU399" s="134"/>
      <c r="AV399" s="134"/>
      <c r="AW399" s="31">
        <f>$A$43</f>
        <v>20202</v>
      </c>
      <c r="AX399" s="21"/>
      <c r="AY399" s="21"/>
      <c r="AZ399" s="21"/>
      <c r="BA399" s="21"/>
      <c r="BB399" s="134"/>
      <c r="BC399" s="134"/>
      <c r="BD399" s="134"/>
      <c r="BE399" s="134"/>
      <c r="BF399" s="134"/>
      <c r="BG399" s="134"/>
      <c r="BH399" s="134"/>
      <c r="BI399" s="31">
        <f>$A$43</f>
        <v>20202</v>
      </c>
      <c r="BJ399" s="21"/>
      <c r="BK399" s="21"/>
      <c r="BL399" s="21"/>
      <c r="BM399" s="21"/>
      <c r="BN399" s="134"/>
      <c r="BO399" s="134"/>
      <c r="BP399" s="134"/>
      <c r="BQ399" s="134"/>
      <c r="BR399" s="134"/>
      <c r="BS399" s="134"/>
      <c r="BT399" s="134"/>
      <c r="BU399" s="31">
        <f>$A$43</f>
        <v>20202</v>
      </c>
      <c r="BV399" s="21"/>
      <c r="BW399" s="21"/>
      <c r="BX399" s="21"/>
      <c r="BY399" s="21"/>
      <c r="BZ399" s="134"/>
      <c r="CA399" s="134"/>
      <c r="CB399" s="134"/>
      <c r="CC399" s="134"/>
      <c r="CD399" s="134"/>
      <c r="CE399" s="134"/>
      <c r="CF399" s="134"/>
      <c r="CG399" s="31">
        <f>$A$43</f>
        <v>20202</v>
      </c>
      <c r="CH399" s="21"/>
      <c r="CI399" s="21"/>
      <c r="CJ399" s="21"/>
      <c r="CK399" s="21"/>
      <c r="CL399" s="134"/>
      <c r="CM399" s="134"/>
      <c r="CN399" s="134"/>
      <c r="CO399" s="134"/>
      <c r="CP399" s="134"/>
      <c r="CQ399" s="134"/>
      <c r="CR399" s="134"/>
      <c r="CS399" s="31">
        <f>$A$43</f>
        <v>20202</v>
      </c>
      <c r="CT399" s="21"/>
      <c r="CU399" s="21"/>
      <c r="CV399" s="21"/>
      <c r="CW399" s="21"/>
      <c r="CX399" s="134"/>
      <c r="CY399" s="134"/>
      <c r="CZ399" s="134"/>
      <c r="DA399" s="134"/>
      <c r="DB399" s="134"/>
      <c r="DC399" s="134"/>
      <c r="DD399" s="134"/>
      <c r="DE399" s="31">
        <f>$A$43</f>
        <v>20202</v>
      </c>
      <c r="DF399" s="21"/>
      <c r="DG399" s="21"/>
      <c r="DH399" s="21"/>
      <c r="DI399" s="21"/>
      <c r="DJ399" s="134"/>
      <c r="DK399" s="134"/>
      <c r="DL399" s="134"/>
      <c r="DM399" s="134"/>
      <c r="DN399" s="134"/>
      <c r="DO399" s="134"/>
      <c r="DP399" s="134"/>
    </row>
    <row r="400" spans="1:120" ht="15" customHeight="1" x14ac:dyDescent="0.25">
      <c r="A400" s="31">
        <f>$A$44</f>
        <v>20212</v>
      </c>
      <c r="B400" s="21"/>
      <c r="C400" s="21">
        <v>2255</v>
      </c>
      <c r="D400" s="21">
        <v>3239</v>
      </c>
      <c r="E400" s="134"/>
      <c r="F400" s="134"/>
      <c r="G400" s="134"/>
      <c r="H400" s="134"/>
      <c r="I400" s="134"/>
      <c r="J400" s="134"/>
      <c r="K400" s="134"/>
      <c r="L400" s="134"/>
      <c r="M400" s="31">
        <f>$A$44</f>
        <v>20212</v>
      </c>
      <c r="N400" s="21"/>
      <c r="O400" s="21"/>
      <c r="P400" s="21"/>
      <c r="Q400" s="134"/>
      <c r="R400" s="134"/>
      <c r="S400" s="134"/>
      <c r="T400" s="134"/>
      <c r="U400" s="134"/>
      <c r="V400" s="134"/>
      <c r="W400" s="134"/>
      <c r="X400" s="134"/>
      <c r="Y400" s="31">
        <f>$A$44</f>
        <v>20212</v>
      </c>
      <c r="Z400" s="21"/>
      <c r="AA400" s="21"/>
      <c r="AB400" s="21"/>
      <c r="AC400" s="134"/>
      <c r="AD400" s="134"/>
      <c r="AE400" s="134"/>
      <c r="AF400" s="134"/>
      <c r="AG400" s="134"/>
      <c r="AH400" s="134"/>
      <c r="AI400" s="134"/>
      <c r="AJ400" s="134"/>
      <c r="AK400" s="31">
        <f>$A$44</f>
        <v>20212</v>
      </c>
      <c r="AL400" s="21"/>
      <c r="AM400" s="21"/>
      <c r="AN400" s="21"/>
      <c r="AO400" s="134"/>
      <c r="AP400" s="134"/>
      <c r="AQ400" s="134"/>
      <c r="AR400" s="134"/>
      <c r="AS400" s="134"/>
      <c r="AT400" s="134"/>
      <c r="AU400" s="134"/>
      <c r="AV400" s="134"/>
      <c r="AW400" s="31">
        <f>$A$44</f>
        <v>20212</v>
      </c>
      <c r="AX400" s="21"/>
      <c r="AY400" s="21"/>
      <c r="AZ400" s="21"/>
      <c r="BA400" s="134"/>
      <c r="BB400" s="134"/>
      <c r="BC400" s="134"/>
      <c r="BD400" s="134"/>
      <c r="BE400" s="134"/>
      <c r="BF400" s="134"/>
      <c r="BG400" s="134"/>
      <c r="BH400" s="134"/>
      <c r="BI400" s="31">
        <f>$A$44</f>
        <v>20212</v>
      </c>
      <c r="BJ400" s="21"/>
      <c r="BK400" s="21"/>
      <c r="BL400" s="21"/>
      <c r="BM400" s="134"/>
      <c r="BN400" s="134"/>
      <c r="BO400" s="134"/>
      <c r="BP400" s="134"/>
      <c r="BQ400" s="134"/>
      <c r="BR400" s="134"/>
      <c r="BS400" s="134"/>
      <c r="BT400" s="134"/>
      <c r="BU400" s="31">
        <f>$A$44</f>
        <v>20212</v>
      </c>
      <c r="BV400" s="21"/>
      <c r="BW400" s="21"/>
      <c r="BX400" s="21"/>
      <c r="BY400" s="134"/>
      <c r="BZ400" s="134"/>
      <c r="CA400" s="134"/>
      <c r="CB400" s="134"/>
      <c r="CC400" s="134"/>
      <c r="CD400" s="134"/>
      <c r="CE400" s="134"/>
      <c r="CF400" s="134"/>
      <c r="CG400" s="31">
        <f>$A$44</f>
        <v>20212</v>
      </c>
      <c r="CH400" s="21"/>
      <c r="CI400" s="21"/>
      <c r="CJ400" s="21"/>
      <c r="CK400" s="134"/>
      <c r="CL400" s="134"/>
      <c r="CM400" s="134"/>
      <c r="CN400" s="134"/>
      <c r="CO400" s="134"/>
      <c r="CP400" s="134"/>
      <c r="CQ400" s="134"/>
      <c r="CR400" s="134"/>
      <c r="CS400" s="31">
        <f>$A$44</f>
        <v>20212</v>
      </c>
      <c r="CT400" s="21"/>
      <c r="CU400" s="21"/>
      <c r="CV400" s="21"/>
      <c r="CW400" s="134"/>
      <c r="CX400" s="134"/>
      <c r="CY400" s="134"/>
      <c r="CZ400" s="134"/>
      <c r="DA400" s="134"/>
      <c r="DB400" s="134"/>
      <c r="DC400" s="134"/>
      <c r="DD400" s="134"/>
      <c r="DE400" s="31">
        <f>$A$44</f>
        <v>20212</v>
      </c>
      <c r="DF400" s="21"/>
      <c r="DG400" s="21"/>
      <c r="DH400" s="21"/>
      <c r="DI400" s="134"/>
      <c r="DJ400" s="134"/>
      <c r="DK400" s="134"/>
      <c r="DL400" s="134"/>
      <c r="DM400" s="134"/>
      <c r="DN400" s="134"/>
      <c r="DO400" s="134"/>
      <c r="DP400" s="134"/>
    </row>
    <row r="401" spans="1:120" ht="15" customHeight="1" x14ac:dyDescent="0.25">
      <c r="A401" s="31">
        <f>$A$45</f>
        <v>20222</v>
      </c>
      <c r="B401" s="21"/>
      <c r="C401" s="21">
        <v>2204</v>
      </c>
      <c r="D401" s="134"/>
      <c r="E401" s="134"/>
      <c r="F401" s="134"/>
      <c r="G401" s="134"/>
      <c r="H401" s="134"/>
      <c r="I401" s="134"/>
      <c r="J401" s="134"/>
      <c r="K401" s="134"/>
      <c r="L401" s="134"/>
      <c r="M401" s="31">
        <f>$A$45</f>
        <v>20222</v>
      </c>
      <c r="N401" s="21"/>
      <c r="O401" s="21"/>
      <c r="P401" s="134"/>
      <c r="Q401" s="134"/>
      <c r="R401" s="134"/>
      <c r="S401" s="134"/>
      <c r="T401" s="134"/>
      <c r="U401" s="134"/>
      <c r="V401" s="134"/>
      <c r="W401" s="134"/>
      <c r="X401" s="134"/>
      <c r="Y401" s="31">
        <f>$A$45</f>
        <v>20222</v>
      </c>
      <c r="Z401" s="21"/>
      <c r="AA401" s="21"/>
      <c r="AB401" s="134"/>
      <c r="AC401" s="134"/>
      <c r="AD401" s="134"/>
      <c r="AE401" s="134"/>
      <c r="AF401" s="134"/>
      <c r="AG401" s="134"/>
      <c r="AH401" s="134"/>
      <c r="AI401" s="134"/>
      <c r="AJ401" s="134"/>
      <c r="AK401" s="31">
        <f>$A$45</f>
        <v>20222</v>
      </c>
      <c r="AL401" s="21"/>
      <c r="AM401" s="21"/>
      <c r="AN401" s="134"/>
      <c r="AO401" s="134"/>
      <c r="AP401" s="134"/>
      <c r="AQ401" s="134"/>
      <c r="AR401" s="134"/>
      <c r="AS401" s="134"/>
      <c r="AT401" s="134"/>
      <c r="AU401" s="134"/>
      <c r="AV401" s="134"/>
      <c r="AW401" s="31">
        <f>$A$45</f>
        <v>20222</v>
      </c>
      <c r="AX401" s="21"/>
      <c r="AY401" s="21"/>
      <c r="AZ401" s="134"/>
      <c r="BA401" s="134"/>
      <c r="BB401" s="134"/>
      <c r="BC401" s="134"/>
      <c r="BD401" s="134"/>
      <c r="BE401" s="134"/>
      <c r="BF401" s="134"/>
      <c r="BG401" s="134"/>
      <c r="BH401" s="134"/>
      <c r="BI401" s="31">
        <f>$A$45</f>
        <v>20222</v>
      </c>
      <c r="BJ401" s="21"/>
      <c r="BK401" s="21"/>
      <c r="BL401" s="134"/>
      <c r="BM401" s="134"/>
      <c r="BN401" s="134"/>
      <c r="BO401" s="134"/>
      <c r="BP401" s="134"/>
      <c r="BQ401" s="134"/>
      <c r="BR401" s="134"/>
      <c r="BS401" s="134"/>
      <c r="BT401" s="134"/>
      <c r="BU401" s="31">
        <f>$A$45</f>
        <v>20222</v>
      </c>
      <c r="BV401" s="21"/>
      <c r="BW401" s="21"/>
      <c r="BX401" s="134"/>
      <c r="BY401" s="134"/>
      <c r="BZ401" s="134"/>
      <c r="CA401" s="134"/>
      <c r="CB401" s="134"/>
      <c r="CC401" s="134"/>
      <c r="CD401" s="134"/>
      <c r="CE401" s="134"/>
      <c r="CF401" s="134"/>
      <c r="CG401" s="31">
        <f>$A$45</f>
        <v>20222</v>
      </c>
      <c r="CH401" s="21"/>
      <c r="CI401" s="21"/>
      <c r="CJ401" s="134"/>
      <c r="CK401" s="134"/>
      <c r="CL401" s="134"/>
      <c r="CM401" s="134"/>
      <c r="CN401" s="134"/>
      <c r="CO401" s="134"/>
      <c r="CP401" s="134"/>
      <c r="CQ401" s="134"/>
      <c r="CR401" s="134"/>
      <c r="CS401" s="31">
        <f>$A$45</f>
        <v>20222</v>
      </c>
      <c r="CT401" s="21"/>
      <c r="CU401" s="21"/>
      <c r="CV401" s="134"/>
      <c r="CW401" s="134"/>
      <c r="CX401" s="134"/>
      <c r="CY401" s="134"/>
      <c r="CZ401" s="134"/>
      <c r="DA401" s="134"/>
      <c r="DB401" s="134"/>
      <c r="DC401" s="134"/>
      <c r="DD401" s="134"/>
      <c r="DE401" s="31">
        <f>$A$45</f>
        <v>20222</v>
      </c>
      <c r="DF401" s="21"/>
      <c r="DG401" s="21"/>
      <c r="DH401" s="134"/>
      <c r="DI401" s="134"/>
      <c r="DJ401" s="134"/>
      <c r="DK401" s="134"/>
      <c r="DL401" s="134"/>
      <c r="DM401" s="134"/>
      <c r="DN401" s="134"/>
      <c r="DO401" s="134"/>
      <c r="DP401" s="134"/>
    </row>
    <row r="402" spans="1:120" ht="15" customHeight="1" x14ac:dyDescent="0.25"/>
    <row r="403" spans="1:120" x14ac:dyDescent="0.25">
      <c r="A403" s="130"/>
      <c r="B403" s="131"/>
      <c r="C403" s="131" t="s">
        <v>36</v>
      </c>
      <c r="D403" s="132"/>
      <c r="E403" s="132"/>
      <c r="F403" s="132"/>
      <c r="G403" s="132"/>
      <c r="H403" s="132"/>
      <c r="I403" s="132"/>
      <c r="J403" s="132"/>
      <c r="K403" s="132"/>
      <c r="L403" s="132"/>
      <c r="M403" s="130"/>
      <c r="N403" s="131"/>
      <c r="O403" s="131" t="s">
        <v>36</v>
      </c>
      <c r="P403" s="132"/>
      <c r="Q403" s="132"/>
      <c r="R403" s="132"/>
      <c r="S403" s="132"/>
      <c r="T403" s="132"/>
      <c r="U403" s="132"/>
      <c r="V403" s="132"/>
      <c r="W403" s="132"/>
      <c r="X403" s="132"/>
      <c r="Y403" s="130"/>
      <c r="Z403" s="131"/>
      <c r="AA403" s="131" t="s">
        <v>36</v>
      </c>
      <c r="AB403" s="132"/>
      <c r="AC403" s="132"/>
      <c r="AD403" s="132"/>
      <c r="AE403" s="132"/>
      <c r="AF403" s="132"/>
      <c r="AG403" s="132"/>
      <c r="AH403" s="132"/>
      <c r="AI403" s="132"/>
      <c r="AJ403" s="132"/>
      <c r="AK403" s="130"/>
      <c r="AL403" s="131"/>
      <c r="AM403" s="131" t="s">
        <v>36</v>
      </c>
      <c r="AN403" s="132"/>
      <c r="AO403" s="132"/>
      <c r="AP403" s="132"/>
      <c r="AQ403" s="132"/>
      <c r="AR403" s="132"/>
      <c r="AS403" s="132"/>
      <c r="AT403" s="132"/>
      <c r="AU403" s="132"/>
      <c r="AV403" s="132"/>
      <c r="AW403" s="130"/>
      <c r="AX403" s="131"/>
      <c r="AY403" s="131" t="s">
        <v>36</v>
      </c>
      <c r="AZ403" s="132"/>
      <c r="BA403" s="132"/>
      <c r="BB403" s="132"/>
      <c r="BC403" s="132"/>
      <c r="BD403" s="132"/>
      <c r="BE403" s="132"/>
      <c r="BF403" s="132"/>
      <c r="BG403" s="132"/>
      <c r="BH403" s="132"/>
      <c r="BI403" s="130"/>
      <c r="BJ403" s="131"/>
      <c r="BK403" s="131" t="s">
        <v>36</v>
      </c>
      <c r="BL403" s="132"/>
      <c r="BM403" s="132"/>
      <c r="BN403" s="132"/>
      <c r="BO403" s="132"/>
      <c r="BP403" s="132"/>
      <c r="BQ403" s="132"/>
      <c r="BR403" s="132"/>
      <c r="BS403" s="132"/>
      <c r="BT403" s="132"/>
      <c r="BU403" s="130"/>
      <c r="BV403" s="131"/>
      <c r="BW403" s="131" t="s">
        <v>36</v>
      </c>
      <c r="BX403" s="132"/>
      <c r="BY403" s="132"/>
      <c r="BZ403" s="132"/>
      <c r="CA403" s="132"/>
      <c r="CB403" s="132"/>
      <c r="CC403" s="132"/>
      <c r="CD403" s="132"/>
      <c r="CE403" s="132"/>
      <c r="CF403" s="132"/>
      <c r="CG403" s="130"/>
      <c r="CH403" s="131"/>
      <c r="CI403" s="131" t="s">
        <v>36</v>
      </c>
      <c r="CJ403" s="132"/>
      <c r="CK403" s="132"/>
      <c r="CL403" s="132"/>
      <c r="CM403" s="132"/>
      <c r="CN403" s="132"/>
      <c r="CO403" s="132"/>
      <c r="CP403" s="132"/>
      <c r="CQ403" s="132"/>
      <c r="CR403" s="132"/>
      <c r="CS403" s="130"/>
      <c r="CT403" s="131"/>
      <c r="CU403" s="131" t="s">
        <v>36</v>
      </c>
      <c r="CV403" s="132"/>
      <c r="CW403" s="132"/>
      <c r="CX403" s="132"/>
      <c r="CY403" s="132"/>
      <c r="CZ403" s="132"/>
      <c r="DA403" s="132"/>
      <c r="DB403" s="132"/>
      <c r="DC403" s="132"/>
      <c r="DD403" s="132"/>
      <c r="DE403" s="130"/>
      <c r="DF403" s="131"/>
      <c r="DG403" s="131" t="s">
        <v>36</v>
      </c>
      <c r="DH403" s="132"/>
      <c r="DI403" s="132"/>
      <c r="DJ403" s="132"/>
      <c r="DK403" s="132"/>
      <c r="DL403" s="132"/>
      <c r="DM403" s="132"/>
      <c r="DN403" s="132"/>
      <c r="DO403" s="132"/>
      <c r="DP403" s="132"/>
    </row>
    <row r="404" spans="1:120" ht="30" x14ac:dyDescent="0.25">
      <c r="A404" s="92" t="str">
        <f>$A$35</f>
        <v>Fiscal Accident Year Data Ending</v>
      </c>
      <c r="B404" s="92"/>
      <c r="C404" s="100" t="str">
        <f>$C$35&amp;"-"&amp;$D$35</f>
        <v>12-24</v>
      </c>
      <c r="D404" s="100" t="str">
        <f>$D$35&amp;"-"&amp;$E$35</f>
        <v>24-36</v>
      </c>
      <c r="E404" s="100" t="str">
        <f>$E$35&amp;"-"&amp;$F$35</f>
        <v>36-48</v>
      </c>
      <c r="F404" s="100" t="str">
        <f>$F$35&amp;"-"&amp;$G$35</f>
        <v>48-60</v>
      </c>
      <c r="G404" s="100" t="str">
        <f>$G$35&amp;"-"&amp;$H$35</f>
        <v>60-72</v>
      </c>
      <c r="H404" s="100" t="str">
        <f>$H$35&amp;"-"&amp;$I$35</f>
        <v>72-84</v>
      </c>
      <c r="I404" s="100" t="str">
        <f>$I$35&amp;"-"&amp;$J$35</f>
        <v>84-96</v>
      </c>
      <c r="J404" s="100" t="str">
        <f>$J$35&amp;"-"&amp;$K$35</f>
        <v>96-108</v>
      </c>
      <c r="K404" s="100" t="str">
        <f>$K$35&amp;"-"&amp;$L$35</f>
        <v>108-120</v>
      </c>
      <c r="L404" s="100" t="str">
        <f>$L$35&amp;"-Ult"</f>
        <v>120-Ult</v>
      </c>
      <c r="M404" s="92" t="str">
        <f>$A$35</f>
        <v>Fiscal Accident Year Data Ending</v>
      </c>
      <c r="N404" s="92"/>
      <c r="O404" s="100" t="str">
        <f>$C$35&amp;"-"&amp;$D$35</f>
        <v>12-24</v>
      </c>
      <c r="P404" s="100" t="str">
        <f>$D$35&amp;"-"&amp;$E$35</f>
        <v>24-36</v>
      </c>
      <c r="Q404" s="100" t="str">
        <f>$E$35&amp;"-"&amp;$F$35</f>
        <v>36-48</v>
      </c>
      <c r="R404" s="100" t="str">
        <f>$F$35&amp;"-"&amp;$G$35</f>
        <v>48-60</v>
      </c>
      <c r="S404" s="100" t="str">
        <f>$G$35&amp;"-"&amp;$H$35</f>
        <v>60-72</v>
      </c>
      <c r="T404" s="100" t="str">
        <f>$H$35&amp;"-"&amp;$I$35</f>
        <v>72-84</v>
      </c>
      <c r="U404" s="100" t="str">
        <f>$I$35&amp;"-"&amp;$J$35</f>
        <v>84-96</v>
      </c>
      <c r="V404" s="100" t="str">
        <f>$J$35&amp;"-"&amp;$K$35</f>
        <v>96-108</v>
      </c>
      <c r="W404" s="100" t="str">
        <f>$K$35&amp;"-"&amp;$L$35</f>
        <v>108-120</v>
      </c>
      <c r="X404" s="100" t="str">
        <f>$L$35&amp;"-Ult"</f>
        <v>120-Ult</v>
      </c>
      <c r="Y404" s="92" t="str">
        <f>$A$35</f>
        <v>Fiscal Accident Year Data Ending</v>
      </c>
      <c r="Z404" s="92"/>
      <c r="AA404" s="100" t="str">
        <f>$C$35&amp;"-"&amp;$D$35</f>
        <v>12-24</v>
      </c>
      <c r="AB404" s="100" t="str">
        <f>$D$35&amp;"-"&amp;$E$35</f>
        <v>24-36</v>
      </c>
      <c r="AC404" s="100" t="str">
        <f>$E$35&amp;"-"&amp;$F$35</f>
        <v>36-48</v>
      </c>
      <c r="AD404" s="100" t="str">
        <f>$F$35&amp;"-"&amp;$G$35</f>
        <v>48-60</v>
      </c>
      <c r="AE404" s="100" t="str">
        <f>$G$35&amp;"-"&amp;$H$35</f>
        <v>60-72</v>
      </c>
      <c r="AF404" s="100" t="str">
        <f>$H$35&amp;"-"&amp;$I$35</f>
        <v>72-84</v>
      </c>
      <c r="AG404" s="100" t="str">
        <f>$I$35&amp;"-"&amp;$J$35</f>
        <v>84-96</v>
      </c>
      <c r="AH404" s="100" t="str">
        <f>$J$35&amp;"-"&amp;$K$35</f>
        <v>96-108</v>
      </c>
      <c r="AI404" s="100" t="str">
        <f>$K$35&amp;"-"&amp;$L$35</f>
        <v>108-120</v>
      </c>
      <c r="AJ404" s="100" t="str">
        <f>$L$35&amp;"-Ult"</f>
        <v>120-Ult</v>
      </c>
      <c r="AK404" s="92" t="str">
        <f>$A$35</f>
        <v>Fiscal Accident Year Data Ending</v>
      </c>
      <c r="AL404" s="92"/>
      <c r="AM404" s="100" t="str">
        <f>$C$35&amp;"-"&amp;$D$35</f>
        <v>12-24</v>
      </c>
      <c r="AN404" s="100" t="str">
        <f>$D$35&amp;"-"&amp;$E$35</f>
        <v>24-36</v>
      </c>
      <c r="AO404" s="100" t="str">
        <f>$E$35&amp;"-"&amp;$F$35</f>
        <v>36-48</v>
      </c>
      <c r="AP404" s="100" t="str">
        <f>$F$35&amp;"-"&amp;$G$35</f>
        <v>48-60</v>
      </c>
      <c r="AQ404" s="100" t="str">
        <f>$G$35&amp;"-"&amp;$H$35</f>
        <v>60-72</v>
      </c>
      <c r="AR404" s="100" t="str">
        <f>$H$35&amp;"-"&amp;$I$35</f>
        <v>72-84</v>
      </c>
      <c r="AS404" s="100" t="str">
        <f>$I$35&amp;"-"&amp;$J$35</f>
        <v>84-96</v>
      </c>
      <c r="AT404" s="100" t="str">
        <f>$J$35&amp;"-"&amp;$K$35</f>
        <v>96-108</v>
      </c>
      <c r="AU404" s="100" t="str">
        <f>$K$35&amp;"-"&amp;$L$35</f>
        <v>108-120</v>
      </c>
      <c r="AV404" s="100" t="str">
        <f>$L$35&amp;"-Ult"</f>
        <v>120-Ult</v>
      </c>
      <c r="AW404" s="92" t="str">
        <f>$A$35</f>
        <v>Fiscal Accident Year Data Ending</v>
      </c>
      <c r="AX404" s="92"/>
      <c r="AY404" s="100" t="str">
        <f>$C$35&amp;"-"&amp;$D$35</f>
        <v>12-24</v>
      </c>
      <c r="AZ404" s="100" t="str">
        <f>$D$35&amp;"-"&amp;$E$35</f>
        <v>24-36</v>
      </c>
      <c r="BA404" s="100" t="str">
        <f>$E$35&amp;"-"&amp;$F$35</f>
        <v>36-48</v>
      </c>
      <c r="BB404" s="100" t="str">
        <f>$F$35&amp;"-"&amp;$G$35</f>
        <v>48-60</v>
      </c>
      <c r="BC404" s="100" t="str">
        <f>$G$35&amp;"-"&amp;$H$35</f>
        <v>60-72</v>
      </c>
      <c r="BD404" s="100" t="str">
        <f>$H$35&amp;"-"&amp;$I$35</f>
        <v>72-84</v>
      </c>
      <c r="BE404" s="100" t="str">
        <f>$I$35&amp;"-"&amp;$J$35</f>
        <v>84-96</v>
      </c>
      <c r="BF404" s="100" t="str">
        <f>$J$35&amp;"-"&amp;$K$35</f>
        <v>96-108</v>
      </c>
      <c r="BG404" s="100" t="str">
        <f>$K$35&amp;"-"&amp;$L$35</f>
        <v>108-120</v>
      </c>
      <c r="BH404" s="100" t="str">
        <f>$L$35&amp;"-Ult"</f>
        <v>120-Ult</v>
      </c>
      <c r="BI404" s="92" t="str">
        <f>$A$35</f>
        <v>Fiscal Accident Year Data Ending</v>
      </c>
      <c r="BJ404" s="92"/>
      <c r="BK404" s="100" t="str">
        <f>$C$35&amp;"-"&amp;$D$35</f>
        <v>12-24</v>
      </c>
      <c r="BL404" s="100" t="str">
        <f>$D$35&amp;"-"&amp;$E$35</f>
        <v>24-36</v>
      </c>
      <c r="BM404" s="100" t="str">
        <f>$E$35&amp;"-"&amp;$F$35</f>
        <v>36-48</v>
      </c>
      <c r="BN404" s="100" t="str">
        <f>$F$35&amp;"-"&amp;$G$35</f>
        <v>48-60</v>
      </c>
      <c r="BO404" s="100" t="str">
        <f>$G$35&amp;"-"&amp;$H$35</f>
        <v>60-72</v>
      </c>
      <c r="BP404" s="100" t="str">
        <f>$H$35&amp;"-"&amp;$I$35</f>
        <v>72-84</v>
      </c>
      <c r="BQ404" s="100" t="str">
        <f>$I$35&amp;"-"&amp;$J$35</f>
        <v>84-96</v>
      </c>
      <c r="BR404" s="100" t="str">
        <f>$J$35&amp;"-"&amp;$K$35</f>
        <v>96-108</v>
      </c>
      <c r="BS404" s="100" t="str">
        <f>$K$35&amp;"-"&amp;$L$35</f>
        <v>108-120</v>
      </c>
      <c r="BT404" s="100" t="str">
        <f>$L$35&amp;"-Ult"</f>
        <v>120-Ult</v>
      </c>
      <c r="BU404" s="92" t="str">
        <f>$A$35</f>
        <v>Fiscal Accident Year Data Ending</v>
      </c>
      <c r="BV404" s="92"/>
      <c r="BW404" s="100" t="str">
        <f>$C$35&amp;"-"&amp;$D$35</f>
        <v>12-24</v>
      </c>
      <c r="BX404" s="100" t="str">
        <f>$D$35&amp;"-"&amp;$E$35</f>
        <v>24-36</v>
      </c>
      <c r="BY404" s="100" t="str">
        <f>$E$35&amp;"-"&amp;$F$35</f>
        <v>36-48</v>
      </c>
      <c r="BZ404" s="100" t="str">
        <f>$F$35&amp;"-"&amp;$G$35</f>
        <v>48-60</v>
      </c>
      <c r="CA404" s="100" t="str">
        <f>$G$35&amp;"-"&amp;$H$35</f>
        <v>60-72</v>
      </c>
      <c r="CB404" s="100" t="str">
        <f>$H$35&amp;"-"&amp;$I$35</f>
        <v>72-84</v>
      </c>
      <c r="CC404" s="100" t="str">
        <f>$I$35&amp;"-"&amp;$J$35</f>
        <v>84-96</v>
      </c>
      <c r="CD404" s="100" t="str">
        <f>$J$35&amp;"-"&amp;$K$35</f>
        <v>96-108</v>
      </c>
      <c r="CE404" s="100" t="str">
        <f>$K$35&amp;"-"&amp;$L$35</f>
        <v>108-120</v>
      </c>
      <c r="CF404" s="100" t="str">
        <f>$L$35&amp;"-Ult"</f>
        <v>120-Ult</v>
      </c>
      <c r="CG404" s="92" t="str">
        <f>$A$35</f>
        <v>Fiscal Accident Year Data Ending</v>
      </c>
      <c r="CH404" s="92"/>
      <c r="CI404" s="100" t="str">
        <f>$C$35&amp;"-"&amp;$D$35</f>
        <v>12-24</v>
      </c>
      <c r="CJ404" s="100" t="str">
        <f>$D$35&amp;"-"&amp;$E$35</f>
        <v>24-36</v>
      </c>
      <c r="CK404" s="100" t="str">
        <f>$E$35&amp;"-"&amp;$F$35</f>
        <v>36-48</v>
      </c>
      <c r="CL404" s="100" t="str">
        <f>$F$35&amp;"-"&amp;$G$35</f>
        <v>48-60</v>
      </c>
      <c r="CM404" s="100" t="str">
        <f>$G$35&amp;"-"&amp;$H$35</f>
        <v>60-72</v>
      </c>
      <c r="CN404" s="100" t="str">
        <f>$H$35&amp;"-"&amp;$I$35</f>
        <v>72-84</v>
      </c>
      <c r="CO404" s="100" t="str">
        <f>$I$35&amp;"-"&amp;$J$35</f>
        <v>84-96</v>
      </c>
      <c r="CP404" s="100" t="str">
        <f>$J$35&amp;"-"&amp;$K$35</f>
        <v>96-108</v>
      </c>
      <c r="CQ404" s="100" t="str">
        <f>$K$35&amp;"-"&amp;$L$35</f>
        <v>108-120</v>
      </c>
      <c r="CR404" s="100" t="str">
        <f>$L$35&amp;"-Ult"</f>
        <v>120-Ult</v>
      </c>
      <c r="CS404" s="92" t="str">
        <f>$A$35</f>
        <v>Fiscal Accident Year Data Ending</v>
      </c>
      <c r="CT404" s="92"/>
      <c r="CU404" s="100" t="str">
        <f>$C$35&amp;"-"&amp;$D$35</f>
        <v>12-24</v>
      </c>
      <c r="CV404" s="100" t="str">
        <f>$D$35&amp;"-"&amp;$E$35</f>
        <v>24-36</v>
      </c>
      <c r="CW404" s="100" t="str">
        <f>$E$35&amp;"-"&amp;$F$35</f>
        <v>36-48</v>
      </c>
      <c r="CX404" s="100" t="str">
        <f>$F$35&amp;"-"&amp;$G$35</f>
        <v>48-60</v>
      </c>
      <c r="CY404" s="100" t="str">
        <f>$G$35&amp;"-"&amp;$H$35</f>
        <v>60-72</v>
      </c>
      <c r="CZ404" s="100" t="str">
        <f>$H$35&amp;"-"&amp;$I$35</f>
        <v>72-84</v>
      </c>
      <c r="DA404" s="100" t="str">
        <f>$I$35&amp;"-"&amp;$J$35</f>
        <v>84-96</v>
      </c>
      <c r="DB404" s="100" t="str">
        <f>$J$35&amp;"-"&amp;$K$35</f>
        <v>96-108</v>
      </c>
      <c r="DC404" s="100" t="str">
        <f>$K$35&amp;"-"&amp;$L$35</f>
        <v>108-120</v>
      </c>
      <c r="DD404" s="100" t="str">
        <f>$L$35&amp;"-Ult"</f>
        <v>120-Ult</v>
      </c>
      <c r="DE404" s="92" t="str">
        <f>$A$35</f>
        <v>Fiscal Accident Year Data Ending</v>
      </c>
      <c r="DF404" s="92"/>
      <c r="DG404" s="100" t="str">
        <f>$C$35&amp;"-"&amp;$D$35</f>
        <v>12-24</v>
      </c>
      <c r="DH404" s="100" t="str">
        <f>$D$35&amp;"-"&amp;$E$35</f>
        <v>24-36</v>
      </c>
      <c r="DI404" s="100" t="str">
        <f>$E$35&amp;"-"&amp;$F$35</f>
        <v>36-48</v>
      </c>
      <c r="DJ404" s="100" t="str">
        <f>$F$35&amp;"-"&amp;$G$35</f>
        <v>48-60</v>
      </c>
      <c r="DK404" s="100" t="str">
        <f>$G$35&amp;"-"&amp;$H$35</f>
        <v>60-72</v>
      </c>
      <c r="DL404" s="100" t="str">
        <f>$H$35&amp;"-"&amp;$I$35</f>
        <v>72-84</v>
      </c>
      <c r="DM404" s="100" t="str">
        <f>$I$35&amp;"-"&amp;$J$35</f>
        <v>84-96</v>
      </c>
      <c r="DN404" s="100" t="str">
        <f>$J$35&amp;"-"&amp;$K$35</f>
        <v>96-108</v>
      </c>
      <c r="DO404" s="100" t="str">
        <f>$K$35&amp;"-"&amp;$L$35</f>
        <v>108-120</v>
      </c>
      <c r="DP404" s="100" t="str">
        <f>$L$35&amp;"-Ult"</f>
        <v>120-Ult</v>
      </c>
    </row>
    <row r="405" spans="1:120" x14ac:dyDescent="0.25">
      <c r="A405" s="91">
        <f>$A$36</f>
        <v>20132</v>
      </c>
      <c r="B405" s="105"/>
      <c r="C405" s="90">
        <f>IFERROR(D392/C392,"")</f>
        <v>1.7281985996180778</v>
      </c>
      <c r="D405" s="90">
        <f t="shared" ref="D405:K405" si="649">IFERROR(E392/D392,"")</f>
        <v>1.0563535911602211</v>
      </c>
      <c r="E405" s="90">
        <f t="shared" si="649"/>
        <v>1.0233612273361228</v>
      </c>
      <c r="F405" s="90">
        <f t="shared" si="649"/>
        <v>1.012947189097104</v>
      </c>
      <c r="G405" s="90">
        <f t="shared" si="649"/>
        <v>1.0070635721493442</v>
      </c>
      <c r="H405" s="90">
        <f t="shared" si="649"/>
        <v>1.0026720106880427</v>
      </c>
      <c r="I405" s="90">
        <f t="shared" si="649"/>
        <v>1.0033311125916056</v>
      </c>
      <c r="J405" s="90">
        <f t="shared" si="649"/>
        <v>1.001660026560425</v>
      </c>
      <c r="K405" s="90">
        <f t="shared" si="649"/>
        <v>1.0016572754391779</v>
      </c>
      <c r="L405" s="22"/>
      <c r="M405" s="91">
        <f>$A$36</f>
        <v>20132</v>
      </c>
      <c r="N405" s="105"/>
      <c r="O405" s="90" t="str">
        <f>IFERROR(P392/O392,"")</f>
        <v/>
      </c>
      <c r="P405" s="90" t="str">
        <f t="shared" ref="P405:W405" si="650">IFERROR(Q392/P392,"")</f>
        <v/>
      </c>
      <c r="Q405" s="90" t="str">
        <f t="shared" si="650"/>
        <v/>
      </c>
      <c r="R405" s="90" t="str">
        <f t="shared" si="650"/>
        <v/>
      </c>
      <c r="S405" s="90" t="str">
        <f t="shared" si="650"/>
        <v/>
      </c>
      <c r="T405" s="90" t="str">
        <f t="shared" si="650"/>
        <v/>
      </c>
      <c r="U405" s="90" t="str">
        <f t="shared" si="650"/>
        <v/>
      </c>
      <c r="V405" s="90" t="str">
        <f t="shared" si="650"/>
        <v/>
      </c>
      <c r="W405" s="90" t="str">
        <f t="shared" si="650"/>
        <v/>
      </c>
      <c r="X405" s="22"/>
      <c r="Y405" s="91">
        <f>$A$36</f>
        <v>20132</v>
      </c>
      <c r="Z405" s="105"/>
      <c r="AA405" s="90" t="str">
        <f>IFERROR(AB392/AA392,"")</f>
        <v/>
      </c>
      <c r="AB405" s="90" t="str">
        <f t="shared" ref="AB405:AI405" si="651">IFERROR(AC392/AB392,"")</f>
        <v/>
      </c>
      <c r="AC405" s="90" t="str">
        <f t="shared" si="651"/>
        <v/>
      </c>
      <c r="AD405" s="90" t="str">
        <f t="shared" si="651"/>
        <v/>
      </c>
      <c r="AE405" s="90" t="str">
        <f t="shared" si="651"/>
        <v/>
      </c>
      <c r="AF405" s="90" t="str">
        <f t="shared" si="651"/>
        <v/>
      </c>
      <c r="AG405" s="90" t="str">
        <f t="shared" si="651"/>
        <v/>
      </c>
      <c r="AH405" s="90" t="str">
        <f t="shared" si="651"/>
        <v/>
      </c>
      <c r="AI405" s="90" t="str">
        <f t="shared" si="651"/>
        <v/>
      </c>
      <c r="AJ405" s="22"/>
      <c r="AK405" s="91">
        <f>$A$36</f>
        <v>20132</v>
      </c>
      <c r="AL405" s="105"/>
      <c r="AM405" s="90" t="str">
        <f>IFERROR(AN392/AM392,"")</f>
        <v/>
      </c>
      <c r="AN405" s="90" t="str">
        <f t="shared" ref="AN405:AU405" si="652">IFERROR(AO392/AN392,"")</f>
        <v/>
      </c>
      <c r="AO405" s="90" t="str">
        <f t="shared" si="652"/>
        <v/>
      </c>
      <c r="AP405" s="90" t="str">
        <f t="shared" si="652"/>
        <v/>
      </c>
      <c r="AQ405" s="90" t="str">
        <f t="shared" si="652"/>
        <v/>
      </c>
      <c r="AR405" s="90" t="str">
        <f t="shared" si="652"/>
        <v/>
      </c>
      <c r="AS405" s="90" t="str">
        <f t="shared" si="652"/>
        <v/>
      </c>
      <c r="AT405" s="90" t="str">
        <f t="shared" si="652"/>
        <v/>
      </c>
      <c r="AU405" s="90" t="str">
        <f t="shared" si="652"/>
        <v/>
      </c>
      <c r="AV405" s="22"/>
      <c r="AW405" s="91">
        <f>$A$36</f>
        <v>20132</v>
      </c>
      <c r="AX405" s="105"/>
      <c r="AY405" s="90" t="str">
        <f>IFERROR(AZ392/AY392,"")</f>
        <v/>
      </c>
      <c r="AZ405" s="90" t="str">
        <f t="shared" ref="AZ405:BG405" si="653">IFERROR(BA392/AZ392,"")</f>
        <v/>
      </c>
      <c r="BA405" s="90" t="str">
        <f t="shared" si="653"/>
        <v/>
      </c>
      <c r="BB405" s="90" t="str">
        <f t="shared" si="653"/>
        <v/>
      </c>
      <c r="BC405" s="90" t="str">
        <f t="shared" si="653"/>
        <v/>
      </c>
      <c r="BD405" s="90" t="str">
        <f t="shared" si="653"/>
        <v/>
      </c>
      <c r="BE405" s="90" t="str">
        <f t="shared" si="653"/>
        <v/>
      </c>
      <c r="BF405" s="90" t="str">
        <f t="shared" si="653"/>
        <v/>
      </c>
      <c r="BG405" s="90" t="str">
        <f t="shared" si="653"/>
        <v/>
      </c>
      <c r="BH405" s="22"/>
      <c r="BI405" s="91">
        <f>$A$36</f>
        <v>20132</v>
      </c>
      <c r="BJ405" s="105"/>
      <c r="BK405" s="90" t="str">
        <f>IFERROR(BL392/BK392,"")</f>
        <v/>
      </c>
      <c r="BL405" s="90" t="str">
        <f t="shared" ref="BL405:BS405" si="654">IFERROR(BM392/BL392,"")</f>
        <v/>
      </c>
      <c r="BM405" s="90" t="str">
        <f t="shared" si="654"/>
        <v/>
      </c>
      <c r="BN405" s="90" t="str">
        <f t="shared" si="654"/>
        <v/>
      </c>
      <c r="BO405" s="90" t="str">
        <f t="shared" si="654"/>
        <v/>
      </c>
      <c r="BP405" s="90" t="str">
        <f t="shared" si="654"/>
        <v/>
      </c>
      <c r="BQ405" s="90" t="str">
        <f t="shared" si="654"/>
        <v/>
      </c>
      <c r="BR405" s="90" t="str">
        <f t="shared" si="654"/>
        <v/>
      </c>
      <c r="BS405" s="90" t="str">
        <f t="shared" si="654"/>
        <v/>
      </c>
      <c r="BT405" s="22"/>
      <c r="BU405" s="91">
        <f>$A$36</f>
        <v>20132</v>
      </c>
      <c r="BV405" s="105"/>
      <c r="BW405" s="90" t="str">
        <f>IFERROR(BX392/BW392,"")</f>
        <v/>
      </c>
      <c r="BX405" s="90" t="str">
        <f t="shared" ref="BX405:CE405" si="655">IFERROR(BY392/BX392,"")</f>
        <v/>
      </c>
      <c r="BY405" s="90" t="str">
        <f t="shared" si="655"/>
        <v/>
      </c>
      <c r="BZ405" s="90" t="str">
        <f t="shared" si="655"/>
        <v/>
      </c>
      <c r="CA405" s="90" t="str">
        <f t="shared" si="655"/>
        <v/>
      </c>
      <c r="CB405" s="90" t="str">
        <f t="shared" si="655"/>
        <v/>
      </c>
      <c r="CC405" s="90" t="str">
        <f t="shared" si="655"/>
        <v/>
      </c>
      <c r="CD405" s="90" t="str">
        <f t="shared" si="655"/>
        <v/>
      </c>
      <c r="CE405" s="90" t="str">
        <f t="shared" si="655"/>
        <v/>
      </c>
      <c r="CF405" s="22"/>
      <c r="CG405" s="91">
        <f>$A$36</f>
        <v>20132</v>
      </c>
      <c r="CH405" s="105"/>
      <c r="CI405" s="90" t="str">
        <f>IFERROR(CJ392/CI392,"")</f>
        <v/>
      </c>
      <c r="CJ405" s="90" t="str">
        <f t="shared" ref="CJ405:CQ405" si="656">IFERROR(CK392/CJ392,"")</f>
        <v/>
      </c>
      <c r="CK405" s="90" t="str">
        <f t="shared" si="656"/>
        <v/>
      </c>
      <c r="CL405" s="90" t="str">
        <f t="shared" si="656"/>
        <v/>
      </c>
      <c r="CM405" s="90" t="str">
        <f t="shared" si="656"/>
        <v/>
      </c>
      <c r="CN405" s="90" t="str">
        <f t="shared" si="656"/>
        <v/>
      </c>
      <c r="CO405" s="90" t="str">
        <f t="shared" si="656"/>
        <v/>
      </c>
      <c r="CP405" s="90" t="str">
        <f t="shared" si="656"/>
        <v/>
      </c>
      <c r="CQ405" s="90" t="str">
        <f t="shared" si="656"/>
        <v/>
      </c>
      <c r="CR405" s="22"/>
      <c r="CS405" s="91">
        <f>$A$36</f>
        <v>20132</v>
      </c>
      <c r="CT405" s="105"/>
      <c r="CU405" s="90" t="str">
        <f>IFERROR(CV392/CU392,"")</f>
        <v/>
      </c>
      <c r="CV405" s="90" t="str">
        <f t="shared" ref="CV405:DC405" si="657">IFERROR(CW392/CV392,"")</f>
        <v/>
      </c>
      <c r="CW405" s="90" t="str">
        <f t="shared" si="657"/>
        <v/>
      </c>
      <c r="CX405" s="90" t="str">
        <f t="shared" si="657"/>
        <v/>
      </c>
      <c r="CY405" s="90" t="str">
        <f t="shared" si="657"/>
        <v/>
      </c>
      <c r="CZ405" s="90" t="str">
        <f t="shared" si="657"/>
        <v/>
      </c>
      <c r="DA405" s="90" t="str">
        <f t="shared" si="657"/>
        <v/>
      </c>
      <c r="DB405" s="90" t="str">
        <f t="shared" si="657"/>
        <v/>
      </c>
      <c r="DC405" s="90" t="str">
        <f t="shared" si="657"/>
        <v/>
      </c>
      <c r="DD405" s="22"/>
      <c r="DE405" s="91">
        <f>$A$36</f>
        <v>20132</v>
      </c>
      <c r="DF405" s="105"/>
      <c r="DG405" s="90" t="str">
        <f>IFERROR(DH392/DG392,"")</f>
        <v/>
      </c>
      <c r="DH405" s="90" t="str">
        <f t="shared" ref="DH405:DO405" si="658">IFERROR(DI392/DH392,"")</f>
        <v/>
      </c>
      <c r="DI405" s="90" t="str">
        <f t="shared" si="658"/>
        <v/>
      </c>
      <c r="DJ405" s="90" t="str">
        <f t="shared" si="658"/>
        <v/>
      </c>
      <c r="DK405" s="90" t="str">
        <f t="shared" si="658"/>
        <v/>
      </c>
      <c r="DL405" s="90" t="str">
        <f t="shared" si="658"/>
        <v/>
      </c>
      <c r="DM405" s="90" t="str">
        <f t="shared" si="658"/>
        <v/>
      </c>
      <c r="DN405" s="90" t="str">
        <f t="shared" si="658"/>
        <v/>
      </c>
      <c r="DO405" s="90" t="str">
        <f t="shared" si="658"/>
        <v/>
      </c>
      <c r="DP405" s="22"/>
    </row>
    <row r="406" spans="1:120" x14ac:dyDescent="0.25">
      <c r="A406" s="91">
        <f>$A$37</f>
        <v>20142</v>
      </c>
      <c r="B406" s="105"/>
      <c r="C406" s="90">
        <f t="shared" ref="C406:J413" si="659">IFERROR(D393/C393,"")</f>
        <v>1.3217324052590873</v>
      </c>
      <c r="D406" s="90">
        <f t="shared" si="659"/>
        <v>1.0388141213185098</v>
      </c>
      <c r="E406" s="90">
        <f t="shared" si="659"/>
        <v>1.0167104769057453</v>
      </c>
      <c r="F406" s="90">
        <f t="shared" si="659"/>
        <v>1.0064635272391504</v>
      </c>
      <c r="G406" s="90">
        <f t="shared" si="659"/>
        <v>1.0042201834862385</v>
      </c>
      <c r="H406" s="90">
        <f t="shared" si="659"/>
        <v>1.0032888726475424</v>
      </c>
      <c r="I406" s="90">
        <f t="shared" si="659"/>
        <v>1.0020032780914223</v>
      </c>
      <c r="J406" s="90">
        <f t="shared" si="659"/>
        <v>1.0014540167211923</v>
      </c>
      <c r="K406" s="22"/>
      <c r="L406" s="22"/>
      <c r="M406" s="91">
        <f>$A$37</f>
        <v>20142</v>
      </c>
      <c r="N406" s="105"/>
      <c r="O406" s="90" t="str">
        <f t="shared" ref="O406:V413" si="660">IFERROR(P393/O393,"")</f>
        <v/>
      </c>
      <c r="P406" s="90" t="str">
        <f t="shared" si="660"/>
        <v/>
      </c>
      <c r="Q406" s="90" t="str">
        <f t="shared" si="660"/>
        <v/>
      </c>
      <c r="R406" s="90" t="str">
        <f t="shared" si="660"/>
        <v/>
      </c>
      <c r="S406" s="90" t="str">
        <f t="shared" si="660"/>
        <v/>
      </c>
      <c r="T406" s="90" t="str">
        <f t="shared" si="660"/>
        <v/>
      </c>
      <c r="U406" s="90" t="str">
        <f t="shared" si="660"/>
        <v/>
      </c>
      <c r="V406" s="90" t="str">
        <f t="shared" si="660"/>
        <v/>
      </c>
      <c r="W406" s="22"/>
      <c r="X406" s="22"/>
      <c r="Y406" s="91">
        <f>$A$37</f>
        <v>20142</v>
      </c>
      <c r="Z406" s="105"/>
      <c r="AA406" s="90" t="str">
        <f t="shared" ref="AA406:AH413" si="661">IFERROR(AB393/AA393,"")</f>
        <v/>
      </c>
      <c r="AB406" s="90" t="str">
        <f t="shared" si="661"/>
        <v/>
      </c>
      <c r="AC406" s="90" t="str">
        <f t="shared" si="661"/>
        <v/>
      </c>
      <c r="AD406" s="90" t="str">
        <f t="shared" si="661"/>
        <v/>
      </c>
      <c r="AE406" s="90" t="str">
        <f t="shared" si="661"/>
        <v/>
      </c>
      <c r="AF406" s="90" t="str">
        <f t="shared" si="661"/>
        <v/>
      </c>
      <c r="AG406" s="90" t="str">
        <f t="shared" si="661"/>
        <v/>
      </c>
      <c r="AH406" s="90" t="str">
        <f t="shared" si="661"/>
        <v/>
      </c>
      <c r="AI406" s="22"/>
      <c r="AJ406" s="22"/>
      <c r="AK406" s="91">
        <f>$A$37</f>
        <v>20142</v>
      </c>
      <c r="AL406" s="105"/>
      <c r="AM406" s="90" t="str">
        <f t="shared" ref="AM406:AT413" si="662">IFERROR(AN393/AM393,"")</f>
        <v/>
      </c>
      <c r="AN406" s="90" t="str">
        <f t="shared" si="662"/>
        <v/>
      </c>
      <c r="AO406" s="90" t="str">
        <f t="shared" si="662"/>
        <v/>
      </c>
      <c r="AP406" s="90" t="str">
        <f t="shared" si="662"/>
        <v/>
      </c>
      <c r="AQ406" s="90" t="str">
        <f t="shared" si="662"/>
        <v/>
      </c>
      <c r="AR406" s="90" t="str">
        <f t="shared" si="662"/>
        <v/>
      </c>
      <c r="AS406" s="90" t="str">
        <f t="shared" si="662"/>
        <v/>
      </c>
      <c r="AT406" s="90" t="str">
        <f t="shared" si="662"/>
        <v/>
      </c>
      <c r="AU406" s="22"/>
      <c r="AV406" s="22"/>
      <c r="AW406" s="91">
        <f>$A$37</f>
        <v>20142</v>
      </c>
      <c r="AX406" s="105"/>
      <c r="AY406" s="90" t="str">
        <f t="shared" ref="AY406:BF413" si="663">IFERROR(AZ393/AY393,"")</f>
        <v/>
      </c>
      <c r="AZ406" s="90" t="str">
        <f t="shared" si="663"/>
        <v/>
      </c>
      <c r="BA406" s="90" t="str">
        <f t="shared" si="663"/>
        <v/>
      </c>
      <c r="BB406" s="90" t="str">
        <f t="shared" si="663"/>
        <v/>
      </c>
      <c r="BC406" s="90" t="str">
        <f t="shared" si="663"/>
        <v/>
      </c>
      <c r="BD406" s="90" t="str">
        <f t="shared" si="663"/>
        <v/>
      </c>
      <c r="BE406" s="90" t="str">
        <f t="shared" si="663"/>
        <v/>
      </c>
      <c r="BF406" s="90" t="str">
        <f t="shared" si="663"/>
        <v/>
      </c>
      <c r="BG406" s="22"/>
      <c r="BH406" s="22"/>
      <c r="BI406" s="91">
        <f>$A$37</f>
        <v>20142</v>
      </c>
      <c r="BJ406" s="105"/>
      <c r="BK406" s="90" t="str">
        <f t="shared" ref="BK406:BR413" si="664">IFERROR(BL393/BK393,"")</f>
        <v/>
      </c>
      <c r="BL406" s="90" t="str">
        <f t="shared" si="664"/>
        <v/>
      </c>
      <c r="BM406" s="90" t="str">
        <f t="shared" si="664"/>
        <v/>
      </c>
      <c r="BN406" s="90" t="str">
        <f t="shared" si="664"/>
        <v/>
      </c>
      <c r="BO406" s="90" t="str">
        <f t="shared" si="664"/>
        <v/>
      </c>
      <c r="BP406" s="90" t="str">
        <f t="shared" si="664"/>
        <v/>
      </c>
      <c r="BQ406" s="90" t="str">
        <f t="shared" si="664"/>
        <v/>
      </c>
      <c r="BR406" s="90" t="str">
        <f t="shared" si="664"/>
        <v/>
      </c>
      <c r="BS406" s="22"/>
      <c r="BT406" s="22"/>
      <c r="BU406" s="91">
        <f>$A$37</f>
        <v>20142</v>
      </c>
      <c r="BV406" s="105"/>
      <c r="BW406" s="90" t="str">
        <f t="shared" ref="BW406:CD413" si="665">IFERROR(BX393/BW393,"")</f>
        <v/>
      </c>
      <c r="BX406" s="90" t="str">
        <f t="shared" si="665"/>
        <v/>
      </c>
      <c r="BY406" s="90" t="str">
        <f t="shared" si="665"/>
        <v/>
      </c>
      <c r="BZ406" s="90" t="str">
        <f t="shared" si="665"/>
        <v/>
      </c>
      <c r="CA406" s="90" t="str">
        <f t="shared" si="665"/>
        <v/>
      </c>
      <c r="CB406" s="90" t="str">
        <f t="shared" si="665"/>
        <v/>
      </c>
      <c r="CC406" s="90" t="str">
        <f t="shared" si="665"/>
        <v/>
      </c>
      <c r="CD406" s="90" t="str">
        <f t="shared" si="665"/>
        <v/>
      </c>
      <c r="CE406" s="22"/>
      <c r="CF406" s="22"/>
      <c r="CG406" s="91">
        <f>$A$37</f>
        <v>20142</v>
      </c>
      <c r="CH406" s="105"/>
      <c r="CI406" s="90" t="str">
        <f t="shared" ref="CI406:CP413" si="666">IFERROR(CJ393/CI393,"")</f>
        <v/>
      </c>
      <c r="CJ406" s="90" t="str">
        <f t="shared" si="666"/>
        <v/>
      </c>
      <c r="CK406" s="90" t="str">
        <f t="shared" si="666"/>
        <v/>
      </c>
      <c r="CL406" s="90" t="str">
        <f t="shared" si="666"/>
        <v/>
      </c>
      <c r="CM406" s="90" t="str">
        <f t="shared" si="666"/>
        <v/>
      </c>
      <c r="CN406" s="90" t="str">
        <f t="shared" si="666"/>
        <v/>
      </c>
      <c r="CO406" s="90" t="str">
        <f t="shared" si="666"/>
        <v/>
      </c>
      <c r="CP406" s="90" t="str">
        <f t="shared" si="666"/>
        <v/>
      </c>
      <c r="CQ406" s="22"/>
      <c r="CR406" s="22"/>
      <c r="CS406" s="91">
        <f>$A$37</f>
        <v>20142</v>
      </c>
      <c r="CT406" s="105"/>
      <c r="CU406" s="90" t="str">
        <f t="shared" ref="CU406:DB413" si="667">IFERROR(CV393/CU393,"")</f>
        <v/>
      </c>
      <c r="CV406" s="90" t="str">
        <f t="shared" si="667"/>
        <v/>
      </c>
      <c r="CW406" s="90" t="str">
        <f t="shared" si="667"/>
        <v/>
      </c>
      <c r="CX406" s="90" t="str">
        <f t="shared" si="667"/>
        <v/>
      </c>
      <c r="CY406" s="90" t="str">
        <f t="shared" si="667"/>
        <v/>
      </c>
      <c r="CZ406" s="90" t="str">
        <f t="shared" si="667"/>
        <v/>
      </c>
      <c r="DA406" s="90" t="str">
        <f t="shared" si="667"/>
        <v/>
      </c>
      <c r="DB406" s="90" t="str">
        <f t="shared" si="667"/>
        <v/>
      </c>
      <c r="DC406" s="22"/>
      <c r="DD406" s="22"/>
      <c r="DE406" s="91">
        <f>$A$37</f>
        <v>20142</v>
      </c>
      <c r="DF406" s="105"/>
      <c r="DG406" s="90" t="str">
        <f t="shared" ref="DG406:DN413" si="668">IFERROR(DH393/DG393,"")</f>
        <v/>
      </c>
      <c r="DH406" s="90" t="str">
        <f t="shared" si="668"/>
        <v/>
      </c>
      <c r="DI406" s="90" t="str">
        <f t="shared" si="668"/>
        <v/>
      </c>
      <c r="DJ406" s="90" t="str">
        <f t="shared" si="668"/>
        <v/>
      </c>
      <c r="DK406" s="90" t="str">
        <f t="shared" si="668"/>
        <v/>
      </c>
      <c r="DL406" s="90" t="str">
        <f t="shared" si="668"/>
        <v/>
      </c>
      <c r="DM406" s="90" t="str">
        <f t="shared" si="668"/>
        <v/>
      </c>
      <c r="DN406" s="90" t="str">
        <f t="shared" si="668"/>
        <v/>
      </c>
      <c r="DO406" s="22"/>
      <c r="DP406" s="22"/>
    </row>
    <row r="407" spans="1:120" x14ac:dyDescent="0.25">
      <c r="A407" s="91">
        <f>$A$38</f>
        <v>20152</v>
      </c>
      <c r="B407" s="105"/>
      <c r="C407" s="90">
        <f t="shared" si="659"/>
        <v>1.3409551374819102</v>
      </c>
      <c r="D407" s="90">
        <f t="shared" si="659"/>
        <v>1.0360457586876755</v>
      </c>
      <c r="E407" s="90">
        <f t="shared" si="659"/>
        <v>1.0210416666666666</v>
      </c>
      <c r="F407" s="90">
        <f t="shared" si="659"/>
        <v>1.0097939196082433</v>
      </c>
      <c r="G407" s="90">
        <f t="shared" si="659"/>
        <v>1.0068700747625783</v>
      </c>
      <c r="H407" s="90">
        <f t="shared" si="659"/>
        <v>1.0028095524784266</v>
      </c>
      <c r="I407" s="90">
        <f t="shared" si="659"/>
        <v>1.0030018010806483</v>
      </c>
      <c r="J407" s="22"/>
      <c r="K407" s="22"/>
      <c r="L407" s="22"/>
      <c r="M407" s="91">
        <f>$A$38</f>
        <v>20152</v>
      </c>
      <c r="N407" s="105"/>
      <c r="O407" s="90" t="str">
        <f t="shared" si="660"/>
        <v/>
      </c>
      <c r="P407" s="90" t="str">
        <f t="shared" si="660"/>
        <v/>
      </c>
      <c r="Q407" s="90" t="str">
        <f t="shared" si="660"/>
        <v/>
      </c>
      <c r="R407" s="90" t="str">
        <f t="shared" si="660"/>
        <v/>
      </c>
      <c r="S407" s="90" t="str">
        <f t="shared" si="660"/>
        <v/>
      </c>
      <c r="T407" s="90" t="str">
        <f t="shared" si="660"/>
        <v/>
      </c>
      <c r="U407" s="90" t="str">
        <f t="shared" si="660"/>
        <v/>
      </c>
      <c r="V407" s="22"/>
      <c r="W407" s="22"/>
      <c r="X407" s="22"/>
      <c r="Y407" s="91">
        <f>$A$38</f>
        <v>20152</v>
      </c>
      <c r="Z407" s="105"/>
      <c r="AA407" s="90" t="str">
        <f t="shared" si="661"/>
        <v/>
      </c>
      <c r="AB407" s="90" t="str">
        <f t="shared" si="661"/>
        <v/>
      </c>
      <c r="AC407" s="90" t="str">
        <f t="shared" si="661"/>
        <v/>
      </c>
      <c r="AD407" s="90" t="str">
        <f t="shared" si="661"/>
        <v/>
      </c>
      <c r="AE407" s="90" t="str">
        <f t="shared" si="661"/>
        <v/>
      </c>
      <c r="AF407" s="90" t="str">
        <f t="shared" si="661"/>
        <v/>
      </c>
      <c r="AG407" s="90" t="str">
        <f t="shared" si="661"/>
        <v/>
      </c>
      <c r="AH407" s="22"/>
      <c r="AI407" s="22"/>
      <c r="AJ407" s="22"/>
      <c r="AK407" s="91">
        <f>$A$38</f>
        <v>20152</v>
      </c>
      <c r="AL407" s="105"/>
      <c r="AM407" s="90" t="str">
        <f t="shared" si="662"/>
        <v/>
      </c>
      <c r="AN407" s="90" t="str">
        <f t="shared" si="662"/>
        <v/>
      </c>
      <c r="AO407" s="90" t="str">
        <f t="shared" si="662"/>
        <v/>
      </c>
      <c r="AP407" s="90" t="str">
        <f t="shared" si="662"/>
        <v/>
      </c>
      <c r="AQ407" s="90" t="str">
        <f t="shared" si="662"/>
        <v/>
      </c>
      <c r="AR407" s="90" t="str">
        <f t="shared" si="662"/>
        <v/>
      </c>
      <c r="AS407" s="90" t="str">
        <f t="shared" si="662"/>
        <v/>
      </c>
      <c r="AT407" s="22"/>
      <c r="AU407" s="22"/>
      <c r="AV407" s="22"/>
      <c r="AW407" s="91">
        <f>$A$38</f>
        <v>20152</v>
      </c>
      <c r="AX407" s="105"/>
      <c r="AY407" s="90" t="str">
        <f t="shared" si="663"/>
        <v/>
      </c>
      <c r="AZ407" s="90" t="str">
        <f t="shared" si="663"/>
        <v/>
      </c>
      <c r="BA407" s="90" t="str">
        <f t="shared" si="663"/>
        <v/>
      </c>
      <c r="BB407" s="90" t="str">
        <f t="shared" si="663"/>
        <v/>
      </c>
      <c r="BC407" s="90" t="str">
        <f t="shared" si="663"/>
        <v/>
      </c>
      <c r="BD407" s="90" t="str">
        <f t="shared" si="663"/>
        <v/>
      </c>
      <c r="BE407" s="90" t="str">
        <f t="shared" si="663"/>
        <v/>
      </c>
      <c r="BF407" s="22"/>
      <c r="BG407" s="22"/>
      <c r="BH407" s="22"/>
      <c r="BI407" s="91">
        <f>$A$38</f>
        <v>20152</v>
      </c>
      <c r="BJ407" s="105"/>
      <c r="BK407" s="90" t="str">
        <f t="shared" si="664"/>
        <v/>
      </c>
      <c r="BL407" s="90" t="str">
        <f t="shared" si="664"/>
        <v/>
      </c>
      <c r="BM407" s="90" t="str">
        <f t="shared" si="664"/>
        <v/>
      </c>
      <c r="BN407" s="90" t="str">
        <f t="shared" si="664"/>
        <v/>
      </c>
      <c r="BO407" s="90" t="str">
        <f t="shared" si="664"/>
        <v/>
      </c>
      <c r="BP407" s="90" t="str">
        <f t="shared" si="664"/>
        <v/>
      </c>
      <c r="BQ407" s="90" t="str">
        <f t="shared" si="664"/>
        <v/>
      </c>
      <c r="BR407" s="22"/>
      <c r="BS407" s="22"/>
      <c r="BT407" s="22"/>
      <c r="BU407" s="91">
        <f>$A$38</f>
        <v>20152</v>
      </c>
      <c r="BV407" s="105"/>
      <c r="BW407" s="90" t="str">
        <f t="shared" si="665"/>
        <v/>
      </c>
      <c r="BX407" s="90" t="str">
        <f t="shared" si="665"/>
        <v/>
      </c>
      <c r="BY407" s="90" t="str">
        <f t="shared" si="665"/>
        <v/>
      </c>
      <c r="BZ407" s="90" t="str">
        <f t="shared" si="665"/>
        <v/>
      </c>
      <c r="CA407" s="90" t="str">
        <f t="shared" si="665"/>
        <v/>
      </c>
      <c r="CB407" s="90" t="str">
        <f t="shared" si="665"/>
        <v/>
      </c>
      <c r="CC407" s="90" t="str">
        <f t="shared" si="665"/>
        <v/>
      </c>
      <c r="CD407" s="22"/>
      <c r="CE407" s="22"/>
      <c r="CF407" s="22"/>
      <c r="CG407" s="91">
        <f>$A$38</f>
        <v>20152</v>
      </c>
      <c r="CH407" s="105"/>
      <c r="CI407" s="90" t="str">
        <f t="shared" si="666"/>
        <v/>
      </c>
      <c r="CJ407" s="90" t="str">
        <f t="shared" si="666"/>
        <v/>
      </c>
      <c r="CK407" s="90" t="str">
        <f t="shared" si="666"/>
        <v/>
      </c>
      <c r="CL407" s="90" t="str">
        <f t="shared" si="666"/>
        <v/>
      </c>
      <c r="CM407" s="90" t="str">
        <f t="shared" si="666"/>
        <v/>
      </c>
      <c r="CN407" s="90" t="str">
        <f t="shared" si="666"/>
        <v/>
      </c>
      <c r="CO407" s="90" t="str">
        <f t="shared" si="666"/>
        <v/>
      </c>
      <c r="CP407" s="22"/>
      <c r="CQ407" s="22"/>
      <c r="CR407" s="22"/>
      <c r="CS407" s="91">
        <f>$A$38</f>
        <v>20152</v>
      </c>
      <c r="CT407" s="105"/>
      <c r="CU407" s="90" t="str">
        <f t="shared" si="667"/>
        <v/>
      </c>
      <c r="CV407" s="90" t="str">
        <f t="shared" si="667"/>
        <v/>
      </c>
      <c r="CW407" s="90" t="str">
        <f t="shared" si="667"/>
        <v/>
      </c>
      <c r="CX407" s="90" t="str">
        <f t="shared" si="667"/>
        <v/>
      </c>
      <c r="CY407" s="90" t="str">
        <f t="shared" si="667"/>
        <v/>
      </c>
      <c r="CZ407" s="90" t="str">
        <f t="shared" si="667"/>
        <v/>
      </c>
      <c r="DA407" s="90" t="str">
        <f t="shared" si="667"/>
        <v/>
      </c>
      <c r="DB407" s="22"/>
      <c r="DC407" s="22"/>
      <c r="DD407" s="22"/>
      <c r="DE407" s="91">
        <f>$A$38</f>
        <v>20152</v>
      </c>
      <c r="DF407" s="105"/>
      <c r="DG407" s="90" t="str">
        <f t="shared" si="668"/>
        <v/>
      </c>
      <c r="DH407" s="90" t="str">
        <f t="shared" si="668"/>
        <v/>
      </c>
      <c r="DI407" s="90" t="str">
        <f t="shared" si="668"/>
        <v/>
      </c>
      <c r="DJ407" s="90" t="str">
        <f t="shared" si="668"/>
        <v/>
      </c>
      <c r="DK407" s="90" t="str">
        <f t="shared" si="668"/>
        <v/>
      </c>
      <c r="DL407" s="90" t="str">
        <f t="shared" si="668"/>
        <v/>
      </c>
      <c r="DM407" s="90" t="str">
        <f t="shared" si="668"/>
        <v/>
      </c>
      <c r="DN407" s="22"/>
      <c r="DO407" s="22"/>
      <c r="DP407" s="22"/>
    </row>
    <row r="408" spans="1:120" x14ac:dyDescent="0.25">
      <c r="A408" s="91">
        <f>$A$39</f>
        <v>20162</v>
      </c>
      <c r="B408" s="105"/>
      <c r="C408" s="90">
        <f t="shared" si="659"/>
        <v>1.3192423826516608</v>
      </c>
      <c r="D408" s="90">
        <f t="shared" si="659"/>
        <v>1.0322513524760715</v>
      </c>
      <c r="E408" s="90">
        <f t="shared" si="659"/>
        <v>1.0177383592017739</v>
      </c>
      <c r="F408" s="90">
        <f t="shared" si="659"/>
        <v>1.0097048920578333</v>
      </c>
      <c r="G408" s="90">
        <f t="shared" si="659"/>
        <v>1.0039231071008239</v>
      </c>
      <c r="H408" s="90">
        <f t="shared" si="659"/>
        <v>1.0033216100039077</v>
      </c>
      <c r="I408" s="22"/>
      <c r="J408" s="22"/>
      <c r="K408" s="22"/>
      <c r="L408" s="22"/>
      <c r="M408" s="91">
        <f>$A$39</f>
        <v>20162</v>
      </c>
      <c r="N408" s="105"/>
      <c r="O408" s="90" t="str">
        <f t="shared" si="660"/>
        <v/>
      </c>
      <c r="P408" s="90" t="str">
        <f t="shared" si="660"/>
        <v/>
      </c>
      <c r="Q408" s="90" t="str">
        <f t="shared" si="660"/>
        <v/>
      </c>
      <c r="R408" s="90" t="str">
        <f t="shared" si="660"/>
        <v/>
      </c>
      <c r="S408" s="90" t="str">
        <f t="shared" si="660"/>
        <v/>
      </c>
      <c r="T408" s="90" t="str">
        <f t="shared" si="660"/>
        <v/>
      </c>
      <c r="U408" s="22"/>
      <c r="V408" s="22"/>
      <c r="W408" s="22"/>
      <c r="X408" s="22"/>
      <c r="Y408" s="91">
        <f>$A$39</f>
        <v>20162</v>
      </c>
      <c r="Z408" s="105"/>
      <c r="AA408" s="90" t="str">
        <f t="shared" si="661"/>
        <v/>
      </c>
      <c r="AB408" s="90" t="str">
        <f t="shared" si="661"/>
        <v/>
      </c>
      <c r="AC408" s="90" t="str">
        <f t="shared" si="661"/>
        <v/>
      </c>
      <c r="AD408" s="90" t="str">
        <f t="shared" si="661"/>
        <v/>
      </c>
      <c r="AE408" s="90" t="str">
        <f t="shared" si="661"/>
        <v/>
      </c>
      <c r="AF408" s="90" t="str">
        <f t="shared" si="661"/>
        <v/>
      </c>
      <c r="AG408" s="22"/>
      <c r="AH408" s="22"/>
      <c r="AI408" s="22"/>
      <c r="AJ408" s="22"/>
      <c r="AK408" s="91">
        <f>$A$39</f>
        <v>20162</v>
      </c>
      <c r="AL408" s="105"/>
      <c r="AM408" s="90" t="str">
        <f t="shared" si="662"/>
        <v/>
      </c>
      <c r="AN408" s="90" t="str">
        <f t="shared" si="662"/>
        <v/>
      </c>
      <c r="AO408" s="90" t="str">
        <f t="shared" si="662"/>
        <v/>
      </c>
      <c r="AP408" s="90" t="str">
        <f t="shared" si="662"/>
        <v/>
      </c>
      <c r="AQ408" s="90" t="str">
        <f t="shared" si="662"/>
        <v/>
      </c>
      <c r="AR408" s="90" t="str">
        <f t="shared" si="662"/>
        <v/>
      </c>
      <c r="AS408" s="22"/>
      <c r="AT408" s="22"/>
      <c r="AU408" s="22"/>
      <c r="AV408" s="22"/>
      <c r="AW408" s="91">
        <f>$A$39</f>
        <v>20162</v>
      </c>
      <c r="AX408" s="105"/>
      <c r="AY408" s="90" t="str">
        <f t="shared" si="663"/>
        <v/>
      </c>
      <c r="AZ408" s="90" t="str">
        <f t="shared" si="663"/>
        <v/>
      </c>
      <c r="BA408" s="90" t="str">
        <f t="shared" si="663"/>
        <v/>
      </c>
      <c r="BB408" s="90" t="str">
        <f t="shared" si="663"/>
        <v/>
      </c>
      <c r="BC408" s="90" t="str">
        <f t="shared" si="663"/>
        <v/>
      </c>
      <c r="BD408" s="90" t="str">
        <f t="shared" si="663"/>
        <v/>
      </c>
      <c r="BE408" s="22"/>
      <c r="BF408" s="22"/>
      <c r="BG408" s="22"/>
      <c r="BH408" s="22"/>
      <c r="BI408" s="91">
        <f>$A$39</f>
        <v>20162</v>
      </c>
      <c r="BJ408" s="105"/>
      <c r="BK408" s="90" t="str">
        <f t="shared" si="664"/>
        <v/>
      </c>
      <c r="BL408" s="90" t="str">
        <f t="shared" si="664"/>
        <v/>
      </c>
      <c r="BM408" s="90" t="str">
        <f t="shared" si="664"/>
        <v/>
      </c>
      <c r="BN408" s="90" t="str">
        <f t="shared" si="664"/>
        <v/>
      </c>
      <c r="BO408" s="90" t="str">
        <f t="shared" si="664"/>
        <v/>
      </c>
      <c r="BP408" s="90" t="str">
        <f t="shared" si="664"/>
        <v/>
      </c>
      <c r="BQ408" s="22"/>
      <c r="BR408" s="22"/>
      <c r="BS408" s="22"/>
      <c r="BT408" s="22"/>
      <c r="BU408" s="91">
        <f>$A$39</f>
        <v>20162</v>
      </c>
      <c r="BV408" s="105"/>
      <c r="BW408" s="90" t="str">
        <f t="shared" si="665"/>
        <v/>
      </c>
      <c r="BX408" s="90" t="str">
        <f t="shared" si="665"/>
        <v/>
      </c>
      <c r="BY408" s="90" t="str">
        <f t="shared" si="665"/>
        <v/>
      </c>
      <c r="BZ408" s="90" t="str">
        <f t="shared" si="665"/>
        <v/>
      </c>
      <c r="CA408" s="90" t="str">
        <f t="shared" si="665"/>
        <v/>
      </c>
      <c r="CB408" s="90" t="str">
        <f t="shared" si="665"/>
        <v/>
      </c>
      <c r="CC408" s="22"/>
      <c r="CD408" s="22"/>
      <c r="CE408" s="22"/>
      <c r="CF408" s="22"/>
      <c r="CG408" s="91">
        <f>$A$39</f>
        <v>20162</v>
      </c>
      <c r="CH408" s="105"/>
      <c r="CI408" s="90" t="str">
        <f t="shared" si="666"/>
        <v/>
      </c>
      <c r="CJ408" s="90" t="str">
        <f t="shared" si="666"/>
        <v/>
      </c>
      <c r="CK408" s="90" t="str">
        <f t="shared" si="666"/>
        <v/>
      </c>
      <c r="CL408" s="90" t="str">
        <f t="shared" si="666"/>
        <v/>
      </c>
      <c r="CM408" s="90" t="str">
        <f t="shared" si="666"/>
        <v/>
      </c>
      <c r="CN408" s="90" t="str">
        <f t="shared" si="666"/>
        <v/>
      </c>
      <c r="CO408" s="22"/>
      <c r="CP408" s="22"/>
      <c r="CQ408" s="22"/>
      <c r="CR408" s="22"/>
      <c r="CS408" s="91">
        <f>$A$39</f>
        <v>20162</v>
      </c>
      <c r="CT408" s="105"/>
      <c r="CU408" s="90" t="str">
        <f t="shared" si="667"/>
        <v/>
      </c>
      <c r="CV408" s="90" t="str">
        <f t="shared" si="667"/>
        <v/>
      </c>
      <c r="CW408" s="90" t="str">
        <f t="shared" si="667"/>
        <v/>
      </c>
      <c r="CX408" s="90" t="str">
        <f t="shared" si="667"/>
        <v/>
      </c>
      <c r="CY408" s="90" t="str">
        <f t="shared" si="667"/>
        <v/>
      </c>
      <c r="CZ408" s="90" t="str">
        <f t="shared" si="667"/>
        <v/>
      </c>
      <c r="DA408" s="22"/>
      <c r="DB408" s="22"/>
      <c r="DC408" s="22"/>
      <c r="DD408" s="22"/>
      <c r="DE408" s="91">
        <f>$A$39</f>
        <v>20162</v>
      </c>
      <c r="DF408" s="105"/>
      <c r="DG408" s="90" t="str">
        <f t="shared" si="668"/>
        <v/>
      </c>
      <c r="DH408" s="90" t="str">
        <f t="shared" si="668"/>
        <v/>
      </c>
      <c r="DI408" s="90" t="str">
        <f t="shared" si="668"/>
        <v/>
      </c>
      <c r="DJ408" s="90" t="str">
        <f t="shared" si="668"/>
        <v/>
      </c>
      <c r="DK408" s="90" t="str">
        <f t="shared" si="668"/>
        <v/>
      </c>
      <c r="DL408" s="90" t="str">
        <f t="shared" si="668"/>
        <v/>
      </c>
      <c r="DM408" s="22"/>
      <c r="DN408" s="22"/>
      <c r="DO408" s="22"/>
      <c r="DP408" s="22"/>
    </row>
    <row r="409" spans="1:120" x14ac:dyDescent="0.25">
      <c r="A409" s="91">
        <f>$A$40</f>
        <v>20172</v>
      </c>
      <c r="B409" s="105"/>
      <c r="C409" s="90">
        <f t="shared" si="659"/>
        <v>1.2834743653558984</v>
      </c>
      <c r="D409" s="90">
        <f t="shared" si="659"/>
        <v>1.0345161915842545</v>
      </c>
      <c r="E409" s="90">
        <f t="shared" si="659"/>
        <v>1.0181818181818181</v>
      </c>
      <c r="F409" s="90">
        <f t="shared" si="659"/>
        <v>1.009941089837997</v>
      </c>
      <c r="G409" s="90">
        <f t="shared" si="659"/>
        <v>1.0076558512577469</v>
      </c>
      <c r="H409" s="22"/>
      <c r="I409" s="22"/>
      <c r="J409" s="22"/>
      <c r="K409" s="22"/>
      <c r="L409" s="22"/>
      <c r="M409" s="91">
        <f>$A$40</f>
        <v>20172</v>
      </c>
      <c r="N409" s="105"/>
      <c r="O409" s="90" t="str">
        <f t="shared" si="660"/>
        <v/>
      </c>
      <c r="P409" s="90" t="str">
        <f t="shared" si="660"/>
        <v/>
      </c>
      <c r="Q409" s="90" t="str">
        <f t="shared" si="660"/>
        <v/>
      </c>
      <c r="R409" s="90" t="str">
        <f t="shared" si="660"/>
        <v/>
      </c>
      <c r="S409" s="90" t="str">
        <f t="shared" si="660"/>
        <v/>
      </c>
      <c r="T409" s="22"/>
      <c r="U409" s="22"/>
      <c r="V409" s="22"/>
      <c r="W409" s="22"/>
      <c r="X409" s="22"/>
      <c r="Y409" s="91">
        <f>$A$40</f>
        <v>20172</v>
      </c>
      <c r="Z409" s="105"/>
      <c r="AA409" s="90" t="str">
        <f t="shared" si="661"/>
        <v/>
      </c>
      <c r="AB409" s="90" t="str">
        <f t="shared" si="661"/>
        <v/>
      </c>
      <c r="AC409" s="90" t="str">
        <f t="shared" si="661"/>
        <v/>
      </c>
      <c r="AD409" s="90" t="str">
        <f t="shared" si="661"/>
        <v/>
      </c>
      <c r="AE409" s="90" t="str">
        <f t="shared" si="661"/>
        <v/>
      </c>
      <c r="AF409" s="22"/>
      <c r="AG409" s="22"/>
      <c r="AH409" s="22"/>
      <c r="AI409" s="22"/>
      <c r="AJ409" s="22"/>
      <c r="AK409" s="91">
        <f>$A$40</f>
        <v>20172</v>
      </c>
      <c r="AL409" s="105"/>
      <c r="AM409" s="90" t="str">
        <f t="shared" si="662"/>
        <v/>
      </c>
      <c r="AN409" s="90" t="str">
        <f t="shared" si="662"/>
        <v/>
      </c>
      <c r="AO409" s="90" t="str">
        <f t="shared" si="662"/>
        <v/>
      </c>
      <c r="AP409" s="90" t="str">
        <f t="shared" si="662"/>
        <v/>
      </c>
      <c r="AQ409" s="90" t="str">
        <f t="shared" si="662"/>
        <v/>
      </c>
      <c r="AR409" s="22"/>
      <c r="AS409" s="22"/>
      <c r="AT409" s="22"/>
      <c r="AU409" s="22"/>
      <c r="AV409" s="22"/>
      <c r="AW409" s="91">
        <f>$A$40</f>
        <v>20172</v>
      </c>
      <c r="AX409" s="105"/>
      <c r="AY409" s="90" t="str">
        <f t="shared" si="663"/>
        <v/>
      </c>
      <c r="AZ409" s="90" t="str">
        <f t="shared" si="663"/>
        <v/>
      </c>
      <c r="BA409" s="90" t="str">
        <f t="shared" si="663"/>
        <v/>
      </c>
      <c r="BB409" s="90" t="str">
        <f t="shared" si="663"/>
        <v/>
      </c>
      <c r="BC409" s="90" t="str">
        <f t="shared" si="663"/>
        <v/>
      </c>
      <c r="BD409" s="22"/>
      <c r="BE409" s="22"/>
      <c r="BF409" s="22"/>
      <c r="BG409" s="22"/>
      <c r="BH409" s="22"/>
      <c r="BI409" s="91">
        <f>$A$40</f>
        <v>20172</v>
      </c>
      <c r="BJ409" s="105"/>
      <c r="BK409" s="90" t="str">
        <f t="shared" si="664"/>
        <v/>
      </c>
      <c r="BL409" s="90" t="str">
        <f t="shared" si="664"/>
        <v/>
      </c>
      <c r="BM409" s="90" t="str">
        <f t="shared" si="664"/>
        <v/>
      </c>
      <c r="BN409" s="90" t="str">
        <f t="shared" si="664"/>
        <v/>
      </c>
      <c r="BO409" s="90" t="str">
        <f t="shared" si="664"/>
        <v/>
      </c>
      <c r="BP409" s="22"/>
      <c r="BQ409" s="22"/>
      <c r="BR409" s="22"/>
      <c r="BS409" s="22"/>
      <c r="BT409" s="22"/>
      <c r="BU409" s="91">
        <f>$A$40</f>
        <v>20172</v>
      </c>
      <c r="BV409" s="105"/>
      <c r="BW409" s="90" t="str">
        <f t="shared" si="665"/>
        <v/>
      </c>
      <c r="BX409" s="90" t="str">
        <f t="shared" si="665"/>
        <v/>
      </c>
      <c r="BY409" s="90" t="str">
        <f t="shared" si="665"/>
        <v/>
      </c>
      <c r="BZ409" s="90" t="str">
        <f t="shared" si="665"/>
        <v/>
      </c>
      <c r="CA409" s="90" t="str">
        <f t="shared" si="665"/>
        <v/>
      </c>
      <c r="CB409" s="22"/>
      <c r="CC409" s="22"/>
      <c r="CD409" s="22"/>
      <c r="CE409" s="22"/>
      <c r="CF409" s="22"/>
      <c r="CG409" s="91">
        <f>$A$40</f>
        <v>20172</v>
      </c>
      <c r="CH409" s="105"/>
      <c r="CI409" s="90" t="str">
        <f t="shared" si="666"/>
        <v/>
      </c>
      <c r="CJ409" s="90" t="str">
        <f t="shared" si="666"/>
        <v/>
      </c>
      <c r="CK409" s="90" t="str">
        <f t="shared" si="666"/>
        <v/>
      </c>
      <c r="CL409" s="90" t="str">
        <f t="shared" si="666"/>
        <v/>
      </c>
      <c r="CM409" s="90" t="str">
        <f t="shared" si="666"/>
        <v/>
      </c>
      <c r="CN409" s="22"/>
      <c r="CO409" s="22"/>
      <c r="CP409" s="22"/>
      <c r="CQ409" s="22"/>
      <c r="CR409" s="22"/>
      <c r="CS409" s="91">
        <f>$A$40</f>
        <v>20172</v>
      </c>
      <c r="CT409" s="105"/>
      <c r="CU409" s="90" t="str">
        <f t="shared" si="667"/>
        <v/>
      </c>
      <c r="CV409" s="90" t="str">
        <f t="shared" si="667"/>
        <v/>
      </c>
      <c r="CW409" s="90" t="str">
        <f t="shared" si="667"/>
        <v/>
      </c>
      <c r="CX409" s="90" t="str">
        <f t="shared" si="667"/>
        <v/>
      </c>
      <c r="CY409" s="90" t="str">
        <f t="shared" si="667"/>
        <v/>
      </c>
      <c r="CZ409" s="22"/>
      <c r="DA409" s="22"/>
      <c r="DB409" s="22"/>
      <c r="DC409" s="22"/>
      <c r="DD409" s="22"/>
      <c r="DE409" s="91">
        <f>$A$40</f>
        <v>20172</v>
      </c>
      <c r="DF409" s="105"/>
      <c r="DG409" s="90" t="str">
        <f t="shared" si="668"/>
        <v/>
      </c>
      <c r="DH409" s="90" t="str">
        <f t="shared" si="668"/>
        <v/>
      </c>
      <c r="DI409" s="90" t="str">
        <f t="shared" si="668"/>
        <v/>
      </c>
      <c r="DJ409" s="90" t="str">
        <f t="shared" si="668"/>
        <v/>
      </c>
      <c r="DK409" s="90" t="str">
        <f t="shared" si="668"/>
        <v/>
      </c>
      <c r="DL409" s="22"/>
      <c r="DM409" s="22"/>
      <c r="DN409" s="22"/>
      <c r="DO409" s="22"/>
      <c r="DP409" s="22"/>
    </row>
    <row r="410" spans="1:120" x14ac:dyDescent="0.25">
      <c r="A410" s="91">
        <f>$A$41</f>
        <v>20182</v>
      </c>
      <c r="B410" s="105"/>
      <c r="C410" s="90">
        <f t="shared" si="659"/>
        <v>1.3136363636363637</v>
      </c>
      <c r="D410" s="90">
        <f t="shared" si="659"/>
        <v>1.0433856800638808</v>
      </c>
      <c r="E410" s="90">
        <f t="shared" si="659"/>
        <v>1.0176020408163264</v>
      </c>
      <c r="F410" s="90">
        <f t="shared" si="659"/>
        <v>1.0147906743544748</v>
      </c>
      <c r="G410" s="22"/>
      <c r="H410" s="22"/>
      <c r="I410" s="22"/>
      <c r="J410" s="22"/>
      <c r="K410" s="22"/>
      <c r="L410" s="22"/>
      <c r="M410" s="91">
        <f>$A$41</f>
        <v>20182</v>
      </c>
      <c r="N410" s="105"/>
      <c r="O410" s="90" t="str">
        <f t="shared" si="660"/>
        <v/>
      </c>
      <c r="P410" s="90" t="str">
        <f t="shared" si="660"/>
        <v/>
      </c>
      <c r="Q410" s="90" t="str">
        <f t="shared" si="660"/>
        <v/>
      </c>
      <c r="R410" s="90" t="str">
        <f t="shared" si="660"/>
        <v/>
      </c>
      <c r="S410" s="22"/>
      <c r="T410" s="22"/>
      <c r="U410" s="22"/>
      <c r="V410" s="22"/>
      <c r="W410" s="22"/>
      <c r="X410" s="22"/>
      <c r="Y410" s="91">
        <f>$A$41</f>
        <v>20182</v>
      </c>
      <c r="Z410" s="105"/>
      <c r="AA410" s="90" t="str">
        <f t="shared" si="661"/>
        <v/>
      </c>
      <c r="AB410" s="90" t="str">
        <f t="shared" si="661"/>
        <v/>
      </c>
      <c r="AC410" s="90" t="str">
        <f t="shared" si="661"/>
        <v/>
      </c>
      <c r="AD410" s="90" t="str">
        <f t="shared" si="661"/>
        <v/>
      </c>
      <c r="AE410" s="22"/>
      <c r="AF410" s="22"/>
      <c r="AG410" s="22"/>
      <c r="AH410" s="22"/>
      <c r="AI410" s="22"/>
      <c r="AJ410" s="22"/>
      <c r="AK410" s="91">
        <f>$A$41</f>
        <v>20182</v>
      </c>
      <c r="AL410" s="105"/>
      <c r="AM410" s="90" t="str">
        <f t="shared" si="662"/>
        <v/>
      </c>
      <c r="AN410" s="90" t="str">
        <f t="shared" si="662"/>
        <v/>
      </c>
      <c r="AO410" s="90" t="str">
        <f t="shared" si="662"/>
        <v/>
      </c>
      <c r="AP410" s="90" t="str">
        <f t="shared" si="662"/>
        <v/>
      </c>
      <c r="AQ410" s="22"/>
      <c r="AR410" s="22"/>
      <c r="AS410" s="22"/>
      <c r="AT410" s="22"/>
      <c r="AU410" s="22"/>
      <c r="AV410" s="22"/>
      <c r="AW410" s="91">
        <f>$A$41</f>
        <v>20182</v>
      </c>
      <c r="AX410" s="105"/>
      <c r="AY410" s="90" t="str">
        <f t="shared" si="663"/>
        <v/>
      </c>
      <c r="AZ410" s="90" t="str">
        <f t="shared" si="663"/>
        <v/>
      </c>
      <c r="BA410" s="90" t="str">
        <f t="shared" si="663"/>
        <v/>
      </c>
      <c r="BB410" s="90" t="str">
        <f t="shared" si="663"/>
        <v/>
      </c>
      <c r="BC410" s="22"/>
      <c r="BD410" s="22"/>
      <c r="BE410" s="22"/>
      <c r="BF410" s="22"/>
      <c r="BG410" s="22"/>
      <c r="BH410" s="22"/>
      <c r="BI410" s="91">
        <f>$A$41</f>
        <v>20182</v>
      </c>
      <c r="BJ410" s="105"/>
      <c r="BK410" s="90" t="str">
        <f t="shared" si="664"/>
        <v/>
      </c>
      <c r="BL410" s="90" t="str">
        <f t="shared" si="664"/>
        <v/>
      </c>
      <c r="BM410" s="90" t="str">
        <f t="shared" si="664"/>
        <v/>
      </c>
      <c r="BN410" s="90" t="str">
        <f t="shared" si="664"/>
        <v/>
      </c>
      <c r="BO410" s="22"/>
      <c r="BP410" s="22"/>
      <c r="BQ410" s="22"/>
      <c r="BR410" s="22"/>
      <c r="BS410" s="22"/>
      <c r="BT410" s="22"/>
      <c r="BU410" s="91">
        <f>$A$41</f>
        <v>20182</v>
      </c>
      <c r="BV410" s="105"/>
      <c r="BW410" s="90" t="str">
        <f t="shared" si="665"/>
        <v/>
      </c>
      <c r="BX410" s="90" t="str">
        <f t="shared" si="665"/>
        <v/>
      </c>
      <c r="BY410" s="90" t="str">
        <f t="shared" si="665"/>
        <v/>
      </c>
      <c r="BZ410" s="90" t="str">
        <f t="shared" si="665"/>
        <v/>
      </c>
      <c r="CA410" s="22"/>
      <c r="CB410" s="22"/>
      <c r="CC410" s="22"/>
      <c r="CD410" s="22"/>
      <c r="CE410" s="22"/>
      <c r="CF410" s="22"/>
      <c r="CG410" s="91">
        <f>$A$41</f>
        <v>20182</v>
      </c>
      <c r="CH410" s="105"/>
      <c r="CI410" s="90" t="str">
        <f t="shared" si="666"/>
        <v/>
      </c>
      <c r="CJ410" s="90" t="str">
        <f t="shared" si="666"/>
        <v/>
      </c>
      <c r="CK410" s="90" t="str">
        <f t="shared" si="666"/>
        <v/>
      </c>
      <c r="CL410" s="90" t="str">
        <f t="shared" si="666"/>
        <v/>
      </c>
      <c r="CM410" s="22"/>
      <c r="CN410" s="22"/>
      <c r="CO410" s="22"/>
      <c r="CP410" s="22"/>
      <c r="CQ410" s="22"/>
      <c r="CR410" s="22"/>
      <c r="CS410" s="91">
        <f>$A$41</f>
        <v>20182</v>
      </c>
      <c r="CT410" s="105"/>
      <c r="CU410" s="90" t="str">
        <f t="shared" si="667"/>
        <v/>
      </c>
      <c r="CV410" s="90" t="str">
        <f t="shared" si="667"/>
        <v/>
      </c>
      <c r="CW410" s="90" t="str">
        <f t="shared" si="667"/>
        <v/>
      </c>
      <c r="CX410" s="90" t="str">
        <f t="shared" si="667"/>
        <v/>
      </c>
      <c r="CY410" s="22"/>
      <c r="CZ410" s="22"/>
      <c r="DA410" s="22"/>
      <c r="DB410" s="22"/>
      <c r="DC410" s="22"/>
      <c r="DD410" s="22"/>
      <c r="DE410" s="91">
        <f>$A$41</f>
        <v>20182</v>
      </c>
      <c r="DF410" s="105"/>
      <c r="DG410" s="90" t="str">
        <f t="shared" si="668"/>
        <v/>
      </c>
      <c r="DH410" s="90" t="str">
        <f t="shared" si="668"/>
        <v/>
      </c>
      <c r="DI410" s="90" t="str">
        <f t="shared" si="668"/>
        <v/>
      </c>
      <c r="DJ410" s="90" t="str">
        <f t="shared" si="668"/>
        <v/>
      </c>
      <c r="DK410" s="22"/>
      <c r="DL410" s="22"/>
      <c r="DM410" s="22"/>
      <c r="DN410" s="22"/>
      <c r="DO410" s="22"/>
      <c r="DP410" s="22"/>
    </row>
    <row r="411" spans="1:120" x14ac:dyDescent="0.25">
      <c r="A411" s="91">
        <f>$A$42</f>
        <v>20192</v>
      </c>
      <c r="B411" s="105"/>
      <c r="C411" s="90">
        <f t="shared" si="659"/>
        <v>1.3360351232691658</v>
      </c>
      <c r="D411" s="90">
        <f t="shared" si="659"/>
        <v>1.0487866531850354</v>
      </c>
      <c r="E411" s="90">
        <f t="shared" si="659"/>
        <v>1.0313328512894673</v>
      </c>
      <c r="F411" s="22"/>
      <c r="G411" s="22"/>
      <c r="H411" s="22"/>
      <c r="I411" s="22"/>
      <c r="J411" s="22"/>
      <c r="K411" s="22"/>
      <c r="L411" s="22"/>
      <c r="M411" s="91">
        <f>$A$42</f>
        <v>20192</v>
      </c>
      <c r="N411" s="105"/>
      <c r="O411" s="90" t="str">
        <f t="shared" si="660"/>
        <v/>
      </c>
      <c r="P411" s="90" t="str">
        <f t="shared" si="660"/>
        <v/>
      </c>
      <c r="Q411" s="90" t="str">
        <f t="shared" si="660"/>
        <v/>
      </c>
      <c r="R411" s="22"/>
      <c r="S411" s="22"/>
      <c r="T411" s="22"/>
      <c r="U411" s="22"/>
      <c r="V411" s="22"/>
      <c r="W411" s="22"/>
      <c r="X411" s="22"/>
      <c r="Y411" s="91">
        <f>$A$42</f>
        <v>20192</v>
      </c>
      <c r="Z411" s="105"/>
      <c r="AA411" s="90" t="str">
        <f t="shared" si="661"/>
        <v/>
      </c>
      <c r="AB411" s="90" t="str">
        <f t="shared" si="661"/>
        <v/>
      </c>
      <c r="AC411" s="90" t="str">
        <f t="shared" si="661"/>
        <v/>
      </c>
      <c r="AD411" s="22"/>
      <c r="AE411" s="22"/>
      <c r="AF411" s="22"/>
      <c r="AG411" s="22"/>
      <c r="AH411" s="22"/>
      <c r="AI411" s="22"/>
      <c r="AJ411" s="22"/>
      <c r="AK411" s="91">
        <f>$A$42</f>
        <v>20192</v>
      </c>
      <c r="AL411" s="105"/>
      <c r="AM411" s="90" t="str">
        <f t="shared" si="662"/>
        <v/>
      </c>
      <c r="AN411" s="90" t="str">
        <f t="shared" si="662"/>
        <v/>
      </c>
      <c r="AO411" s="90" t="str">
        <f t="shared" si="662"/>
        <v/>
      </c>
      <c r="AP411" s="22"/>
      <c r="AQ411" s="22"/>
      <c r="AR411" s="22"/>
      <c r="AS411" s="22"/>
      <c r="AT411" s="22"/>
      <c r="AU411" s="22"/>
      <c r="AV411" s="22"/>
      <c r="AW411" s="91">
        <f>$A$42</f>
        <v>20192</v>
      </c>
      <c r="AX411" s="105"/>
      <c r="AY411" s="90" t="str">
        <f t="shared" si="663"/>
        <v/>
      </c>
      <c r="AZ411" s="90" t="str">
        <f t="shared" si="663"/>
        <v/>
      </c>
      <c r="BA411" s="90" t="str">
        <f t="shared" si="663"/>
        <v/>
      </c>
      <c r="BB411" s="22"/>
      <c r="BC411" s="22"/>
      <c r="BD411" s="22"/>
      <c r="BE411" s="22"/>
      <c r="BF411" s="22"/>
      <c r="BG411" s="22"/>
      <c r="BH411" s="22"/>
      <c r="BI411" s="91">
        <f>$A$42</f>
        <v>20192</v>
      </c>
      <c r="BJ411" s="105"/>
      <c r="BK411" s="90" t="str">
        <f t="shared" si="664"/>
        <v/>
      </c>
      <c r="BL411" s="90" t="str">
        <f t="shared" si="664"/>
        <v/>
      </c>
      <c r="BM411" s="90" t="str">
        <f t="shared" si="664"/>
        <v/>
      </c>
      <c r="BN411" s="22"/>
      <c r="BO411" s="22"/>
      <c r="BP411" s="22"/>
      <c r="BQ411" s="22"/>
      <c r="BR411" s="22"/>
      <c r="BS411" s="22"/>
      <c r="BT411" s="22"/>
      <c r="BU411" s="91">
        <f>$A$42</f>
        <v>20192</v>
      </c>
      <c r="BV411" s="105"/>
      <c r="BW411" s="90" t="str">
        <f t="shared" si="665"/>
        <v/>
      </c>
      <c r="BX411" s="90" t="str">
        <f t="shared" si="665"/>
        <v/>
      </c>
      <c r="BY411" s="90" t="str">
        <f t="shared" si="665"/>
        <v/>
      </c>
      <c r="BZ411" s="22"/>
      <c r="CA411" s="22"/>
      <c r="CB411" s="22"/>
      <c r="CC411" s="22"/>
      <c r="CD411" s="22"/>
      <c r="CE411" s="22"/>
      <c r="CF411" s="22"/>
      <c r="CG411" s="91">
        <f>$A$42</f>
        <v>20192</v>
      </c>
      <c r="CH411" s="105"/>
      <c r="CI411" s="90" t="str">
        <f t="shared" si="666"/>
        <v/>
      </c>
      <c r="CJ411" s="90" t="str">
        <f t="shared" si="666"/>
        <v/>
      </c>
      <c r="CK411" s="90" t="str">
        <f t="shared" si="666"/>
        <v/>
      </c>
      <c r="CL411" s="22"/>
      <c r="CM411" s="22"/>
      <c r="CN411" s="22"/>
      <c r="CO411" s="22"/>
      <c r="CP411" s="22"/>
      <c r="CQ411" s="22"/>
      <c r="CR411" s="22"/>
      <c r="CS411" s="91">
        <f>$A$42</f>
        <v>20192</v>
      </c>
      <c r="CT411" s="105"/>
      <c r="CU411" s="90" t="str">
        <f t="shared" si="667"/>
        <v/>
      </c>
      <c r="CV411" s="90" t="str">
        <f t="shared" si="667"/>
        <v/>
      </c>
      <c r="CW411" s="90" t="str">
        <f t="shared" si="667"/>
        <v/>
      </c>
      <c r="CX411" s="22"/>
      <c r="CY411" s="22"/>
      <c r="CZ411" s="22"/>
      <c r="DA411" s="22"/>
      <c r="DB411" s="22"/>
      <c r="DC411" s="22"/>
      <c r="DD411" s="22"/>
      <c r="DE411" s="91">
        <f>$A$42</f>
        <v>20192</v>
      </c>
      <c r="DF411" s="105"/>
      <c r="DG411" s="90" t="str">
        <f t="shared" si="668"/>
        <v/>
      </c>
      <c r="DH411" s="90" t="str">
        <f t="shared" si="668"/>
        <v/>
      </c>
      <c r="DI411" s="90" t="str">
        <f t="shared" si="668"/>
        <v/>
      </c>
      <c r="DJ411" s="22"/>
      <c r="DK411" s="22"/>
      <c r="DL411" s="22"/>
      <c r="DM411" s="22"/>
      <c r="DN411" s="22"/>
      <c r="DO411" s="22"/>
      <c r="DP411" s="22"/>
    </row>
    <row r="412" spans="1:120" x14ac:dyDescent="0.25">
      <c r="A412" s="91">
        <f>$A$43</f>
        <v>20202</v>
      </c>
      <c r="B412" s="105"/>
      <c r="C412" s="90">
        <f t="shared" si="659"/>
        <v>1.3786737000753579</v>
      </c>
      <c r="D412" s="90">
        <f t="shared" si="659"/>
        <v>1.0705110685979775</v>
      </c>
      <c r="E412" s="22"/>
      <c r="F412" s="22"/>
      <c r="G412" s="22"/>
      <c r="H412" s="22"/>
      <c r="I412" s="22"/>
      <c r="J412" s="22"/>
      <c r="K412" s="22"/>
      <c r="L412" s="22"/>
      <c r="M412" s="91">
        <f>$A$43</f>
        <v>20202</v>
      </c>
      <c r="N412" s="105"/>
      <c r="O412" s="90" t="str">
        <f t="shared" si="660"/>
        <v/>
      </c>
      <c r="P412" s="90" t="str">
        <f t="shared" si="660"/>
        <v/>
      </c>
      <c r="Q412" s="22"/>
      <c r="R412" s="22"/>
      <c r="S412" s="22"/>
      <c r="T412" s="22"/>
      <c r="U412" s="22"/>
      <c r="V412" s="22"/>
      <c r="W412" s="22"/>
      <c r="X412" s="22"/>
      <c r="Y412" s="91">
        <f>$A$43</f>
        <v>20202</v>
      </c>
      <c r="Z412" s="105"/>
      <c r="AA412" s="90" t="str">
        <f t="shared" si="661"/>
        <v/>
      </c>
      <c r="AB412" s="90" t="str">
        <f t="shared" si="661"/>
        <v/>
      </c>
      <c r="AC412" s="22"/>
      <c r="AD412" s="22"/>
      <c r="AE412" s="22"/>
      <c r="AF412" s="22"/>
      <c r="AG412" s="22"/>
      <c r="AH412" s="22"/>
      <c r="AI412" s="22"/>
      <c r="AJ412" s="22"/>
      <c r="AK412" s="91">
        <f>$A$43</f>
        <v>20202</v>
      </c>
      <c r="AL412" s="105"/>
      <c r="AM412" s="90" t="str">
        <f t="shared" si="662"/>
        <v/>
      </c>
      <c r="AN412" s="90" t="str">
        <f t="shared" si="662"/>
        <v/>
      </c>
      <c r="AO412" s="22"/>
      <c r="AP412" s="22"/>
      <c r="AQ412" s="22"/>
      <c r="AR412" s="22"/>
      <c r="AS412" s="22"/>
      <c r="AT412" s="22"/>
      <c r="AU412" s="22"/>
      <c r="AV412" s="22"/>
      <c r="AW412" s="91">
        <f>$A$43</f>
        <v>20202</v>
      </c>
      <c r="AX412" s="105"/>
      <c r="AY412" s="90" t="str">
        <f t="shared" si="663"/>
        <v/>
      </c>
      <c r="AZ412" s="90" t="str">
        <f t="shared" si="663"/>
        <v/>
      </c>
      <c r="BA412" s="22"/>
      <c r="BB412" s="22"/>
      <c r="BC412" s="22"/>
      <c r="BD412" s="22"/>
      <c r="BE412" s="22"/>
      <c r="BF412" s="22"/>
      <c r="BG412" s="22"/>
      <c r="BH412" s="22"/>
      <c r="BI412" s="91">
        <f>$A$43</f>
        <v>20202</v>
      </c>
      <c r="BJ412" s="105"/>
      <c r="BK412" s="90" t="str">
        <f t="shared" si="664"/>
        <v/>
      </c>
      <c r="BL412" s="90" t="str">
        <f t="shared" si="664"/>
        <v/>
      </c>
      <c r="BM412" s="22"/>
      <c r="BN412" s="22"/>
      <c r="BO412" s="22"/>
      <c r="BP412" s="22"/>
      <c r="BQ412" s="22"/>
      <c r="BR412" s="22"/>
      <c r="BS412" s="22"/>
      <c r="BT412" s="22"/>
      <c r="BU412" s="91">
        <f>$A$43</f>
        <v>20202</v>
      </c>
      <c r="BV412" s="105"/>
      <c r="BW412" s="90" t="str">
        <f t="shared" si="665"/>
        <v/>
      </c>
      <c r="BX412" s="90" t="str">
        <f t="shared" si="665"/>
        <v/>
      </c>
      <c r="BY412" s="22"/>
      <c r="BZ412" s="22"/>
      <c r="CA412" s="22"/>
      <c r="CB412" s="22"/>
      <c r="CC412" s="22"/>
      <c r="CD412" s="22"/>
      <c r="CE412" s="22"/>
      <c r="CF412" s="22"/>
      <c r="CG412" s="91">
        <f>$A$43</f>
        <v>20202</v>
      </c>
      <c r="CH412" s="105"/>
      <c r="CI412" s="90" t="str">
        <f t="shared" si="666"/>
        <v/>
      </c>
      <c r="CJ412" s="90" t="str">
        <f t="shared" si="666"/>
        <v/>
      </c>
      <c r="CK412" s="22"/>
      <c r="CL412" s="22"/>
      <c r="CM412" s="22"/>
      <c r="CN412" s="22"/>
      <c r="CO412" s="22"/>
      <c r="CP412" s="22"/>
      <c r="CQ412" s="22"/>
      <c r="CR412" s="22"/>
      <c r="CS412" s="91">
        <f>$A$43</f>
        <v>20202</v>
      </c>
      <c r="CT412" s="105"/>
      <c r="CU412" s="90" t="str">
        <f t="shared" si="667"/>
        <v/>
      </c>
      <c r="CV412" s="90" t="str">
        <f t="shared" si="667"/>
        <v/>
      </c>
      <c r="CW412" s="22"/>
      <c r="CX412" s="22"/>
      <c r="CY412" s="22"/>
      <c r="CZ412" s="22"/>
      <c r="DA412" s="22"/>
      <c r="DB412" s="22"/>
      <c r="DC412" s="22"/>
      <c r="DD412" s="22"/>
      <c r="DE412" s="91">
        <f>$A$43</f>
        <v>20202</v>
      </c>
      <c r="DF412" s="105"/>
      <c r="DG412" s="90" t="str">
        <f t="shared" si="668"/>
        <v/>
      </c>
      <c r="DH412" s="90" t="str">
        <f t="shared" si="668"/>
        <v/>
      </c>
      <c r="DI412" s="22"/>
      <c r="DJ412" s="22"/>
      <c r="DK412" s="22"/>
      <c r="DL412" s="22"/>
      <c r="DM412" s="22"/>
      <c r="DN412" s="22"/>
      <c r="DO412" s="22"/>
      <c r="DP412" s="22"/>
    </row>
    <row r="413" spans="1:120" x14ac:dyDescent="0.25">
      <c r="A413" s="91">
        <f>$A$44</f>
        <v>20212</v>
      </c>
      <c r="B413" s="105"/>
      <c r="C413" s="90">
        <f t="shared" si="659"/>
        <v>1.4363636363636363</v>
      </c>
      <c r="D413" s="22"/>
      <c r="E413" s="22"/>
      <c r="F413" s="22"/>
      <c r="G413" s="22"/>
      <c r="H413" s="22"/>
      <c r="I413" s="22"/>
      <c r="J413" s="22"/>
      <c r="K413" s="22"/>
      <c r="L413" s="22"/>
      <c r="M413" s="91">
        <f>$A$44</f>
        <v>20212</v>
      </c>
      <c r="N413" s="105"/>
      <c r="O413" s="90" t="str">
        <f t="shared" si="660"/>
        <v/>
      </c>
      <c r="P413" s="22"/>
      <c r="Q413" s="22"/>
      <c r="R413" s="22"/>
      <c r="S413" s="22"/>
      <c r="T413" s="22"/>
      <c r="U413" s="22"/>
      <c r="V413" s="22"/>
      <c r="W413" s="22"/>
      <c r="X413" s="22"/>
      <c r="Y413" s="91">
        <f>$A$44</f>
        <v>20212</v>
      </c>
      <c r="Z413" s="105"/>
      <c r="AA413" s="90" t="str">
        <f t="shared" si="661"/>
        <v/>
      </c>
      <c r="AB413" s="22"/>
      <c r="AC413" s="22"/>
      <c r="AD413" s="22"/>
      <c r="AE413" s="22"/>
      <c r="AF413" s="22"/>
      <c r="AG413" s="22"/>
      <c r="AH413" s="22"/>
      <c r="AI413" s="22"/>
      <c r="AJ413" s="22"/>
      <c r="AK413" s="91">
        <f>$A$44</f>
        <v>20212</v>
      </c>
      <c r="AL413" s="105"/>
      <c r="AM413" s="90" t="str">
        <f t="shared" si="662"/>
        <v/>
      </c>
      <c r="AN413" s="22"/>
      <c r="AO413" s="22"/>
      <c r="AP413" s="22"/>
      <c r="AQ413" s="22"/>
      <c r="AR413" s="22"/>
      <c r="AS413" s="22"/>
      <c r="AT413" s="22"/>
      <c r="AU413" s="22"/>
      <c r="AV413" s="22"/>
      <c r="AW413" s="91">
        <f>$A$44</f>
        <v>20212</v>
      </c>
      <c r="AX413" s="105"/>
      <c r="AY413" s="90" t="str">
        <f t="shared" si="663"/>
        <v/>
      </c>
      <c r="AZ413" s="22"/>
      <c r="BA413" s="22"/>
      <c r="BB413" s="22"/>
      <c r="BC413" s="22"/>
      <c r="BD413" s="22"/>
      <c r="BE413" s="22"/>
      <c r="BF413" s="22"/>
      <c r="BG413" s="22"/>
      <c r="BH413" s="22"/>
      <c r="BI413" s="91">
        <f>$A$44</f>
        <v>20212</v>
      </c>
      <c r="BJ413" s="105"/>
      <c r="BK413" s="90" t="str">
        <f t="shared" si="664"/>
        <v/>
      </c>
      <c r="BL413" s="22"/>
      <c r="BM413" s="22"/>
      <c r="BN413" s="22"/>
      <c r="BO413" s="22"/>
      <c r="BP413" s="22"/>
      <c r="BQ413" s="22"/>
      <c r="BR413" s="22"/>
      <c r="BS413" s="22"/>
      <c r="BT413" s="22"/>
      <c r="BU413" s="91">
        <f>$A$44</f>
        <v>20212</v>
      </c>
      <c r="BV413" s="105"/>
      <c r="BW413" s="90" t="str">
        <f t="shared" si="665"/>
        <v/>
      </c>
      <c r="BX413" s="22"/>
      <c r="BY413" s="22"/>
      <c r="BZ413" s="22"/>
      <c r="CA413" s="22"/>
      <c r="CB413" s="22"/>
      <c r="CC413" s="22"/>
      <c r="CD413" s="22"/>
      <c r="CE413" s="22"/>
      <c r="CF413" s="22"/>
      <c r="CG413" s="91">
        <f>$A$44</f>
        <v>20212</v>
      </c>
      <c r="CH413" s="105"/>
      <c r="CI413" s="90" t="str">
        <f t="shared" si="666"/>
        <v/>
      </c>
      <c r="CJ413" s="22"/>
      <c r="CK413" s="22"/>
      <c r="CL413" s="22"/>
      <c r="CM413" s="22"/>
      <c r="CN413" s="22"/>
      <c r="CO413" s="22"/>
      <c r="CP413" s="22"/>
      <c r="CQ413" s="22"/>
      <c r="CR413" s="22"/>
      <c r="CS413" s="91">
        <f>$A$44</f>
        <v>20212</v>
      </c>
      <c r="CT413" s="105"/>
      <c r="CU413" s="90" t="str">
        <f t="shared" si="667"/>
        <v/>
      </c>
      <c r="CV413" s="22"/>
      <c r="CW413" s="22"/>
      <c r="CX413" s="22"/>
      <c r="CY413" s="22"/>
      <c r="CZ413" s="22"/>
      <c r="DA413" s="22"/>
      <c r="DB413" s="22"/>
      <c r="DC413" s="22"/>
      <c r="DD413" s="22"/>
      <c r="DE413" s="91">
        <f>$A$44</f>
        <v>20212</v>
      </c>
      <c r="DF413" s="105"/>
      <c r="DG413" s="90" t="str">
        <f t="shared" si="668"/>
        <v/>
      </c>
      <c r="DH413" s="22"/>
      <c r="DI413" s="22"/>
      <c r="DJ413" s="22"/>
      <c r="DK413" s="22"/>
      <c r="DL413" s="22"/>
      <c r="DM413" s="22"/>
      <c r="DN413" s="22"/>
      <c r="DO413" s="22"/>
      <c r="DP413" s="22"/>
    </row>
    <row r="414" spans="1:120" x14ac:dyDescent="0.25">
      <c r="A414" s="108"/>
      <c r="B414" s="108"/>
      <c r="C414" s="108"/>
      <c r="D414" s="108"/>
      <c r="E414" s="108"/>
      <c r="F414" s="108"/>
      <c r="G414" s="108"/>
      <c r="H414" s="108"/>
      <c r="I414" s="108"/>
      <c r="J414" s="108"/>
      <c r="K414" s="108"/>
      <c r="L414" s="109" t="s">
        <v>38</v>
      </c>
      <c r="M414" s="108"/>
      <c r="N414" s="108"/>
      <c r="O414" s="108"/>
      <c r="P414" s="108"/>
      <c r="Q414" s="108"/>
      <c r="R414" s="108"/>
      <c r="S414" s="108"/>
      <c r="T414" s="108"/>
      <c r="U414" s="108"/>
      <c r="V414" s="108"/>
      <c r="W414" s="108"/>
      <c r="X414" s="109" t="s">
        <v>38</v>
      </c>
      <c r="Y414" s="108"/>
      <c r="Z414" s="108"/>
      <c r="AA414" s="108"/>
      <c r="AB414" s="108"/>
      <c r="AC414" s="108"/>
      <c r="AD414" s="108"/>
      <c r="AE414" s="108"/>
      <c r="AF414" s="108"/>
      <c r="AG414" s="108"/>
      <c r="AH414" s="108"/>
      <c r="AI414" s="108"/>
      <c r="AJ414" s="109" t="s">
        <v>38</v>
      </c>
      <c r="AK414" s="108"/>
      <c r="AL414" s="108"/>
      <c r="AM414" s="108"/>
      <c r="AN414" s="108"/>
      <c r="AO414" s="108"/>
      <c r="AP414" s="108"/>
      <c r="AQ414" s="108"/>
      <c r="AR414" s="108"/>
      <c r="AS414" s="108"/>
      <c r="AT414" s="108"/>
      <c r="AU414" s="108"/>
      <c r="AV414" s="109" t="s">
        <v>38</v>
      </c>
      <c r="AW414" s="108"/>
      <c r="AX414" s="108"/>
      <c r="AY414" s="108"/>
      <c r="AZ414" s="108"/>
      <c r="BA414" s="108"/>
      <c r="BB414" s="108"/>
      <c r="BC414" s="108"/>
      <c r="BD414" s="108"/>
      <c r="BE414" s="108"/>
      <c r="BF414" s="108"/>
      <c r="BG414" s="108"/>
      <c r="BH414" s="109" t="s">
        <v>38</v>
      </c>
      <c r="BI414" s="108"/>
      <c r="BJ414" s="108"/>
      <c r="BK414" s="108"/>
      <c r="BL414" s="108"/>
      <c r="BM414" s="108"/>
      <c r="BN414" s="108"/>
      <c r="BO414" s="108"/>
      <c r="BP414" s="108"/>
      <c r="BQ414" s="108"/>
      <c r="BR414" s="108"/>
      <c r="BS414" s="108"/>
      <c r="BT414" s="109" t="s">
        <v>38</v>
      </c>
      <c r="BU414" s="108"/>
      <c r="BV414" s="108"/>
      <c r="BW414" s="108"/>
      <c r="BX414" s="108"/>
      <c r="BY414" s="108"/>
      <c r="BZ414" s="108"/>
      <c r="CA414" s="108"/>
      <c r="CB414" s="108"/>
      <c r="CC414" s="108"/>
      <c r="CD414" s="108"/>
      <c r="CE414" s="108"/>
      <c r="CF414" s="109" t="s">
        <v>38</v>
      </c>
      <c r="CG414" s="108"/>
      <c r="CH414" s="108"/>
      <c r="CI414" s="108"/>
      <c r="CJ414" s="108"/>
      <c r="CK414" s="108"/>
      <c r="CL414" s="108"/>
      <c r="CM414" s="108"/>
      <c r="CN414" s="108"/>
      <c r="CO414" s="108"/>
      <c r="CP414" s="108"/>
      <c r="CQ414" s="108"/>
      <c r="CR414" s="109" t="s">
        <v>38</v>
      </c>
      <c r="CS414" s="108"/>
      <c r="CT414" s="108"/>
      <c r="CU414" s="108"/>
      <c r="CV414" s="108"/>
      <c r="CW414" s="108"/>
      <c r="CX414" s="108"/>
      <c r="CY414" s="108"/>
      <c r="CZ414" s="108"/>
      <c r="DA414" s="108"/>
      <c r="DB414" s="108"/>
      <c r="DC414" s="108"/>
      <c r="DD414" s="109" t="s">
        <v>38</v>
      </c>
      <c r="DE414" s="108"/>
      <c r="DF414" s="108"/>
      <c r="DG414" s="108"/>
      <c r="DH414" s="108"/>
      <c r="DI414" s="108"/>
      <c r="DJ414" s="108"/>
      <c r="DK414" s="108"/>
      <c r="DL414" s="108"/>
      <c r="DM414" s="108"/>
      <c r="DN414" s="108"/>
      <c r="DO414" s="108"/>
      <c r="DP414" s="109" t="s">
        <v>38</v>
      </c>
    </row>
    <row r="415" spans="1:120" x14ac:dyDescent="0.25">
      <c r="A415" s="11" t="s">
        <v>37</v>
      </c>
      <c r="B415" s="107"/>
      <c r="C415" s="93">
        <f>IFERROR(SUM(D398:D400)/SUM(C398:C400),1)</f>
        <v>1.379161372299873</v>
      </c>
      <c r="D415" s="93">
        <f>IFERROR(SUM(E397:E399)/SUM(D397:D399),1)</f>
        <v>1.0539922616953923</v>
      </c>
      <c r="E415" s="93">
        <f>IFERROR(SUM(F396:F398)/SUM(E396:E398),1)</f>
        <v>1.0220829603103552</v>
      </c>
      <c r="F415" s="93">
        <f>IFERROR(SUM(G395:G397)/SUM(F395:F397),1)</f>
        <v>1.011195577055978</v>
      </c>
      <c r="G415" s="93">
        <f>IFERROR(SUM(H394:H396)/SUM(G394:G396),1)</f>
        <v>1.0061803901371273</v>
      </c>
      <c r="H415" s="93">
        <f>IFERROR(SUM(I393:I395)/SUM(H393:H395),1)</f>
        <v>1.0031462694233979</v>
      </c>
      <c r="I415" s="93">
        <f>IFERROR(SUM(J392:J394)/SUM(I392:I394),1)</f>
        <v>1.0026686434395848</v>
      </c>
      <c r="J415" s="93">
        <f>IFERROR(SUM(K392:K393)/SUM(J392:J393),1)</f>
        <v>1.001526896875734</v>
      </c>
      <c r="K415" s="93">
        <f>IFERROR(SUM(L392:L392)/SUM(K392:K392),1)</f>
        <v>1.0016572754391779</v>
      </c>
      <c r="L415" s="93">
        <v>1</v>
      </c>
      <c r="M415" s="285" t="s">
        <v>37</v>
      </c>
      <c r="N415" s="107"/>
      <c r="O415" s="93">
        <f>IFERROR(SUM(P398:P400)/SUM(O398:O400),1)</f>
        <v>1</v>
      </c>
      <c r="P415" s="93">
        <f>IFERROR(SUM(Q397:Q399)/SUM(P397:P399),1)</f>
        <v>1</v>
      </c>
      <c r="Q415" s="93">
        <f>IFERROR(SUM(R396:R398)/SUM(Q396:Q398),1)</f>
        <v>1</v>
      </c>
      <c r="R415" s="93">
        <f>IFERROR(SUM(S395:S397)/SUM(R395:R397),1)</f>
        <v>1</v>
      </c>
      <c r="S415" s="93">
        <f>IFERROR(SUM(T394:T396)/SUM(S394:S396),1)</f>
        <v>1</v>
      </c>
      <c r="T415" s="93">
        <f>IFERROR(SUM(U393:U395)/SUM(T393:T395),1)</f>
        <v>1</v>
      </c>
      <c r="U415" s="93">
        <f>IFERROR(SUM(V392:V394)/SUM(U392:U394),1)</f>
        <v>1</v>
      </c>
      <c r="V415" s="93">
        <f>IFERROR(SUM(W392:W393)/SUM(V392:V393),1)</f>
        <v>1</v>
      </c>
      <c r="W415" s="93">
        <f>IFERROR(SUM(X392:X392)/SUM(W392:W392),1)</f>
        <v>1</v>
      </c>
      <c r="X415" s="93">
        <v>1</v>
      </c>
      <c r="Y415" s="285" t="s">
        <v>37</v>
      </c>
      <c r="Z415" s="107"/>
      <c r="AA415" s="93">
        <f>IFERROR(SUM(AB398:AB400)/SUM(AA398:AA400),1)</f>
        <v>1</v>
      </c>
      <c r="AB415" s="93">
        <f>IFERROR(SUM(AC397:AC399)/SUM(AB397:AB399),1)</f>
        <v>1</v>
      </c>
      <c r="AC415" s="93">
        <f>IFERROR(SUM(AD396:AD398)/SUM(AC396:AC398),1)</f>
        <v>1</v>
      </c>
      <c r="AD415" s="93">
        <f>IFERROR(SUM(AE395:AE397)/SUM(AD395:AD397),1)</f>
        <v>1</v>
      </c>
      <c r="AE415" s="93">
        <f>IFERROR(SUM(AF394:AF396)/SUM(AE394:AE396),1)</f>
        <v>1</v>
      </c>
      <c r="AF415" s="93">
        <f>IFERROR(SUM(AG393:AG395)/SUM(AF393:AF395),1)</f>
        <v>1</v>
      </c>
      <c r="AG415" s="93">
        <f>IFERROR(SUM(AH392:AH394)/SUM(AG392:AG394),1)</f>
        <v>1</v>
      </c>
      <c r="AH415" s="93">
        <f>IFERROR(SUM(AI392:AI393)/SUM(AH392:AH393),1)</f>
        <v>1</v>
      </c>
      <c r="AI415" s="93">
        <f>IFERROR(SUM(AJ392:AJ392)/SUM(AI392:AI392),1)</f>
        <v>1</v>
      </c>
      <c r="AJ415" s="93">
        <v>1</v>
      </c>
      <c r="AK415" s="285" t="s">
        <v>37</v>
      </c>
      <c r="AL415" s="107"/>
      <c r="AM415" s="93">
        <f>IFERROR(SUM(AN398:AN400)/SUM(AM398:AM400),1)</f>
        <v>1</v>
      </c>
      <c r="AN415" s="93">
        <f>IFERROR(SUM(AO397:AO399)/SUM(AN397:AN399),1)</f>
        <v>1</v>
      </c>
      <c r="AO415" s="93">
        <f>IFERROR(SUM(AP396:AP398)/SUM(AO396:AO398),1)</f>
        <v>1</v>
      </c>
      <c r="AP415" s="93">
        <f>IFERROR(SUM(AQ395:AQ397)/SUM(AP395:AP397),1)</f>
        <v>1</v>
      </c>
      <c r="AQ415" s="93">
        <f>IFERROR(SUM(AR394:AR396)/SUM(AQ394:AQ396),1)</f>
        <v>1</v>
      </c>
      <c r="AR415" s="93">
        <f>IFERROR(SUM(AS393:AS395)/SUM(AR393:AR395),1)</f>
        <v>1</v>
      </c>
      <c r="AS415" s="93">
        <f>IFERROR(SUM(AT392:AT394)/SUM(AS392:AS394),1)</f>
        <v>1</v>
      </c>
      <c r="AT415" s="93">
        <f>IFERROR(SUM(AU392:AU393)/SUM(AT392:AT393),1)</f>
        <v>1</v>
      </c>
      <c r="AU415" s="93">
        <f>IFERROR(SUM(AV392:AV392)/SUM(AU392:AU392),1)</f>
        <v>1</v>
      </c>
      <c r="AV415" s="93">
        <v>1</v>
      </c>
      <c r="AW415" s="285" t="s">
        <v>37</v>
      </c>
      <c r="AX415" s="107"/>
      <c r="AY415" s="93">
        <f>IFERROR(SUM(AZ398:AZ400)/SUM(AY398:AY400),1)</f>
        <v>1</v>
      </c>
      <c r="AZ415" s="93">
        <f>IFERROR(SUM(BA397:BA399)/SUM(AZ397:AZ399),1)</f>
        <v>1</v>
      </c>
      <c r="BA415" s="93">
        <f>IFERROR(SUM(BB396:BB398)/SUM(BA396:BA398),1)</f>
        <v>1</v>
      </c>
      <c r="BB415" s="93">
        <f>IFERROR(SUM(BC395:BC397)/SUM(BB395:BB397),1)</f>
        <v>1</v>
      </c>
      <c r="BC415" s="93">
        <f>IFERROR(SUM(BD394:BD396)/SUM(BC394:BC396),1)</f>
        <v>1</v>
      </c>
      <c r="BD415" s="93">
        <f>IFERROR(SUM(BE393:BE395)/SUM(BD393:BD395),1)</f>
        <v>1</v>
      </c>
      <c r="BE415" s="93">
        <f>IFERROR(SUM(BF392:BF394)/SUM(BE392:BE394),1)</f>
        <v>1</v>
      </c>
      <c r="BF415" s="93">
        <f>IFERROR(SUM(BG392:BG393)/SUM(BF392:BF393),1)</f>
        <v>1</v>
      </c>
      <c r="BG415" s="93">
        <f>IFERROR(SUM(BH392:BH392)/SUM(BG392:BG392),1)</f>
        <v>1</v>
      </c>
      <c r="BH415" s="93">
        <v>1</v>
      </c>
      <c r="BI415" s="285" t="s">
        <v>37</v>
      </c>
      <c r="BJ415" s="107"/>
      <c r="BK415" s="93">
        <f>IFERROR(SUM(BL398:BL400)/SUM(BK398:BK400),1)</f>
        <v>1</v>
      </c>
      <c r="BL415" s="93">
        <f>IFERROR(SUM(BM397:BM399)/SUM(BL397:BL399),1)</f>
        <v>1</v>
      </c>
      <c r="BM415" s="93">
        <f>IFERROR(SUM(BN396:BN398)/SUM(BM396:BM398),1)</f>
        <v>1</v>
      </c>
      <c r="BN415" s="93">
        <f>IFERROR(SUM(BO395:BO397)/SUM(BN395:BN397),1)</f>
        <v>1</v>
      </c>
      <c r="BO415" s="93">
        <f>IFERROR(SUM(BP394:BP396)/SUM(BO394:BO396),1)</f>
        <v>1</v>
      </c>
      <c r="BP415" s="93">
        <f>IFERROR(SUM(BQ393:BQ395)/SUM(BP393:BP395),1)</f>
        <v>1</v>
      </c>
      <c r="BQ415" s="93">
        <f>IFERROR(SUM(BR392:BR394)/SUM(BQ392:BQ394),1)</f>
        <v>1</v>
      </c>
      <c r="BR415" s="93">
        <f>IFERROR(SUM(BS392:BS393)/SUM(BR392:BR393),1)</f>
        <v>1</v>
      </c>
      <c r="BS415" s="93">
        <f>IFERROR(SUM(BT392:BT392)/SUM(BS392:BS392),1)</f>
        <v>1</v>
      </c>
      <c r="BT415" s="93">
        <v>1</v>
      </c>
      <c r="BU415" s="285" t="s">
        <v>37</v>
      </c>
      <c r="BV415" s="107"/>
      <c r="BW415" s="93">
        <f>IFERROR(SUM(BX398:BX400)/SUM(BW398:BW400),1)</f>
        <v>1</v>
      </c>
      <c r="BX415" s="93">
        <f>IFERROR(SUM(BY397:BY399)/SUM(BX397:BX399),1)</f>
        <v>1</v>
      </c>
      <c r="BY415" s="93">
        <f>IFERROR(SUM(BZ396:BZ398)/SUM(BY396:BY398),1)</f>
        <v>1</v>
      </c>
      <c r="BZ415" s="93">
        <f>IFERROR(SUM(CA395:CA397)/SUM(BZ395:BZ397),1)</f>
        <v>1</v>
      </c>
      <c r="CA415" s="93">
        <f>IFERROR(SUM(CB394:CB396)/SUM(CA394:CA396),1)</f>
        <v>1</v>
      </c>
      <c r="CB415" s="93">
        <f>IFERROR(SUM(CC393:CC395)/SUM(CB393:CB395),1)</f>
        <v>1</v>
      </c>
      <c r="CC415" s="93">
        <f>IFERROR(SUM(CD392:CD394)/SUM(CC392:CC394),1)</f>
        <v>1</v>
      </c>
      <c r="CD415" s="93">
        <f>IFERROR(SUM(CE392:CE393)/SUM(CD392:CD393),1)</f>
        <v>1</v>
      </c>
      <c r="CE415" s="93">
        <f>IFERROR(SUM(CF392:CF392)/SUM(CE392:CE392),1)</f>
        <v>1</v>
      </c>
      <c r="CF415" s="93">
        <v>1</v>
      </c>
      <c r="CG415" s="285" t="s">
        <v>37</v>
      </c>
      <c r="CH415" s="107"/>
      <c r="CI415" s="93">
        <f>IFERROR(SUM(CJ398:CJ400)/SUM(CI398:CI400),1)</f>
        <v>1</v>
      </c>
      <c r="CJ415" s="93">
        <f>IFERROR(SUM(CK397:CK399)/SUM(CJ397:CJ399),1)</f>
        <v>1</v>
      </c>
      <c r="CK415" s="93">
        <f>IFERROR(SUM(CL396:CL398)/SUM(CK396:CK398),1)</f>
        <v>1</v>
      </c>
      <c r="CL415" s="93">
        <f>IFERROR(SUM(CM395:CM397)/SUM(CL395:CL397),1)</f>
        <v>1</v>
      </c>
      <c r="CM415" s="93">
        <f>IFERROR(SUM(CN394:CN396)/SUM(CM394:CM396),1)</f>
        <v>1</v>
      </c>
      <c r="CN415" s="93">
        <f>IFERROR(SUM(CO393:CO395)/SUM(CN393:CN395),1)</f>
        <v>1</v>
      </c>
      <c r="CO415" s="93">
        <f>IFERROR(SUM(CP392:CP394)/SUM(CO392:CO394),1)</f>
        <v>1</v>
      </c>
      <c r="CP415" s="93">
        <f>IFERROR(SUM(CQ392:CQ393)/SUM(CP392:CP393),1)</f>
        <v>1</v>
      </c>
      <c r="CQ415" s="93">
        <f>IFERROR(SUM(CR392:CR392)/SUM(CQ392:CQ392),1)</f>
        <v>1</v>
      </c>
      <c r="CR415" s="93">
        <v>1</v>
      </c>
      <c r="CS415" s="285" t="s">
        <v>37</v>
      </c>
      <c r="CT415" s="107"/>
      <c r="CU415" s="93">
        <f>IFERROR(SUM(CV398:CV400)/SUM(CU398:CU400),1)</f>
        <v>1</v>
      </c>
      <c r="CV415" s="93">
        <f>IFERROR(SUM(CW397:CW399)/SUM(CV397:CV399),1)</f>
        <v>1</v>
      </c>
      <c r="CW415" s="93">
        <f>IFERROR(SUM(CX396:CX398)/SUM(CW396:CW398),1)</f>
        <v>1</v>
      </c>
      <c r="CX415" s="93">
        <f>IFERROR(SUM(CY395:CY397)/SUM(CX395:CX397),1)</f>
        <v>1</v>
      </c>
      <c r="CY415" s="93">
        <f>IFERROR(SUM(CZ394:CZ396)/SUM(CY394:CY396),1)</f>
        <v>1</v>
      </c>
      <c r="CZ415" s="93">
        <f>IFERROR(SUM(DA393:DA395)/SUM(CZ393:CZ395),1)</f>
        <v>1</v>
      </c>
      <c r="DA415" s="93">
        <f>IFERROR(SUM(DB392:DB394)/SUM(DA392:DA394),1)</f>
        <v>1</v>
      </c>
      <c r="DB415" s="93">
        <f>IFERROR(SUM(DC392:DC393)/SUM(DB392:DB393),1)</f>
        <v>1</v>
      </c>
      <c r="DC415" s="93">
        <f>IFERROR(SUM(DD392:DD392)/SUM(DC392:DC392),1)</f>
        <v>1</v>
      </c>
      <c r="DD415" s="93">
        <v>1</v>
      </c>
      <c r="DE415" s="285" t="s">
        <v>37</v>
      </c>
      <c r="DF415" s="107"/>
      <c r="DG415" s="93">
        <f>IFERROR(SUM(DH398:DH400)/SUM(DG398:DG400),1)</f>
        <v>1</v>
      </c>
      <c r="DH415" s="93">
        <f>IFERROR(SUM(DI397:DI399)/SUM(DH397:DH399),1)</f>
        <v>1</v>
      </c>
      <c r="DI415" s="93">
        <f>IFERROR(SUM(DJ396:DJ398)/SUM(DI396:DI398),1)</f>
        <v>1</v>
      </c>
      <c r="DJ415" s="93">
        <f>IFERROR(SUM(DK395:DK397)/SUM(DJ395:DJ397),1)</f>
        <v>1</v>
      </c>
      <c r="DK415" s="93">
        <f>IFERROR(SUM(DL394:DL396)/SUM(DK394:DK396),1)</f>
        <v>1</v>
      </c>
      <c r="DL415" s="93">
        <f>IFERROR(SUM(DM393:DM395)/SUM(DL393:DL395),1)</f>
        <v>1</v>
      </c>
      <c r="DM415" s="93">
        <f>IFERROR(SUM(DN392:DN394)/SUM(DM392:DM394),1)</f>
        <v>1</v>
      </c>
      <c r="DN415" s="93">
        <f>IFERROR(SUM(DO392:DO393)/SUM(DN392:DN393),1)</f>
        <v>1</v>
      </c>
      <c r="DO415" s="93">
        <f>IFERROR(SUM(DP392:DP392)/SUM(DO392:DO392),1)</f>
        <v>1</v>
      </c>
      <c r="DP415" s="93">
        <v>1</v>
      </c>
    </row>
    <row r="416" spans="1:120" ht="15.75" thickBot="1" x14ac:dyDescent="0.3">
      <c r="A416" s="11" t="s">
        <v>40</v>
      </c>
      <c r="B416" s="107"/>
      <c r="C416" s="93">
        <f>IF(C415=0,1,C415)</f>
        <v>1.379161372299873</v>
      </c>
      <c r="D416" s="93">
        <f t="shared" ref="D416:K416" si="669">IF(D415=0,1,D415)</f>
        <v>1.0539922616953923</v>
      </c>
      <c r="E416" s="93">
        <f t="shared" si="669"/>
        <v>1.0220829603103552</v>
      </c>
      <c r="F416" s="93">
        <f t="shared" si="669"/>
        <v>1.011195577055978</v>
      </c>
      <c r="G416" s="93">
        <f t="shared" si="669"/>
        <v>1.0061803901371273</v>
      </c>
      <c r="H416" s="93">
        <f t="shared" si="669"/>
        <v>1.0031462694233979</v>
      </c>
      <c r="I416" s="93">
        <f t="shared" si="669"/>
        <v>1.0026686434395848</v>
      </c>
      <c r="J416" s="93">
        <f t="shared" si="669"/>
        <v>1.001526896875734</v>
      </c>
      <c r="K416" s="93">
        <f t="shared" si="669"/>
        <v>1.0016572754391779</v>
      </c>
      <c r="L416" s="93">
        <f>IF(L415=0,1,L415)</f>
        <v>1</v>
      </c>
      <c r="M416" s="285" t="s">
        <v>40</v>
      </c>
      <c r="N416" s="107"/>
      <c r="O416" s="93">
        <f>IF(O415=0,1,O415)</f>
        <v>1</v>
      </c>
      <c r="P416" s="93">
        <f t="shared" ref="P416:W416" si="670">IF(P415=0,1,P415)</f>
        <v>1</v>
      </c>
      <c r="Q416" s="93">
        <f t="shared" si="670"/>
        <v>1</v>
      </c>
      <c r="R416" s="93">
        <f t="shared" si="670"/>
        <v>1</v>
      </c>
      <c r="S416" s="93">
        <f t="shared" si="670"/>
        <v>1</v>
      </c>
      <c r="T416" s="93">
        <f t="shared" si="670"/>
        <v>1</v>
      </c>
      <c r="U416" s="93">
        <f t="shared" si="670"/>
        <v>1</v>
      </c>
      <c r="V416" s="93">
        <f t="shared" si="670"/>
        <v>1</v>
      </c>
      <c r="W416" s="93">
        <f t="shared" si="670"/>
        <v>1</v>
      </c>
      <c r="X416" s="93">
        <f>IF(X415=0,1,X415)</f>
        <v>1</v>
      </c>
      <c r="Y416" s="285" t="s">
        <v>40</v>
      </c>
      <c r="Z416" s="107"/>
      <c r="AA416" s="93">
        <f>IF(AA415=0,1,AA415)</f>
        <v>1</v>
      </c>
      <c r="AB416" s="93">
        <f t="shared" ref="AB416:AI416" si="671">IF(AB415=0,1,AB415)</f>
        <v>1</v>
      </c>
      <c r="AC416" s="93">
        <f t="shared" si="671"/>
        <v>1</v>
      </c>
      <c r="AD416" s="93">
        <f t="shared" si="671"/>
        <v>1</v>
      </c>
      <c r="AE416" s="93">
        <f t="shared" si="671"/>
        <v>1</v>
      </c>
      <c r="AF416" s="93">
        <f t="shared" si="671"/>
        <v>1</v>
      </c>
      <c r="AG416" s="93">
        <f t="shared" si="671"/>
        <v>1</v>
      </c>
      <c r="AH416" s="93">
        <f t="shared" si="671"/>
        <v>1</v>
      </c>
      <c r="AI416" s="93">
        <f t="shared" si="671"/>
        <v>1</v>
      </c>
      <c r="AJ416" s="93">
        <f>IF(AJ415=0,1,AJ415)</f>
        <v>1</v>
      </c>
      <c r="AK416" s="285" t="s">
        <v>40</v>
      </c>
      <c r="AL416" s="107"/>
      <c r="AM416" s="93">
        <f>IF(AM415=0,1,AM415)</f>
        <v>1</v>
      </c>
      <c r="AN416" s="93">
        <f t="shared" ref="AN416:AU416" si="672">IF(AN415=0,1,AN415)</f>
        <v>1</v>
      </c>
      <c r="AO416" s="93">
        <f t="shared" si="672"/>
        <v>1</v>
      </c>
      <c r="AP416" s="93">
        <f t="shared" si="672"/>
        <v>1</v>
      </c>
      <c r="AQ416" s="93">
        <f t="shared" si="672"/>
        <v>1</v>
      </c>
      <c r="AR416" s="93">
        <f t="shared" si="672"/>
        <v>1</v>
      </c>
      <c r="AS416" s="93">
        <f t="shared" si="672"/>
        <v>1</v>
      </c>
      <c r="AT416" s="93">
        <f t="shared" si="672"/>
        <v>1</v>
      </c>
      <c r="AU416" s="93">
        <f t="shared" si="672"/>
        <v>1</v>
      </c>
      <c r="AV416" s="93">
        <f>IF(AV415=0,1,AV415)</f>
        <v>1</v>
      </c>
      <c r="AW416" s="285" t="s">
        <v>40</v>
      </c>
      <c r="AX416" s="107"/>
      <c r="AY416" s="93">
        <f>IF(AY415=0,1,AY415)</f>
        <v>1</v>
      </c>
      <c r="AZ416" s="93">
        <f t="shared" ref="AZ416:BG416" si="673">IF(AZ415=0,1,AZ415)</f>
        <v>1</v>
      </c>
      <c r="BA416" s="93">
        <f t="shared" si="673"/>
        <v>1</v>
      </c>
      <c r="BB416" s="93">
        <f t="shared" si="673"/>
        <v>1</v>
      </c>
      <c r="BC416" s="93">
        <f t="shared" si="673"/>
        <v>1</v>
      </c>
      <c r="BD416" s="93">
        <f t="shared" si="673"/>
        <v>1</v>
      </c>
      <c r="BE416" s="93">
        <f t="shared" si="673"/>
        <v>1</v>
      </c>
      <c r="BF416" s="93">
        <f t="shared" si="673"/>
        <v>1</v>
      </c>
      <c r="BG416" s="93">
        <f t="shared" si="673"/>
        <v>1</v>
      </c>
      <c r="BH416" s="93">
        <f>IF(BH415=0,1,BH415)</f>
        <v>1</v>
      </c>
      <c r="BI416" s="285" t="s">
        <v>40</v>
      </c>
      <c r="BJ416" s="107"/>
      <c r="BK416" s="93">
        <f>IF(BK415=0,1,BK415)</f>
        <v>1</v>
      </c>
      <c r="BL416" s="93">
        <f t="shared" ref="BL416:BS416" si="674">IF(BL415=0,1,BL415)</f>
        <v>1</v>
      </c>
      <c r="BM416" s="93">
        <f t="shared" si="674"/>
        <v>1</v>
      </c>
      <c r="BN416" s="93">
        <f t="shared" si="674"/>
        <v>1</v>
      </c>
      <c r="BO416" s="93">
        <f t="shared" si="674"/>
        <v>1</v>
      </c>
      <c r="BP416" s="93">
        <f t="shared" si="674"/>
        <v>1</v>
      </c>
      <c r="BQ416" s="93">
        <f t="shared" si="674"/>
        <v>1</v>
      </c>
      <c r="BR416" s="93">
        <f t="shared" si="674"/>
        <v>1</v>
      </c>
      <c r="BS416" s="93">
        <f t="shared" si="674"/>
        <v>1</v>
      </c>
      <c r="BT416" s="93">
        <f>IF(BT415=0,1,BT415)</f>
        <v>1</v>
      </c>
      <c r="BU416" s="285" t="s">
        <v>40</v>
      </c>
      <c r="BV416" s="107"/>
      <c r="BW416" s="93">
        <f>IF(BW415=0,1,BW415)</f>
        <v>1</v>
      </c>
      <c r="BX416" s="93">
        <f t="shared" ref="BX416:CE416" si="675">IF(BX415=0,1,BX415)</f>
        <v>1</v>
      </c>
      <c r="BY416" s="93">
        <f t="shared" si="675"/>
        <v>1</v>
      </c>
      <c r="BZ416" s="93">
        <f t="shared" si="675"/>
        <v>1</v>
      </c>
      <c r="CA416" s="93">
        <f t="shared" si="675"/>
        <v>1</v>
      </c>
      <c r="CB416" s="93">
        <f t="shared" si="675"/>
        <v>1</v>
      </c>
      <c r="CC416" s="93">
        <f t="shared" si="675"/>
        <v>1</v>
      </c>
      <c r="CD416" s="93">
        <f t="shared" si="675"/>
        <v>1</v>
      </c>
      <c r="CE416" s="93">
        <f t="shared" si="675"/>
        <v>1</v>
      </c>
      <c r="CF416" s="93">
        <f>IF(CF415=0,1,CF415)</f>
        <v>1</v>
      </c>
      <c r="CG416" s="285" t="s">
        <v>40</v>
      </c>
      <c r="CH416" s="107"/>
      <c r="CI416" s="93">
        <f>IF(CI415=0,1,CI415)</f>
        <v>1</v>
      </c>
      <c r="CJ416" s="93">
        <f t="shared" ref="CJ416:CQ416" si="676">IF(CJ415=0,1,CJ415)</f>
        <v>1</v>
      </c>
      <c r="CK416" s="93">
        <f t="shared" si="676"/>
        <v>1</v>
      </c>
      <c r="CL416" s="93">
        <f t="shared" si="676"/>
        <v>1</v>
      </c>
      <c r="CM416" s="93">
        <f t="shared" si="676"/>
        <v>1</v>
      </c>
      <c r="CN416" s="93">
        <f t="shared" si="676"/>
        <v>1</v>
      </c>
      <c r="CO416" s="93">
        <f t="shared" si="676"/>
        <v>1</v>
      </c>
      <c r="CP416" s="93">
        <f t="shared" si="676"/>
        <v>1</v>
      </c>
      <c r="CQ416" s="93">
        <f t="shared" si="676"/>
        <v>1</v>
      </c>
      <c r="CR416" s="93">
        <f>IF(CR415=0,1,CR415)</f>
        <v>1</v>
      </c>
      <c r="CS416" s="285" t="s">
        <v>40</v>
      </c>
      <c r="CT416" s="107"/>
      <c r="CU416" s="93">
        <f>IF(CU415=0,1,CU415)</f>
        <v>1</v>
      </c>
      <c r="CV416" s="93">
        <f t="shared" ref="CV416:DC416" si="677">IF(CV415=0,1,CV415)</f>
        <v>1</v>
      </c>
      <c r="CW416" s="93">
        <f t="shared" si="677"/>
        <v>1</v>
      </c>
      <c r="CX416" s="93">
        <f t="shared" si="677"/>
        <v>1</v>
      </c>
      <c r="CY416" s="93">
        <f t="shared" si="677"/>
        <v>1</v>
      </c>
      <c r="CZ416" s="93">
        <f t="shared" si="677"/>
        <v>1</v>
      </c>
      <c r="DA416" s="93">
        <f t="shared" si="677"/>
        <v>1</v>
      </c>
      <c r="DB416" s="93">
        <f t="shared" si="677"/>
        <v>1</v>
      </c>
      <c r="DC416" s="93">
        <f t="shared" si="677"/>
        <v>1</v>
      </c>
      <c r="DD416" s="93">
        <f>IF(DD415=0,1,DD415)</f>
        <v>1</v>
      </c>
      <c r="DE416" s="285" t="s">
        <v>40</v>
      </c>
      <c r="DF416" s="107"/>
      <c r="DG416" s="93">
        <f>IF(DG415=0,1,DG415)</f>
        <v>1</v>
      </c>
      <c r="DH416" s="93">
        <f t="shared" ref="DH416:DO416" si="678">IF(DH415=0,1,DH415)</f>
        <v>1</v>
      </c>
      <c r="DI416" s="93">
        <f t="shared" si="678"/>
        <v>1</v>
      </c>
      <c r="DJ416" s="93">
        <f t="shared" si="678"/>
        <v>1</v>
      </c>
      <c r="DK416" s="93">
        <f t="shared" si="678"/>
        <v>1</v>
      </c>
      <c r="DL416" s="93">
        <f t="shared" si="678"/>
        <v>1</v>
      </c>
      <c r="DM416" s="93">
        <f t="shared" si="678"/>
        <v>1</v>
      </c>
      <c r="DN416" s="93">
        <f t="shared" si="678"/>
        <v>1</v>
      </c>
      <c r="DO416" s="93">
        <f t="shared" si="678"/>
        <v>1</v>
      </c>
      <c r="DP416" s="93">
        <f>IF(DP415=0,1,DP415)</f>
        <v>1</v>
      </c>
    </row>
    <row r="417" spans="1:120" ht="15.75" thickBot="1" x14ac:dyDescent="0.3">
      <c r="A417" s="111" t="s">
        <v>39</v>
      </c>
      <c r="B417" s="115"/>
      <c r="C417" s="113">
        <f>PRODUCT(C416:L416)</f>
        <v>1.5252924771314116</v>
      </c>
      <c r="D417" s="113">
        <f>PRODUCT(D416:L416)</f>
        <v>1.105956494842842</v>
      </c>
      <c r="E417" s="113">
        <f>PRODUCT(E416:L416)</f>
        <v>1.0493022909521774</v>
      </c>
      <c r="F417" s="113">
        <f>PRODUCT(F416:L416)</f>
        <v>1.0266312341549624</v>
      </c>
      <c r="G417" s="113">
        <f>PRODUCT(G416:L416)</f>
        <v>1.0152647593098898</v>
      </c>
      <c r="H417" s="113">
        <f>PRODUCT(H416:L416)</f>
        <v>1.0090285690933853</v>
      </c>
      <c r="I417" s="113">
        <f>PRODUCT(I416:L416)</f>
        <v>1.0058638504167179</v>
      </c>
      <c r="J417" s="113">
        <f>PRODUCT(J416:L416)</f>
        <v>1.0031867028036023</v>
      </c>
      <c r="K417" s="113">
        <f>PRODUCT(K416:L416)</f>
        <v>1.0016572754391779</v>
      </c>
      <c r="L417" s="114">
        <f>PRODUCT(L416:L416)</f>
        <v>1</v>
      </c>
      <c r="M417" s="111" t="s">
        <v>39</v>
      </c>
      <c r="N417" s="115"/>
      <c r="O417" s="113">
        <f>PRODUCT(O416:X416)</f>
        <v>1</v>
      </c>
      <c r="P417" s="113">
        <f>PRODUCT(P416:X416)</f>
        <v>1</v>
      </c>
      <c r="Q417" s="113">
        <f>PRODUCT(Q416:X416)</f>
        <v>1</v>
      </c>
      <c r="R417" s="113">
        <f>PRODUCT(R416:X416)</f>
        <v>1</v>
      </c>
      <c r="S417" s="113">
        <f>PRODUCT(S416:X416)</f>
        <v>1</v>
      </c>
      <c r="T417" s="113">
        <f>PRODUCT(T416:X416)</f>
        <v>1</v>
      </c>
      <c r="U417" s="113">
        <f>PRODUCT(U416:X416)</f>
        <v>1</v>
      </c>
      <c r="V417" s="113">
        <f>PRODUCT(V416:X416)</f>
        <v>1</v>
      </c>
      <c r="W417" s="113">
        <f>PRODUCT(W416:X416)</f>
        <v>1</v>
      </c>
      <c r="X417" s="114">
        <f>PRODUCT(X416:X416)</f>
        <v>1</v>
      </c>
      <c r="Y417" s="111" t="s">
        <v>39</v>
      </c>
      <c r="Z417" s="115"/>
      <c r="AA417" s="113">
        <f>PRODUCT(AA416:AJ416)</f>
        <v>1</v>
      </c>
      <c r="AB417" s="113">
        <f>PRODUCT(AB416:AJ416)</f>
        <v>1</v>
      </c>
      <c r="AC417" s="113">
        <f>PRODUCT(AC416:AJ416)</f>
        <v>1</v>
      </c>
      <c r="AD417" s="113">
        <f>PRODUCT(AD416:AJ416)</f>
        <v>1</v>
      </c>
      <c r="AE417" s="113">
        <f>PRODUCT(AE416:AJ416)</f>
        <v>1</v>
      </c>
      <c r="AF417" s="113">
        <f>PRODUCT(AF416:AJ416)</f>
        <v>1</v>
      </c>
      <c r="AG417" s="113">
        <f>PRODUCT(AG416:AJ416)</f>
        <v>1</v>
      </c>
      <c r="AH417" s="113">
        <f>PRODUCT(AH416:AJ416)</f>
        <v>1</v>
      </c>
      <c r="AI417" s="113">
        <f>PRODUCT(AI416:AJ416)</f>
        <v>1</v>
      </c>
      <c r="AJ417" s="114">
        <f>PRODUCT(AJ416:AJ416)</f>
        <v>1</v>
      </c>
      <c r="AK417" s="111" t="s">
        <v>39</v>
      </c>
      <c r="AL417" s="115"/>
      <c r="AM417" s="113">
        <f>PRODUCT(AM416:AV416)</f>
        <v>1</v>
      </c>
      <c r="AN417" s="113">
        <f>PRODUCT(AN416:AV416)</f>
        <v>1</v>
      </c>
      <c r="AO417" s="113">
        <f>PRODUCT(AO416:AV416)</f>
        <v>1</v>
      </c>
      <c r="AP417" s="113">
        <f>PRODUCT(AP416:AV416)</f>
        <v>1</v>
      </c>
      <c r="AQ417" s="113">
        <f>PRODUCT(AQ416:AV416)</f>
        <v>1</v>
      </c>
      <c r="AR417" s="113">
        <f>PRODUCT(AR416:AV416)</f>
        <v>1</v>
      </c>
      <c r="AS417" s="113">
        <f>PRODUCT(AS416:AV416)</f>
        <v>1</v>
      </c>
      <c r="AT417" s="113">
        <f>PRODUCT(AT416:AV416)</f>
        <v>1</v>
      </c>
      <c r="AU417" s="113">
        <f>PRODUCT(AU416:AV416)</f>
        <v>1</v>
      </c>
      <c r="AV417" s="114">
        <f>PRODUCT(AV416:AV416)</f>
        <v>1</v>
      </c>
      <c r="AW417" s="111" t="s">
        <v>39</v>
      </c>
      <c r="AX417" s="115"/>
      <c r="AY417" s="113">
        <f>PRODUCT(AY416:BH416)</f>
        <v>1</v>
      </c>
      <c r="AZ417" s="113">
        <f>PRODUCT(AZ416:BH416)</f>
        <v>1</v>
      </c>
      <c r="BA417" s="113">
        <f>PRODUCT(BA416:BH416)</f>
        <v>1</v>
      </c>
      <c r="BB417" s="113">
        <f>PRODUCT(BB416:BH416)</f>
        <v>1</v>
      </c>
      <c r="BC417" s="113">
        <f>PRODUCT(BC416:BH416)</f>
        <v>1</v>
      </c>
      <c r="BD417" s="113">
        <f>PRODUCT(BD416:BH416)</f>
        <v>1</v>
      </c>
      <c r="BE417" s="113">
        <f>PRODUCT(BE416:BH416)</f>
        <v>1</v>
      </c>
      <c r="BF417" s="113">
        <f>PRODUCT(BF416:BH416)</f>
        <v>1</v>
      </c>
      <c r="BG417" s="113">
        <f>PRODUCT(BG416:BH416)</f>
        <v>1</v>
      </c>
      <c r="BH417" s="114">
        <f>PRODUCT(BH416:BH416)</f>
        <v>1</v>
      </c>
      <c r="BI417" s="111" t="s">
        <v>39</v>
      </c>
      <c r="BJ417" s="115"/>
      <c r="BK417" s="113">
        <f>PRODUCT(BK416:BT416)</f>
        <v>1</v>
      </c>
      <c r="BL417" s="113">
        <f>PRODUCT(BL416:BT416)</f>
        <v>1</v>
      </c>
      <c r="BM417" s="113">
        <f>PRODUCT(BM416:BT416)</f>
        <v>1</v>
      </c>
      <c r="BN417" s="113">
        <f>PRODUCT(BN416:BT416)</f>
        <v>1</v>
      </c>
      <c r="BO417" s="113">
        <f>PRODUCT(BO416:BT416)</f>
        <v>1</v>
      </c>
      <c r="BP417" s="113">
        <f>PRODUCT(BP416:BT416)</f>
        <v>1</v>
      </c>
      <c r="BQ417" s="113">
        <f>PRODUCT(BQ416:BT416)</f>
        <v>1</v>
      </c>
      <c r="BR417" s="113">
        <f>PRODUCT(BR416:BT416)</f>
        <v>1</v>
      </c>
      <c r="BS417" s="113">
        <f>PRODUCT(BS416:BT416)</f>
        <v>1</v>
      </c>
      <c r="BT417" s="114">
        <f>PRODUCT(BT416:BT416)</f>
        <v>1</v>
      </c>
      <c r="BU417" s="111" t="s">
        <v>39</v>
      </c>
      <c r="BV417" s="115"/>
      <c r="BW417" s="113">
        <f>PRODUCT(BW416:CF416)</f>
        <v>1</v>
      </c>
      <c r="BX417" s="113">
        <f>PRODUCT(BX416:CF416)</f>
        <v>1</v>
      </c>
      <c r="BY417" s="113">
        <f>PRODUCT(BY416:CF416)</f>
        <v>1</v>
      </c>
      <c r="BZ417" s="113">
        <f>PRODUCT(BZ416:CF416)</f>
        <v>1</v>
      </c>
      <c r="CA417" s="113">
        <f>PRODUCT(CA416:CF416)</f>
        <v>1</v>
      </c>
      <c r="CB417" s="113">
        <f>PRODUCT(CB416:CF416)</f>
        <v>1</v>
      </c>
      <c r="CC417" s="113">
        <f>PRODUCT(CC416:CF416)</f>
        <v>1</v>
      </c>
      <c r="CD417" s="113">
        <f>PRODUCT(CD416:CF416)</f>
        <v>1</v>
      </c>
      <c r="CE417" s="113">
        <f>PRODUCT(CE416:CF416)</f>
        <v>1</v>
      </c>
      <c r="CF417" s="114">
        <f>PRODUCT(CF416:CF416)</f>
        <v>1</v>
      </c>
      <c r="CG417" s="111" t="s">
        <v>39</v>
      </c>
      <c r="CH417" s="115"/>
      <c r="CI417" s="113">
        <f>PRODUCT(CI416:CR416)</f>
        <v>1</v>
      </c>
      <c r="CJ417" s="113">
        <f>PRODUCT(CJ416:CR416)</f>
        <v>1</v>
      </c>
      <c r="CK417" s="113">
        <f>PRODUCT(CK416:CR416)</f>
        <v>1</v>
      </c>
      <c r="CL417" s="113">
        <f>PRODUCT(CL416:CR416)</f>
        <v>1</v>
      </c>
      <c r="CM417" s="113">
        <f>PRODUCT(CM416:CR416)</f>
        <v>1</v>
      </c>
      <c r="CN417" s="113">
        <f>PRODUCT(CN416:CR416)</f>
        <v>1</v>
      </c>
      <c r="CO417" s="113">
        <f>PRODUCT(CO416:CR416)</f>
        <v>1</v>
      </c>
      <c r="CP417" s="113">
        <f>PRODUCT(CP416:CR416)</f>
        <v>1</v>
      </c>
      <c r="CQ417" s="113">
        <f>PRODUCT(CQ416:CR416)</f>
        <v>1</v>
      </c>
      <c r="CR417" s="114">
        <f>PRODUCT(CR416:CR416)</f>
        <v>1</v>
      </c>
      <c r="CS417" s="111" t="s">
        <v>39</v>
      </c>
      <c r="CT417" s="115"/>
      <c r="CU417" s="113">
        <f>PRODUCT(CU416:DD416)</f>
        <v>1</v>
      </c>
      <c r="CV417" s="113">
        <f>PRODUCT(CV416:DD416)</f>
        <v>1</v>
      </c>
      <c r="CW417" s="113">
        <f>PRODUCT(CW416:DD416)</f>
        <v>1</v>
      </c>
      <c r="CX417" s="113">
        <f>PRODUCT(CX416:DD416)</f>
        <v>1</v>
      </c>
      <c r="CY417" s="113">
        <f>PRODUCT(CY416:DD416)</f>
        <v>1</v>
      </c>
      <c r="CZ417" s="113">
        <f>PRODUCT(CZ416:DD416)</f>
        <v>1</v>
      </c>
      <c r="DA417" s="113">
        <f>PRODUCT(DA416:DD416)</f>
        <v>1</v>
      </c>
      <c r="DB417" s="113">
        <f>PRODUCT(DB416:DD416)</f>
        <v>1</v>
      </c>
      <c r="DC417" s="113">
        <f>PRODUCT(DC416:DD416)</f>
        <v>1</v>
      </c>
      <c r="DD417" s="114">
        <f>PRODUCT(DD416:DD416)</f>
        <v>1</v>
      </c>
      <c r="DE417" s="111" t="s">
        <v>39</v>
      </c>
      <c r="DF417" s="115"/>
      <c r="DG417" s="113">
        <f>PRODUCT(DG416:DP416)</f>
        <v>1</v>
      </c>
      <c r="DH417" s="113">
        <f>PRODUCT(DH416:DP416)</f>
        <v>1</v>
      </c>
      <c r="DI417" s="113">
        <f>PRODUCT(DI416:DP416)</f>
        <v>1</v>
      </c>
      <c r="DJ417" s="113">
        <f>PRODUCT(DJ416:DP416)</f>
        <v>1</v>
      </c>
      <c r="DK417" s="113">
        <f>PRODUCT(DK416:DP416)</f>
        <v>1</v>
      </c>
      <c r="DL417" s="113">
        <f>PRODUCT(DL416:DP416)</f>
        <v>1</v>
      </c>
      <c r="DM417" s="113">
        <f>PRODUCT(DM416:DP416)</f>
        <v>1</v>
      </c>
      <c r="DN417" s="113">
        <f>PRODUCT(DN416:DP416)</f>
        <v>1</v>
      </c>
      <c r="DO417" s="113">
        <f>PRODUCT(DO416:DP416)</f>
        <v>1</v>
      </c>
      <c r="DP417" s="114">
        <f>PRODUCT(DP416:DP416)</f>
        <v>1</v>
      </c>
    </row>
    <row r="418" spans="1:120" x14ac:dyDescent="0.25">
      <c r="A418" s="95" t="s">
        <v>208</v>
      </c>
      <c r="B418" s="106"/>
      <c r="C418" s="99">
        <f>C417*C401</f>
        <v>3361.7446195976313</v>
      </c>
      <c r="D418" s="99">
        <f>D417*D400</f>
        <v>3582.193086795965</v>
      </c>
      <c r="E418" s="99">
        <f>E417*E399</f>
        <v>4110.1170736596787</v>
      </c>
      <c r="F418" s="99">
        <f>F417*F398</f>
        <v>4392.9550509490837</v>
      </c>
      <c r="G418" s="99">
        <f>G417*G397</f>
        <v>4109.7917456864343</v>
      </c>
      <c r="H418" s="99">
        <f>H417*H396</f>
        <v>5577.9099299482341</v>
      </c>
      <c r="I418" s="99">
        <f>I417*I395</f>
        <v>5165.1108718898467</v>
      </c>
      <c r="J418" s="99">
        <f>J417*J394</f>
        <v>5027.9717544516552</v>
      </c>
      <c r="K418" s="99">
        <f>K417*K393</f>
        <v>5519.13158766987</v>
      </c>
      <c r="L418" s="99">
        <f>L417*L392</f>
        <v>3022</v>
      </c>
      <c r="M418" s="95" t="s">
        <v>208</v>
      </c>
      <c r="N418" s="106"/>
      <c r="O418" s="99">
        <f>O417*O401</f>
        <v>0</v>
      </c>
      <c r="P418" s="99">
        <f>P417*P400</f>
        <v>0</v>
      </c>
      <c r="Q418" s="99">
        <f>Q417*Q399</f>
        <v>0</v>
      </c>
      <c r="R418" s="99">
        <f>R417*R398</f>
        <v>0</v>
      </c>
      <c r="S418" s="99">
        <f>S417*S397</f>
        <v>0</v>
      </c>
      <c r="T418" s="99">
        <f>T417*T396</f>
        <v>0</v>
      </c>
      <c r="U418" s="99">
        <f>U417*U395</f>
        <v>0</v>
      </c>
      <c r="V418" s="99">
        <f>V417*V394</f>
        <v>0</v>
      </c>
      <c r="W418" s="99">
        <f>W417*W393</f>
        <v>0</v>
      </c>
      <c r="X418" s="99">
        <f>X417*X392</f>
        <v>0</v>
      </c>
      <c r="Y418" s="95" t="s">
        <v>208</v>
      </c>
      <c r="Z418" s="106"/>
      <c r="AA418" s="99">
        <f>AA417*AA401</f>
        <v>0</v>
      </c>
      <c r="AB418" s="99">
        <f>AB417*AB400</f>
        <v>0</v>
      </c>
      <c r="AC418" s="99">
        <f>AC417*AC399</f>
        <v>0</v>
      </c>
      <c r="AD418" s="99">
        <f>AD417*AD398</f>
        <v>0</v>
      </c>
      <c r="AE418" s="99">
        <f>AE417*AE397</f>
        <v>0</v>
      </c>
      <c r="AF418" s="99">
        <f>AF417*AF396</f>
        <v>0</v>
      </c>
      <c r="AG418" s="99">
        <f>AG417*AG395</f>
        <v>0</v>
      </c>
      <c r="AH418" s="99">
        <f>AH417*AH394</f>
        <v>0</v>
      </c>
      <c r="AI418" s="99">
        <f>AI417*AI393</f>
        <v>0</v>
      </c>
      <c r="AJ418" s="99">
        <f>AJ417*AJ392</f>
        <v>0</v>
      </c>
      <c r="AK418" s="95" t="s">
        <v>208</v>
      </c>
      <c r="AL418" s="106"/>
      <c r="AM418" s="99">
        <f>AM417*AM401</f>
        <v>0</v>
      </c>
      <c r="AN418" s="99">
        <f>AN417*AN400</f>
        <v>0</v>
      </c>
      <c r="AO418" s="99">
        <f>AO417*AO399</f>
        <v>0</v>
      </c>
      <c r="AP418" s="99">
        <f>AP417*AP398</f>
        <v>0</v>
      </c>
      <c r="AQ418" s="99">
        <f>AQ417*AQ397</f>
        <v>0</v>
      </c>
      <c r="AR418" s="99">
        <f>AR417*AR396</f>
        <v>0</v>
      </c>
      <c r="AS418" s="99">
        <f>AS417*AS395</f>
        <v>0</v>
      </c>
      <c r="AT418" s="99">
        <f>AT417*AT394</f>
        <v>0</v>
      </c>
      <c r="AU418" s="99">
        <f>AU417*AU393</f>
        <v>0</v>
      </c>
      <c r="AV418" s="99">
        <f>AV417*AV392</f>
        <v>0</v>
      </c>
      <c r="AW418" s="95" t="s">
        <v>208</v>
      </c>
      <c r="AX418" s="106"/>
      <c r="AY418" s="99">
        <f>AY417*AY401</f>
        <v>0</v>
      </c>
      <c r="AZ418" s="99">
        <f>AZ417*AZ400</f>
        <v>0</v>
      </c>
      <c r="BA418" s="99">
        <f>BA417*BA399</f>
        <v>0</v>
      </c>
      <c r="BB418" s="99">
        <f>BB417*BB398</f>
        <v>0</v>
      </c>
      <c r="BC418" s="99">
        <f>BC417*BC397</f>
        <v>0</v>
      </c>
      <c r="BD418" s="99">
        <f>BD417*BD396</f>
        <v>0</v>
      </c>
      <c r="BE418" s="99">
        <f>BE417*BE395</f>
        <v>0</v>
      </c>
      <c r="BF418" s="99">
        <f>BF417*BF394</f>
        <v>0</v>
      </c>
      <c r="BG418" s="99">
        <f>BG417*BG393</f>
        <v>0</v>
      </c>
      <c r="BH418" s="99">
        <f>BH417*BH392</f>
        <v>0</v>
      </c>
      <c r="BI418" s="95" t="s">
        <v>208</v>
      </c>
      <c r="BJ418" s="106"/>
      <c r="BK418" s="99">
        <f>BK417*BK401</f>
        <v>0</v>
      </c>
      <c r="BL418" s="99">
        <f>BL417*BL400</f>
        <v>0</v>
      </c>
      <c r="BM418" s="99">
        <f>BM417*BM399</f>
        <v>0</v>
      </c>
      <c r="BN418" s="99">
        <f>BN417*BN398</f>
        <v>0</v>
      </c>
      <c r="BO418" s="99">
        <f>BO417*BO397</f>
        <v>0</v>
      </c>
      <c r="BP418" s="99">
        <f>BP417*BP396</f>
        <v>0</v>
      </c>
      <c r="BQ418" s="99">
        <f>BQ417*BQ395</f>
        <v>0</v>
      </c>
      <c r="BR418" s="99">
        <f>BR417*BR394</f>
        <v>0</v>
      </c>
      <c r="BS418" s="99">
        <f>BS417*BS393</f>
        <v>0</v>
      </c>
      <c r="BT418" s="99">
        <f>BT417*BT392</f>
        <v>0</v>
      </c>
      <c r="BU418" s="95" t="s">
        <v>208</v>
      </c>
      <c r="BV418" s="106"/>
      <c r="BW418" s="99">
        <f>BW417*BW401</f>
        <v>0</v>
      </c>
      <c r="BX418" s="99">
        <f>BX417*BX400</f>
        <v>0</v>
      </c>
      <c r="BY418" s="99">
        <f>BY417*BY399</f>
        <v>0</v>
      </c>
      <c r="BZ418" s="99">
        <f>BZ417*BZ398</f>
        <v>0</v>
      </c>
      <c r="CA418" s="99">
        <f>CA417*CA397</f>
        <v>0</v>
      </c>
      <c r="CB418" s="99">
        <f>CB417*CB396</f>
        <v>0</v>
      </c>
      <c r="CC418" s="99">
        <f>CC417*CC395</f>
        <v>0</v>
      </c>
      <c r="CD418" s="99">
        <f>CD417*CD394</f>
        <v>0</v>
      </c>
      <c r="CE418" s="99">
        <f>CE417*CE393</f>
        <v>0</v>
      </c>
      <c r="CF418" s="99">
        <f>CF417*CF392</f>
        <v>0</v>
      </c>
      <c r="CG418" s="95" t="s">
        <v>208</v>
      </c>
      <c r="CH418" s="106"/>
      <c r="CI418" s="99">
        <f>CI417*CI401</f>
        <v>0</v>
      </c>
      <c r="CJ418" s="99">
        <f>CJ417*CJ400</f>
        <v>0</v>
      </c>
      <c r="CK418" s="99">
        <f>CK417*CK399</f>
        <v>0</v>
      </c>
      <c r="CL418" s="99">
        <f>CL417*CL398</f>
        <v>0</v>
      </c>
      <c r="CM418" s="99">
        <f>CM417*CM397</f>
        <v>0</v>
      </c>
      <c r="CN418" s="99">
        <f>CN417*CN396</f>
        <v>0</v>
      </c>
      <c r="CO418" s="99">
        <f>CO417*CO395</f>
        <v>0</v>
      </c>
      <c r="CP418" s="99">
        <f>CP417*CP394</f>
        <v>0</v>
      </c>
      <c r="CQ418" s="99">
        <f>CQ417*CQ393</f>
        <v>0</v>
      </c>
      <c r="CR418" s="99">
        <f>CR417*CR392</f>
        <v>0</v>
      </c>
      <c r="CS418" s="95" t="s">
        <v>208</v>
      </c>
      <c r="CT418" s="106"/>
      <c r="CU418" s="99">
        <f>CU417*CU401</f>
        <v>0</v>
      </c>
      <c r="CV418" s="99">
        <f>CV417*CV400</f>
        <v>0</v>
      </c>
      <c r="CW418" s="99">
        <f>CW417*CW399</f>
        <v>0</v>
      </c>
      <c r="CX418" s="99">
        <f>CX417*CX398</f>
        <v>0</v>
      </c>
      <c r="CY418" s="99">
        <f>CY417*CY397</f>
        <v>0</v>
      </c>
      <c r="CZ418" s="99">
        <f>CZ417*CZ396</f>
        <v>0</v>
      </c>
      <c r="DA418" s="99">
        <f>DA417*DA395</f>
        <v>0</v>
      </c>
      <c r="DB418" s="99">
        <f>DB417*DB394</f>
        <v>0</v>
      </c>
      <c r="DC418" s="99">
        <f>DC417*DC393</f>
        <v>0</v>
      </c>
      <c r="DD418" s="99">
        <f>DD417*DD392</f>
        <v>0</v>
      </c>
      <c r="DE418" s="95" t="s">
        <v>208</v>
      </c>
      <c r="DF418" s="106"/>
      <c r="DG418" s="99">
        <f>DG417*DG401</f>
        <v>0</v>
      </c>
      <c r="DH418" s="99">
        <f>DH417*DH400</f>
        <v>0</v>
      </c>
      <c r="DI418" s="99">
        <f>DI417*DI399</f>
        <v>0</v>
      </c>
      <c r="DJ418" s="99">
        <f>DJ417*DJ398</f>
        <v>0</v>
      </c>
      <c r="DK418" s="99">
        <f>DK417*DK397</f>
        <v>0</v>
      </c>
      <c r="DL418" s="99">
        <f>DL417*DL396</f>
        <v>0</v>
      </c>
      <c r="DM418" s="99">
        <f>DM417*DM395</f>
        <v>0</v>
      </c>
      <c r="DN418" s="99">
        <f>DN417*DN394</f>
        <v>0</v>
      </c>
      <c r="DO418" s="99">
        <f>DO417*DO393</f>
        <v>0</v>
      </c>
      <c r="DP418" s="99">
        <f>DP417*DP392</f>
        <v>0</v>
      </c>
    </row>
    <row r="419" spans="1:120" ht="21" x14ac:dyDescent="0.35">
      <c r="A419" s="137" t="str">
        <f>Co_Name</f>
        <v>State Farm General Insurance Company</v>
      </c>
      <c r="B419" s="68"/>
      <c r="C419" s="40"/>
      <c r="D419" s="18"/>
      <c r="E419" s="18"/>
      <c r="F419" s="18"/>
      <c r="G419" s="18"/>
      <c r="H419" s="18"/>
      <c r="I419" s="18"/>
      <c r="J419" s="18"/>
      <c r="K419" s="18"/>
      <c r="L419" s="18"/>
      <c r="M419" s="137" t="str">
        <f>Co_Name</f>
        <v>State Farm General Insurance Company</v>
      </c>
      <c r="N419" s="68"/>
      <c r="O419" s="40"/>
      <c r="P419" s="18"/>
      <c r="Q419" s="18"/>
      <c r="R419" s="18"/>
      <c r="S419" s="18"/>
      <c r="T419" s="18"/>
      <c r="U419" s="18"/>
      <c r="V419" s="18"/>
      <c r="W419" s="18"/>
      <c r="X419" s="18"/>
      <c r="Y419" s="137" t="str">
        <f>Co_Name</f>
        <v>State Farm General Insurance Company</v>
      </c>
      <c r="Z419" s="68"/>
      <c r="AA419" s="40"/>
      <c r="AB419" s="18"/>
      <c r="AC419" s="18"/>
      <c r="AD419" s="18"/>
      <c r="AE419" s="18"/>
      <c r="AF419" s="18"/>
      <c r="AG419" s="18"/>
      <c r="AH419" s="18"/>
      <c r="AI419" s="18"/>
      <c r="AJ419" s="18"/>
      <c r="AK419" s="137" t="str">
        <f>Co_Name</f>
        <v>State Farm General Insurance Company</v>
      </c>
      <c r="AL419" s="68"/>
      <c r="AM419" s="40"/>
      <c r="AN419" s="18"/>
      <c r="AO419" s="18"/>
      <c r="AP419" s="18"/>
      <c r="AQ419" s="18"/>
      <c r="AR419" s="18"/>
      <c r="AS419" s="18"/>
      <c r="AT419" s="18"/>
      <c r="AU419" s="18"/>
      <c r="AV419" s="18"/>
      <c r="AW419" s="137" t="str">
        <f>Co_Name</f>
        <v>State Farm General Insurance Company</v>
      </c>
      <c r="AX419" s="68"/>
      <c r="AY419" s="40"/>
      <c r="AZ419" s="18"/>
      <c r="BA419" s="18"/>
      <c r="BB419" s="18"/>
      <c r="BC419" s="18"/>
      <c r="BD419" s="18"/>
      <c r="BE419" s="18"/>
      <c r="BF419" s="18"/>
      <c r="BG419" s="18"/>
      <c r="BH419" s="18"/>
      <c r="BI419" s="137" t="str">
        <f>Co_Name</f>
        <v>State Farm General Insurance Company</v>
      </c>
      <c r="BJ419" s="68"/>
      <c r="BK419" s="40"/>
      <c r="BL419" s="18"/>
      <c r="BM419" s="18"/>
      <c r="BN419" s="18"/>
      <c r="BO419" s="18"/>
      <c r="BP419" s="18"/>
      <c r="BQ419" s="18"/>
      <c r="BR419" s="18"/>
      <c r="BS419" s="18"/>
      <c r="BT419" s="18"/>
      <c r="BU419" s="137" t="str">
        <f>Co_Name</f>
        <v>State Farm General Insurance Company</v>
      </c>
      <c r="BV419" s="68"/>
      <c r="BW419" s="40"/>
      <c r="BX419" s="18"/>
      <c r="BY419" s="18"/>
      <c r="BZ419" s="18"/>
      <c r="CA419" s="18"/>
      <c r="CB419" s="18"/>
      <c r="CC419" s="18"/>
      <c r="CD419" s="18"/>
      <c r="CE419" s="18"/>
      <c r="CF419" s="18"/>
      <c r="CG419" s="137" t="str">
        <f>Co_Name</f>
        <v>State Farm General Insurance Company</v>
      </c>
      <c r="CH419" s="68"/>
      <c r="CI419" s="40"/>
      <c r="CJ419" s="18"/>
      <c r="CK419" s="18"/>
      <c r="CL419" s="18"/>
      <c r="CM419" s="18"/>
      <c r="CN419" s="18"/>
      <c r="CO419" s="18"/>
      <c r="CP419" s="18"/>
      <c r="CQ419" s="18"/>
      <c r="CR419" s="18"/>
      <c r="CS419" s="137" t="str">
        <f>Co_Name</f>
        <v>State Farm General Insurance Company</v>
      </c>
      <c r="CT419" s="68"/>
      <c r="CU419" s="40"/>
      <c r="CV419" s="18"/>
      <c r="CW419" s="18"/>
      <c r="CX419" s="18"/>
      <c r="CY419" s="18"/>
      <c r="CZ419" s="18"/>
      <c r="DA419" s="18"/>
      <c r="DB419" s="18"/>
      <c r="DC419" s="18"/>
      <c r="DD419" s="18"/>
      <c r="DE419" s="137" t="str">
        <f>Co_Name</f>
        <v>State Farm General Insurance Company</v>
      </c>
      <c r="DF419" s="68"/>
      <c r="DG419" s="40"/>
      <c r="DH419" s="18"/>
      <c r="DI419" s="18"/>
      <c r="DJ419" s="18"/>
      <c r="DK419" s="18"/>
      <c r="DL419" s="18"/>
      <c r="DM419" s="18"/>
      <c r="DN419" s="18"/>
      <c r="DO419" s="18"/>
      <c r="DP419" s="18"/>
    </row>
    <row r="420" spans="1:120" ht="21" x14ac:dyDescent="0.35">
      <c r="A420" s="137" t="str">
        <f>A$2</f>
        <v>Homeowners Multiple Peril</v>
      </c>
      <c r="B420" s="68"/>
      <c r="C420" s="40"/>
      <c r="D420" s="18"/>
      <c r="E420" s="18"/>
      <c r="F420" s="18"/>
      <c r="G420" s="18"/>
      <c r="H420" s="18"/>
      <c r="I420" s="18"/>
      <c r="J420" s="18"/>
      <c r="K420" s="18"/>
      <c r="L420" s="18"/>
      <c r="M420" s="137" t="str">
        <f>M$2</f>
        <v/>
      </c>
      <c r="N420" s="68"/>
      <c r="O420" s="40"/>
      <c r="P420" s="18"/>
      <c r="Q420" s="18"/>
      <c r="R420" s="18"/>
      <c r="S420" s="18"/>
      <c r="T420" s="18"/>
      <c r="U420" s="18"/>
      <c r="V420" s="18"/>
      <c r="W420" s="18"/>
      <c r="X420" s="18"/>
      <c r="Y420" s="137" t="str">
        <f>Y$2</f>
        <v/>
      </c>
      <c r="Z420" s="68"/>
      <c r="AA420" s="40"/>
      <c r="AB420" s="18"/>
      <c r="AC420" s="18"/>
      <c r="AD420" s="18"/>
      <c r="AE420" s="18"/>
      <c r="AF420" s="18"/>
      <c r="AG420" s="18"/>
      <c r="AH420" s="18"/>
      <c r="AI420" s="18"/>
      <c r="AJ420" s="18"/>
      <c r="AK420" s="137" t="str">
        <f>AK$2</f>
        <v/>
      </c>
      <c r="AL420" s="68"/>
      <c r="AM420" s="40"/>
      <c r="AN420" s="18"/>
      <c r="AO420" s="18"/>
      <c r="AP420" s="18"/>
      <c r="AQ420" s="18"/>
      <c r="AR420" s="18"/>
      <c r="AS420" s="18"/>
      <c r="AT420" s="18"/>
      <c r="AU420" s="18"/>
      <c r="AV420" s="18"/>
      <c r="AW420" s="137" t="str">
        <f>AW$2</f>
        <v/>
      </c>
      <c r="AX420" s="68"/>
      <c r="AY420" s="40"/>
      <c r="AZ420" s="18"/>
      <c r="BA420" s="18"/>
      <c r="BB420" s="18"/>
      <c r="BC420" s="18"/>
      <c r="BD420" s="18"/>
      <c r="BE420" s="18"/>
      <c r="BF420" s="18"/>
      <c r="BG420" s="18"/>
      <c r="BH420" s="18"/>
      <c r="BI420" s="137" t="str">
        <f>BI$2</f>
        <v/>
      </c>
      <c r="BJ420" s="68"/>
      <c r="BK420" s="40"/>
      <c r="BL420" s="18"/>
      <c r="BM420" s="18"/>
      <c r="BN420" s="18"/>
      <c r="BO420" s="18"/>
      <c r="BP420" s="18"/>
      <c r="BQ420" s="18"/>
      <c r="BR420" s="18"/>
      <c r="BS420" s="18"/>
      <c r="BT420" s="18"/>
      <c r="BU420" s="137" t="str">
        <f>BU$2</f>
        <v/>
      </c>
      <c r="BV420" s="68"/>
      <c r="BW420" s="40"/>
      <c r="BX420" s="18"/>
      <c r="BY420" s="18"/>
      <c r="BZ420" s="18"/>
      <c r="CA420" s="18"/>
      <c r="CB420" s="18"/>
      <c r="CC420" s="18"/>
      <c r="CD420" s="18"/>
      <c r="CE420" s="18"/>
      <c r="CF420" s="18"/>
      <c r="CG420" s="137" t="str">
        <f>CG$2</f>
        <v/>
      </c>
      <c r="CH420" s="68"/>
      <c r="CI420" s="40"/>
      <c r="CJ420" s="18"/>
      <c r="CK420" s="18"/>
      <c r="CL420" s="18"/>
      <c r="CM420" s="18"/>
      <c r="CN420" s="18"/>
      <c r="CO420" s="18"/>
      <c r="CP420" s="18"/>
      <c r="CQ420" s="18"/>
      <c r="CR420" s="18"/>
      <c r="CS420" s="137" t="str">
        <f>CS$2</f>
        <v/>
      </c>
      <c r="CT420" s="68"/>
      <c r="CU420" s="40"/>
      <c r="CV420" s="18"/>
      <c r="CW420" s="18"/>
      <c r="CX420" s="18"/>
      <c r="CY420" s="18"/>
      <c r="CZ420" s="18"/>
      <c r="DA420" s="18"/>
      <c r="DB420" s="18"/>
      <c r="DC420" s="18"/>
      <c r="DD420" s="18"/>
      <c r="DE420" s="137" t="str">
        <f>DE$2</f>
        <v/>
      </c>
      <c r="DF420" s="68"/>
      <c r="DG420" s="40"/>
      <c r="DH420" s="18"/>
      <c r="DI420" s="18"/>
      <c r="DJ420" s="18"/>
      <c r="DK420" s="18"/>
      <c r="DL420" s="18"/>
      <c r="DM420" s="18"/>
      <c r="DN420" s="18"/>
      <c r="DO420" s="18"/>
      <c r="DP420" s="18"/>
    </row>
    <row r="421" spans="1:120" ht="21" customHeight="1" x14ac:dyDescent="0.25"/>
    <row r="422" spans="1:120" ht="21" x14ac:dyDescent="0.25">
      <c r="A422" s="48" t="s">
        <v>200</v>
      </c>
      <c r="B422" s="48"/>
      <c r="C422" s="18"/>
      <c r="D422" s="18"/>
      <c r="E422" s="18"/>
      <c r="F422" s="18"/>
      <c r="G422" s="18"/>
      <c r="H422" s="18"/>
      <c r="I422" s="18"/>
      <c r="J422" s="18"/>
      <c r="K422" s="18"/>
      <c r="L422" s="18"/>
      <c r="M422" s="48" t="s">
        <v>200</v>
      </c>
      <c r="N422" s="48"/>
      <c r="O422" s="18"/>
      <c r="P422" s="18"/>
      <c r="Q422" s="18"/>
      <c r="R422" s="18"/>
      <c r="S422" s="18"/>
      <c r="T422" s="18"/>
      <c r="U422" s="18"/>
      <c r="V422" s="18"/>
      <c r="W422" s="18"/>
      <c r="X422" s="18"/>
      <c r="Y422" s="48" t="s">
        <v>200</v>
      </c>
      <c r="Z422" s="48"/>
      <c r="AA422" s="18"/>
      <c r="AB422" s="18"/>
      <c r="AC422" s="18"/>
      <c r="AD422" s="18"/>
      <c r="AE422" s="18"/>
      <c r="AF422" s="18"/>
      <c r="AG422" s="18"/>
      <c r="AH422" s="18"/>
      <c r="AI422" s="18"/>
      <c r="AJ422" s="18"/>
      <c r="AK422" s="48" t="s">
        <v>200</v>
      </c>
      <c r="AL422" s="48"/>
      <c r="AM422" s="18"/>
      <c r="AN422" s="18"/>
      <c r="AO422" s="18"/>
      <c r="AP422" s="18"/>
      <c r="AQ422" s="18"/>
      <c r="AR422" s="18"/>
      <c r="AS422" s="18"/>
      <c r="AT422" s="18"/>
      <c r="AU422" s="18"/>
      <c r="AV422" s="18"/>
      <c r="AW422" s="48" t="s">
        <v>200</v>
      </c>
      <c r="AX422" s="48"/>
      <c r="AY422" s="18"/>
      <c r="AZ422" s="18"/>
      <c r="BA422" s="18"/>
      <c r="BB422" s="18"/>
      <c r="BC422" s="18"/>
      <c r="BD422" s="18"/>
      <c r="BE422" s="18"/>
      <c r="BF422" s="18"/>
      <c r="BG422" s="18"/>
      <c r="BH422" s="18"/>
      <c r="BI422" s="48" t="s">
        <v>200</v>
      </c>
      <c r="BJ422" s="48"/>
      <c r="BK422" s="18"/>
      <c r="BL422" s="18"/>
      <c r="BM422" s="18"/>
      <c r="BN422" s="18"/>
      <c r="BO422" s="18"/>
      <c r="BP422" s="18"/>
      <c r="BQ422" s="18"/>
      <c r="BR422" s="18"/>
      <c r="BS422" s="18"/>
      <c r="BT422" s="18"/>
      <c r="BU422" s="48" t="s">
        <v>200</v>
      </c>
      <c r="BV422" s="48"/>
      <c r="BW422" s="18"/>
      <c r="BX422" s="18"/>
      <c r="BY422" s="18"/>
      <c r="BZ422" s="18"/>
      <c r="CA422" s="18"/>
      <c r="CB422" s="18"/>
      <c r="CC422" s="18"/>
      <c r="CD422" s="18"/>
      <c r="CE422" s="18"/>
      <c r="CF422" s="18"/>
      <c r="CG422" s="48" t="s">
        <v>200</v>
      </c>
      <c r="CH422" s="48"/>
      <c r="CI422" s="18"/>
      <c r="CJ422" s="18"/>
      <c r="CK422" s="18"/>
      <c r="CL422" s="18"/>
      <c r="CM422" s="18"/>
      <c r="CN422" s="18"/>
      <c r="CO422" s="18"/>
      <c r="CP422" s="18"/>
      <c r="CQ422" s="18"/>
      <c r="CR422" s="18"/>
      <c r="CS422" s="48" t="s">
        <v>200</v>
      </c>
      <c r="CT422" s="48"/>
      <c r="CU422" s="18"/>
      <c r="CV422" s="18"/>
      <c r="CW422" s="18"/>
      <c r="CX422" s="18"/>
      <c r="CY422" s="18"/>
      <c r="CZ422" s="18"/>
      <c r="DA422" s="18"/>
      <c r="DB422" s="18"/>
      <c r="DC422" s="18"/>
      <c r="DD422" s="18"/>
      <c r="DE422" s="48" t="s">
        <v>200</v>
      </c>
      <c r="DF422" s="48"/>
      <c r="DG422" s="18"/>
      <c r="DH422" s="18"/>
      <c r="DI422" s="18"/>
      <c r="DJ422" s="18"/>
      <c r="DK422" s="18"/>
      <c r="DL422" s="18"/>
      <c r="DM422" s="18"/>
      <c r="DN422" s="18"/>
      <c r="DO422" s="18"/>
      <c r="DP422" s="18"/>
    </row>
    <row r="423" spans="1:120" x14ac:dyDescent="0.25">
      <c r="A423" s="138" t="str">
        <f>A$5</f>
        <v>Rental Dwelling</v>
      </c>
      <c r="B423" s="69"/>
      <c r="C423" s="18"/>
      <c r="D423" s="18"/>
      <c r="E423" s="18"/>
      <c r="F423" s="18"/>
      <c r="G423" s="18"/>
      <c r="H423" s="18"/>
      <c r="I423" s="18"/>
      <c r="J423" s="18"/>
      <c r="K423" s="18"/>
      <c r="L423" s="18"/>
      <c r="M423" s="138">
        <f>M$5</f>
        <v>0</v>
      </c>
      <c r="N423" s="69"/>
      <c r="O423" s="18"/>
      <c r="P423" s="18"/>
      <c r="Q423" s="18"/>
      <c r="R423" s="18"/>
      <c r="S423" s="18"/>
      <c r="T423" s="18"/>
      <c r="U423" s="18"/>
      <c r="V423" s="18"/>
      <c r="W423" s="18"/>
      <c r="X423" s="18"/>
      <c r="Y423" s="138">
        <f>Y$5</f>
        <v>0</v>
      </c>
      <c r="Z423" s="69"/>
      <c r="AA423" s="18"/>
      <c r="AB423" s="18"/>
      <c r="AC423" s="18"/>
      <c r="AD423" s="18"/>
      <c r="AE423" s="18"/>
      <c r="AF423" s="18"/>
      <c r="AG423" s="18"/>
      <c r="AH423" s="18"/>
      <c r="AI423" s="18"/>
      <c r="AJ423" s="18"/>
      <c r="AK423" s="138">
        <f>AK$5</f>
        <v>0</v>
      </c>
      <c r="AL423" s="69"/>
      <c r="AM423" s="18"/>
      <c r="AN423" s="18"/>
      <c r="AO423" s="18"/>
      <c r="AP423" s="18"/>
      <c r="AQ423" s="18"/>
      <c r="AR423" s="18"/>
      <c r="AS423" s="18"/>
      <c r="AT423" s="18"/>
      <c r="AU423" s="18"/>
      <c r="AV423" s="18"/>
      <c r="AW423" s="138">
        <f>AW$5</f>
        <v>0</v>
      </c>
      <c r="AX423" s="69"/>
      <c r="AY423" s="18"/>
      <c r="AZ423" s="18"/>
      <c r="BA423" s="18"/>
      <c r="BB423" s="18"/>
      <c r="BC423" s="18"/>
      <c r="BD423" s="18"/>
      <c r="BE423" s="18"/>
      <c r="BF423" s="18"/>
      <c r="BG423" s="18"/>
      <c r="BH423" s="18"/>
      <c r="BI423" s="138">
        <f>BI$5</f>
        <v>0</v>
      </c>
      <c r="BJ423" s="69"/>
      <c r="BK423" s="18"/>
      <c r="BL423" s="18"/>
      <c r="BM423" s="18"/>
      <c r="BN423" s="18"/>
      <c r="BO423" s="18"/>
      <c r="BP423" s="18"/>
      <c r="BQ423" s="18"/>
      <c r="BR423" s="18"/>
      <c r="BS423" s="18"/>
      <c r="BT423" s="18"/>
      <c r="BU423" s="138">
        <f>BU$5</f>
        <v>0</v>
      </c>
      <c r="BV423" s="69"/>
      <c r="BW423" s="18"/>
      <c r="BX423" s="18"/>
      <c r="BY423" s="18"/>
      <c r="BZ423" s="18"/>
      <c r="CA423" s="18"/>
      <c r="CB423" s="18"/>
      <c r="CC423" s="18"/>
      <c r="CD423" s="18"/>
      <c r="CE423" s="18"/>
      <c r="CF423" s="18"/>
      <c r="CG423" s="138">
        <f>CG$5</f>
        <v>0</v>
      </c>
      <c r="CH423" s="69"/>
      <c r="CI423" s="18"/>
      <c r="CJ423" s="18"/>
      <c r="CK423" s="18"/>
      <c r="CL423" s="18"/>
      <c r="CM423" s="18"/>
      <c r="CN423" s="18"/>
      <c r="CO423" s="18"/>
      <c r="CP423" s="18"/>
      <c r="CQ423" s="18"/>
      <c r="CR423" s="18"/>
      <c r="CS423" s="138">
        <f>CS$5</f>
        <v>0</v>
      </c>
      <c r="CT423" s="69"/>
      <c r="CU423" s="18"/>
      <c r="CV423" s="18"/>
      <c r="CW423" s="18"/>
      <c r="CX423" s="18"/>
      <c r="CY423" s="18"/>
      <c r="CZ423" s="18"/>
      <c r="DA423" s="18"/>
      <c r="DB423" s="18"/>
      <c r="DC423" s="18"/>
      <c r="DD423" s="18"/>
      <c r="DE423" s="138">
        <f>DE$5</f>
        <v>0</v>
      </c>
      <c r="DF423" s="69"/>
      <c r="DG423" s="18"/>
      <c r="DH423" s="18"/>
      <c r="DI423" s="18"/>
      <c r="DJ423" s="18"/>
      <c r="DK423" s="18"/>
      <c r="DL423" s="18"/>
      <c r="DM423" s="18"/>
      <c r="DN423" s="18"/>
      <c r="DO423" s="18"/>
      <c r="DP423" s="18"/>
    </row>
    <row r="425" spans="1:120" x14ac:dyDescent="0.25">
      <c r="A425" s="102"/>
      <c r="B425" s="129"/>
      <c r="C425" s="129" t="s">
        <v>4</v>
      </c>
      <c r="D425" s="103"/>
      <c r="E425" s="103"/>
      <c r="F425" s="103"/>
      <c r="G425" s="103"/>
      <c r="H425" s="103"/>
      <c r="I425" s="103"/>
      <c r="J425" s="103"/>
      <c r="K425" s="103"/>
      <c r="L425" s="103"/>
      <c r="M425" s="102"/>
      <c r="N425" s="129"/>
      <c r="O425" s="129" t="s">
        <v>4</v>
      </c>
      <c r="P425" s="103"/>
      <c r="Q425" s="103"/>
      <c r="R425" s="103"/>
      <c r="S425" s="103"/>
      <c r="T425" s="103"/>
      <c r="U425" s="103"/>
      <c r="V425" s="103"/>
      <c r="W425" s="103"/>
      <c r="X425" s="103"/>
      <c r="Y425" s="102"/>
      <c r="Z425" s="129"/>
      <c r="AA425" s="129" t="s">
        <v>4</v>
      </c>
      <c r="AB425" s="103"/>
      <c r="AC425" s="103"/>
      <c r="AD425" s="103"/>
      <c r="AE425" s="103"/>
      <c r="AF425" s="103"/>
      <c r="AG425" s="103"/>
      <c r="AH425" s="103"/>
      <c r="AI425" s="103"/>
      <c r="AJ425" s="103"/>
      <c r="AK425" s="102"/>
      <c r="AL425" s="129"/>
      <c r="AM425" s="129" t="s">
        <v>4</v>
      </c>
      <c r="AN425" s="103"/>
      <c r="AO425" s="103"/>
      <c r="AP425" s="103"/>
      <c r="AQ425" s="103"/>
      <c r="AR425" s="103"/>
      <c r="AS425" s="103"/>
      <c r="AT425" s="103"/>
      <c r="AU425" s="103"/>
      <c r="AV425" s="103"/>
      <c r="AW425" s="102"/>
      <c r="AX425" s="129"/>
      <c r="AY425" s="129" t="s">
        <v>4</v>
      </c>
      <c r="AZ425" s="103"/>
      <c r="BA425" s="103"/>
      <c r="BB425" s="103"/>
      <c r="BC425" s="103"/>
      <c r="BD425" s="103"/>
      <c r="BE425" s="103"/>
      <c r="BF425" s="103"/>
      <c r="BG425" s="103"/>
      <c r="BH425" s="103"/>
      <c r="BI425" s="102"/>
      <c r="BJ425" s="129"/>
      <c r="BK425" s="129" t="s">
        <v>4</v>
      </c>
      <c r="BL425" s="103"/>
      <c r="BM425" s="103"/>
      <c r="BN425" s="103"/>
      <c r="BO425" s="103"/>
      <c r="BP425" s="103"/>
      <c r="BQ425" s="103"/>
      <c r="BR425" s="103"/>
      <c r="BS425" s="103"/>
      <c r="BT425" s="103"/>
      <c r="BU425" s="102"/>
      <c r="BV425" s="129"/>
      <c r="BW425" s="129" t="s">
        <v>4</v>
      </c>
      <c r="BX425" s="103"/>
      <c r="BY425" s="103"/>
      <c r="BZ425" s="103"/>
      <c r="CA425" s="103"/>
      <c r="CB425" s="103"/>
      <c r="CC425" s="103"/>
      <c r="CD425" s="103"/>
      <c r="CE425" s="103"/>
      <c r="CF425" s="103"/>
      <c r="CG425" s="102"/>
      <c r="CH425" s="129"/>
      <c r="CI425" s="129" t="s">
        <v>4</v>
      </c>
      <c r="CJ425" s="103"/>
      <c r="CK425" s="103"/>
      <c r="CL425" s="103"/>
      <c r="CM425" s="103"/>
      <c r="CN425" s="103"/>
      <c r="CO425" s="103"/>
      <c r="CP425" s="103"/>
      <c r="CQ425" s="103"/>
      <c r="CR425" s="103"/>
      <c r="CS425" s="102"/>
      <c r="CT425" s="129"/>
      <c r="CU425" s="129" t="s">
        <v>4</v>
      </c>
      <c r="CV425" s="103"/>
      <c r="CW425" s="103"/>
      <c r="CX425" s="103"/>
      <c r="CY425" s="103"/>
      <c r="CZ425" s="103"/>
      <c r="DA425" s="103"/>
      <c r="DB425" s="103"/>
      <c r="DC425" s="103"/>
      <c r="DD425" s="103"/>
      <c r="DE425" s="102"/>
      <c r="DF425" s="129"/>
      <c r="DG425" s="129" t="s">
        <v>4</v>
      </c>
      <c r="DH425" s="103"/>
      <c r="DI425" s="103"/>
      <c r="DJ425" s="103"/>
      <c r="DK425" s="103"/>
      <c r="DL425" s="103"/>
      <c r="DM425" s="103"/>
      <c r="DN425" s="103"/>
      <c r="DO425" s="103"/>
      <c r="DP425" s="103"/>
    </row>
    <row r="426" spans="1:120" ht="30" x14ac:dyDescent="0.25">
      <c r="A426" s="92" t="str">
        <f>$A$35</f>
        <v>Fiscal Accident Year Data Ending</v>
      </c>
      <c r="B426" s="98">
        <f>$B$35</f>
        <v>0</v>
      </c>
      <c r="C426" s="98" t="str">
        <f>$C$35</f>
        <v>12</v>
      </c>
      <c r="D426" s="98">
        <f>$D$35</f>
        <v>24</v>
      </c>
      <c r="E426" s="98">
        <f>$E$35</f>
        <v>36</v>
      </c>
      <c r="F426" s="98">
        <f>$F$35</f>
        <v>48</v>
      </c>
      <c r="G426" s="98">
        <f>$G$35</f>
        <v>60</v>
      </c>
      <c r="H426" s="98">
        <f>$H$35</f>
        <v>72</v>
      </c>
      <c r="I426" s="98">
        <f>$I$35</f>
        <v>84</v>
      </c>
      <c r="J426" s="98">
        <f>$J$35</f>
        <v>96</v>
      </c>
      <c r="K426" s="98">
        <f>$K$35</f>
        <v>108</v>
      </c>
      <c r="L426" s="98">
        <f>$L$35</f>
        <v>120</v>
      </c>
      <c r="M426" s="92" t="str">
        <f>$A$35</f>
        <v>Fiscal Accident Year Data Ending</v>
      </c>
      <c r="N426" s="98">
        <f>$B$35</f>
        <v>0</v>
      </c>
      <c r="O426" s="98" t="str">
        <f>$C$35</f>
        <v>12</v>
      </c>
      <c r="P426" s="98">
        <f>$D$35</f>
        <v>24</v>
      </c>
      <c r="Q426" s="98">
        <f>$E$35</f>
        <v>36</v>
      </c>
      <c r="R426" s="98">
        <f>$F$35</f>
        <v>48</v>
      </c>
      <c r="S426" s="98">
        <f>$G$35</f>
        <v>60</v>
      </c>
      <c r="T426" s="98">
        <f>$H$35</f>
        <v>72</v>
      </c>
      <c r="U426" s="98">
        <f>$I$35</f>
        <v>84</v>
      </c>
      <c r="V426" s="98">
        <f>$J$35</f>
        <v>96</v>
      </c>
      <c r="W426" s="98">
        <f>$K$35</f>
        <v>108</v>
      </c>
      <c r="X426" s="98">
        <f>$L$35</f>
        <v>120</v>
      </c>
      <c r="Y426" s="92" t="str">
        <f>$A$35</f>
        <v>Fiscal Accident Year Data Ending</v>
      </c>
      <c r="Z426" s="98">
        <f>$B$35</f>
        <v>0</v>
      </c>
      <c r="AA426" s="98" t="str">
        <f>$C$35</f>
        <v>12</v>
      </c>
      <c r="AB426" s="98">
        <f>$D$35</f>
        <v>24</v>
      </c>
      <c r="AC426" s="98">
        <f>$E$35</f>
        <v>36</v>
      </c>
      <c r="AD426" s="98">
        <f>$F$35</f>
        <v>48</v>
      </c>
      <c r="AE426" s="98">
        <f>$G$35</f>
        <v>60</v>
      </c>
      <c r="AF426" s="98">
        <f>$H$35</f>
        <v>72</v>
      </c>
      <c r="AG426" s="98">
        <f>$I$35</f>
        <v>84</v>
      </c>
      <c r="AH426" s="98">
        <f>$J$35</f>
        <v>96</v>
      </c>
      <c r="AI426" s="98">
        <f>$K$35</f>
        <v>108</v>
      </c>
      <c r="AJ426" s="98">
        <f>$L$35</f>
        <v>120</v>
      </c>
      <c r="AK426" s="92" t="str">
        <f>$A$35</f>
        <v>Fiscal Accident Year Data Ending</v>
      </c>
      <c r="AL426" s="98">
        <f>$B$35</f>
        <v>0</v>
      </c>
      <c r="AM426" s="98" t="str">
        <f>$C$35</f>
        <v>12</v>
      </c>
      <c r="AN426" s="98">
        <f>$D$35</f>
        <v>24</v>
      </c>
      <c r="AO426" s="98">
        <f>$E$35</f>
        <v>36</v>
      </c>
      <c r="AP426" s="98">
        <f>$F$35</f>
        <v>48</v>
      </c>
      <c r="AQ426" s="98">
        <f>$G$35</f>
        <v>60</v>
      </c>
      <c r="AR426" s="98">
        <f>$H$35</f>
        <v>72</v>
      </c>
      <c r="AS426" s="98">
        <f>$I$35</f>
        <v>84</v>
      </c>
      <c r="AT426" s="98">
        <f>$J$35</f>
        <v>96</v>
      </c>
      <c r="AU426" s="98">
        <f>$K$35</f>
        <v>108</v>
      </c>
      <c r="AV426" s="98">
        <f>$L$35</f>
        <v>120</v>
      </c>
      <c r="AW426" s="92" t="str">
        <f>$A$35</f>
        <v>Fiscal Accident Year Data Ending</v>
      </c>
      <c r="AX426" s="98">
        <f>$B$35</f>
        <v>0</v>
      </c>
      <c r="AY426" s="98" t="str">
        <f>$C$35</f>
        <v>12</v>
      </c>
      <c r="AZ426" s="98">
        <f>$D$35</f>
        <v>24</v>
      </c>
      <c r="BA426" s="98">
        <f>$E$35</f>
        <v>36</v>
      </c>
      <c r="BB426" s="98">
        <f>$F$35</f>
        <v>48</v>
      </c>
      <c r="BC426" s="98">
        <f>$G$35</f>
        <v>60</v>
      </c>
      <c r="BD426" s="98">
        <f>$H$35</f>
        <v>72</v>
      </c>
      <c r="BE426" s="98">
        <f>$I$35</f>
        <v>84</v>
      </c>
      <c r="BF426" s="98">
        <f>$J$35</f>
        <v>96</v>
      </c>
      <c r="BG426" s="98">
        <f>$K$35</f>
        <v>108</v>
      </c>
      <c r="BH426" s="98">
        <f>$L$35</f>
        <v>120</v>
      </c>
      <c r="BI426" s="92" t="str">
        <f>$A$35</f>
        <v>Fiscal Accident Year Data Ending</v>
      </c>
      <c r="BJ426" s="98">
        <f>$B$35</f>
        <v>0</v>
      </c>
      <c r="BK426" s="98" t="str">
        <f>$C$35</f>
        <v>12</v>
      </c>
      <c r="BL426" s="98">
        <f>$D$35</f>
        <v>24</v>
      </c>
      <c r="BM426" s="98">
        <f>$E$35</f>
        <v>36</v>
      </c>
      <c r="BN426" s="98">
        <f>$F$35</f>
        <v>48</v>
      </c>
      <c r="BO426" s="98">
        <f>$G$35</f>
        <v>60</v>
      </c>
      <c r="BP426" s="98">
        <f>$H$35</f>
        <v>72</v>
      </c>
      <c r="BQ426" s="98">
        <f>$I$35</f>
        <v>84</v>
      </c>
      <c r="BR426" s="98">
        <f>$J$35</f>
        <v>96</v>
      </c>
      <c r="BS426" s="98">
        <f>$K$35</f>
        <v>108</v>
      </c>
      <c r="BT426" s="98">
        <f>$L$35</f>
        <v>120</v>
      </c>
      <c r="BU426" s="92" t="str">
        <f>$A$35</f>
        <v>Fiscal Accident Year Data Ending</v>
      </c>
      <c r="BV426" s="98">
        <f>$B$35</f>
        <v>0</v>
      </c>
      <c r="BW426" s="98" t="str">
        <f>$C$35</f>
        <v>12</v>
      </c>
      <c r="BX426" s="98">
        <f>$D$35</f>
        <v>24</v>
      </c>
      <c r="BY426" s="98">
        <f>$E$35</f>
        <v>36</v>
      </c>
      <c r="BZ426" s="98">
        <f>$F$35</f>
        <v>48</v>
      </c>
      <c r="CA426" s="98">
        <f>$G$35</f>
        <v>60</v>
      </c>
      <c r="CB426" s="98">
        <f>$H$35</f>
        <v>72</v>
      </c>
      <c r="CC426" s="98">
        <f>$I$35</f>
        <v>84</v>
      </c>
      <c r="CD426" s="98">
        <f>$J$35</f>
        <v>96</v>
      </c>
      <c r="CE426" s="98">
        <f>$K$35</f>
        <v>108</v>
      </c>
      <c r="CF426" s="98">
        <f>$L$35</f>
        <v>120</v>
      </c>
      <c r="CG426" s="92" t="str">
        <f>$A$35</f>
        <v>Fiscal Accident Year Data Ending</v>
      </c>
      <c r="CH426" s="98">
        <f>$B$35</f>
        <v>0</v>
      </c>
      <c r="CI426" s="98" t="str">
        <f>$C$35</f>
        <v>12</v>
      </c>
      <c r="CJ426" s="98">
        <f>$D$35</f>
        <v>24</v>
      </c>
      <c r="CK426" s="98">
        <f>$E$35</f>
        <v>36</v>
      </c>
      <c r="CL426" s="98">
        <f>$F$35</f>
        <v>48</v>
      </c>
      <c r="CM426" s="98">
        <f>$G$35</f>
        <v>60</v>
      </c>
      <c r="CN426" s="98">
        <f>$H$35</f>
        <v>72</v>
      </c>
      <c r="CO426" s="98">
        <f>$I$35</f>
        <v>84</v>
      </c>
      <c r="CP426" s="98">
        <f>$J$35</f>
        <v>96</v>
      </c>
      <c r="CQ426" s="98">
        <f>$K$35</f>
        <v>108</v>
      </c>
      <c r="CR426" s="98">
        <f>$L$35</f>
        <v>120</v>
      </c>
      <c r="CS426" s="92" t="str">
        <f>$A$35</f>
        <v>Fiscal Accident Year Data Ending</v>
      </c>
      <c r="CT426" s="98">
        <f>$B$35</f>
        <v>0</v>
      </c>
      <c r="CU426" s="98" t="str">
        <f>$C$35</f>
        <v>12</v>
      </c>
      <c r="CV426" s="98">
        <f>$D$35</f>
        <v>24</v>
      </c>
      <c r="CW426" s="98">
        <f>$E$35</f>
        <v>36</v>
      </c>
      <c r="CX426" s="98">
        <f>$F$35</f>
        <v>48</v>
      </c>
      <c r="CY426" s="98">
        <f>$G$35</f>
        <v>60</v>
      </c>
      <c r="CZ426" s="98">
        <f>$H$35</f>
        <v>72</v>
      </c>
      <c r="DA426" s="98">
        <f>$I$35</f>
        <v>84</v>
      </c>
      <c r="DB426" s="98">
        <f>$J$35</f>
        <v>96</v>
      </c>
      <c r="DC426" s="98">
        <f>$K$35</f>
        <v>108</v>
      </c>
      <c r="DD426" s="98">
        <f>$L$35</f>
        <v>120</v>
      </c>
      <c r="DE426" s="92" t="str">
        <f>$A$35</f>
        <v>Fiscal Accident Year Data Ending</v>
      </c>
      <c r="DF426" s="98">
        <f>$B$35</f>
        <v>0</v>
      </c>
      <c r="DG426" s="98" t="str">
        <f>$C$35</f>
        <v>12</v>
      </c>
      <c r="DH426" s="98">
        <f>$D$35</f>
        <v>24</v>
      </c>
      <c r="DI426" s="98">
        <f>$E$35</f>
        <v>36</v>
      </c>
      <c r="DJ426" s="98">
        <f>$F$35</f>
        <v>48</v>
      </c>
      <c r="DK426" s="98">
        <f>$G$35</f>
        <v>60</v>
      </c>
      <c r="DL426" s="98">
        <f>$H$35</f>
        <v>72</v>
      </c>
      <c r="DM426" s="98">
        <f>$I$35</f>
        <v>84</v>
      </c>
      <c r="DN426" s="98">
        <f>$J$35</f>
        <v>96</v>
      </c>
      <c r="DO426" s="98">
        <f>$K$35</f>
        <v>108</v>
      </c>
      <c r="DP426" s="98">
        <f>$L$35</f>
        <v>120</v>
      </c>
    </row>
    <row r="427" spans="1:120" ht="15" customHeight="1" x14ac:dyDescent="0.25">
      <c r="A427" s="31">
        <f>$A$36</f>
        <v>20132</v>
      </c>
      <c r="B427" s="21"/>
      <c r="C427" s="21">
        <v>688</v>
      </c>
      <c r="D427" s="21">
        <v>1184</v>
      </c>
      <c r="E427" s="21">
        <v>1237</v>
      </c>
      <c r="F427" s="21">
        <v>1259</v>
      </c>
      <c r="G427" s="21">
        <v>1276</v>
      </c>
      <c r="H427" s="21">
        <v>1283</v>
      </c>
      <c r="I427" s="21">
        <v>1286</v>
      </c>
      <c r="J427" s="21">
        <v>1292</v>
      </c>
      <c r="K427" s="21">
        <v>1292</v>
      </c>
      <c r="L427" s="21">
        <v>1295</v>
      </c>
      <c r="M427" s="31">
        <f>$A$36</f>
        <v>20132</v>
      </c>
      <c r="N427" s="21"/>
      <c r="O427" s="21"/>
      <c r="P427" s="21"/>
      <c r="Q427" s="21"/>
      <c r="R427" s="21"/>
      <c r="S427" s="21"/>
      <c r="T427" s="21"/>
      <c r="U427" s="21"/>
      <c r="V427" s="21"/>
      <c r="W427" s="21"/>
      <c r="X427" s="21"/>
      <c r="Y427" s="31">
        <f>$A$36</f>
        <v>20132</v>
      </c>
      <c r="Z427" s="21"/>
      <c r="AA427" s="21"/>
      <c r="AB427" s="21"/>
      <c r="AC427" s="21"/>
      <c r="AD427" s="21"/>
      <c r="AE427" s="21"/>
      <c r="AF427" s="21"/>
      <c r="AG427" s="21"/>
      <c r="AH427" s="21"/>
      <c r="AI427" s="21"/>
      <c r="AJ427" s="21"/>
      <c r="AK427" s="31">
        <f>$A$36</f>
        <v>20132</v>
      </c>
      <c r="AL427" s="21"/>
      <c r="AM427" s="21"/>
      <c r="AN427" s="21"/>
      <c r="AO427" s="21"/>
      <c r="AP427" s="21"/>
      <c r="AQ427" s="21"/>
      <c r="AR427" s="21"/>
      <c r="AS427" s="21"/>
      <c r="AT427" s="21"/>
      <c r="AU427" s="21"/>
      <c r="AV427" s="21"/>
      <c r="AW427" s="31">
        <f>$A$36</f>
        <v>20132</v>
      </c>
      <c r="AX427" s="21"/>
      <c r="AY427" s="21"/>
      <c r="AZ427" s="21"/>
      <c r="BA427" s="21"/>
      <c r="BB427" s="21"/>
      <c r="BC427" s="21"/>
      <c r="BD427" s="21"/>
      <c r="BE427" s="21"/>
      <c r="BF427" s="21"/>
      <c r="BG427" s="21"/>
      <c r="BH427" s="21"/>
      <c r="BI427" s="31">
        <f>$A$36</f>
        <v>20132</v>
      </c>
      <c r="BJ427" s="21"/>
      <c r="BK427" s="21"/>
      <c r="BL427" s="21"/>
      <c r="BM427" s="21"/>
      <c r="BN427" s="21"/>
      <c r="BO427" s="21"/>
      <c r="BP427" s="21"/>
      <c r="BQ427" s="21"/>
      <c r="BR427" s="21"/>
      <c r="BS427" s="21"/>
      <c r="BT427" s="21"/>
      <c r="BU427" s="31">
        <f>$A$36</f>
        <v>20132</v>
      </c>
      <c r="BV427" s="21"/>
      <c r="BW427" s="21"/>
      <c r="BX427" s="21"/>
      <c r="BY427" s="21"/>
      <c r="BZ427" s="21"/>
      <c r="CA427" s="21"/>
      <c r="CB427" s="21"/>
      <c r="CC427" s="21"/>
      <c r="CD427" s="21"/>
      <c r="CE427" s="21"/>
      <c r="CF427" s="21"/>
      <c r="CG427" s="31">
        <f>$A$36</f>
        <v>20132</v>
      </c>
      <c r="CH427" s="21"/>
      <c r="CI427" s="21"/>
      <c r="CJ427" s="21"/>
      <c r="CK427" s="21"/>
      <c r="CL427" s="21"/>
      <c r="CM427" s="21"/>
      <c r="CN427" s="21"/>
      <c r="CO427" s="21"/>
      <c r="CP427" s="21"/>
      <c r="CQ427" s="21"/>
      <c r="CR427" s="21"/>
      <c r="CS427" s="31">
        <f>$A$36</f>
        <v>20132</v>
      </c>
      <c r="CT427" s="21"/>
      <c r="CU427" s="21"/>
      <c r="CV427" s="21"/>
      <c r="CW427" s="21"/>
      <c r="CX427" s="21"/>
      <c r="CY427" s="21"/>
      <c r="CZ427" s="21"/>
      <c r="DA427" s="21"/>
      <c r="DB427" s="21"/>
      <c r="DC427" s="21"/>
      <c r="DD427" s="21"/>
      <c r="DE427" s="31">
        <f>$A$36</f>
        <v>20132</v>
      </c>
      <c r="DF427" s="21"/>
      <c r="DG427" s="21"/>
      <c r="DH427" s="21"/>
      <c r="DI427" s="21"/>
      <c r="DJ427" s="21"/>
      <c r="DK427" s="21"/>
      <c r="DL427" s="21"/>
      <c r="DM427" s="21"/>
      <c r="DN427" s="21"/>
      <c r="DO427" s="21"/>
      <c r="DP427" s="21"/>
    </row>
    <row r="428" spans="1:120" ht="15" customHeight="1" x14ac:dyDescent="0.25">
      <c r="A428" s="31">
        <f>$A$37</f>
        <v>20142</v>
      </c>
      <c r="B428" s="21"/>
      <c r="C428" s="21">
        <v>1653</v>
      </c>
      <c r="D428" s="21">
        <v>2108</v>
      </c>
      <c r="E428" s="21">
        <v>2196</v>
      </c>
      <c r="F428" s="21">
        <v>2237</v>
      </c>
      <c r="G428" s="21">
        <v>2260</v>
      </c>
      <c r="H428" s="21">
        <v>2275</v>
      </c>
      <c r="I428" s="21">
        <v>2283</v>
      </c>
      <c r="J428" s="21">
        <v>2289</v>
      </c>
      <c r="K428" s="21">
        <v>2304</v>
      </c>
      <c r="L428" s="134"/>
      <c r="M428" s="31">
        <f>$A$37</f>
        <v>20142</v>
      </c>
      <c r="N428" s="21"/>
      <c r="O428" s="21"/>
      <c r="P428" s="21"/>
      <c r="Q428" s="21"/>
      <c r="R428" s="21"/>
      <c r="S428" s="21"/>
      <c r="T428" s="21"/>
      <c r="U428" s="21"/>
      <c r="V428" s="21"/>
      <c r="W428" s="21"/>
      <c r="X428" s="134"/>
      <c r="Y428" s="31">
        <f>$A$37</f>
        <v>20142</v>
      </c>
      <c r="Z428" s="21"/>
      <c r="AA428" s="21"/>
      <c r="AB428" s="21"/>
      <c r="AC428" s="21"/>
      <c r="AD428" s="21"/>
      <c r="AE428" s="21"/>
      <c r="AF428" s="21"/>
      <c r="AG428" s="21"/>
      <c r="AH428" s="21"/>
      <c r="AI428" s="21"/>
      <c r="AJ428" s="134"/>
      <c r="AK428" s="31">
        <f>$A$37</f>
        <v>20142</v>
      </c>
      <c r="AL428" s="21"/>
      <c r="AM428" s="21"/>
      <c r="AN428" s="21"/>
      <c r="AO428" s="21"/>
      <c r="AP428" s="21"/>
      <c r="AQ428" s="21"/>
      <c r="AR428" s="21"/>
      <c r="AS428" s="21"/>
      <c r="AT428" s="21"/>
      <c r="AU428" s="21"/>
      <c r="AV428" s="134"/>
      <c r="AW428" s="31">
        <f>$A$37</f>
        <v>20142</v>
      </c>
      <c r="AX428" s="21"/>
      <c r="AY428" s="21"/>
      <c r="AZ428" s="21"/>
      <c r="BA428" s="21"/>
      <c r="BB428" s="21"/>
      <c r="BC428" s="21"/>
      <c r="BD428" s="21"/>
      <c r="BE428" s="21"/>
      <c r="BF428" s="21"/>
      <c r="BG428" s="21"/>
      <c r="BH428" s="134"/>
      <c r="BI428" s="31">
        <f>$A$37</f>
        <v>20142</v>
      </c>
      <c r="BJ428" s="21"/>
      <c r="BK428" s="21"/>
      <c r="BL428" s="21"/>
      <c r="BM428" s="21"/>
      <c r="BN428" s="21"/>
      <c r="BO428" s="21"/>
      <c r="BP428" s="21"/>
      <c r="BQ428" s="21"/>
      <c r="BR428" s="21"/>
      <c r="BS428" s="21"/>
      <c r="BT428" s="134"/>
      <c r="BU428" s="31">
        <f>$A$37</f>
        <v>20142</v>
      </c>
      <c r="BV428" s="21"/>
      <c r="BW428" s="21"/>
      <c r="BX428" s="21"/>
      <c r="BY428" s="21"/>
      <c r="BZ428" s="21"/>
      <c r="CA428" s="21"/>
      <c r="CB428" s="21"/>
      <c r="CC428" s="21"/>
      <c r="CD428" s="21"/>
      <c r="CE428" s="21"/>
      <c r="CF428" s="134"/>
      <c r="CG428" s="31">
        <f>$A$37</f>
        <v>20142</v>
      </c>
      <c r="CH428" s="21"/>
      <c r="CI428" s="21"/>
      <c r="CJ428" s="21"/>
      <c r="CK428" s="21"/>
      <c r="CL428" s="21"/>
      <c r="CM428" s="21"/>
      <c r="CN428" s="21"/>
      <c r="CO428" s="21"/>
      <c r="CP428" s="21"/>
      <c r="CQ428" s="21"/>
      <c r="CR428" s="134"/>
      <c r="CS428" s="31">
        <f>$A$37</f>
        <v>20142</v>
      </c>
      <c r="CT428" s="21"/>
      <c r="CU428" s="21"/>
      <c r="CV428" s="21"/>
      <c r="CW428" s="21"/>
      <c r="CX428" s="21"/>
      <c r="CY428" s="21"/>
      <c r="CZ428" s="21"/>
      <c r="DA428" s="21"/>
      <c r="DB428" s="21"/>
      <c r="DC428" s="21"/>
      <c r="DD428" s="134"/>
      <c r="DE428" s="31">
        <f>$A$37</f>
        <v>20142</v>
      </c>
      <c r="DF428" s="21"/>
      <c r="DG428" s="21"/>
      <c r="DH428" s="21"/>
      <c r="DI428" s="21"/>
      <c r="DJ428" s="21"/>
      <c r="DK428" s="21"/>
      <c r="DL428" s="21"/>
      <c r="DM428" s="21"/>
      <c r="DN428" s="21"/>
      <c r="DO428" s="21"/>
      <c r="DP428" s="134"/>
    </row>
    <row r="429" spans="1:120" ht="15" customHeight="1" x14ac:dyDescent="0.25">
      <c r="A429" s="31">
        <f>$A$38</f>
        <v>20152</v>
      </c>
      <c r="B429" s="21"/>
      <c r="C429" s="21">
        <v>1343</v>
      </c>
      <c r="D429" s="21">
        <v>1794</v>
      </c>
      <c r="E429" s="21">
        <v>1886</v>
      </c>
      <c r="F429" s="21">
        <v>1930</v>
      </c>
      <c r="G429" s="21">
        <v>1953</v>
      </c>
      <c r="H429" s="21">
        <v>1980</v>
      </c>
      <c r="I429" s="21">
        <v>1990</v>
      </c>
      <c r="J429" s="21">
        <v>2008</v>
      </c>
      <c r="K429" s="134"/>
      <c r="L429" s="134"/>
      <c r="M429" s="31">
        <f>$A$38</f>
        <v>20152</v>
      </c>
      <c r="N429" s="21"/>
      <c r="O429" s="21"/>
      <c r="P429" s="21"/>
      <c r="Q429" s="21"/>
      <c r="R429" s="21"/>
      <c r="S429" s="21"/>
      <c r="T429" s="21"/>
      <c r="U429" s="21"/>
      <c r="V429" s="21"/>
      <c r="W429" s="134"/>
      <c r="X429" s="134"/>
      <c r="Y429" s="31">
        <f>$A$38</f>
        <v>20152</v>
      </c>
      <c r="Z429" s="21"/>
      <c r="AA429" s="21"/>
      <c r="AB429" s="21"/>
      <c r="AC429" s="21"/>
      <c r="AD429" s="21"/>
      <c r="AE429" s="21"/>
      <c r="AF429" s="21"/>
      <c r="AG429" s="21"/>
      <c r="AH429" s="21"/>
      <c r="AI429" s="134"/>
      <c r="AJ429" s="134"/>
      <c r="AK429" s="31">
        <f>$A$38</f>
        <v>20152</v>
      </c>
      <c r="AL429" s="21"/>
      <c r="AM429" s="21"/>
      <c r="AN429" s="21"/>
      <c r="AO429" s="21"/>
      <c r="AP429" s="21"/>
      <c r="AQ429" s="21"/>
      <c r="AR429" s="21"/>
      <c r="AS429" s="21"/>
      <c r="AT429" s="21"/>
      <c r="AU429" s="134"/>
      <c r="AV429" s="134"/>
      <c r="AW429" s="31">
        <f>$A$38</f>
        <v>20152</v>
      </c>
      <c r="AX429" s="21"/>
      <c r="AY429" s="21"/>
      <c r="AZ429" s="21"/>
      <c r="BA429" s="21"/>
      <c r="BB429" s="21"/>
      <c r="BC429" s="21"/>
      <c r="BD429" s="21"/>
      <c r="BE429" s="21"/>
      <c r="BF429" s="21"/>
      <c r="BG429" s="134"/>
      <c r="BH429" s="134"/>
      <c r="BI429" s="31">
        <f>$A$38</f>
        <v>20152</v>
      </c>
      <c r="BJ429" s="21"/>
      <c r="BK429" s="21"/>
      <c r="BL429" s="21"/>
      <c r="BM429" s="21"/>
      <c r="BN429" s="21"/>
      <c r="BO429" s="21"/>
      <c r="BP429" s="21"/>
      <c r="BQ429" s="21"/>
      <c r="BR429" s="21"/>
      <c r="BS429" s="134"/>
      <c r="BT429" s="134"/>
      <c r="BU429" s="31">
        <f>$A$38</f>
        <v>20152</v>
      </c>
      <c r="BV429" s="21"/>
      <c r="BW429" s="21"/>
      <c r="BX429" s="21"/>
      <c r="BY429" s="21"/>
      <c r="BZ429" s="21"/>
      <c r="CA429" s="21"/>
      <c r="CB429" s="21"/>
      <c r="CC429" s="21"/>
      <c r="CD429" s="21"/>
      <c r="CE429" s="134"/>
      <c r="CF429" s="134"/>
      <c r="CG429" s="31">
        <f>$A$38</f>
        <v>20152</v>
      </c>
      <c r="CH429" s="21"/>
      <c r="CI429" s="21"/>
      <c r="CJ429" s="21"/>
      <c r="CK429" s="21"/>
      <c r="CL429" s="21"/>
      <c r="CM429" s="21"/>
      <c r="CN429" s="21"/>
      <c r="CO429" s="21"/>
      <c r="CP429" s="21"/>
      <c r="CQ429" s="134"/>
      <c r="CR429" s="134"/>
      <c r="CS429" s="31">
        <f>$A$38</f>
        <v>20152</v>
      </c>
      <c r="CT429" s="21"/>
      <c r="CU429" s="21"/>
      <c r="CV429" s="21"/>
      <c r="CW429" s="21"/>
      <c r="CX429" s="21"/>
      <c r="CY429" s="21"/>
      <c r="CZ429" s="21"/>
      <c r="DA429" s="21"/>
      <c r="DB429" s="21"/>
      <c r="DC429" s="134"/>
      <c r="DD429" s="134"/>
      <c r="DE429" s="31">
        <f>$A$38</f>
        <v>20152</v>
      </c>
      <c r="DF429" s="21"/>
      <c r="DG429" s="21"/>
      <c r="DH429" s="21"/>
      <c r="DI429" s="21"/>
      <c r="DJ429" s="21"/>
      <c r="DK429" s="21"/>
      <c r="DL429" s="21"/>
      <c r="DM429" s="21"/>
      <c r="DN429" s="21"/>
      <c r="DO429" s="134"/>
      <c r="DP429" s="134"/>
    </row>
    <row r="430" spans="1:120" ht="15" customHeight="1" x14ac:dyDescent="0.25">
      <c r="A430" s="31">
        <f>$A$39</f>
        <v>20162</v>
      </c>
      <c r="B430" s="21"/>
      <c r="C430" s="21">
        <v>1462</v>
      </c>
      <c r="D430" s="21">
        <v>1941</v>
      </c>
      <c r="E430" s="21">
        <v>2031</v>
      </c>
      <c r="F430" s="21">
        <v>2067</v>
      </c>
      <c r="G430" s="21">
        <v>2097</v>
      </c>
      <c r="H430" s="21">
        <v>2118</v>
      </c>
      <c r="I430" s="21">
        <v>2148</v>
      </c>
      <c r="J430" s="134"/>
      <c r="K430" s="134"/>
      <c r="L430" s="134"/>
      <c r="M430" s="31">
        <f>$A$39</f>
        <v>20162</v>
      </c>
      <c r="N430" s="21"/>
      <c r="O430" s="21"/>
      <c r="P430" s="21"/>
      <c r="Q430" s="21"/>
      <c r="R430" s="21"/>
      <c r="S430" s="21"/>
      <c r="T430" s="21"/>
      <c r="U430" s="21"/>
      <c r="V430" s="134"/>
      <c r="W430" s="134"/>
      <c r="X430" s="134"/>
      <c r="Y430" s="31">
        <f>$A$39</f>
        <v>20162</v>
      </c>
      <c r="Z430" s="21"/>
      <c r="AA430" s="21"/>
      <c r="AB430" s="21"/>
      <c r="AC430" s="21"/>
      <c r="AD430" s="21"/>
      <c r="AE430" s="21"/>
      <c r="AF430" s="21"/>
      <c r="AG430" s="21"/>
      <c r="AH430" s="134"/>
      <c r="AI430" s="134"/>
      <c r="AJ430" s="134"/>
      <c r="AK430" s="31">
        <f>$A$39</f>
        <v>20162</v>
      </c>
      <c r="AL430" s="21"/>
      <c r="AM430" s="21"/>
      <c r="AN430" s="21"/>
      <c r="AO430" s="21"/>
      <c r="AP430" s="21"/>
      <c r="AQ430" s="21"/>
      <c r="AR430" s="21"/>
      <c r="AS430" s="21"/>
      <c r="AT430" s="134"/>
      <c r="AU430" s="134"/>
      <c r="AV430" s="134"/>
      <c r="AW430" s="31">
        <f>$A$39</f>
        <v>20162</v>
      </c>
      <c r="AX430" s="21"/>
      <c r="AY430" s="21"/>
      <c r="AZ430" s="21"/>
      <c r="BA430" s="21"/>
      <c r="BB430" s="21"/>
      <c r="BC430" s="21"/>
      <c r="BD430" s="21"/>
      <c r="BE430" s="21"/>
      <c r="BF430" s="134"/>
      <c r="BG430" s="134"/>
      <c r="BH430" s="134"/>
      <c r="BI430" s="31">
        <f>$A$39</f>
        <v>20162</v>
      </c>
      <c r="BJ430" s="21"/>
      <c r="BK430" s="21"/>
      <c r="BL430" s="21"/>
      <c r="BM430" s="21"/>
      <c r="BN430" s="21"/>
      <c r="BO430" s="21"/>
      <c r="BP430" s="21"/>
      <c r="BQ430" s="21"/>
      <c r="BR430" s="134"/>
      <c r="BS430" s="134"/>
      <c r="BT430" s="134"/>
      <c r="BU430" s="31">
        <f>$A$39</f>
        <v>20162</v>
      </c>
      <c r="BV430" s="21"/>
      <c r="BW430" s="21"/>
      <c r="BX430" s="21"/>
      <c r="BY430" s="21"/>
      <c r="BZ430" s="21"/>
      <c r="CA430" s="21"/>
      <c r="CB430" s="21"/>
      <c r="CC430" s="21"/>
      <c r="CD430" s="134"/>
      <c r="CE430" s="134"/>
      <c r="CF430" s="134"/>
      <c r="CG430" s="31">
        <f>$A$39</f>
        <v>20162</v>
      </c>
      <c r="CH430" s="21"/>
      <c r="CI430" s="21"/>
      <c r="CJ430" s="21"/>
      <c r="CK430" s="21"/>
      <c r="CL430" s="21"/>
      <c r="CM430" s="21"/>
      <c r="CN430" s="21"/>
      <c r="CO430" s="21"/>
      <c r="CP430" s="134"/>
      <c r="CQ430" s="134"/>
      <c r="CR430" s="134"/>
      <c r="CS430" s="31">
        <f>$A$39</f>
        <v>20162</v>
      </c>
      <c r="CT430" s="21"/>
      <c r="CU430" s="21"/>
      <c r="CV430" s="21"/>
      <c r="CW430" s="21"/>
      <c r="CX430" s="21"/>
      <c r="CY430" s="21"/>
      <c r="CZ430" s="21"/>
      <c r="DA430" s="21"/>
      <c r="DB430" s="134"/>
      <c r="DC430" s="134"/>
      <c r="DD430" s="134"/>
      <c r="DE430" s="31">
        <f>$A$39</f>
        <v>20162</v>
      </c>
      <c r="DF430" s="21"/>
      <c r="DG430" s="21"/>
      <c r="DH430" s="21"/>
      <c r="DI430" s="21"/>
      <c r="DJ430" s="21"/>
      <c r="DK430" s="21"/>
      <c r="DL430" s="21"/>
      <c r="DM430" s="21"/>
      <c r="DN430" s="134"/>
      <c r="DO430" s="134"/>
      <c r="DP430" s="134"/>
    </row>
    <row r="431" spans="1:120" ht="15" customHeight="1" x14ac:dyDescent="0.25">
      <c r="A431" s="31">
        <f>$A$40</f>
        <v>20172</v>
      </c>
      <c r="B431" s="21"/>
      <c r="C431" s="21">
        <v>1735</v>
      </c>
      <c r="D431" s="21">
        <v>2258</v>
      </c>
      <c r="E431" s="21">
        <v>2364</v>
      </c>
      <c r="F431" s="21">
        <v>2415</v>
      </c>
      <c r="G431" s="21">
        <v>2453</v>
      </c>
      <c r="H431" s="21">
        <v>2474</v>
      </c>
      <c r="I431" s="134"/>
      <c r="J431" s="134"/>
      <c r="K431" s="134"/>
      <c r="L431" s="134"/>
      <c r="M431" s="31">
        <f>$A$40</f>
        <v>20172</v>
      </c>
      <c r="N431" s="21"/>
      <c r="O431" s="21"/>
      <c r="P431" s="21"/>
      <c r="Q431" s="21"/>
      <c r="R431" s="21"/>
      <c r="S431" s="21"/>
      <c r="T431" s="21"/>
      <c r="U431" s="134"/>
      <c r="V431" s="134"/>
      <c r="W431" s="134"/>
      <c r="X431" s="134"/>
      <c r="Y431" s="31">
        <f>$A$40</f>
        <v>20172</v>
      </c>
      <c r="Z431" s="21"/>
      <c r="AA431" s="21"/>
      <c r="AB431" s="21"/>
      <c r="AC431" s="21"/>
      <c r="AD431" s="21"/>
      <c r="AE431" s="21"/>
      <c r="AF431" s="21"/>
      <c r="AG431" s="134"/>
      <c r="AH431" s="134"/>
      <c r="AI431" s="134"/>
      <c r="AJ431" s="134"/>
      <c r="AK431" s="31">
        <f>$A$40</f>
        <v>20172</v>
      </c>
      <c r="AL431" s="21"/>
      <c r="AM431" s="21"/>
      <c r="AN431" s="21"/>
      <c r="AO431" s="21"/>
      <c r="AP431" s="21"/>
      <c r="AQ431" s="21"/>
      <c r="AR431" s="21"/>
      <c r="AS431" s="134"/>
      <c r="AT431" s="134"/>
      <c r="AU431" s="134"/>
      <c r="AV431" s="134"/>
      <c r="AW431" s="31">
        <f>$A$40</f>
        <v>20172</v>
      </c>
      <c r="AX431" s="21"/>
      <c r="AY431" s="21"/>
      <c r="AZ431" s="21"/>
      <c r="BA431" s="21"/>
      <c r="BB431" s="21"/>
      <c r="BC431" s="21"/>
      <c r="BD431" s="21"/>
      <c r="BE431" s="134"/>
      <c r="BF431" s="134"/>
      <c r="BG431" s="134"/>
      <c r="BH431" s="134"/>
      <c r="BI431" s="31">
        <f>$A$40</f>
        <v>20172</v>
      </c>
      <c r="BJ431" s="21"/>
      <c r="BK431" s="21"/>
      <c r="BL431" s="21"/>
      <c r="BM431" s="21"/>
      <c r="BN431" s="21"/>
      <c r="BO431" s="21"/>
      <c r="BP431" s="21"/>
      <c r="BQ431" s="134"/>
      <c r="BR431" s="134"/>
      <c r="BS431" s="134"/>
      <c r="BT431" s="134"/>
      <c r="BU431" s="31">
        <f>$A$40</f>
        <v>20172</v>
      </c>
      <c r="BV431" s="21"/>
      <c r="BW431" s="21"/>
      <c r="BX431" s="21"/>
      <c r="BY431" s="21"/>
      <c r="BZ431" s="21"/>
      <c r="CA431" s="21"/>
      <c r="CB431" s="21"/>
      <c r="CC431" s="134"/>
      <c r="CD431" s="134"/>
      <c r="CE431" s="134"/>
      <c r="CF431" s="134"/>
      <c r="CG431" s="31">
        <f>$A$40</f>
        <v>20172</v>
      </c>
      <c r="CH431" s="21"/>
      <c r="CI431" s="21"/>
      <c r="CJ431" s="21"/>
      <c r="CK431" s="21"/>
      <c r="CL431" s="21"/>
      <c r="CM431" s="21"/>
      <c r="CN431" s="21"/>
      <c r="CO431" s="134"/>
      <c r="CP431" s="134"/>
      <c r="CQ431" s="134"/>
      <c r="CR431" s="134"/>
      <c r="CS431" s="31">
        <f>$A$40</f>
        <v>20172</v>
      </c>
      <c r="CT431" s="21"/>
      <c r="CU431" s="21"/>
      <c r="CV431" s="21"/>
      <c r="CW431" s="21"/>
      <c r="CX431" s="21"/>
      <c r="CY431" s="21"/>
      <c r="CZ431" s="21"/>
      <c r="DA431" s="134"/>
      <c r="DB431" s="134"/>
      <c r="DC431" s="134"/>
      <c r="DD431" s="134"/>
      <c r="DE431" s="31">
        <f>$A$40</f>
        <v>20172</v>
      </c>
      <c r="DF431" s="21"/>
      <c r="DG431" s="21"/>
      <c r="DH431" s="21"/>
      <c r="DI431" s="21"/>
      <c r="DJ431" s="21"/>
      <c r="DK431" s="21"/>
      <c r="DL431" s="21"/>
      <c r="DM431" s="134"/>
      <c r="DN431" s="134"/>
      <c r="DO431" s="134"/>
      <c r="DP431" s="134"/>
    </row>
    <row r="432" spans="1:120" ht="15" customHeight="1" x14ac:dyDescent="0.25">
      <c r="A432" s="31">
        <f>$A$41</f>
        <v>20182</v>
      </c>
      <c r="B432" s="21"/>
      <c r="C432" s="21">
        <v>1765</v>
      </c>
      <c r="D432" s="21">
        <v>2176</v>
      </c>
      <c r="E432" s="21">
        <v>2273</v>
      </c>
      <c r="F432" s="21">
        <v>2326</v>
      </c>
      <c r="G432" s="21">
        <v>2362</v>
      </c>
      <c r="H432" s="134"/>
      <c r="I432" s="134"/>
      <c r="J432" s="134"/>
      <c r="K432" s="134"/>
      <c r="L432" s="134"/>
      <c r="M432" s="31">
        <f>$A$41</f>
        <v>20182</v>
      </c>
      <c r="N432" s="21"/>
      <c r="O432" s="21"/>
      <c r="P432" s="21"/>
      <c r="Q432" s="21"/>
      <c r="R432" s="21"/>
      <c r="S432" s="21"/>
      <c r="T432" s="134"/>
      <c r="U432" s="134"/>
      <c r="V432" s="134"/>
      <c r="W432" s="134"/>
      <c r="X432" s="134"/>
      <c r="Y432" s="31">
        <f>$A$41</f>
        <v>20182</v>
      </c>
      <c r="Z432" s="21"/>
      <c r="AA432" s="21"/>
      <c r="AB432" s="21"/>
      <c r="AC432" s="21"/>
      <c r="AD432" s="21"/>
      <c r="AE432" s="21"/>
      <c r="AF432" s="134"/>
      <c r="AG432" s="134"/>
      <c r="AH432" s="134"/>
      <c r="AI432" s="134"/>
      <c r="AJ432" s="134"/>
      <c r="AK432" s="31">
        <f>$A$41</f>
        <v>20182</v>
      </c>
      <c r="AL432" s="21"/>
      <c r="AM432" s="21"/>
      <c r="AN432" s="21"/>
      <c r="AO432" s="21"/>
      <c r="AP432" s="21"/>
      <c r="AQ432" s="21"/>
      <c r="AR432" s="134"/>
      <c r="AS432" s="134"/>
      <c r="AT432" s="134"/>
      <c r="AU432" s="134"/>
      <c r="AV432" s="134"/>
      <c r="AW432" s="31">
        <f>$A$41</f>
        <v>20182</v>
      </c>
      <c r="AX432" s="21"/>
      <c r="AY432" s="21"/>
      <c r="AZ432" s="21"/>
      <c r="BA432" s="21"/>
      <c r="BB432" s="21"/>
      <c r="BC432" s="21"/>
      <c r="BD432" s="134"/>
      <c r="BE432" s="134"/>
      <c r="BF432" s="134"/>
      <c r="BG432" s="134"/>
      <c r="BH432" s="134"/>
      <c r="BI432" s="31">
        <f>$A$41</f>
        <v>20182</v>
      </c>
      <c r="BJ432" s="21"/>
      <c r="BK432" s="21"/>
      <c r="BL432" s="21"/>
      <c r="BM432" s="21"/>
      <c r="BN432" s="21"/>
      <c r="BO432" s="21"/>
      <c r="BP432" s="134"/>
      <c r="BQ432" s="134"/>
      <c r="BR432" s="134"/>
      <c r="BS432" s="134"/>
      <c r="BT432" s="134"/>
      <c r="BU432" s="31">
        <f>$A$41</f>
        <v>20182</v>
      </c>
      <c r="BV432" s="21"/>
      <c r="BW432" s="21"/>
      <c r="BX432" s="21"/>
      <c r="BY432" s="21"/>
      <c r="BZ432" s="21"/>
      <c r="CA432" s="21"/>
      <c r="CB432" s="134"/>
      <c r="CC432" s="134"/>
      <c r="CD432" s="134"/>
      <c r="CE432" s="134"/>
      <c r="CF432" s="134"/>
      <c r="CG432" s="31">
        <f>$A$41</f>
        <v>20182</v>
      </c>
      <c r="CH432" s="21"/>
      <c r="CI432" s="21"/>
      <c r="CJ432" s="21"/>
      <c r="CK432" s="21"/>
      <c r="CL432" s="21"/>
      <c r="CM432" s="21"/>
      <c r="CN432" s="134"/>
      <c r="CO432" s="134"/>
      <c r="CP432" s="134"/>
      <c r="CQ432" s="134"/>
      <c r="CR432" s="134"/>
      <c r="CS432" s="31">
        <f>$A$41</f>
        <v>20182</v>
      </c>
      <c r="CT432" s="21"/>
      <c r="CU432" s="21"/>
      <c r="CV432" s="21"/>
      <c r="CW432" s="21"/>
      <c r="CX432" s="21"/>
      <c r="CY432" s="21"/>
      <c r="CZ432" s="134"/>
      <c r="DA432" s="134"/>
      <c r="DB432" s="134"/>
      <c r="DC432" s="134"/>
      <c r="DD432" s="134"/>
      <c r="DE432" s="31">
        <f>$A$41</f>
        <v>20182</v>
      </c>
      <c r="DF432" s="21"/>
      <c r="DG432" s="21"/>
      <c r="DH432" s="21"/>
      <c r="DI432" s="21"/>
      <c r="DJ432" s="21"/>
      <c r="DK432" s="21"/>
      <c r="DL432" s="134"/>
      <c r="DM432" s="134"/>
      <c r="DN432" s="134"/>
      <c r="DO432" s="134"/>
      <c r="DP432" s="134"/>
    </row>
    <row r="433" spans="1:120" ht="15" customHeight="1" x14ac:dyDescent="0.25">
      <c r="A433" s="31">
        <f>$A$42</f>
        <v>20192</v>
      </c>
      <c r="B433" s="21"/>
      <c r="C433" s="21">
        <v>1703</v>
      </c>
      <c r="D433" s="21">
        <v>2159</v>
      </c>
      <c r="E433" s="21">
        <v>2241</v>
      </c>
      <c r="F433" s="21">
        <v>2304</v>
      </c>
      <c r="G433" s="134"/>
      <c r="H433" s="134"/>
      <c r="I433" s="134"/>
      <c r="J433" s="134"/>
      <c r="K433" s="134"/>
      <c r="L433" s="134"/>
      <c r="M433" s="31">
        <f>$A$42</f>
        <v>20192</v>
      </c>
      <c r="N433" s="21"/>
      <c r="O433" s="21"/>
      <c r="P433" s="21"/>
      <c r="Q433" s="21"/>
      <c r="R433" s="21"/>
      <c r="S433" s="134"/>
      <c r="T433" s="134"/>
      <c r="U433" s="134"/>
      <c r="V433" s="134"/>
      <c r="W433" s="134"/>
      <c r="X433" s="134"/>
      <c r="Y433" s="31">
        <f>$A$42</f>
        <v>20192</v>
      </c>
      <c r="Z433" s="21"/>
      <c r="AA433" s="21"/>
      <c r="AB433" s="21"/>
      <c r="AC433" s="21"/>
      <c r="AD433" s="21"/>
      <c r="AE433" s="134"/>
      <c r="AF433" s="134"/>
      <c r="AG433" s="134"/>
      <c r="AH433" s="134"/>
      <c r="AI433" s="134"/>
      <c r="AJ433" s="134"/>
      <c r="AK433" s="31">
        <f>$A$42</f>
        <v>20192</v>
      </c>
      <c r="AL433" s="21"/>
      <c r="AM433" s="21"/>
      <c r="AN433" s="21"/>
      <c r="AO433" s="21"/>
      <c r="AP433" s="21"/>
      <c r="AQ433" s="134"/>
      <c r="AR433" s="134"/>
      <c r="AS433" s="134"/>
      <c r="AT433" s="134"/>
      <c r="AU433" s="134"/>
      <c r="AV433" s="134"/>
      <c r="AW433" s="31">
        <f>$A$42</f>
        <v>20192</v>
      </c>
      <c r="AX433" s="21"/>
      <c r="AY433" s="21"/>
      <c r="AZ433" s="21"/>
      <c r="BA433" s="21"/>
      <c r="BB433" s="21"/>
      <c r="BC433" s="134"/>
      <c r="BD433" s="134"/>
      <c r="BE433" s="134"/>
      <c r="BF433" s="134"/>
      <c r="BG433" s="134"/>
      <c r="BH433" s="134"/>
      <c r="BI433" s="31">
        <f>$A$42</f>
        <v>20192</v>
      </c>
      <c r="BJ433" s="21"/>
      <c r="BK433" s="21"/>
      <c r="BL433" s="21"/>
      <c r="BM433" s="21"/>
      <c r="BN433" s="21"/>
      <c r="BO433" s="134"/>
      <c r="BP433" s="134"/>
      <c r="BQ433" s="134"/>
      <c r="BR433" s="134"/>
      <c r="BS433" s="134"/>
      <c r="BT433" s="134"/>
      <c r="BU433" s="31">
        <f>$A$42</f>
        <v>20192</v>
      </c>
      <c r="BV433" s="21"/>
      <c r="BW433" s="21"/>
      <c r="BX433" s="21"/>
      <c r="BY433" s="21"/>
      <c r="BZ433" s="21"/>
      <c r="CA433" s="134"/>
      <c r="CB433" s="134"/>
      <c r="CC433" s="134"/>
      <c r="CD433" s="134"/>
      <c r="CE433" s="134"/>
      <c r="CF433" s="134"/>
      <c r="CG433" s="31">
        <f>$A$42</f>
        <v>20192</v>
      </c>
      <c r="CH433" s="21"/>
      <c r="CI433" s="21"/>
      <c r="CJ433" s="21"/>
      <c r="CK433" s="21"/>
      <c r="CL433" s="21"/>
      <c r="CM433" s="134"/>
      <c r="CN433" s="134"/>
      <c r="CO433" s="134"/>
      <c r="CP433" s="134"/>
      <c r="CQ433" s="134"/>
      <c r="CR433" s="134"/>
      <c r="CS433" s="31">
        <f>$A$42</f>
        <v>20192</v>
      </c>
      <c r="CT433" s="21"/>
      <c r="CU433" s="21"/>
      <c r="CV433" s="21"/>
      <c r="CW433" s="21"/>
      <c r="CX433" s="21"/>
      <c r="CY433" s="134"/>
      <c r="CZ433" s="134"/>
      <c r="DA433" s="134"/>
      <c r="DB433" s="134"/>
      <c r="DC433" s="134"/>
      <c r="DD433" s="134"/>
      <c r="DE433" s="31">
        <f>$A$42</f>
        <v>20192</v>
      </c>
      <c r="DF433" s="21"/>
      <c r="DG433" s="21"/>
      <c r="DH433" s="21"/>
      <c r="DI433" s="21"/>
      <c r="DJ433" s="21"/>
      <c r="DK433" s="134"/>
      <c r="DL433" s="134"/>
      <c r="DM433" s="134"/>
      <c r="DN433" s="134"/>
      <c r="DO433" s="134"/>
      <c r="DP433" s="134"/>
    </row>
    <row r="434" spans="1:120" ht="15" customHeight="1" x14ac:dyDescent="0.25">
      <c r="A434" s="31">
        <f>$A$43</f>
        <v>20202</v>
      </c>
      <c r="B434" s="21"/>
      <c r="C434" s="21">
        <v>1756</v>
      </c>
      <c r="D434" s="21">
        <v>2239</v>
      </c>
      <c r="E434" s="21">
        <v>2340</v>
      </c>
      <c r="F434" s="134"/>
      <c r="G434" s="134"/>
      <c r="H434" s="134"/>
      <c r="I434" s="134"/>
      <c r="J434" s="134"/>
      <c r="K434" s="134"/>
      <c r="L434" s="134"/>
      <c r="M434" s="31">
        <f>$A$43</f>
        <v>20202</v>
      </c>
      <c r="N434" s="21"/>
      <c r="O434" s="21"/>
      <c r="P434" s="21"/>
      <c r="Q434" s="21"/>
      <c r="R434" s="134"/>
      <c r="S434" s="134"/>
      <c r="T434" s="134"/>
      <c r="U434" s="134"/>
      <c r="V434" s="134"/>
      <c r="W434" s="134"/>
      <c r="X434" s="134"/>
      <c r="Y434" s="31">
        <f>$A$43</f>
        <v>20202</v>
      </c>
      <c r="Z434" s="21"/>
      <c r="AA434" s="21"/>
      <c r="AB434" s="21"/>
      <c r="AC434" s="21"/>
      <c r="AD434" s="134"/>
      <c r="AE434" s="134"/>
      <c r="AF434" s="134"/>
      <c r="AG434" s="134"/>
      <c r="AH434" s="134"/>
      <c r="AI434" s="134"/>
      <c r="AJ434" s="134"/>
      <c r="AK434" s="31">
        <f>$A$43</f>
        <v>20202</v>
      </c>
      <c r="AL434" s="21"/>
      <c r="AM434" s="21"/>
      <c r="AN434" s="21"/>
      <c r="AO434" s="21"/>
      <c r="AP434" s="134"/>
      <c r="AQ434" s="134"/>
      <c r="AR434" s="134"/>
      <c r="AS434" s="134"/>
      <c r="AT434" s="134"/>
      <c r="AU434" s="134"/>
      <c r="AV434" s="134"/>
      <c r="AW434" s="31">
        <f>$A$43</f>
        <v>20202</v>
      </c>
      <c r="AX434" s="21"/>
      <c r="AY434" s="21"/>
      <c r="AZ434" s="21"/>
      <c r="BA434" s="21"/>
      <c r="BB434" s="134"/>
      <c r="BC434" s="134"/>
      <c r="BD434" s="134"/>
      <c r="BE434" s="134"/>
      <c r="BF434" s="134"/>
      <c r="BG434" s="134"/>
      <c r="BH434" s="134"/>
      <c r="BI434" s="31">
        <f>$A$43</f>
        <v>20202</v>
      </c>
      <c r="BJ434" s="21"/>
      <c r="BK434" s="21"/>
      <c r="BL434" s="21"/>
      <c r="BM434" s="21"/>
      <c r="BN434" s="134"/>
      <c r="BO434" s="134"/>
      <c r="BP434" s="134"/>
      <c r="BQ434" s="134"/>
      <c r="BR434" s="134"/>
      <c r="BS434" s="134"/>
      <c r="BT434" s="134"/>
      <c r="BU434" s="31">
        <f>$A$43</f>
        <v>20202</v>
      </c>
      <c r="BV434" s="21"/>
      <c r="BW434" s="21"/>
      <c r="BX434" s="21"/>
      <c r="BY434" s="21"/>
      <c r="BZ434" s="134"/>
      <c r="CA434" s="134"/>
      <c r="CB434" s="134"/>
      <c r="CC434" s="134"/>
      <c r="CD434" s="134"/>
      <c r="CE434" s="134"/>
      <c r="CF434" s="134"/>
      <c r="CG434" s="31">
        <f>$A$43</f>
        <v>20202</v>
      </c>
      <c r="CH434" s="21"/>
      <c r="CI434" s="21"/>
      <c r="CJ434" s="21"/>
      <c r="CK434" s="21"/>
      <c r="CL434" s="134"/>
      <c r="CM434" s="134"/>
      <c r="CN434" s="134"/>
      <c r="CO434" s="134"/>
      <c r="CP434" s="134"/>
      <c r="CQ434" s="134"/>
      <c r="CR434" s="134"/>
      <c r="CS434" s="31">
        <f>$A$43</f>
        <v>20202</v>
      </c>
      <c r="CT434" s="21"/>
      <c r="CU434" s="21"/>
      <c r="CV434" s="21"/>
      <c r="CW434" s="21"/>
      <c r="CX434" s="134"/>
      <c r="CY434" s="134"/>
      <c r="CZ434" s="134"/>
      <c r="DA434" s="134"/>
      <c r="DB434" s="134"/>
      <c r="DC434" s="134"/>
      <c r="DD434" s="134"/>
      <c r="DE434" s="31">
        <f>$A$43</f>
        <v>20202</v>
      </c>
      <c r="DF434" s="21"/>
      <c r="DG434" s="21"/>
      <c r="DH434" s="21"/>
      <c r="DI434" s="21"/>
      <c r="DJ434" s="134"/>
      <c r="DK434" s="134"/>
      <c r="DL434" s="134"/>
      <c r="DM434" s="134"/>
      <c r="DN434" s="134"/>
      <c r="DO434" s="134"/>
      <c r="DP434" s="134"/>
    </row>
    <row r="435" spans="1:120" ht="15" customHeight="1" x14ac:dyDescent="0.25">
      <c r="A435" s="31">
        <f>$A$44</f>
        <v>20212</v>
      </c>
      <c r="B435" s="21"/>
      <c r="C435" s="21">
        <v>1715</v>
      </c>
      <c r="D435" s="21">
        <v>2286</v>
      </c>
      <c r="E435" s="134"/>
      <c r="F435" s="134"/>
      <c r="G435" s="134"/>
      <c r="H435" s="134"/>
      <c r="I435" s="134"/>
      <c r="J435" s="134"/>
      <c r="K435" s="134"/>
      <c r="L435" s="134"/>
      <c r="M435" s="31">
        <f>$A$44</f>
        <v>20212</v>
      </c>
      <c r="N435" s="21"/>
      <c r="O435" s="21"/>
      <c r="P435" s="21"/>
      <c r="Q435" s="134"/>
      <c r="R435" s="134"/>
      <c r="S435" s="134"/>
      <c r="T435" s="134"/>
      <c r="U435" s="134"/>
      <c r="V435" s="134"/>
      <c r="W435" s="134"/>
      <c r="X435" s="134"/>
      <c r="Y435" s="31">
        <f>$A$44</f>
        <v>20212</v>
      </c>
      <c r="Z435" s="21"/>
      <c r="AA435" s="21"/>
      <c r="AB435" s="21"/>
      <c r="AC435" s="134"/>
      <c r="AD435" s="134"/>
      <c r="AE435" s="134"/>
      <c r="AF435" s="134"/>
      <c r="AG435" s="134"/>
      <c r="AH435" s="134"/>
      <c r="AI435" s="134"/>
      <c r="AJ435" s="134"/>
      <c r="AK435" s="31">
        <f>$A$44</f>
        <v>20212</v>
      </c>
      <c r="AL435" s="21"/>
      <c r="AM435" s="21"/>
      <c r="AN435" s="21"/>
      <c r="AO435" s="134"/>
      <c r="AP435" s="134"/>
      <c r="AQ435" s="134"/>
      <c r="AR435" s="134"/>
      <c r="AS435" s="134"/>
      <c r="AT435" s="134"/>
      <c r="AU435" s="134"/>
      <c r="AV435" s="134"/>
      <c r="AW435" s="31">
        <f>$A$44</f>
        <v>20212</v>
      </c>
      <c r="AX435" s="21"/>
      <c r="AY435" s="21"/>
      <c r="AZ435" s="21"/>
      <c r="BA435" s="134"/>
      <c r="BB435" s="134"/>
      <c r="BC435" s="134"/>
      <c r="BD435" s="134"/>
      <c r="BE435" s="134"/>
      <c r="BF435" s="134"/>
      <c r="BG435" s="134"/>
      <c r="BH435" s="134"/>
      <c r="BI435" s="31">
        <f>$A$44</f>
        <v>20212</v>
      </c>
      <c r="BJ435" s="21"/>
      <c r="BK435" s="21"/>
      <c r="BL435" s="21"/>
      <c r="BM435" s="134"/>
      <c r="BN435" s="134"/>
      <c r="BO435" s="134"/>
      <c r="BP435" s="134"/>
      <c r="BQ435" s="134"/>
      <c r="BR435" s="134"/>
      <c r="BS435" s="134"/>
      <c r="BT435" s="134"/>
      <c r="BU435" s="31">
        <f>$A$44</f>
        <v>20212</v>
      </c>
      <c r="BV435" s="21"/>
      <c r="BW435" s="21"/>
      <c r="BX435" s="21"/>
      <c r="BY435" s="134"/>
      <c r="BZ435" s="134"/>
      <c r="CA435" s="134"/>
      <c r="CB435" s="134"/>
      <c r="CC435" s="134"/>
      <c r="CD435" s="134"/>
      <c r="CE435" s="134"/>
      <c r="CF435" s="134"/>
      <c r="CG435" s="31">
        <f>$A$44</f>
        <v>20212</v>
      </c>
      <c r="CH435" s="21"/>
      <c r="CI435" s="21"/>
      <c r="CJ435" s="21"/>
      <c r="CK435" s="134"/>
      <c r="CL435" s="134"/>
      <c r="CM435" s="134"/>
      <c r="CN435" s="134"/>
      <c r="CO435" s="134"/>
      <c r="CP435" s="134"/>
      <c r="CQ435" s="134"/>
      <c r="CR435" s="134"/>
      <c r="CS435" s="31">
        <f>$A$44</f>
        <v>20212</v>
      </c>
      <c r="CT435" s="21"/>
      <c r="CU435" s="21"/>
      <c r="CV435" s="21"/>
      <c r="CW435" s="134"/>
      <c r="CX435" s="134"/>
      <c r="CY435" s="134"/>
      <c r="CZ435" s="134"/>
      <c r="DA435" s="134"/>
      <c r="DB435" s="134"/>
      <c r="DC435" s="134"/>
      <c r="DD435" s="134"/>
      <c r="DE435" s="31">
        <f>$A$44</f>
        <v>20212</v>
      </c>
      <c r="DF435" s="21"/>
      <c r="DG435" s="21"/>
      <c r="DH435" s="21"/>
      <c r="DI435" s="134"/>
      <c r="DJ435" s="134"/>
      <c r="DK435" s="134"/>
      <c r="DL435" s="134"/>
      <c r="DM435" s="134"/>
      <c r="DN435" s="134"/>
      <c r="DO435" s="134"/>
      <c r="DP435" s="134"/>
    </row>
    <row r="436" spans="1:120" ht="15" customHeight="1" x14ac:dyDescent="0.25">
      <c r="A436" s="31">
        <f>$A$45</f>
        <v>20222</v>
      </c>
      <c r="B436" s="21"/>
      <c r="C436" s="21">
        <v>1676</v>
      </c>
      <c r="D436" s="134"/>
      <c r="E436" s="134"/>
      <c r="F436" s="134"/>
      <c r="G436" s="134"/>
      <c r="H436" s="134"/>
      <c r="I436" s="134"/>
      <c r="J436" s="134"/>
      <c r="K436" s="134"/>
      <c r="L436" s="134"/>
      <c r="M436" s="31">
        <f>$A$45</f>
        <v>20222</v>
      </c>
      <c r="N436" s="21"/>
      <c r="O436" s="21"/>
      <c r="P436" s="134"/>
      <c r="Q436" s="134"/>
      <c r="R436" s="134"/>
      <c r="S436" s="134"/>
      <c r="T436" s="134"/>
      <c r="U436" s="134"/>
      <c r="V436" s="134"/>
      <c r="W436" s="134"/>
      <c r="X436" s="134"/>
      <c r="Y436" s="31">
        <f>$A$45</f>
        <v>20222</v>
      </c>
      <c r="Z436" s="21"/>
      <c r="AA436" s="21"/>
      <c r="AB436" s="134"/>
      <c r="AC436" s="134"/>
      <c r="AD436" s="134"/>
      <c r="AE436" s="134"/>
      <c r="AF436" s="134"/>
      <c r="AG436" s="134"/>
      <c r="AH436" s="134"/>
      <c r="AI436" s="134"/>
      <c r="AJ436" s="134"/>
      <c r="AK436" s="31">
        <f>$A$45</f>
        <v>20222</v>
      </c>
      <c r="AL436" s="21"/>
      <c r="AM436" s="21"/>
      <c r="AN436" s="134"/>
      <c r="AO436" s="134"/>
      <c r="AP436" s="134"/>
      <c r="AQ436" s="134"/>
      <c r="AR436" s="134"/>
      <c r="AS436" s="134"/>
      <c r="AT436" s="134"/>
      <c r="AU436" s="134"/>
      <c r="AV436" s="134"/>
      <c r="AW436" s="31">
        <f>$A$45</f>
        <v>20222</v>
      </c>
      <c r="AX436" s="21"/>
      <c r="AY436" s="21"/>
      <c r="AZ436" s="134"/>
      <c r="BA436" s="134"/>
      <c r="BB436" s="134"/>
      <c r="BC436" s="134"/>
      <c r="BD436" s="134"/>
      <c r="BE436" s="134"/>
      <c r="BF436" s="134"/>
      <c r="BG436" s="134"/>
      <c r="BH436" s="134"/>
      <c r="BI436" s="31">
        <f>$A$45</f>
        <v>20222</v>
      </c>
      <c r="BJ436" s="21"/>
      <c r="BK436" s="21"/>
      <c r="BL436" s="134"/>
      <c r="BM436" s="134"/>
      <c r="BN436" s="134"/>
      <c r="BO436" s="134"/>
      <c r="BP436" s="134"/>
      <c r="BQ436" s="134"/>
      <c r="BR436" s="134"/>
      <c r="BS436" s="134"/>
      <c r="BT436" s="134"/>
      <c r="BU436" s="31">
        <f>$A$45</f>
        <v>20222</v>
      </c>
      <c r="BV436" s="21"/>
      <c r="BW436" s="21"/>
      <c r="BX436" s="134"/>
      <c r="BY436" s="134"/>
      <c r="BZ436" s="134"/>
      <c r="CA436" s="134"/>
      <c r="CB436" s="134"/>
      <c r="CC436" s="134"/>
      <c r="CD436" s="134"/>
      <c r="CE436" s="134"/>
      <c r="CF436" s="134"/>
      <c r="CG436" s="31">
        <f>$A$45</f>
        <v>20222</v>
      </c>
      <c r="CH436" s="21"/>
      <c r="CI436" s="21"/>
      <c r="CJ436" s="134"/>
      <c r="CK436" s="134"/>
      <c r="CL436" s="134"/>
      <c r="CM436" s="134"/>
      <c r="CN436" s="134"/>
      <c r="CO436" s="134"/>
      <c r="CP436" s="134"/>
      <c r="CQ436" s="134"/>
      <c r="CR436" s="134"/>
      <c r="CS436" s="31">
        <f>$A$45</f>
        <v>20222</v>
      </c>
      <c r="CT436" s="21"/>
      <c r="CU436" s="21"/>
      <c r="CV436" s="134"/>
      <c r="CW436" s="134"/>
      <c r="CX436" s="134"/>
      <c r="CY436" s="134"/>
      <c r="CZ436" s="134"/>
      <c r="DA436" s="134"/>
      <c r="DB436" s="134"/>
      <c r="DC436" s="134"/>
      <c r="DD436" s="134"/>
      <c r="DE436" s="31">
        <f>$A$45</f>
        <v>20222</v>
      </c>
      <c r="DF436" s="21"/>
      <c r="DG436" s="21"/>
      <c r="DH436" s="134"/>
      <c r="DI436" s="134"/>
      <c r="DJ436" s="134"/>
      <c r="DK436" s="134"/>
      <c r="DL436" s="134"/>
      <c r="DM436" s="134"/>
      <c r="DN436" s="134"/>
      <c r="DO436" s="134"/>
      <c r="DP436" s="134"/>
    </row>
    <row r="437" spans="1:120" ht="15" customHeight="1" x14ac:dyDescent="0.25"/>
    <row r="438" spans="1:120" x14ac:dyDescent="0.25">
      <c r="A438" s="130"/>
      <c r="B438" s="131"/>
      <c r="C438" s="131" t="s">
        <v>36</v>
      </c>
      <c r="D438" s="132"/>
      <c r="E438" s="132"/>
      <c r="F438" s="132"/>
      <c r="G438" s="132"/>
      <c r="H438" s="132"/>
      <c r="I438" s="132"/>
      <c r="J438" s="132"/>
      <c r="K438" s="132"/>
      <c r="L438" s="132"/>
      <c r="M438" s="130"/>
      <c r="N438" s="131"/>
      <c r="O438" s="131" t="s">
        <v>36</v>
      </c>
      <c r="P438" s="132"/>
      <c r="Q438" s="132"/>
      <c r="R438" s="132"/>
      <c r="S438" s="132"/>
      <c r="T438" s="132"/>
      <c r="U438" s="132"/>
      <c r="V438" s="132"/>
      <c r="W438" s="132"/>
      <c r="X438" s="132"/>
      <c r="Y438" s="130"/>
      <c r="Z438" s="131"/>
      <c r="AA438" s="131" t="s">
        <v>36</v>
      </c>
      <c r="AB438" s="132"/>
      <c r="AC438" s="132"/>
      <c r="AD438" s="132"/>
      <c r="AE438" s="132"/>
      <c r="AF438" s="132"/>
      <c r="AG438" s="132"/>
      <c r="AH438" s="132"/>
      <c r="AI438" s="132"/>
      <c r="AJ438" s="132"/>
      <c r="AK438" s="130"/>
      <c r="AL438" s="131"/>
      <c r="AM438" s="131" t="s">
        <v>36</v>
      </c>
      <c r="AN438" s="132"/>
      <c r="AO438" s="132"/>
      <c r="AP438" s="132"/>
      <c r="AQ438" s="132"/>
      <c r="AR438" s="132"/>
      <c r="AS438" s="132"/>
      <c r="AT438" s="132"/>
      <c r="AU438" s="132"/>
      <c r="AV438" s="132"/>
      <c r="AW438" s="130"/>
      <c r="AX438" s="131"/>
      <c r="AY438" s="131" t="s">
        <v>36</v>
      </c>
      <c r="AZ438" s="132"/>
      <c r="BA438" s="132"/>
      <c r="BB438" s="132"/>
      <c r="BC438" s="132"/>
      <c r="BD438" s="132"/>
      <c r="BE438" s="132"/>
      <c r="BF438" s="132"/>
      <c r="BG438" s="132"/>
      <c r="BH438" s="132"/>
      <c r="BI438" s="130"/>
      <c r="BJ438" s="131"/>
      <c r="BK438" s="131" t="s">
        <v>36</v>
      </c>
      <c r="BL438" s="132"/>
      <c r="BM438" s="132"/>
      <c r="BN438" s="132"/>
      <c r="BO438" s="132"/>
      <c r="BP438" s="132"/>
      <c r="BQ438" s="132"/>
      <c r="BR438" s="132"/>
      <c r="BS438" s="132"/>
      <c r="BT438" s="132"/>
      <c r="BU438" s="130"/>
      <c r="BV438" s="131"/>
      <c r="BW438" s="131" t="s">
        <v>36</v>
      </c>
      <c r="BX438" s="132"/>
      <c r="BY438" s="132"/>
      <c r="BZ438" s="132"/>
      <c r="CA438" s="132"/>
      <c r="CB438" s="132"/>
      <c r="CC438" s="132"/>
      <c r="CD438" s="132"/>
      <c r="CE438" s="132"/>
      <c r="CF438" s="132"/>
      <c r="CG438" s="130"/>
      <c r="CH438" s="131"/>
      <c r="CI438" s="131" t="s">
        <v>36</v>
      </c>
      <c r="CJ438" s="132"/>
      <c r="CK438" s="132"/>
      <c r="CL438" s="132"/>
      <c r="CM438" s="132"/>
      <c r="CN438" s="132"/>
      <c r="CO438" s="132"/>
      <c r="CP438" s="132"/>
      <c r="CQ438" s="132"/>
      <c r="CR438" s="132"/>
      <c r="CS438" s="130"/>
      <c r="CT438" s="131"/>
      <c r="CU438" s="131" t="s">
        <v>36</v>
      </c>
      <c r="CV438" s="132"/>
      <c r="CW438" s="132"/>
      <c r="CX438" s="132"/>
      <c r="CY438" s="132"/>
      <c r="CZ438" s="132"/>
      <c r="DA438" s="132"/>
      <c r="DB438" s="132"/>
      <c r="DC438" s="132"/>
      <c r="DD438" s="132"/>
      <c r="DE438" s="130"/>
      <c r="DF438" s="131"/>
      <c r="DG438" s="131" t="s">
        <v>36</v>
      </c>
      <c r="DH438" s="132"/>
      <c r="DI438" s="132"/>
      <c r="DJ438" s="132"/>
      <c r="DK438" s="132"/>
      <c r="DL438" s="132"/>
      <c r="DM438" s="132"/>
      <c r="DN438" s="132"/>
      <c r="DO438" s="132"/>
      <c r="DP438" s="132"/>
    </row>
    <row r="439" spans="1:120" ht="30" x14ac:dyDescent="0.25">
      <c r="A439" s="92" t="str">
        <f>$A$35</f>
        <v>Fiscal Accident Year Data Ending</v>
      </c>
      <c r="B439" s="92"/>
      <c r="C439" s="100" t="str">
        <f>$C$35&amp;"-"&amp;$D$35</f>
        <v>12-24</v>
      </c>
      <c r="D439" s="100" t="str">
        <f>$D$35&amp;"-"&amp;$E$35</f>
        <v>24-36</v>
      </c>
      <c r="E439" s="100" t="str">
        <f>$E$35&amp;"-"&amp;$F$35</f>
        <v>36-48</v>
      </c>
      <c r="F439" s="100" t="str">
        <f>$F$35&amp;"-"&amp;$G$35</f>
        <v>48-60</v>
      </c>
      <c r="G439" s="100" t="str">
        <f>$G$35&amp;"-"&amp;$H$35</f>
        <v>60-72</v>
      </c>
      <c r="H439" s="100" t="str">
        <f>$H$35&amp;"-"&amp;$I$35</f>
        <v>72-84</v>
      </c>
      <c r="I439" s="100" t="str">
        <f>$I$35&amp;"-"&amp;$J$35</f>
        <v>84-96</v>
      </c>
      <c r="J439" s="100" t="str">
        <f>$J$35&amp;"-"&amp;$K$35</f>
        <v>96-108</v>
      </c>
      <c r="K439" s="100" t="str">
        <f>$K$35&amp;"-"&amp;$L$35</f>
        <v>108-120</v>
      </c>
      <c r="L439" s="100" t="str">
        <f>$L$35&amp;"-Ult"</f>
        <v>120-Ult</v>
      </c>
      <c r="M439" s="92" t="str">
        <f>$A$35</f>
        <v>Fiscal Accident Year Data Ending</v>
      </c>
      <c r="N439" s="92"/>
      <c r="O439" s="100" t="str">
        <f>$C$35&amp;"-"&amp;$D$35</f>
        <v>12-24</v>
      </c>
      <c r="P439" s="100" t="str">
        <f>$D$35&amp;"-"&amp;$E$35</f>
        <v>24-36</v>
      </c>
      <c r="Q439" s="100" t="str">
        <f>$E$35&amp;"-"&amp;$F$35</f>
        <v>36-48</v>
      </c>
      <c r="R439" s="100" t="str">
        <f>$F$35&amp;"-"&amp;$G$35</f>
        <v>48-60</v>
      </c>
      <c r="S439" s="100" t="str">
        <f>$G$35&amp;"-"&amp;$H$35</f>
        <v>60-72</v>
      </c>
      <c r="T439" s="100" t="str">
        <f>$H$35&amp;"-"&amp;$I$35</f>
        <v>72-84</v>
      </c>
      <c r="U439" s="100" t="str">
        <f>$I$35&amp;"-"&amp;$J$35</f>
        <v>84-96</v>
      </c>
      <c r="V439" s="100" t="str">
        <f>$J$35&amp;"-"&amp;$K$35</f>
        <v>96-108</v>
      </c>
      <c r="W439" s="100" t="str">
        <f>$K$35&amp;"-"&amp;$L$35</f>
        <v>108-120</v>
      </c>
      <c r="X439" s="100" t="str">
        <f>$L$35&amp;"-Ult"</f>
        <v>120-Ult</v>
      </c>
      <c r="Y439" s="92" t="str">
        <f>$A$35</f>
        <v>Fiscal Accident Year Data Ending</v>
      </c>
      <c r="Z439" s="92"/>
      <c r="AA439" s="100" t="str">
        <f>$C$35&amp;"-"&amp;$D$35</f>
        <v>12-24</v>
      </c>
      <c r="AB439" s="100" t="str">
        <f>$D$35&amp;"-"&amp;$E$35</f>
        <v>24-36</v>
      </c>
      <c r="AC439" s="100" t="str">
        <f>$E$35&amp;"-"&amp;$F$35</f>
        <v>36-48</v>
      </c>
      <c r="AD439" s="100" t="str">
        <f>$F$35&amp;"-"&amp;$G$35</f>
        <v>48-60</v>
      </c>
      <c r="AE439" s="100" t="str">
        <f>$G$35&amp;"-"&amp;$H$35</f>
        <v>60-72</v>
      </c>
      <c r="AF439" s="100" t="str">
        <f>$H$35&amp;"-"&amp;$I$35</f>
        <v>72-84</v>
      </c>
      <c r="AG439" s="100" t="str">
        <f>$I$35&amp;"-"&amp;$J$35</f>
        <v>84-96</v>
      </c>
      <c r="AH439" s="100" t="str">
        <f>$J$35&amp;"-"&amp;$K$35</f>
        <v>96-108</v>
      </c>
      <c r="AI439" s="100" t="str">
        <f>$K$35&amp;"-"&amp;$L$35</f>
        <v>108-120</v>
      </c>
      <c r="AJ439" s="100" t="str">
        <f>$L$35&amp;"-Ult"</f>
        <v>120-Ult</v>
      </c>
      <c r="AK439" s="92" t="str">
        <f>$A$35</f>
        <v>Fiscal Accident Year Data Ending</v>
      </c>
      <c r="AL439" s="92"/>
      <c r="AM439" s="100" t="str">
        <f>$C$35&amp;"-"&amp;$D$35</f>
        <v>12-24</v>
      </c>
      <c r="AN439" s="100" t="str">
        <f>$D$35&amp;"-"&amp;$E$35</f>
        <v>24-36</v>
      </c>
      <c r="AO439" s="100" t="str">
        <f>$E$35&amp;"-"&amp;$F$35</f>
        <v>36-48</v>
      </c>
      <c r="AP439" s="100" t="str">
        <f>$F$35&amp;"-"&amp;$G$35</f>
        <v>48-60</v>
      </c>
      <c r="AQ439" s="100" t="str">
        <f>$G$35&amp;"-"&amp;$H$35</f>
        <v>60-72</v>
      </c>
      <c r="AR439" s="100" t="str">
        <f>$H$35&amp;"-"&amp;$I$35</f>
        <v>72-84</v>
      </c>
      <c r="AS439" s="100" t="str">
        <f>$I$35&amp;"-"&amp;$J$35</f>
        <v>84-96</v>
      </c>
      <c r="AT439" s="100" t="str">
        <f>$J$35&amp;"-"&amp;$K$35</f>
        <v>96-108</v>
      </c>
      <c r="AU439" s="100" t="str">
        <f>$K$35&amp;"-"&amp;$L$35</f>
        <v>108-120</v>
      </c>
      <c r="AV439" s="100" t="str">
        <f>$L$35&amp;"-Ult"</f>
        <v>120-Ult</v>
      </c>
      <c r="AW439" s="92" t="str">
        <f>$A$35</f>
        <v>Fiscal Accident Year Data Ending</v>
      </c>
      <c r="AX439" s="92"/>
      <c r="AY439" s="100" t="str">
        <f>$C$35&amp;"-"&amp;$D$35</f>
        <v>12-24</v>
      </c>
      <c r="AZ439" s="100" t="str">
        <f>$D$35&amp;"-"&amp;$E$35</f>
        <v>24-36</v>
      </c>
      <c r="BA439" s="100" t="str">
        <f>$E$35&amp;"-"&amp;$F$35</f>
        <v>36-48</v>
      </c>
      <c r="BB439" s="100" t="str">
        <f>$F$35&amp;"-"&amp;$G$35</f>
        <v>48-60</v>
      </c>
      <c r="BC439" s="100" t="str">
        <f>$G$35&amp;"-"&amp;$H$35</f>
        <v>60-72</v>
      </c>
      <c r="BD439" s="100" t="str">
        <f>$H$35&amp;"-"&amp;$I$35</f>
        <v>72-84</v>
      </c>
      <c r="BE439" s="100" t="str">
        <f>$I$35&amp;"-"&amp;$J$35</f>
        <v>84-96</v>
      </c>
      <c r="BF439" s="100" t="str">
        <f>$J$35&amp;"-"&amp;$K$35</f>
        <v>96-108</v>
      </c>
      <c r="BG439" s="100" t="str">
        <f>$K$35&amp;"-"&amp;$L$35</f>
        <v>108-120</v>
      </c>
      <c r="BH439" s="100" t="str">
        <f>$L$35&amp;"-Ult"</f>
        <v>120-Ult</v>
      </c>
      <c r="BI439" s="92" t="str">
        <f>$A$35</f>
        <v>Fiscal Accident Year Data Ending</v>
      </c>
      <c r="BJ439" s="92"/>
      <c r="BK439" s="100" t="str">
        <f>$C$35&amp;"-"&amp;$D$35</f>
        <v>12-24</v>
      </c>
      <c r="BL439" s="100" t="str">
        <f>$D$35&amp;"-"&amp;$E$35</f>
        <v>24-36</v>
      </c>
      <c r="BM439" s="100" t="str">
        <f>$E$35&amp;"-"&amp;$F$35</f>
        <v>36-48</v>
      </c>
      <c r="BN439" s="100" t="str">
        <f>$F$35&amp;"-"&amp;$G$35</f>
        <v>48-60</v>
      </c>
      <c r="BO439" s="100" t="str">
        <f>$G$35&amp;"-"&amp;$H$35</f>
        <v>60-72</v>
      </c>
      <c r="BP439" s="100" t="str">
        <f>$H$35&amp;"-"&amp;$I$35</f>
        <v>72-84</v>
      </c>
      <c r="BQ439" s="100" t="str">
        <f>$I$35&amp;"-"&amp;$J$35</f>
        <v>84-96</v>
      </c>
      <c r="BR439" s="100" t="str">
        <f>$J$35&amp;"-"&amp;$K$35</f>
        <v>96-108</v>
      </c>
      <c r="BS439" s="100" t="str">
        <f>$K$35&amp;"-"&amp;$L$35</f>
        <v>108-120</v>
      </c>
      <c r="BT439" s="100" t="str">
        <f>$L$35&amp;"-Ult"</f>
        <v>120-Ult</v>
      </c>
      <c r="BU439" s="92" t="str">
        <f>$A$35</f>
        <v>Fiscal Accident Year Data Ending</v>
      </c>
      <c r="BV439" s="92"/>
      <c r="BW439" s="100" t="str">
        <f>$C$35&amp;"-"&amp;$D$35</f>
        <v>12-24</v>
      </c>
      <c r="BX439" s="100" t="str">
        <f>$D$35&amp;"-"&amp;$E$35</f>
        <v>24-36</v>
      </c>
      <c r="BY439" s="100" t="str">
        <f>$E$35&amp;"-"&amp;$F$35</f>
        <v>36-48</v>
      </c>
      <c r="BZ439" s="100" t="str">
        <f>$F$35&amp;"-"&amp;$G$35</f>
        <v>48-60</v>
      </c>
      <c r="CA439" s="100" t="str">
        <f>$G$35&amp;"-"&amp;$H$35</f>
        <v>60-72</v>
      </c>
      <c r="CB439" s="100" t="str">
        <f>$H$35&amp;"-"&amp;$I$35</f>
        <v>72-84</v>
      </c>
      <c r="CC439" s="100" t="str">
        <f>$I$35&amp;"-"&amp;$J$35</f>
        <v>84-96</v>
      </c>
      <c r="CD439" s="100" t="str">
        <f>$J$35&amp;"-"&amp;$K$35</f>
        <v>96-108</v>
      </c>
      <c r="CE439" s="100" t="str">
        <f>$K$35&amp;"-"&amp;$L$35</f>
        <v>108-120</v>
      </c>
      <c r="CF439" s="100" t="str">
        <f>$L$35&amp;"-Ult"</f>
        <v>120-Ult</v>
      </c>
      <c r="CG439" s="92" t="str">
        <f>$A$35</f>
        <v>Fiscal Accident Year Data Ending</v>
      </c>
      <c r="CH439" s="92"/>
      <c r="CI439" s="100" t="str">
        <f>$C$35&amp;"-"&amp;$D$35</f>
        <v>12-24</v>
      </c>
      <c r="CJ439" s="100" t="str">
        <f>$D$35&amp;"-"&amp;$E$35</f>
        <v>24-36</v>
      </c>
      <c r="CK439" s="100" t="str">
        <f>$E$35&amp;"-"&amp;$F$35</f>
        <v>36-48</v>
      </c>
      <c r="CL439" s="100" t="str">
        <f>$F$35&amp;"-"&amp;$G$35</f>
        <v>48-60</v>
      </c>
      <c r="CM439" s="100" t="str">
        <f>$G$35&amp;"-"&amp;$H$35</f>
        <v>60-72</v>
      </c>
      <c r="CN439" s="100" t="str">
        <f>$H$35&amp;"-"&amp;$I$35</f>
        <v>72-84</v>
      </c>
      <c r="CO439" s="100" t="str">
        <f>$I$35&amp;"-"&amp;$J$35</f>
        <v>84-96</v>
      </c>
      <c r="CP439" s="100" t="str">
        <f>$J$35&amp;"-"&amp;$K$35</f>
        <v>96-108</v>
      </c>
      <c r="CQ439" s="100" t="str">
        <f>$K$35&amp;"-"&amp;$L$35</f>
        <v>108-120</v>
      </c>
      <c r="CR439" s="100" t="str">
        <f>$L$35&amp;"-Ult"</f>
        <v>120-Ult</v>
      </c>
      <c r="CS439" s="92" t="str">
        <f>$A$35</f>
        <v>Fiscal Accident Year Data Ending</v>
      </c>
      <c r="CT439" s="92"/>
      <c r="CU439" s="100" t="str">
        <f>$C$35&amp;"-"&amp;$D$35</f>
        <v>12-24</v>
      </c>
      <c r="CV439" s="100" t="str">
        <f>$D$35&amp;"-"&amp;$E$35</f>
        <v>24-36</v>
      </c>
      <c r="CW439" s="100" t="str">
        <f>$E$35&amp;"-"&amp;$F$35</f>
        <v>36-48</v>
      </c>
      <c r="CX439" s="100" t="str">
        <f>$F$35&amp;"-"&amp;$G$35</f>
        <v>48-60</v>
      </c>
      <c r="CY439" s="100" t="str">
        <f>$G$35&amp;"-"&amp;$H$35</f>
        <v>60-72</v>
      </c>
      <c r="CZ439" s="100" t="str">
        <f>$H$35&amp;"-"&amp;$I$35</f>
        <v>72-84</v>
      </c>
      <c r="DA439" s="100" t="str">
        <f>$I$35&amp;"-"&amp;$J$35</f>
        <v>84-96</v>
      </c>
      <c r="DB439" s="100" t="str">
        <f>$J$35&amp;"-"&amp;$K$35</f>
        <v>96-108</v>
      </c>
      <c r="DC439" s="100" t="str">
        <f>$K$35&amp;"-"&amp;$L$35</f>
        <v>108-120</v>
      </c>
      <c r="DD439" s="100" t="str">
        <f>$L$35&amp;"-Ult"</f>
        <v>120-Ult</v>
      </c>
      <c r="DE439" s="92" t="str">
        <f>$A$35</f>
        <v>Fiscal Accident Year Data Ending</v>
      </c>
      <c r="DF439" s="92"/>
      <c r="DG439" s="100" t="str">
        <f>$C$35&amp;"-"&amp;$D$35</f>
        <v>12-24</v>
      </c>
      <c r="DH439" s="100" t="str">
        <f>$D$35&amp;"-"&amp;$E$35</f>
        <v>24-36</v>
      </c>
      <c r="DI439" s="100" t="str">
        <f>$E$35&amp;"-"&amp;$F$35</f>
        <v>36-48</v>
      </c>
      <c r="DJ439" s="100" t="str">
        <f>$F$35&amp;"-"&amp;$G$35</f>
        <v>48-60</v>
      </c>
      <c r="DK439" s="100" t="str">
        <f>$G$35&amp;"-"&amp;$H$35</f>
        <v>60-72</v>
      </c>
      <c r="DL439" s="100" t="str">
        <f>$H$35&amp;"-"&amp;$I$35</f>
        <v>72-84</v>
      </c>
      <c r="DM439" s="100" t="str">
        <f>$I$35&amp;"-"&amp;$J$35</f>
        <v>84-96</v>
      </c>
      <c r="DN439" s="100" t="str">
        <f>$J$35&amp;"-"&amp;$K$35</f>
        <v>96-108</v>
      </c>
      <c r="DO439" s="100" t="str">
        <f>$K$35&amp;"-"&amp;$L$35</f>
        <v>108-120</v>
      </c>
      <c r="DP439" s="100" t="str">
        <f>$L$35&amp;"-Ult"</f>
        <v>120-Ult</v>
      </c>
    </row>
    <row r="440" spans="1:120" x14ac:dyDescent="0.25">
      <c r="A440" s="91">
        <f>$A$36</f>
        <v>20132</v>
      </c>
      <c r="B440" s="105"/>
      <c r="C440" s="90">
        <f>IFERROR(D427/C427,"")</f>
        <v>1.7209302325581395</v>
      </c>
      <c r="D440" s="90">
        <f t="shared" ref="D440:K440" si="679">IFERROR(E427/D427,"")</f>
        <v>1.0447635135135136</v>
      </c>
      <c r="E440" s="90">
        <f t="shared" si="679"/>
        <v>1.0177849636216654</v>
      </c>
      <c r="F440" s="90">
        <f t="shared" si="679"/>
        <v>1.0135027799841143</v>
      </c>
      <c r="G440" s="90">
        <f t="shared" si="679"/>
        <v>1.005485893416928</v>
      </c>
      <c r="H440" s="90">
        <f t="shared" si="679"/>
        <v>1.0023382696804364</v>
      </c>
      <c r="I440" s="90">
        <f t="shared" si="679"/>
        <v>1.0046656298600312</v>
      </c>
      <c r="J440" s="90">
        <f t="shared" si="679"/>
        <v>1</v>
      </c>
      <c r="K440" s="90">
        <f t="shared" si="679"/>
        <v>1.0023219814241486</v>
      </c>
      <c r="L440" s="22"/>
      <c r="M440" s="91">
        <f>$A$36</f>
        <v>20132</v>
      </c>
      <c r="N440" s="105"/>
      <c r="O440" s="90" t="str">
        <f>IFERROR(P427/O427,"")</f>
        <v/>
      </c>
      <c r="P440" s="90" t="str">
        <f t="shared" ref="P440:W440" si="680">IFERROR(Q427/P427,"")</f>
        <v/>
      </c>
      <c r="Q440" s="90" t="str">
        <f t="shared" si="680"/>
        <v/>
      </c>
      <c r="R440" s="90" t="str">
        <f t="shared" si="680"/>
        <v/>
      </c>
      <c r="S440" s="90" t="str">
        <f t="shared" si="680"/>
        <v/>
      </c>
      <c r="T440" s="90" t="str">
        <f t="shared" si="680"/>
        <v/>
      </c>
      <c r="U440" s="90" t="str">
        <f t="shared" si="680"/>
        <v/>
      </c>
      <c r="V440" s="90" t="str">
        <f t="shared" si="680"/>
        <v/>
      </c>
      <c r="W440" s="90" t="str">
        <f t="shared" si="680"/>
        <v/>
      </c>
      <c r="X440" s="22"/>
      <c r="Y440" s="91">
        <f>$A$36</f>
        <v>20132</v>
      </c>
      <c r="Z440" s="105"/>
      <c r="AA440" s="90" t="str">
        <f>IFERROR(AB427/AA427,"")</f>
        <v/>
      </c>
      <c r="AB440" s="90" t="str">
        <f t="shared" ref="AB440:AI440" si="681">IFERROR(AC427/AB427,"")</f>
        <v/>
      </c>
      <c r="AC440" s="90" t="str">
        <f t="shared" si="681"/>
        <v/>
      </c>
      <c r="AD440" s="90" t="str">
        <f t="shared" si="681"/>
        <v/>
      </c>
      <c r="AE440" s="90" t="str">
        <f t="shared" si="681"/>
        <v/>
      </c>
      <c r="AF440" s="90" t="str">
        <f t="shared" si="681"/>
        <v/>
      </c>
      <c r="AG440" s="90" t="str">
        <f t="shared" si="681"/>
        <v/>
      </c>
      <c r="AH440" s="90" t="str">
        <f t="shared" si="681"/>
        <v/>
      </c>
      <c r="AI440" s="90" t="str">
        <f t="shared" si="681"/>
        <v/>
      </c>
      <c r="AJ440" s="22"/>
      <c r="AK440" s="91">
        <f>$A$36</f>
        <v>20132</v>
      </c>
      <c r="AL440" s="105"/>
      <c r="AM440" s="90" t="str">
        <f>IFERROR(AN427/AM427,"")</f>
        <v/>
      </c>
      <c r="AN440" s="90" t="str">
        <f t="shared" ref="AN440:AU440" si="682">IFERROR(AO427/AN427,"")</f>
        <v/>
      </c>
      <c r="AO440" s="90" t="str">
        <f t="shared" si="682"/>
        <v/>
      </c>
      <c r="AP440" s="90" t="str">
        <f t="shared" si="682"/>
        <v/>
      </c>
      <c r="AQ440" s="90" t="str">
        <f t="shared" si="682"/>
        <v/>
      </c>
      <c r="AR440" s="90" t="str">
        <f t="shared" si="682"/>
        <v/>
      </c>
      <c r="AS440" s="90" t="str">
        <f t="shared" si="682"/>
        <v/>
      </c>
      <c r="AT440" s="90" t="str">
        <f t="shared" si="682"/>
        <v/>
      </c>
      <c r="AU440" s="90" t="str">
        <f t="shared" si="682"/>
        <v/>
      </c>
      <c r="AV440" s="22"/>
      <c r="AW440" s="91">
        <f>$A$36</f>
        <v>20132</v>
      </c>
      <c r="AX440" s="105"/>
      <c r="AY440" s="90" t="str">
        <f>IFERROR(AZ427/AY427,"")</f>
        <v/>
      </c>
      <c r="AZ440" s="90" t="str">
        <f t="shared" ref="AZ440:BG440" si="683">IFERROR(BA427/AZ427,"")</f>
        <v/>
      </c>
      <c r="BA440" s="90" t="str">
        <f t="shared" si="683"/>
        <v/>
      </c>
      <c r="BB440" s="90" t="str">
        <f t="shared" si="683"/>
        <v/>
      </c>
      <c r="BC440" s="90" t="str">
        <f t="shared" si="683"/>
        <v/>
      </c>
      <c r="BD440" s="90" t="str">
        <f t="shared" si="683"/>
        <v/>
      </c>
      <c r="BE440" s="90" t="str">
        <f t="shared" si="683"/>
        <v/>
      </c>
      <c r="BF440" s="90" t="str">
        <f t="shared" si="683"/>
        <v/>
      </c>
      <c r="BG440" s="90" t="str">
        <f t="shared" si="683"/>
        <v/>
      </c>
      <c r="BH440" s="22"/>
      <c r="BI440" s="91">
        <f>$A$36</f>
        <v>20132</v>
      </c>
      <c r="BJ440" s="105"/>
      <c r="BK440" s="90" t="str">
        <f>IFERROR(BL427/BK427,"")</f>
        <v/>
      </c>
      <c r="BL440" s="90" t="str">
        <f t="shared" ref="BL440:BS440" si="684">IFERROR(BM427/BL427,"")</f>
        <v/>
      </c>
      <c r="BM440" s="90" t="str">
        <f t="shared" si="684"/>
        <v/>
      </c>
      <c r="BN440" s="90" t="str">
        <f t="shared" si="684"/>
        <v/>
      </c>
      <c r="BO440" s="90" t="str">
        <f t="shared" si="684"/>
        <v/>
      </c>
      <c r="BP440" s="90" t="str">
        <f t="shared" si="684"/>
        <v/>
      </c>
      <c r="BQ440" s="90" t="str">
        <f t="shared" si="684"/>
        <v/>
      </c>
      <c r="BR440" s="90" t="str">
        <f t="shared" si="684"/>
        <v/>
      </c>
      <c r="BS440" s="90" t="str">
        <f t="shared" si="684"/>
        <v/>
      </c>
      <c r="BT440" s="22"/>
      <c r="BU440" s="91">
        <f>$A$36</f>
        <v>20132</v>
      </c>
      <c r="BV440" s="105"/>
      <c r="BW440" s="90" t="str">
        <f>IFERROR(BX427/BW427,"")</f>
        <v/>
      </c>
      <c r="BX440" s="90" t="str">
        <f t="shared" ref="BX440:CE440" si="685">IFERROR(BY427/BX427,"")</f>
        <v/>
      </c>
      <c r="BY440" s="90" t="str">
        <f t="shared" si="685"/>
        <v/>
      </c>
      <c r="BZ440" s="90" t="str">
        <f t="shared" si="685"/>
        <v/>
      </c>
      <c r="CA440" s="90" t="str">
        <f t="shared" si="685"/>
        <v/>
      </c>
      <c r="CB440" s="90" t="str">
        <f t="shared" si="685"/>
        <v/>
      </c>
      <c r="CC440" s="90" t="str">
        <f t="shared" si="685"/>
        <v/>
      </c>
      <c r="CD440" s="90" t="str">
        <f t="shared" si="685"/>
        <v/>
      </c>
      <c r="CE440" s="90" t="str">
        <f t="shared" si="685"/>
        <v/>
      </c>
      <c r="CF440" s="22"/>
      <c r="CG440" s="91">
        <f>$A$36</f>
        <v>20132</v>
      </c>
      <c r="CH440" s="105"/>
      <c r="CI440" s="90" t="str">
        <f>IFERROR(CJ427/CI427,"")</f>
        <v/>
      </c>
      <c r="CJ440" s="90" t="str">
        <f t="shared" ref="CJ440:CQ440" si="686">IFERROR(CK427/CJ427,"")</f>
        <v/>
      </c>
      <c r="CK440" s="90" t="str">
        <f t="shared" si="686"/>
        <v/>
      </c>
      <c r="CL440" s="90" t="str">
        <f t="shared" si="686"/>
        <v/>
      </c>
      <c r="CM440" s="90" t="str">
        <f t="shared" si="686"/>
        <v/>
      </c>
      <c r="CN440" s="90" t="str">
        <f t="shared" si="686"/>
        <v/>
      </c>
      <c r="CO440" s="90" t="str">
        <f t="shared" si="686"/>
        <v/>
      </c>
      <c r="CP440" s="90" t="str">
        <f t="shared" si="686"/>
        <v/>
      </c>
      <c r="CQ440" s="90" t="str">
        <f t="shared" si="686"/>
        <v/>
      </c>
      <c r="CR440" s="22"/>
      <c r="CS440" s="91">
        <f>$A$36</f>
        <v>20132</v>
      </c>
      <c r="CT440" s="105"/>
      <c r="CU440" s="90" t="str">
        <f>IFERROR(CV427/CU427,"")</f>
        <v/>
      </c>
      <c r="CV440" s="90" t="str">
        <f t="shared" ref="CV440:DC440" si="687">IFERROR(CW427/CV427,"")</f>
        <v/>
      </c>
      <c r="CW440" s="90" t="str">
        <f t="shared" si="687"/>
        <v/>
      </c>
      <c r="CX440" s="90" t="str">
        <f t="shared" si="687"/>
        <v/>
      </c>
      <c r="CY440" s="90" t="str">
        <f t="shared" si="687"/>
        <v/>
      </c>
      <c r="CZ440" s="90" t="str">
        <f t="shared" si="687"/>
        <v/>
      </c>
      <c r="DA440" s="90" t="str">
        <f t="shared" si="687"/>
        <v/>
      </c>
      <c r="DB440" s="90" t="str">
        <f t="shared" si="687"/>
        <v/>
      </c>
      <c r="DC440" s="90" t="str">
        <f t="shared" si="687"/>
        <v/>
      </c>
      <c r="DD440" s="22"/>
      <c r="DE440" s="91">
        <f>$A$36</f>
        <v>20132</v>
      </c>
      <c r="DF440" s="105"/>
      <c r="DG440" s="90" t="str">
        <f>IFERROR(DH427/DG427,"")</f>
        <v/>
      </c>
      <c r="DH440" s="90" t="str">
        <f t="shared" ref="DH440:DO440" si="688">IFERROR(DI427/DH427,"")</f>
        <v/>
      </c>
      <c r="DI440" s="90" t="str">
        <f t="shared" si="688"/>
        <v/>
      </c>
      <c r="DJ440" s="90" t="str">
        <f t="shared" si="688"/>
        <v/>
      </c>
      <c r="DK440" s="90" t="str">
        <f t="shared" si="688"/>
        <v/>
      </c>
      <c r="DL440" s="90" t="str">
        <f t="shared" si="688"/>
        <v/>
      </c>
      <c r="DM440" s="90" t="str">
        <f t="shared" si="688"/>
        <v/>
      </c>
      <c r="DN440" s="90" t="str">
        <f t="shared" si="688"/>
        <v/>
      </c>
      <c r="DO440" s="90" t="str">
        <f t="shared" si="688"/>
        <v/>
      </c>
      <c r="DP440" s="22"/>
    </row>
    <row r="441" spans="1:120" x14ac:dyDescent="0.25">
      <c r="A441" s="91">
        <f>$A$37</f>
        <v>20142</v>
      </c>
      <c r="B441" s="105"/>
      <c r="C441" s="90">
        <f t="shared" ref="C441:J448" si="689">IFERROR(D428/C428,"")</f>
        <v>1.2752571082879613</v>
      </c>
      <c r="D441" s="90">
        <f t="shared" si="689"/>
        <v>1.0417457305502846</v>
      </c>
      <c r="E441" s="90">
        <f t="shared" si="689"/>
        <v>1.0186703096539163</v>
      </c>
      <c r="F441" s="90">
        <f t="shared" si="689"/>
        <v>1.0102816271792578</v>
      </c>
      <c r="G441" s="90">
        <f t="shared" si="689"/>
        <v>1.0066371681415929</v>
      </c>
      <c r="H441" s="90">
        <f t="shared" si="689"/>
        <v>1.0035164835164836</v>
      </c>
      <c r="I441" s="90">
        <f t="shared" si="689"/>
        <v>1.002628120893561</v>
      </c>
      <c r="J441" s="90">
        <f t="shared" si="689"/>
        <v>1.0065530799475753</v>
      </c>
      <c r="K441" s="22"/>
      <c r="L441" s="22"/>
      <c r="M441" s="91">
        <f>$A$37</f>
        <v>20142</v>
      </c>
      <c r="N441" s="105"/>
      <c r="O441" s="90" t="str">
        <f t="shared" ref="O441:V448" si="690">IFERROR(P428/O428,"")</f>
        <v/>
      </c>
      <c r="P441" s="90" t="str">
        <f t="shared" si="690"/>
        <v/>
      </c>
      <c r="Q441" s="90" t="str">
        <f t="shared" si="690"/>
        <v/>
      </c>
      <c r="R441" s="90" t="str">
        <f t="shared" si="690"/>
        <v/>
      </c>
      <c r="S441" s="90" t="str">
        <f t="shared" si="690"/>
        <v/>
      </c>
      <c r="T441" s="90" t="str">
        <f t="shared" si="690"/>
        <v/>
      </c>
      <c r="U441" s="90" t="str">
        <f t="shared" si="690"/>
        <v/>
      </c>
      <c r="V441" s="90" t="str">
        <f t="shared" si="690"/>
        <v/>
      </c>
      <c r="W441" s="22"/>
      <c r="X441" s="22"/>
      <c r="Y441" s="91">
        <f>$A$37</f>
        <v>20142</v>
      </c>
      <c r="Z441" s="105"/>
      <c r="AA441" s="90" t="str">
        <f t="shared" ref="AA441:AH448" si="691">IFERROR(AB428/AA428,"")</f>
        <v/>
      </c>
      <c r="AB441" s="90" t="str">
        <f t="shared" si="691"/>
        <v/>
      </c>
      <c r="AC441" s="90" t="str">
        <f t="shared" si="691"/>
        <v/>
      </c>
      <c r="AD441" s="90" t="str">
        <f t="shared" si="691"/>
        <v/>
      </c>
      <c r="AE441" s="90" t="str">
        <f t="shared" si="691"/>
        <v/>
      </c>
      <c r="AF441" s="90" t="str">
        <f t="shared" si="691"/>
        <v/>
      </c>
      <c r="AG441" s="90" t="str">
        <f t="shared" si="691"/>
        <v/>
      </c>
      <c r="AH441" s="90" t="str">
        <f t="shared" si="691"/>
        <v/>
      </c>
      <c r="AI441" s="22"/>
      <c r="AJ441" s="22"/>
      <c r="AK441" s="91">
        <f>$A$37</f>
        <v>20142</v>
      </c>
      <c r="AL441" s="105"/>
      <c r="AM441" s="90" t="str">
        <f t="shared" ref="AM441:AT448" si="692">IFERROR(AN428/AM428,"")</f>
        <v/>
      </c>
      <c r="AN441" s="90" t="str">
        <f t="shared" si="692"/>
        <v/>
      </c>
      <c r="AO441" s="90" t="str">
        <f t="shared" si="692"/>
        <v/>
      </c>
      <c r="AP441" s="90" t="str">
        <f t="shared" si="692"/>
        <v/>
      </c>
      <c r="AQ441" s="90" t="str">
        <f t="shared" si="692"/>
        <v/>
      </c>
      <c r="AR441" s="90" t="str">
        <f t="shared" si="692"/>
        <v/>
      </c>
      <c r="AS441" s="90" t="str">
        <f t="shared" si="692"/>
        <v/>
      </c>
      <c r="AT441" s="90" t="str">
        <f t="shared" si="692"/>
        <v/>
      </c>
      <c r="AU441" s="22"/>
      <c r="AV441" s="22"/>
      <c r="AW441" s="91">
        <f>$A$37</f>
        <v>20142</v>
      </c>
      <c r="AX441" s="105"/>
      <c r="AY441" s="90" t="str">
        <f t="shared" ref="AY441:BF448" si="693">IFERROR(AZ428/AY428,"")</f>
        <v/>
      </c>
      <c r="AZ441" s="90" t="str">
        <f t="shared" si="693"/>
        <v/>
      </c>
      <c r="BA441" s="90" t="str">
        <f t="shared" si="693"/>
        <v/>
      </c>
      <c r="BB441" s="90" t="str">
        <f t="shared" si="693"/>
        <v/>
      </c>
      <c r="BC441" s="90" t="str">
        <f t="shared" si="693"/>
        <v/>
      </c>
      <c r="BD441" s="90" t="str">
        <f t="shared" si="693"/>
        <v/>
      </c>
      <c r="BE441" s="90" t="str">
        <f t="shared" si="693"/>
        <v/>
      </c>
      <c r="BF441" s="90" t="str">
        <f t="shared" si="693"/>
        <v/>
      </c>
      <c r="BG441" s="22"/>
      <c r="BH441" s="22"/>
      <c r="BI441" s="91">
        <f>$A$37</f>
        <v>20142</v>
      </c>
      <c r="BJ441" s="105"/>
      <c r="BK441" s="90" t="str">
        <f t="shared" ref="BK441:BR448" si="694">IFERROR(BL428/BK428,"")</f>
        <v/>
      </c>
      <c r="BL441" s="90" t="str">
        <f t="shared" si="694"/>
        <v/>
      </c>
      <c r="BM441" s="90" t="str">
        <f t="shared" si="694"/>
        <v/>
      </c>
      <c r="BN441" s="90" t="str">
        <f t="shared" si="694"/>
        <v/>
      </c>
      <c r="BO441" s="90" t="str">
        <f t="shared" si="694"/>
        <v/>
      </c>
      <c r="BP441" s="90" t="str">
        <f t="shared" si="694"/>
        <v/>
      </c>
      <c r="BQ441" s="90" t="str">
        <f t="shared" si="694"/>
        <v/>
      </c>
      <c r="BR441" s="90" t="str">
        <f t="shared" si="694"/>
        <v/>
      </c>
      <c r="BS441" s="22"/>
      <c r="BT441" s="22"/>
      <c r="BU441" s="91">
        <f>$A$37</f>
        <v>20142</v>
      </c>
      <c r="BV441" s="105"/>
      <c r="BW441" s="90" t="str">
        <f t="shared" ref="BW441:CD448" si="695">IFERROR(BX428/BW428,"")</f>
        <v/>
      </c>
      <c r="BX441" s="90" t="str">
        <f t="shared" si="695"/>
        <v/>
      </c>
      <c r="BY441" s="90" t="str">
        <f t="shared" si="695"/>
        <v/>
      </c>
      <c r="BZ441" s="90" t="str">
        <f t="shared" si="695"/>
        <v/>
      </c>
      <c r="CA441" s="90" t="str">
        <f t="shared" si="695"/>
        <v/>
      </c>
      <c r="CB441" s="90" t="str">
        <f t="shared" si="695"/>
        <v/>
      </c>
      <c r="CC441" s="90" t="str">
        <f t="shared" si="695"/>
        <v/>
      </c>
      <c r="CD441" s="90" t="str">
        <f t="shared" si="695"/>
        <v/>
      </c>
      <c r="CE441" s="22"/>
      <c r="CF441" s="22"/>
      <c r="CG441" s="91">
        <f>$A$37</f>
        <v>20142</v>
      </c>
      <c r="CH441" s="105"/>
      <c r="CI441" s="90" t="str">
        <f t="shared" ref="CI441:CP448" si="696">IFERROR(CJ428/CI428,"")</f>
        <v/>
      </c>
      <c r="CJ441" s="90" t="str">
        <f t="shared" si="696"/>
        <v/>
      </c>
      <c r="CK441" s="90" t="str">
        <f t="shared" si="696"/>
        <v/>
      </c>
      <c r="CL441" s="90" t="str">
        <f t="shared" si="696"/>
        <v/>
      </c>
      <c r="CM441" s="90" t="str">
        <f t="shared" si="696"/>
        <v/>
      </c>
      <c r="CN441" s="90" t="str">
        <f t="shared" si="696"/>
        <v/>
      </c>
      <c r="CO441" s="90" t="str">
        <f t="shared" si="696"/>
        <v/>
      </c>
      <c r="CP441" s="90" t="str">
        <f t="shared" si="696"/>
        <v/>
      </c>
      <c r="CQ441" s="22"/>
      <c r="CR441" s="22"/>
      <c r="CS441" s="91">
        <f>$A$37</f>
        <v>20142</v>
      </c>
      <c r="CT441" s="105"/>
      <c r="CU441" s="90" t="str">
        <f t="shared" ref="CU441:DB448" si="697">IFERROR(CV428/CU428,"")</f>
        <v/>
      </c>
      <c r="CV441" s="90" t="str">
        <f t="shared" si="697"/>
        <v/>
      </c>
      <c r="CW441" s="90" t="str">
        <f t="shared" si="697"/>
        <v/>
      </c>
      <c r="CX441" s="90" t="str">
        <f t="shared" si="697"/>
        <v/>
      </c>
      <c r="CY441" s="90" t="str">
        <f t="shared" si="697"/>
        <v/>
      </c>
      <c r="CZ441" s="90" t="str">
        <f t="shared" si="697"/>
        <v/>
      </c>
      <c r="DA441" s="90" t="str">
        <f t="shared" si="697"/>
        <v/>
      </c>
      <c r="DB441" s="90" t="str">
        <f t="shared" si="697"/>
        <v/>
      </c>
      <c r="DC441" s="22"/>
      <c r="DD441" s="22"/>
      <c r="DE441" s="91">
        <f>$A$37</f>
        <v>20142</v>
      </c>
      <c r="DF441" s="105"/>
      <c r="DG441" s="90" t="str">
        <f t="shared" ref="DG441:DN448" si="698">IFERROR(DH428/DG428,"")</f>
        <v/>
      </c>
      <c r="DH441" s="90" t="str">
        <f t="shared" si="698"/>
        <v/>
      </c>
      <c r="DI441" s="90" t="str">
        <f t="shared" si="698"/>
        <v/>
      </c>
      <c r="DJ441" s="90" t="str">
        <f t="shared" si="698"/>
        <v/>
      </c>
      <c r="DK441" s="90" t="str">
        <f t="shared" si="698"/>
        <v/>
      </c>
      <c r="DL441" s="90" t="str">
        <f t="shared" si="698"/>
        <v/>
      </c>
      <c r="DM441" s="90" t="str">
        <f t="shared" si="698"/>
        <v/>
      </c>
      <c r="DN441" s="90" t="str">
        <f t="shared" si="698"/>
        <v/>
      </c>
      <c r="DO441" s="22"/>
      <c r="DP441" s="22"/>
    </row>
    <row r="442" spans="1:120" x14ac:dyDescent="0.25">
      <c r="A442" s="91">
        <f>$A$38</f>
        <v>20152</v>
      </c>
      <c r="B442" s="105"/>
      <c r="C442" s="90">
        <f t="shared" si="689"/>
        <v>1.3358153387937453</v>
      </c>
      <c r="D442" s="90">
        <f t="shared" si="689"/>
        <v>1.0512820512820513</v>
      </c>
      <c r="E442" s="90">
        <f t="shared" si="689"/>
        <v>1.0233297985153764</v>
      </c>
      <c r="F442" s="90">
        <f t="shared" si="689"/>
        <v>1.0119170984455959</v>
      </c>
      <c r="G442" s="90">
        <f t="shared" si="689"/>
        <v>1.0138248847926268</v>
      </c>
      <c r="H442" s="90">
        <f t="shared" si="689"/>
        <v>1.005050505050505</v>
      </c>
      <c r="I442" s="90">
        <f t="shared" si="689"/>
        <v>1.0090452261306533</v>
      </c>
      <c r="J442" s="22"/>
      <c r="K442" s="22"/>
      <c r="L442" s="22"/>
      <c r="M442" s="91">
        <f>$A$38</f>
        <v>20152</v>
      </c>
      <c r="N442" s="105"/>
      <c r="O442" s="90" t="str">
        <f t="shared" si="690"/>
        <v/>
      </c>
      <c r="P442" s="90" t="str">
        <f t="shared" si="690"/>
        <v/>
      </c>
      <c r="Q442" s="90" t="str">
        <f t="shared" si="690"/>
        <v/>
      </c>
      <c r="R442" s="90" t="str">
        <f t="shared" si="690"/>
        <v/>
      </c>
      <c r="S442" s="90" t="str">
        <f t="shared" si="690"/>
        <v/>
      </c>
      <c r="T442" s="90" t="str">
        <f t="shared" si="690"/>
        <v/>
      </c>
      <c r="U442" s="90" t="str">
        <f t="shared" si="690"/>
        <v/>
      </c>
      <c r="V442" s="22"/>
      <c r="W442" s="22"/>
      <c r="X442" s="22"/>
      <c r="Y442" s="91">
        <f>$A$38</f>
        <v>20152</v>
      </c>
      <c r="Z442" s="105"/>
      <c r="AA442" s="90" t="str">
        <f t="shared" si="691"/>
        <v/>
      </c>
      <c r="AB442" s="90" t="str">
        <f t="shared" si="691"/>
        <v/>
      </c>
      <c r="AC442" s="90" t="str">
        <f t="shared" si="691"/>
        <v/>
      </c>
      <c r="AD442" s="90" t="str">
        <f t="shared" si="691"/>
        <v/>
      </c>
      <c r="AE442" s="90" t="str">
        <f t="shared" si="691"/>
        <v/>
      </c>
      <c r="AF442" s="90" t="str">
        <f t="shared" si="691"/>
        <v/>
      </c>
      <c r="AG442" s="90" t="str">
        <f t="shared" si="691"/>
        <v/>
      </c>
      <c r="AH442" s="22"/>
      <c r="AI442" s="22"/>
      <c r="AJ442" s="22"/>
      <c r="AK442" s="91">
        <f>$A$38</f>
        <v>20152</v>
      </c>
      <c r="AL442" s="105"/>
      <c r="AM442" s="90" t="str">
        <f t="shared" si="692"/>
        <v/>
      </c>
      <c r="AN442" s="90" t="str">
        <f t="shared" si="692"/>
        <v/>
      </c>
      <c r="AO442" s="90" t="str">
        <f t="shared" si="692"/>
        <v/>
      </c>
      <c r="AP442" s="90" t="str">
        <f t="shared" si="692"/>
        <v/>
      </c>
      <c r="AQ442" s="90" t="str">
        <f t="shared" si="692"/>
        <v/>
      </c>
      <c r="AR442" s="90" t="str">
        <f t="shared" si="692"/>
        <v/>
      </c>
      <c r="AS442" s="90" t="str">
        <f t="shared" si="692"/>
        <v/>
      </c>
      <c r="AT442" s="22"/>
      <c r="AU442" s="22"/>
      <c r="AV442" s="22"/>
      <c r="AW442" s="91">
        <f>$A$38</f>
        <v>20152</v>
      </c>
      <c r="AX442" s="105"/>
      <c r="AY442" s="90" t="str">
        <f t="shared" si="693"/>
        <v/>
      </c>
      <c r="AZ442" s="90" t="str">
        <f t="shared" si="693"/>
        <v/>
      </c>
      <c r="BA442" s="90" t="str">
        <f t="shared" si="693"/>
        <v/>
      </c>
      <c r="BB442" s="90" t="str">
        <f t="shared" si="693"/>
        <v/>
      </c>
      <c r="BC442" s="90" t="str">
        <f t="shared" si="693"/>
        <v/>
      </c>
      <c r="BD442" s="90" t="str">
        <f t="shared" si="693"/>
        <v/>
      </c>
      <c r="BE442" s="90" t="str">
        <f t="shared" si="693"/>
        <v/>
      </c>
      <c r="BF442" s="22"/>
      <c r="BG442" s="22"/>
      <c r="BH442" s="22"/>
      <c r="BI442" s="91">
        <f>$A$38</f>
        <v>20152</v>
      </c>
      <c r="BJ442" s="105"/>
      <c r="BK442" s="90" t="str">
        <f t="shared" si="694"/>
        <v/>
      </c>
      <c r="BL442" s="90" t="str">
        <f t="shared" si="694"/>
        <v/>
      </c>
      <c r="BM442" s="90" t="str">
        <f t="shared" si="694"/>
        <v/>
      </c>
      <c r="BN442" s="90" t="str">
        <f t="shared" si="694"/>
        <v/>
      </c>
      <c r="BO442" s="90" t="str">
        <f t="shared" si="694"/>
        <v/>
      </c>
      <c r="BP442" s="90" t="str">
        <f t="shared" si="694"/>
        <v/>
      </c>
      <c r="BQ442" s="90" t="str">
        <f t="shared" si="694"/>
        <v/>
      </c>
      <c r="BR442" s="22"/>
      <c r="BS442" s="22"/>
      <c r="BT442" s="22"/>
      <c r="BU442" s="91">
        <f>$A$38</f>
        <v>20152</v>
      </c>
      <c r="BV442" s="105"/>
      <c r="BW442" s="90" t="str">
        <f t="shared" si="695"/>
        <v/>
      </c>
      <c r="BX442" s="90" t="str">
        <f t="shared" si="695"/>
        <v/>
      </c>
      <c r="BY442" s="90" t="str">
        <f t="shared" si="695"/>
        <v/>
      </c>
      <c r="BZ442" s="90" t="str">
        <f t="shared" si="695"/>
        <v/>
      </c>
      <c r="CA442" s="90" t="str">
        <f t="shared" si="695"/>
        <v/>
      </c>
      <c r="CB442" s="90" t="str">
        <f t="shared" si="695"/>
        <v/>
      </c>
      <c r="CC442" s="90" t="str">
        <f t="shared" si="695"/>
        <v/>
      </c>
      <c r="CD442" s="22"/>
      <c r="CE442" s="22"/>
      <c r="CF442" s="22"/>
      <c r="CG442" s="91">
        <f>$A$38</f>
        <v>20152</v>
      </c>
      <c r="CH442" s="105"/>
      <c r="CI442" s="90" t="str">
        <f t="shared" si="696"/>
        <v/>
      </c>
      <c r="CJ442" s="90" t="str">
        <f t="shared" si="696"/>
        <v/>
      </c>
      <c r="CK442" s="90" t="str">
        <f t="shared" si="696"/>
        <v/>
      </c>
      <c r="CL442" s="90" t="str">
        <f t="shared" si="696"/>
        <v/>
      </c>
      <c r="CM442" s="90" t="str">
        <f t="shared" si="696"/>
        <v/>
      </c>
      <c r="CN442" s="90" t="str">
        <f t="shared" si="696"/>
        <v/>
      </c>
      <c r="CO442" s="90" t="str">
        <f t="shared" si="696"/>
        <v/>
      </c>
      <c r="CP442" s="22"/>
      <c r="CQ442" s="22"/>
      <c r="CR442" s="22"/>
      <c r="CS442" s="91">
        <f>$A$38</f>
        <v>20152</v>
      </c>
      <c r="CT442" s="105"/>
      <c r="CU442" s="90" t="str">
        <f t="shared" si="697"/>
        <v/>
      </c>
      <c r="CV442" s="90" t="str">
        <f t="shared" si="697"/>
        <v/>
      </c>
      <c r="CW442" s="90" t="str">
        <f t="shared" si="697"/>
        <v/>
      </c>
      <c r="CX442" s="90" t="str">
        <f t="shared" si="697"/>
        <v/>
      </c>
      <c r="CY442" s="90" t="str">
        <f t="shared" si="697"/>
        <v/>
      </c>
      <c r="CZ442" s="90" t="str">
        <f t="shared" si="697"/>
        <v/>
      </c>
      <c r="DA442" s="90" t="str">
        <f t="shared" si="697"/>
        <v/>
      </c>
      <c r="DB442" s="22"/>
      <c r="DC442" s="22"/>
      <c r="DD442" s="22"/>
      <c r="DE442" s="91">
        <f>$A$38</f>
        <v>20152</v>
      </c>
      <c r="DF442" s="105"/>
      <c r="DG442" s="90" t="str">
        <f t="shared" si="698"/>
        <v/>
      </c>
      <c r="DH442" s="90" t="str">
        <f t="shared" si="698"/>
        <v/>
      </c>
      <c r="DI442" s="90" t="str">
        <f t="shared" si="698"/>
        <v/>
      </c>
      <c r="DJ442" s="90" t="str">
        <f t="shared" si="698"/>
        <v/>
      </c>
      <c r="DK442" s="90" t="str">
        <f t="shared" si="698"/>
        <v/>
      </c>
      <c r="DL442" s="90" t="str">
        <f t="shared" si="698"/>
        <v/>
      </c>
      <c r="DM442" s="90" t="str">
        <f t="shared" si="698"/>
        <v/>
      </c>
      <c r="DN442" s="22"/>
      <c r="DO442" s="22"/>
      <c r="DP442" s="22"/>
    </row>
    <row r="443" spans="1:120" x14ac:dyDescent="0.25">
      <c r="A443" s="91">
        <f>$A$39</f>
        <v>20162</v>
      </c>
      <c r="B443" s="105"/>
      <c r="C443" s="90">
        <f t="shared" si="689"/>
        <v>1.3276333789329686</v>
      </c>
      <c r="D443" s="90">
        <f t="shared" si="689"/>
        <v>1.0463678516228747</v>
      </c>
      <c r="E443" s="90">
        <f t="shared" si="689"/>
        <v>1.0177252584933529</v>
      </c>
      <c r="F443" s="90">
        <f t="shared" si="689"/>
        <v>1.0145137880986939</v>
      </c>
      <c r="G443" s="90">
        <f t="shared" si="689"/>
        <v>1.0100143061516451</v>
      </c>
      <c r="H443" s="90">
        <f t="shared" si="689"/>
        <v>1.0141643059490084</v>
      </c>
      <c r="I443" s="22"/>
      <c r="J443" s="22"/>
      <c r="K443" s="22"/>
      <c r="L443" s="22"/>
      <c r="M443" s="91">
        <f>$A$39</f>
        <v>20162</v>
      </c>
      <c r="N443" s="105"/>
      <c r="O443" s="90" t="str">
        <f t="shared" si="690"/>
        <v/>
      </c>
      <c r="P443" s="90" t="str">
        <f t="shared" si="690"/>
        <v/>
      </c>
      <c r="Q443" s="90" t="str">
        <f t="shared" si="690"/>
        <v/>
      </c>
      <c r="R443" s="90" t="str">
        <f t="shared" si="690"/>
        <v/>
      </c>
      <c r="S443" s="90" t="str">
        <f t="shared" si="690"/>
        <v/>
      </c>
      <c r="T443" s="90" t="str">
        <f t="shared" si="690"/>
        <v/>
      </c>
      <c r="U443" s="22"/>
      <c r="V443" s="22"/>
      <c r="W443" s="22"/>
      <c r="X443" s="22"/>
      <c r="Y443" s="91">
        <f>$A$39</f>
        <v>20162</v>
      </c>
      <c r="Z443" s="105"/>
      <c r="AA443" s="90" t="str">
        <f t="shared" si="691"/>
        <v/>
      </c>
      <c r="AB443" s="90" t="str">
        <f t="shared" si="691"/>
        <v/>
      </c>
      <c r="AC443" s="90" t="str">
        <f t="shared" si="691"/>
        <v/>
      </c>
      <c r="AD443" s="90" t="str">
        <f t="shared" si="691"/>
        <v/>
      </c>
      <c r="AE443" s="90" t="str">
        <f t="shared" si="691"/>
        <v/>
      </c>
      <c r="AF443" s="90" t="str">
        <f t="shared" si="691"/>
        <v/>
      </c>
      <c r="AG443" s="22"/>
      <c r="AH443" s="22"/>
      <c r="AI443" s="22"/>
      <c r="AJ443" s="22"/>
      <c r="AK443" s="91">
        <f>$A$39</f>
        <v>20162</v>
      </c>
      <c r="AL443" s="105"/>
      <c r="AM443" s="90" t="str">
        <f t="shared" si="692"/>
        <v/>
      </c>
      <c r="AN443" s="90" t="str">
        <f t="shared" si="692"/>
        <v/>
      </c>
      <c r="AO443" s="90" t="str">
        <f t="shared" si="692"/>
        <v/>
      </c>
      <c r="AP443" s="90" t="str">
        <f t="shared" si="692"/>
        <v/>
      </c>
      <c r="AQ443" s="90" t="str">
        <f t="shared" si="692"/>
        <v/>
      </c>
      <c r="AR443" s="90" t="str">
        <f t="shared" si="692"/>
        <v/>
      </c>
      <c r="AS443" s="22"/>
      <c r="AT443" s="22"/>
      <c r="AU443" s="22"/>
      <c r="AV443" s="22"/>
      <c r="AW443" s="91">
        <f>$A$39</f>
        <v>20162</v>
      </c>
      <c r="AX443" s="105"/>
      <c r="AY443" s="90" t="str">
        <f t="shared" si="693"/>
        <v/>
      </c>
      <c r="AZ443" s="90" t="str">
        <f t="shared" si="693"/>
        <v/>
      </c>
      <c r="BA443" s="90" t="str">
        <f t="shared" si="693"/>
        <v/>
      </c>
      <c r="BB443" s="90" t="str">
        <f t="shared" si="693"/>
        <v/>
      </c>
      <c r="BC443" s="90" t="str">
        <f t="shared" si="693"/>
        <v/>
      </c>
      <c r="BD443" s="90" t="str">
        <f t="shared" si="693"/>
        <v/>
      </c>
      <c r="BE443" s="22"/>
      <c r="BF443" s="22"/>
      <c r="BG443" s="22"/>
      <c r="BH443" s="22"/>
      <c r="BI443" s="91">
        <f>$A$39</f>
        <v>20162</v>
      </c>
      <c r="BJ443" s="105"/>
      <c r="BK443" s="90" t="str">
        <f t="shared" si="694"/>
        <v/>
      </c>
      <c r="BL443" s="90" t="str">
        <f t="shared" si="694"/>
        <v/>
      </c>
      <c r="BM443" s="90" t="str">
        <f t="shared" si="694"/>
        <v/>
      </c>
      <c r="BN443" s="90" t="str">
        <f t="shared" si="694"/>
        <v/>
      </c>
      <c r="BO443" s="90" t="str">
        <f t="shared" si="694"/>
        <v/>
      </c>
      <c r="BP443" s="90" t="str">
        <f t="shared" si="694"/>
        <v/>
      </c>
      <c r="BQ443" s="22"/>
      <c r="BR443" s="22"/>
      <c r="BS443" s="22"/>
      <c r="BT443" s="22"/>
      <c r="BU443" s="91">
        <f>$A$39</f>
        <v>20162</v>
      </c>
      <c r="BV443" s="105"/>
      <c r="BW443" s="90" t="str">
        <f t="shared" si="695"/>
        <v/>
      </c>
      <c r="BX443" s="90" t="str">
        <f t="shared" si="695"/>
        <v/>
      </c>
      <c r="BY443" s="90" t="str">
        <f t="shared" si="695"/>
        <v/>
      </c>
      <c r="BZ443" s="90" t="str">
        <f t="shared" si="695"/>
        <v/>
      </c>
      <c r="CA443" s="90" t="str">
        <f t="shared" si="695"/>
        <v/>
      </c>
      <c r="CB443" s="90" t="str">
        <f t="shared" si="695"/>
        <v/>
      </c>
      <c r="CC443" s="22"/>
      <c r="CD443" s="22"/>
      <c r="CE443" s="22"/>
      <c r="CF443" s="22"/>
      <c r="CG443" s="91">
        <f>$A$39</f>
        <v>20162</v>
      </c>
      <c r="CH443" s="105"/>
      <c r="CI443" s="90" t="str">
        <f t="shared" si="696"/>
        <v/>
      </c>
      <c r="CJ443" s="90" t="str">
        <f t="shared" si="696"/>
        <v/>
      </c>
      <c r="CK443" s="90" t="str">
        <f t="shared" si="696"/>
        <v/>
      </c>
      <c r="CL443" s="90" t="str">
        <f t="shared" si="696"/>
        <v/>
      </c>
      <c r="CM443" s="90" t="str">
        <f t="shared" si="696"/>
        <v/>
      </c>
      <c r="CN443" s="90" t="str">
        <f t="shared" si="696"/>
        <v/>
      </c>
      <c r="CO443" s="22"/>
      <c r="CP443" s="22"/>
      <c r="CQ443" s="22"/>
      <c r="CR443" s="22"/>
      <c r="CS443" s="91">
        <f>$A$39</f>
        <v>20162</v>
      </c>
      <c r="CT443" s="105"/>
      <c r="CU443" s="90" t="str">
        <f t="shared" si="697"/>
        <v/>
      </c>
      <c r="CV443" s="90" t="str">
        <f t="shared" si="697"/>
        <v/>
      </c>
      <c r="CW443" s="90" t="str">
        <f t="shared" si="697"/>
        <v/>
      </c>
      <c r="CX443" s="90" t="str">
        <f t="shared" si="697"/>
        <v/>
      </c>
      <c r="CY443" s="90" t="str">
        <f t="shared" si="697"/>
        <v/>
      </c>
      <c r="CZ443" s="90" t="str">
        <f t="shared" si="697"/>
        <v/>
      </c>
      <c r="DA443" s="22"/>
      <c r="DB443" s="22"/>
      <c r="DC443" s="22"/>
      <c r="DD443" s="22"/>
      <c r="DE443" s="91">
        <f>$A$39</f>
        <v>20162</v>
      </c>
      <c r="DF443" s="105"/>
      <c r="DG443" s="90" t="str">
        <f t="shared" si="698"/>
        <v/>
      </c>
      <c r="DH443" s="90" t="str">
        <f t="shared" si="698"/>
        <v/>
      </c>
      <c r="DI443" s="90" t="str">
        <f t="shared" si="698"/>
        <v/>
      </c>
      <c r="DJ443" s="90" t="str">
        <f t="shared" si="698"/>
        <v/>
      </c>
      <c r="DK443" s="90" t="str">
        <f t="shared" si="698"/>
        <v/>
      </c>
      <c r="DL443" s="90" t="str">
        <f t="shared" si="698"/>
        <v/>
      </c>
      <c r="DM443" s="22"/>
      <c r="DN443" s="22"/>
      <c r="DO443" s="22"/>
      <c r="DP443" s="22"/>
    </row>
    <row r="444" spans="1:120" x14ac:dyDescent="0.25">
      <c r="A444" s="91">
        <f>$A$40</f>
        <v>20172</v>
      </c>
      <c r="B444" s="105"/>
      <c r="C444" s="90">
        <f t="shared" si="689"/>
        <v>1.3014409221902017</v>
      </c>
      <c r="D444" s="90">
        <f t="shared" si="689"/>
        <v>1.0469441984056687</v>
      </c>
      <c r="E444" s="90">
        <f t="shared" si="689"/>
        <v>1.0215736040609138</v>
      </c>
      <c r="F444" s="90">
        <f t="shared" si="689"/>
        <v>1.0157349896480332</v>
      </c>
      <c r="G444" s="90">
        <f t="shared" si="689"/>
        <v>1.0085609457806768</v>
      </c>
      <c r="H444" s="22"/>
      <c r="I444" s="22"/>
      <c r="J444" s="22"/>
      <c r="K444" s="22"/>
      <c r="L444" s="22"/>
      <c r="M444" s="91">
        <f>$A$40</f>
        <v>20172</v>
      </c>
      <c r="N444" s="105"/>
      <c r="O444" s="90" t="str">
        <f t="shared" si="690"/>
        <v/>
      </c>
      <c r="P444" s="90" t="str">
        <f t="shared" si="690"/>
        <v/>
      </c>
      <c r="Q444" s="90" t="str">
        <f t="shared" si="690"/>
        <v/>
      </c>
      <c r="R444" s="90" t="str">
        <f t="shared" si="690"/>
        <v/>
      </c>
      <c r="S444" s="90" t="str">
        <f t="shared" si="690"/>
        <v/>
      </c>
      <c r="T444" s="22"/>
      <c r="U444" s="22"/>
      <c r="V444" s="22"/>
      <c r="W444" s="22"/>
      <c r="X444" s="22"/>
      <c r="Y444" s="91">
        <f>$A$40</f>
        <v>20172</v>
      </c>
      <c r="Z444" s="105"/>
      <c r="AA444" s="90" t="str">
        <f t="shared" si="691"/>
        <v/>
      </c>
      <c r="AB444" s="90" t="str">
        <f t="shared" si="691"/>
        <v/>
      </c>
      <c r="AC444" s="90" t="str">
        <f t="shared" si="691"/>
        <v/>
      </c>
      <c r="AD444" s="90" t="str">
        <f t="shared" si="691"/>
        <v/>
      </c>
      <c r="AE444" s="90" t="str">
        <f t="shared" si="691"/>
        <v/>
      </c>
      <c r="AF444" s="22"/>
      <c r="AG444" s="22"/>
      <c r="AH444" s="22"/>
      <c r="AI444" s="22"/>
      <c r="AJ444" s="22"/>
      <c r="AK444" s="91">
        <f>$A$40</f>
        <v>20172</v>
      </c>
      <c r="AL444" s="105"/>
      <c r="AM444" s="90" t="str">
        <f t="shared" si="692"/>
        <v/>
      </c>
      <c r="AN444" s="90" t="str">
        <f t="shared" si="692"/>
        <v/>
      </c>
      <c r="AO444" s="90" t="str">
        <f t="shared" si="692"/>
        <v/>
      </c>
      <c r="AP444" s="90" t="str">
        <f t="shared" si="692"/>
        <v/>
      </c>
      <c r="AQ444" s="90" t="str">
        <f t="shared" si="692"/>
        <v/>
      </c>
      <c r="AR444" s="22"/>
      <c r="AS444" s="22"/>
      <c r="AT444" s="22"/>
      <c r="AU444" s="22"/>
      <c r="AV444" s="22"/>
      <c r="AW444" s="91">
        <f>$A$40</f>
        <v>20172</v>
      </c>
      <c r="AX444" s="105"/>
      <c r="AY444" s="90" t="str">
        <f t="shared" si="693"/>
        <v/>
      </c>
      <c r="AZ444" s="90" t="str">
        <f t="shared" si="693"/>
        <v/>
      </c>
      <c r="BA444" s="90" t="str">
        <f t="shared" si="693"/>
        <v/>
      </c>
      <c r="BB444" s="90" t="str">
        <f t="shared" si="693"/>
        <v/>
      </c>
      <c r="BC444" s="90" t="str">
        <f t="shared" si="693"/>
        <v/>
      </c>
      <c r="BD444" s="22"/>
      <c r="BE444" s="22"/>
      <c r="BF444" s="22"/>
      <c r="BG444" s="22"/>
      <c r="BH444" s="22"/>
      <c r="BI444" s="91">
        <f>$A$40</f>
        <v>20172</v>
      </c>
      <c r="BJ444" s="105"/>
      <c r="BK444" s="90" t="str">
        <f t="shared" si="694"/>
        <v/>
      </c>
      <c r="BL444" s="90" t="str">
        <f t="shared" si="694"/>
        <v/>
      </c>
      <c r="BM444" s="90" t="str">
        <f t="shared" si="694"/>
        <v/>
      </c>
      <c r="BN444" s="90" t="str">
        <f t="shared" si="694"/>
        <v/>
      </c>
      <c r="BO444" s="90" t="str">
        <f t="shared" si="694"/>
        <v/>
      </c>
      <c r="BP444" s="22"/>
      <c r="BQ444" s="22"/>
      <c r="BR444" s="22"/>
      <c r="BS444" s="22"/>
      <c r="BT444" s="22"/>
      <c r="BU444" s="91">
        <f>$A$40</f>
        <v>20172</v>
      </c>
      <c r="BV444" s="105"/>
      <c r="BW444" s="90" t="str">
        <f t="shared" si="695"/>
        <v/>
      </c>
      <c r="BX444" s="90" t="str">
        <f t="shared" si="695"/>
        <v/>
      </c>
      <c r="BY444" s="90" t="str">
        <f t="shared" si="695"/>
        <v/>
      </c>
      <c r="BZ444" s="90" t="str">
        <f t="shared" si="695"/>
        <v/>
      </c>
      <c r="CA444" s="90" t="str">
        <f t="shared" si="695"/>
        <v/>
      </c>
      <c r="CB444" s="22"/>
      <c r="CC444" s="22"/>
      <c r="CD444" s="22"/>
      <c r="CE444" s="22"/>
      <c r="CF444" s="22"/>
      <c r="CG444" s="91">
        <f>$A$40</f>
        <v>20172</v>
      </c>
      <c r="CH444" s="105"/>
      <c r="CI444" s="90" t="str">
        <f t="shared" si="696"/>
        <v/>
      </c>
      <c r="CJ444" s="90" t="str">
        <f t="shared" si="696"/>
        <v/>
      </c>
      <c r="CK444" s="90" t="str">
        <f t="shared" si="696"/>
        <v/>
      </c>
      <c r="CL444" s="90" t="str">
        <f t="shared" si="696"/>
        <v/>
      </c>
      <c r="CM444" s="90" t="str">
        <f t="shared" si="696"/>
        <v/>
      </c>
      <c r="CN444" s="22"/>
      <c r="CO444" s="22"/>
      <c r="CP444" s="22"/>
      <c r="CQ444" s="22"/>
      <c r="CR444" s="22"/>
      <c r="CS444" s="91">
        <f>$A$40</f>
        <v>20172</v>
      </c>
      <c r="CT444" s="105"/>
      <c r="CU444" s="90" t="str">
        <f t="shared" si="697"/>
        <v/>
      </c>
      <c r="CV444" s="90" t="str">
        <f t="shared" si="697"/>
        <v/>
      </c>
      <c r="CW444" s="90" t="str">
        <f t="shared" si="697"/>
        <v/>
      </c>
      <c r="CX444" s="90" t="str">
        <f t="shared" si="697"/>
        <v/>
      </c>
      <c r="CY444" s="90" t="str">
        <f t="shared" si="697"/>
        <v/>
      </c>
      <c r="CZ444" s="22"/>
      <c r="DA444" s="22"/>
      <c r="DB444" s="22"/>
      <c r="DC444" s="22"/>
      <c r="DD444" s="22"/>
      <c r="DE444" s="91">
        <f>$A$40</f>
        <v>20172</v>
      </c>
      <c r="DF444" s="105"/>
      <c r="DG444" s="90" t="str">
        <f t="shared" si="698"/>
        <v/>
      </c>
      <c r="DH444" s="90" t="str">
        <f t="shared" si="698"/>
        <v/>
      </c>
      <c r="DI444" s="90" t="str">
        <f t="shared" si="698"/>
        <v/>
      </c>
      <c r="DJ444" s="90" t="str">
        <f t="shared" si="698"/>
        <v/>
      </c>
      <c r="DK444" s="90" t="str">
        <f t="shared" si="698"/>
        <v/>
      </c>
      <c r="DL444" s="22"/>
      <c r="DM444" s="22"/>
      <c r="DN444" s="22"/>
      <c r="DO444" s="22"/>
      <c r="DP444" s="22"/>
    </row>
    <row r="445" spans="1:120" x14ac:dyDescent="0.25">
      <c r="A445" s="91">
        <f>$A$41</f>
        <v>20182</v>
      </c>
      <c r="B445" s="105"/>
      <c r="C445" s="90">
        <f t="shared" si="689"/>
        <v>1.2328611898016997</v>
      </c>
      <c r="D445" s="90">
        <f t="shared" si="689"/>
        <v>1.044577205882353</v>
      </c>
      <c r="E445" s="90">
        <f t="shared" si="689"/>
        <v>1.0233172019357677</v>
      </c>
      <c r="F445" s="90">
        <f t="shared" si="689"/>
        <v>1.0154772141014616</v>
      </c>
      <c r="G445" s="22"/>
      <c r="H445" s="22"/>
      <c r="I445" s="22"/>
      <c r="J445" s="22"/>
      <c r="K445" s="22"/>
      <c r="L445" s="22"/>
      <c r="M445" s="91">
        <f>$A$41</f>
        <v>20182</v>
      </c>
      <c r="N445" s="105"/>
      <c r="O445" s="90" t="str">
        <f t="shared" si="690"/>
        <v/>
      </c>
      <c r="P445" s="90" t="str">
        <f t="shared" si="690"/>
        <v/>
      </c>
      <c r="Q445" s="90" t="str">
        <f t="shared" si="690"/>
        <v/>
      </c>
      <c r="R445" s="90" t="str">
        <f t="shared" si="690"/>
        <v/>
      </c>
      <c r="S445" s="22"/>
      <c r="T445" s="22"/>
      <c r="U445" s="22"/>
      <c r="V445" s="22"/>
      <c r="W445" s="22"/>
      <c r="X445" s="22"/>
      <c r="Y445" s="91">
        <f>$A$41</f>
        <v>20182</v>
      </c>
      <c r="Z445" s="105"/>
      <c r="AA445" s="90" t="str">
        <f t="shared" si="691"/>
        <v/>
      </c>
      <c r="AB445" s="90" t="str">
        <f t="shared" si="691"/>
        <v/>
      </c>
      <c r="AC445" s="90" t="str">
        <f t="shared" si="691"/>
        <v/>
      </c>
      <c r="AD445" s="90" t="str">
        <f t="shared" si="691"/>
        <v/>
      </c>
      <c r="AE445" s="22"/>
      <c r="AF445" s="22"/>
      <c r="AG445" s="22"/>
      <c r="AH445" s="22"/>
      <c r="AI445" s="22"/>
      <c r="AJ445" s="22"/>
      <c r="AK445" s="91">
        <f>$A$41</f>
        <v>20182</v>
      </c>
      <c r="AL445" s="105"/>
      <c r="AM445" s="90" t="str">
        <f t="shared" si="692"/>
        <v/>
      </c>
      <c r="AN445" s="90" t="str">
        <f t="shared" si="692"/>
        <v/>
      </c>
      <c r="AO445" s="90" t="str">
        <f t="shared" si="692"/>
        <v/>
      </c>
      <c r="AP445" s="90" t="str">
        <f t="shared" si="692"/>
        <v/>
      </c>
      <c r="AQ445" s="22"/>
      <c r="AR445" s="22"/>
      <c r="AS445" s="22"/>
      <c r="AT445" s="22"/>
      <c r="AU445" s="22"/>
      <c r="AV445" s="22"/>
      <c r="AW445" s="91">
        <f>$A$41</f>
        <v>20182</v>
      </c>
      <c r="AX445" s="105"/>
      <c r="AY445" s="90" t="str">
        <f t="shared" si="693"/>
        <v/>
      </c>
      <c r="AZ445" s="90" t="str">
        <f t="shared" si="693"/>
        <v/>
      </c>
      <c r="BA445" s="90" t="str">
        <f t="shared" si="693"/>
        <v/>
      </c>
      <c r="BB445" s="90" t="str">
        <f t="shared" si="693"/>
        <v/>
      </c>
      <c r="BC445" s="22"/>
      <c r="BD445" s="22"/>
      <c r="BE445" s="22"/>
      <c r="BF445" s="22"/>
      <c r="BG445" s="22"/>
      <c r="BH445" s="22"/>
      <c r="BI445" s="91">
        <f>$A$41</f>
        <v>20182</v>
      </c>
      <c r="BJ445" s="105"/>
      <c r="BK445" s="90" t="str">
        <f t="shared" si="694"/>
        <v/>
      </c>
      <c r="BL445" s="90" t="str">
        <f t="shared" si="694"/>
        <v/>
      </c>
      <c r="BM445" s="90" t="str">
        <f t="shared" si="694"/>
        <v/>
      </c>
      <c r="BN445" s="90" t="str">
        <f t="shared" si="694"/>
        <v/>
      </c>
      <c r="BO445" s="22"/>
      <c r="BP445" s="22"/>
      <c r="BQ445" s="22"/>
      <c r="BR445" s="22"/>
      <c r="BS445" s="22"/>
      <c r="BT445" s="22"/>
      <c r="BU445" s="91">
        <f>$A$41</f>
        <v>20182</v>
      </c>
      <c r="BV445" s="105"/>
      <c r="BW445" s="90" t="str">
        <f t="shared" si="695"/>
        <v/>
      </c>
      <c r="BX445" s="90" t="str">
        <f t="shared" si="695"/>
        <v/>
      </c>
      <c r="BY445" s="90" t="str">
        <f t="shared" si="695"/>
        <v/>
      </c>
      <c r="BZ445" s="90" t="str">
        <f t="shared" si="695"/>
        <v/>
      </c>
      <c r="CA445" s="22"/>
      <c r="CB445" s="22"/>
      <c r="CC445" s="22"/>
      <c r="CD445" s="22"/>
      <c r="CE445" s="22"/>
      <c r="CF445" s="22"/>
      <c r="CG445" s="91">
        <f>$A$41</f>
        <v>20182</v>
      </c>
      <c r="CH445" s="105"/>
      <c r="CI445" s="90" t="str">
        <f t="shared" si="696"/>
        <v/>
      </c>
      <c r="CJ445" s="90" t="str">
        <f t="shared" si="696"/>
        <v/>
      </c>
      <c r="CK445" s="90" t="str">
        <f t="shared" si="696"/>
        <v/>
      </c>
      <c r="CL445" s="90" t="str">
        <f t="shared" si="696"/>
        <v/>
      </c>
      <c r="CM445" s="22"/>
      <c r="CN445" s="22"/>
      <c r="CO445" s="22"/>
      <c r="CP445" s="22"/>
      <c r="CQ445" s="22"/>
      <c r="CR445" s="22"/>
      <c r="CS445" s="91">
        <f>$A$41</f>
        <v>20182</v>
      </c>
      <c r="CT445" s="105"/>
      <c r="CU445" s="90" t="str">
        <f t="shared" si="697"/>
        <v/>
      </c>
      <c r="CV445" s="90" t="str">
        <f t="shared" si="697"/>
        <v/>
      </c>
      <c r="CW445" s="90" t="str">
        <f t="shared" si="697"/>
        <v/>
      </c>
      <c r="CX445" s="90" t="str">
        <f t="shared" si="697"/>
        <v/>
      </c>
      <c r="CY445" s="22"/>
      <c r="CZ445" s="22"/>
      <c r="DA445" s="22"/>
      <c r="DB445" s="22"/>
      <c r="DC445" s="22"/>
      <c r="DD445" s="22"/>
      <c r="DE445" s="91">
        <f>$A$41</f>
        <v>20182</v>
      </c>
      <c r="DF445" s="105"/>
      <c r="DG445" s="90" t="str">
        <f t="shared" si="698"/>
        <v/>
      </c>
      <c r="DH445" s="90" t="str">
        <f t="shared" si="698"/>
        <v/>
      </c>
      <c r="DI445" s="90" t="str">
        <f t="shared" si="698"/>
        <v/>
      </c>
      <c r="DJ445" s="90" t="str">
        <f t="shared" si="698"/>
        <v/>
      </c>
      <c r="DK445" s="22"/>
      <c r="DL445" s="22"/>
      <c r="DM445" s="22"/>
      <c r="DN445" s="22"/>
      <c r="DO445" s="22"/>
      <c r="DP445" s="22"/>
    </row>
    <row r="446" spans="1:120" x14ac:dyDescent="0.25">
      <c r="A446" s="91">
        <f>$A$42</f>
        <v>20192</v>
      </c>
      <c r="B446" s="105"/>
      <c r="C446" s="90">
        <f t="shared" si="689"/>
        <v>1.2677627715795654</v>
      </c>
      <c r="D446" s="90">
        <f t="shared" si="689"/>
        <v>1.0379805465493284</v>
      </c>
      <c r="E446" s="90">
        <f t="shared" si="689"/>
        <v>1.0281124497991967</v>
      </c>
      <c r="F446" s="22"/>
      <c r="G446" s="22"/>
      <c r="H446" s="22"/>
      <c r="I446" s="22"/>
      <c r="J446" s="22"/>
      <c r="K446" s="22"/>
      <c r="L446" s="22"/>
      <c r="M446" s="91">
        <f>$A$42</f>
        <v>20192</v>
      </c>
      <c r="N446" s="105"/>
      <c r="O446" s="90" t="str">
        <f t="shared" si="690"/>
        <v/>
      </c>
      <c r="P446" s="90" t="str">
        <f t="shared" si="690"/>
        <v/>
      </c>
      <c r="Q446" s="90" t="str">
        <f t="shared" si="690"/>
        <v/>
      </c>
      <c r="R446" s="22"/>
      <c r="S446" s="22"/>
      <c r="T446" s="22"/>
      <c r="U446" s="22"/>
      <c r="V446" s="22"/>
      <c r="W446" s="22"/>
      <c r="X446" s="22"/>
      <c r="Y446" s="91">
        <f>$A$42</f>
        <v>20192</v>
      </c>
      <c r="Z446" s="105"/>
      <c r="AA446" s="90" t="str">
        <f t="shared" si="691"/>
        <v/>
      </c>
      <c r="AB446" s="90" t="str">
        <f t="shared" si="691"/>
        <v/>
      </c>
      <c r="AC446" s="90" t="str">
        <f t="shared" si="691"/>
        <v/>
      </c>
      <c r="AD446" s="22"/>
      <c r="AE446" s="22"/>
      <c r="AF446" s="22"/>
      <c r="AG446" s="22"/>
      <c r="AH446" s="22"/>
      <c r="AI446" s="22"/>
      <c r="AJ446" s="22"/>
      <c r="AK446" s="91">
        <f>$A$42</f>
        <v>20192</v>
      </c>
      <c r="AL446" s="105"/>
      <c r="AM446" s="90" t="str">
        <f t="shared" si="692"/>
        <v/>
      </c>
      <c r="AN446" s="90" t="str">
        <f t="shared" si="692"/>
        <v/>
      </c>
      <c r="AO446" s="90" t="str">
        <f t="shared" si="692"/>
        <v/>
      </c>
      <c r="AP446" s="22"/>
      <c r="AQ446" s="22"/>
      <c r="AR446" s="22"/>
      <c r="AS446" s="22"/>
      <c r="AT446" s="22"/>
      <c r="AU446" s="22"/>
      <c r="AV446" s="22"/>
      <c r="AW446" s="91">
        <f>$A$42</f>
        <v>20192</v>
      </c>
      <c r="AX446" s="105"/>
      <c r="AY446" s="90" t="str">
        <f t="shared" si="693"/>
        <v/>
      </c>
      <c r="AZ446" s="90" t="str">
        <f t="shared" si="693"/>
        <v/>
      </c>
      <c r="BA446" s="90" t="str">
        <f t="shared" si="693"/>
        <v/>
      </c>
      <c r="BB446" s="22"/>
      <c r="BC446" s="22"/>
      <c r="BD446" s="22"/>
      <c r="BE446" s="22"/>
      <c r="BF446" s="22"/>
      <c r="BG446" s="22"/>
      <c r="BH446" s="22"/>
      <c r="BI446" s="91">
        <f>$A$42</f>
        <v>20192</v>
      </c>
      <c r="BJ446" s="105"/>
      <c r="BK446" s="90" t="str">
        <f t="shared" si="694"/>
        <v/>
      </c>
      <c r="BL446" s="90" t="str">
        <f t="shared" si="694"/>
        <v/>
      </c>
      <c r="BM446" s="90" t="str">
        <f t="shared" si="694"/>
        <v/>
      </c>
      <c r="BN446" s="22"/>
      <c r="BO446" s="22"/>
      <c r="BP446" s="22"/>
      <c r="BQ446" s="22"/>
      <c r="BR446" s="22"/>
      <c r="BS446" s="22"/>
      <c r="BT446" s="22"/>
      <c r="BU446" s="91">
        <f>$A$42</f>
        <v>20192</v>
      </c>
      <c r="BV446" s="105"/>
      <c r="BW446" s="90" t="str">
        <f t="shared" si="695"/>
        <v/>
      </c>
      <c r="BX446" s="90" t="str">
        <f t="shared" si="695"/>
        <v/>
      </c>
      <c r="BY446" s="90" t="str">
        <f t="shared" si="695"/>
        <v/>
      </c>
      <c r="BZ446" s="22"/>
      <c r="CA446" s="22"/>
      <c r="CB446" s="22"/>
      <c r="CC446" s="22"/>
      <c r="CD446" s="22"/>
      <c r="CE446" s="22"/>
      <c r="CF446" s="22"/>
      <c r="CG446" s="91">
        <f>$A$42</f>
        <v>20192</v>
      </c>
      <c r="CH446" s="105"/>
      <c r="CI446" s="90" t="str">
        <f t="shared" si="696"/>
        <v/>
      </c>
      <c r="CJ446" s="90" t="str">
        <f t="shared" si="696"/>
        <v/>
      </c>
      <c r="CK446" s="90" t="str">
        <f t="shared" si="696"/>
        <v/>
      </c>
      <c r="CL446" s="22"/>
      <c r="CM446" s="22"/>
      <c r="CN446" s="22"/>
      <c r="CO446" s="22"/>
      <c r="CP446" s="22"/>
      <c r="CQ446" s="22"/>
      <c r="CR446" s="22"/>
      <c r="CS446" s="91">
        <f>$A$42</f>
        <v>20192</v>
      </c>
      <c r="CT446" s="105"/>
      <c r="CU446" s="90" t="str">
        <f t="shared" si="697"/>
        <v/>
      </c>
      <c r="CV446" s="90" t="str">
        <f t="shared" si="697"/>
        <v/>
      </c>
      <c r="CW446" s="90" t="str">
        <f t="shared" si="697"/>
        <v/>
      </c>
      <c r="CX446" s="22"/>
      <c r="CY446" s="22"/>
      <c r="CZ446" s="22"/>
      <c r="DA446" s="22"/>
      <c r="DB446" s="22"/>
      <c r="DC446" s="22"/>
      <c r="DD446" s="22"/>
      <c r="DE446" s="91">
        <f>$A$42</f>
        <v>20192</v>
      </c>
      <c r="DF446" s="105"/>
      <c r="DG446" s="90" t="str">
        <f t="shared" si="698"/>
        <v/>
      </c>
      <c r="DH446" s="90" t="str">
        <f t="shared" si="698"/>
        <v/>
      </c>
      <c r="DI446" s="90" t="str">
        <f t="shared" si="698"/>
        <v/>
      </c>
      <c r="DJ446" s="22"/>
      <c r="DK446" s="22"/>
      <c r="DL446" s="22"/>
      <c r="DM446" s="22"/>
      <c r="DN446" s="22"/>
      <c r="DO446" s="22"/>
      <c r="DP446" s="22"/>
    </row>
    <row r="447" spans="1:120" x14ac:dyDescent="0.25">
      <c r="A447" s="91">
        <f>$A$43</f>
        <v>20202</v>
      </c>
      <c r="B447" s="105"/>
      <c r="C447" s="90">
        <f t="shared" si="689"/>
        <v>1.2750569476082005</v>
      </c>
      <c r="D447" s="90">
        <f t="shared" si="689"/>
        <v>1.045109423849933</v>
      </c>
      <c r="E447" s="22"/>
      <c r="F447" s="22"/>
      <c r="G447" s="22"/>
      <c r="H447" s="22"/>
      <c r="I447" s="22"/>
      <c r="J447" s="22"/>
      <c r="K447" s="22"/>
      <c r="L447" s="22"/>
      <c r="M447" s="91">
        <f>$A$43</f>
        <v>20202</v>
      </c>
      <c r="N447" s="105"/>
      <c r="O447" s="90" t="str">
        <f t="shared" si="690"/>
        <v/>
      </c>
      <c r="P447" s="90" t="str">
        <f t="shared" si="690"/>
        <v/>
      </c>
      <c r="Q447" s="22"/>
      <c r="R447" s="22"/>
      <c r="S447" s="22"/>
      <c r="T447" s="22"/>
      <c r="U447" s="22"/>
      <c r="V447" s="22"/>
      <c r="W447" s="22"/>
      <c r="X447" s="22"/>
      <c r="Y447" s="91">
        <f>$A$43</f>
        <v>20202</v>
      </c>
      <c r="Z447" s="105"/>
      <c r="AA447" s="90" t="str">
        <f t="shared" si="691"/>
        <v/>
      </c>
      <c r="AB447" s="90" t="str">
        <f t="shared" si="691"/>
        <v/>
      </c>
      <c r="AC447" s="22"/>
      <c r="AD447" s="22"/>
      <c r="AE447" s="22"/>
      <c r="AF447" s="22"/>
      <c r="AG447" s="22"/>
      <c r="AH447" s="22"/>
      <c r="AI447" s="22"/>
      <c r="AJ447" s="22"/>
      <c r="AK447" s="91">
        <f>$A$43</f>
        <v>20202</v>
      </c>
      <c r="AL447" s="105"/>
      <c r="AM447" s="90" t="str">
        <f t="shared" si="692"/>
        <v/>
      </c>
      <c r="AN447" s="90" t="str">
        <f t="shared" si="692"/>
        <v/>
      </c>
      <c r="AO447" s="22"/>
      <c r="AP447" s="22"/>
      <c r="AQ447" s="22"/>
      <c r="AR447" s="22"/>
      <c r="AS447" s="22"/>
      <c r="AT447" s="22"/>
      <c r="AU447" s="22"/>
      <c r="AV447" s="22"/>
      <c r="AW447" s="91">
        <f>$A$43</f>
        <v>20202</v>
      </c>
      <c r="AX447" s="105"/>
      <c r="AY447" s="90" t="str">
        <f t="shared" si="693"/>
        <v/>
      </c>
      <c r="AZ447" s="90" t="str">
        <f t="shared" si="693"/>
        <v/>
      </c>
      <c r="BA447" s="22"/>
      <c r="BB447" s="22"/>
      <c r="BC447" s="22"/>
      <c r="BD447" s="22"/>
      <c r="BE447" s="22"/>
      <c r="BF447" s="22"/>
      <c r="BG447" s="22"/>
      <c r="BH447" s="22"/>
      <c r="BI447" s="91">
        <f>$A$43</f>
        <v>20202</v>
      </c>
      <c r="BJ447" s="105"/>
      <c r="BK447" s="90" t="str">
        <f t="shared" si="694"/>
        <v/>
      </c>
      <c r="BL447" s="90" t="str">
        <f t="shared" si="694"/>
        <v/>
      </c>
      <c r="BM447" s="22"/>
      <c r="BN447" s="22"/>
      <c r="BO447" s="22"/>
      <c r="BP447" s="22"/>
      <c r="BQ447" s="22"/>
      <c r="BR447" s="22"/>
      <c r="BS447" s="22"/>
      <c r="BT447" s="22"/>
      <c r="BU447" s="91">
        <f>$A$43</f>
        <v>20202</v>
      </c>
      <c r="BV447" s="105"/>
      <c r="BW447" s="90" t="str">
        <f t="shared" si="695"/>
        <v/>
      </c>
      <c r="BX447" s="90" t="str">
        <f t="shared" si="695"/>
        <v/>
      </c>
      <c r="BY447" s="22"/>
      <c r="BZ447" s="22"/>
      <c r="CA447" s="22"/>
      <c r="CB447" s="22"/>
      <c r="CC447" s="22"/>
      <c r="CD447" s="22"/>
      <c r="CE447" s="22"/>
      <c r="CF447" s="22"/>
      <c r="CG447" s="91">
        <f>$A$43</f>
        <v>20202</v>
      </c>
      <c r="CH447" s="105"/>
      <c r="CI447" s="90" t="str">
        <f t="shared" si="696"/>
        <v/>
      </c>
      <c r="CJ447" s="90" t="str">
        <f t="shared" si="696"/>
        <v/>
      </c>
      <c r="CK447" s="22"/>
      <c r="CL447" s="22"/>
      <c r="CM447" s="22"/>
      <c r="CN447" s="22"/>
      <c r="CO447" s="22"/>
      <c r="CP447" s="22"/>
      <c r="CQ447" s="22"/>
      <c r="CR447" s="22"/>
      <c r="CS447" s="91">
        <f>$A$43</f>
        <v>20202</v>
      </c>
      <c r="CT447" s="105"/>
      <c r="CU447" s="90" t="str">
        <f t="shared" si="697"/>
        <v/>
      </c>
      <c r="CV447" s="90" t="str">
        <f t="shared" si="697"/>
        <v/>
      </c>
      <c r="CW447" s="22"/>
      <c r="CX447" s="22"/>
      <c r="CY447" s="22"/>
      <c r="CZ447" s="22"/>
      <c r="DA447" s="22"/>
      <c r="DB447" s="22"/>
      <c r="DC447" s="22"/>
      <c r="DD447" s="22"/>
      <c r="DE447" s="91">
        <f>$A$43</f>
        <v>20202</v>
      </c>
      <c r="DF447" s="105"/>
      <c r="DG447" s="90" t="str">
        <f t="shared" si="698"/>
        <v/>
      </c>
      <c r="DH447" s="90" t="str">
        <f t="shared" si="698"/>
        <v/>
      </c>
      <c r="DI447" s="22"/>
      <c r="DJ447" s="22"/>
      <c r="DK447" s="22"/>
      <c r="DL447" s="22"/>
      <c r="DM447" s="22"/>
      <c r="DN447" s="22"/>
      <c r="DO447" s="22"/>
      <c r="DP447" s="22"/>
    </row>
    <row r="448" spans="1:120" x14ac:dyDescent="0.25">
      <c r="A448" s="91">
        <f>$A$44</f>
        <v>20212</v>
      </c>
      <c r="B448" s="105"/>
      <c r="C448" s="90">
        <f t="shared" si="689"/>
        <v>1.3329446064139943</v>
      </c>
      <c r="D448" s="22"/>
      <c r="E448" s="22"/>
      <c r="F448" s="22"/>
      <c r="G448" s="22"/>
      <c r="H448" s="22"/>
      <c r="I448" s="22"/>
      <c r="J448" s="22"/>
      <c r="K448" s="22"/>
      <c r="L448" s="22"/>
      <c r="M448" s="91">
        <f>$A$44</f>
        <v>20212</v>
      </c>
      <c r="N448" s="105"/>
      <c r="O448" s="90" t="str">
        <f t="shared" si="690"/>
        <v/>
      </c>
      <c r="P448" s="22"/>
      <c r="Q448" s="22"/>
      <c r="R448" s="22"/>
      <c r="S448" s="22"/>
      <c r="T448" s="22"/>
      <c r="U448" s="22"/>
      <c r="V448" s="22"/>
      <c r="W448" s="22"/>
      <c r="X448" s="22"/>
      <c r="Y448" s="91">
        <f>$A$44</f>
        <v>20212</v>
      </c>
      <c r="Z448" s="105"/>
      <c r="AA448" s="90" t="str">
        <f t="shared" si="691"/>
        <v/>
      </c>
      <c r="AB448" s="22"/>
      <c r="AC448" s="22"/>
      <c r="AD448" s="22"/>
      <c r="AE448" s="22"/>
      <c r="AF448" s="22"/>
      <c r="AG448" s="22"/>
      <c r="AH448" s="22"/>
      <c r="AI448" s="22"/>
      <c r="AJ448" s="22"/>
      <c r="AK448" s="91">
        <f>$A$44</f>
        <v>20212</v>
      </c>
      <c r="AL448" s="105"/>
      <c r="AM448" s="90" t="str">
        <f t="shared" si="692"/>
        <v/>
      </c>
      <c r="AN448" s="22"/>
      <c r="AO448" s="22"/>
      <c r="AP448" s="22"/>
      <c r="AQ448" s="22"/>
      <c r="AR448" s="22"/>
      <c r="AS448" s="22"/>
      <c r="AT448" s="22"/>
      <c r="AU448" s="22"/>
      <c r="AV448" s="22"/>
      <c r="AW448" s="91">
        <f>$A$44</f>
        <v>20212</v>
      </c>
      <c r="AX448" s="105"/>
      <c r="AY448" s="90" t="str">
        <f t="shared" si="693"/>
        <v/>
      </c>
      <c r="AZ448" s="22"/>
      <c r="BA448" s="22"/>
      <c r="BB448" s="22"/>
      <c r="BC448" s="22"/>
      <c r="BD448" s="22"/>
      <c r="BE448" s="22"/>
      <c r="BF448" s="22"/>
      <c r="BG448" s="22"/>
      <c r="BH448" s="22"/>
      <c r="BI448" s="91">
        <f>$A$44</f>
        <v>20212</v>
      </c>
      <c r="BJ448" s="105"/>
      <c r="BK448" s="90" t="str">
        <f t="shared" si="694"/>
        <v/>
      </c>
      <c r="BL448" s="22"/>
      <c r="BM448" s="22"/>
      <c r="BN448" s="22"/>
      <c r="BO448" s="22"/>
      <c r="BP448" s="22"/>
      <c r="BQ448" s="22"/>
      <c r="BR448" s="22"/>
      <c r="BS448" s="22"/>
      <c r="BT448" s="22"/>
      <c r="BU448" s="91">
        <f>$A$44</f>
        <v>20212</v>
      </c>
      <c r="BV448" s="105"/>
      <c r="BW448" s="90" t="str">
        <f t="shared" si="695"/>
        <v/>
      </c>
      <c r="BX448" s="22"/>
      <c r="BY448" s="22"/>
      <c r="BZ448" s="22"/>
      <c r="CA448" s="22"/>
      <c r="CB448" s="22"/>
      <c r="CC448" s="22"/>
      <c r="CD448" s="22"/>
      <c r="CE448" s="22"/>
      <c r="CF448" s="22"/>
      <c r="CG448" s="91">
        <f>$A$44</f>
        <v>20212</v>
      </c>
      <c r="CH448" s="105"/>
      <c r="CI448" s="90" t="str">
        <f t="shared" si="696"/>
        <v/>
      </c>
      <c r="CJ448" s="22"/>
      <c r="CK448" s="22"/>
      <c r="CL448" s="22"/>
      <c r="CM448" s="22"/>
      <c r="CN448" s="22"/>
      <c r="CO448" s="22"/>
      <c r="CP448" s="22"/>
      <c r="CQ448" s="22"/>
      <c r="CR448" s="22"/>
      <c r="CS448" s="91">
        <f>$A$44</f>
        <v>20212</v>
      </c>
      <c r="CT448" s="105"/>
      <c r="CU448" s="90" t="str">
        <f t="shared" si="697"/>
        <v/>
      </c>
      <c r="CV448" s="22"/>
      <c r="CW448" s="22"/>
      <c r="CX448" s="22"/>
      <c r="CY448" s="22"/>
      <c r="CZ448" s="22"/>
      <c r="DA448" s="22"/>
      <c r="DB448" s="22"/>
      <c r="DC448" s="22"/>
      <c r="DD448" s="22"/>
      <c r="DE448" s="91">
        <f>$A$44</f>
        <v>20212</v>
      </c>
      <c r="DF448" s="105"/>
      <c r="DG448" s="90" t="str">
        <f t="shared" si="698"/>
        <v/>
      </c>
      <c r="DH448" s="22"/>
      <c r="DI448" s="22"/>
      <c r="DJ448" s="22"/>
      <c r="DK448" s="22"/>
      <c r="DL448" s="22"/>
      <c r="DM448" s="22"/>
      <c r="DN448" s="22"/>
      <c r="DO448" s="22"/>
      <c r="DP448" s="22"/>
    </row>
    <row r="449" spans="1:120" x14ac:dyDescent="0.25">
      <c r="A449" s="108"/>
      <c r="B449" s="108"/>
      <c r="C449" s="108"/>
      <c r="D449" s="108"/>
      <c r="E449" s="108"/>
      <c r="F449" s="108"/>
      <c r="G449" s="108"/>
      <c r="H449" s="108"/>
      <c r="I449" s="108"/>
      <c r="J449" s="108"/>
      <c r="K449" s="108"/>
      <c r="L449" s="109" t="s">
        <v>38</v>
      </c>
      <c r="M449" s="108"/>
      <c r="N449" s="108"/>
      <c r="O449" s="108"/>
      <c r="P449" s="108"/>
      <c r="Q449" s="108"/>
      <c r="R449" s="108"/>
      <c r="S449" s="108"/>
      <c r="T449" s="108"/>
      <c r="U449" s="108"/>
      <c r="V449" s="108"/>
      <c r="W449" s="108"/>
      <c r="X449" s="109" t="s">
        <v>38</v>
      </c>
      <c r="Y449" s="108"/>
      <c r="Z449" s="108"/>
      <c r="AA449" s="108"/>
      <c r="AB449" s="108"/>
      <c r="AC449" s="108"/>
      <c r="AD449" s="108"/>
      <c r="AE449" s="108"/>
      <c r="AF449" s="108"/>
      <c r="AG449" s="108"/>
      <c r="AH449" s="108"/>
      <c r="AI449" s="108"/>
      <c r="AJ449" s="109" t="s">
        <v>38</v>
      </c>
      <c r="AK449" s="108"/>
      <c r="AL449" s="108"/>
      <c r="AM449" s="108"/>
      <c r="AN449" s="108"/>
      <c r="AO449" s="108"/>
      <c r="AP449" s="108"/>
      <c r="AQ449" s="108"/>
      <c r="AR449" s="108"/>
      <c r="AS449" s="108"/>
      <c r="AT449" s="108"/>
      <c r="AU449" s="108"/>
      <c r="AV449" s="109" t="s">
        <v>38</v>
      </c>
      <c r="AW449" s="108"/>
      <c r="AX449" s="108"/>
      <c r="AY449" s="108"/>
      <c r="AZ449" s="108"/>
      <c r="BA449" s="108"/>
      <c r="BB449" s="108"/>
      <c r="BC449" s="108"/>
      <c r="BD449" s="108"/>
      <c r="BE449" s="108"/>
      <c r="BF449" s="108"/>
      <c r="BG449" s="108"/>
      <c r="BH449" s="109" t="s">
        <v>38</v>
      </c>
      <c r="BI449" s="108"/>
      <c r="BJ449" s="108"/>
      <c r="BK449" s="108"/>
      <c r="BL449" s="108"/>
      <c r="BM449" s="108"/>
      <c r="BN449" s="108"/>
      <c r="BO449" s="108"/>
      <c r="BP449" s="108"/>
      <c r="BQ449" s="108"/>
      <c r="BR449" s="108"/>
      <c r="BS449" s="108"/>
      <c r="BT449" s="109" t="s">
        <v>38</v>
      </c>
      <c r="BU449" s="108"/>
      <c r="BV449" s="108"/>
      <c r="BW449" s="108"/>
      <c r="BX449" s="108"/>
      <c r="BY449" s="108"/>
      <c r="BZ449" s="108"/>
      <c r="CA449" s="108"/>
      <c r="CB449" s="108"/>
      <c r="CC449" s="108"/>
      <c r="CD449" s="108"/>
      <c r="CE449" s="108"/>
      <c r="CF449" s="109" t="s">
        <v>38</v>
      </c>
      <c r="CG449" s="108"/>
      <c r="CH449" s="108"/>
      <c r="CI449" s="108"/>
      <c r="CJ449" s="108"/>
      <c r="CK449" s="108"/>
      <c r="CL449" s="108"/>
      <c r="CM449" s="108"/>
      <c r="CN449" s="108"/>
      <c r="CO449" s="108"/>
      <c r="CP449" s="108"/>
      <c r="CQ449" s="108"/>
      <c r="CR449" s="109" t="s">
        <v>38</v>
      </c>
      <c r="CS449" s="108"/>
      <c r="CT449" s="108"/>
      <c r="CU449" s="108"/>
      <c r="CV449" s="108"/>
      <c r="CW449" s="108"/>
      <c r="CX449" s="108"/>
      <c r="CY449" s="108"/>
      <c r="CZ449" s="108"/>
      <c r="DA449" s="108"/>
      <c r="DB449" s="108"/>
      <c r="DC449" s="108"/>
      <c r="DD449" s="109" t="s">
        <v>38</v>
      </c>
      <c r="DE449" s="108"/>
      <c r="DF449" s="108"/>
      <c r="DG449" s="108"/>
      <c r="DH449" s="108"/>
      <c r="DI449" s="108"/>
      <c r="DJ449" s="108"/>
      <c r="DK449" s="108"/>
      <c r="DL449" s="108"/>
      <c r="DM449" s="108"/>
      <c r="DN449" s="108"/>
      <c r="DO449" s="108"/>
      <c r="DP449" s="109" t="s">
        <v>38</v>
      </c>
    </row>
    <row r="450" spans="1:120" x14ac:dyDescent="0.25">
      <c r="A450" s="11" t="s">
        <v>37</v>
      </c>
      <c r="B450" s="107"/>
      <c r="C450" s="93">
        <f>IFERROR(SUM(D433:D435)/SUM(C433:C435),1)</f>
        <v>1.2918438345574024</v>
      </c>
      <c r="D450" s="93">
        <f>IFERROR(SUM(E432:E434)/SUM(D432:D434),1)</f>
        <v>1.0425920292059629</v>
      </c>
      <c r="E450" s="93">
        <f>IFERROR(SUM(F431:F433)/SUM(E431:E433),1)</f>
        <v>1.0242803140447805</v>
      </c>
      <c r="F450" s="93">
        <f>IFERROR(SUM(G430:G432)/SUM(F430:F432),1)</f>
        <v>1.0152761457109283</v>
      </c>
      <c r="G450" s="93">
        <f>IFERROR(SUM(H429:H431)/SUM(G429:G431),1)</f>
        <v>1.0106104874673227</v>
      </c>
      <c r="H450" s="93">
        <f>IFERROR(SUM(I428:I430)/SUM(H428:H430),1)</f>
        <v>1.0075317746744077</v>
      </c>
      <c r="I450" s="93">
        <f>IFERROR(SUM(J427:J429)/SUM(I427:I429),1)</f>
        <v>1.0053966540744739</v>
      </c>
      <c r="J450" s="93">
        <f>IFERROR(SUM(K427:K428)/SUM(J427:J428),1)</f>
        <v>1.0041887740854509</v>
      </c>
      <c r="K450" s="93">
        <f>IFERROR(SUM(L427:L427)/SUM(K427:K427),1)</f>
        <v>1.0023219814241486</v>
      </c>
      <c r="L450" s="93">
        <v>1</v>
      </c>
      <c r="M450" s="285" t="s">
        <v>37</v>
      </c>
      <c r="N450" s="107"/>
      <c r="O450" s="93">
        <f>IFERROR(SUM(P433:P435)/SUM(O433:O435),1)</f>
        <v>1</v>
      </c>
      <c r="P450" s="93">
        <f>IFERROR(SUM(Q432:Q434)/SUM(P432:P434),1)</f>
        <v>1</v>
      </c>
      <c r="Q450" s="93">
        <f>IFERROR(SUM(R431:R433)/SUM(Q431:Q433),1)</f>
        <v>1</v>
      </c>
      <c r="R450" s="93">
        <f>IFERROR(SUM(S430:S432)/SUM(R430:R432),1)</f>
        <v>1</v>
      </c>
      <c r="S450" s="93">
        <f>IFERROR(SUM(T429:T431)/SUM(S429:S431),1)</f>
        <v>1</v>
      </c>
      <c r="T450" s="93">
        <f>IFERROR(SUM(U428:U430)/SUM(T428:T430),1)</f>
        <v>1</v>
      </c>
      <c r="U450" s="93">
        <f>IFERROR(SUM(V427:V429)/SUM(U427:U429),1)</f>
        <v>1</v>
      </c>
      <c r="V450" s="93">
        <f>IFERROR(SUM(W427:W428)/SUM(V427:V428),1)</f>
        <v>1</v>
      </c>
      <c r="W450" s="93">
        <f>IFERROR(SUM(X427:X427)/SUM(W427:W427),1)</f>
        <v>1</v>
      </c>
      <c r="X450" s="93">
        <v>1</v>
      </c>
      <c r="Y450" s="285" t="s">
        <v>37</v>
      </c>
      <c r="Z450" s="107"/>
      <c r="AA450" s="93">
        <f>IFERROR(SUM(AB433:AB435)/SUM(AA433:AA435),1)</f>
        <v>1</v>
      </c>
      <c r="AB450" s="93">
        <f>IFERROR(SUM(AC432:AC434)/SUM(AB432:AB434),1)</f>
        <v>1</v>
      </c>
      <c r="AC450" s="93">
        <f>IFERROR(SUM(AD431:AD433)/SUM(AC431:AC433),1)</f>
        <v>1</v>
      </c>
      <c r="AD450" s="93">
        <f>IFERROR(SUM(AE430:AE432)/SUM(AD430:AD432),1)</f>
        <v>1</v>
      </c>
      <c r="AE450" s="93">
        <f>IFERROR(SUM(AF429:AF431)/SUM(AE429:AE431),1)</f>
        <v>1</v>
      </c>
      <c r="AF450" s="93">
        <f>IFERROR(SUM(AG428:AG430)/SUM(AF428:AF430),1)</f>
        <v>1</v>
      </c>
      <c r="AG450" s="93">
        <f>IFERROR(SUM(AH427:AH429)/SUM(AG427:AG429),1)</f>
        <v>1</v>
      </c>
      <c r="AH450" s="93">
        <f>IFERROR(SUM(AI427:AI428)/SUM(AH427:AH428),1)</f>
        <v>1</v>
      </c>
      <c r="AI450" s="93">
        <f>IFERROR(SUM(AJ427:AJ427)/SUM(AI427:AI427),1)</f>
        <v>1</v>
      </c>
      <c r="AJ450" s="93">
        <v>1</v>
      </c>
      <c r="AK450" s="285" t="s">
        <v>37</v>
      </c>
      <c r="AL450" s="107"/>
      <c r="AM450" s="93">
        <f>IFERROR(SUM(AN433:AN435)/SUM(AM433:AM435),1)</f>
        <v>1</v>
      </c>
      <c r="AN450" s="93">
        <f>IFERROR(SUM(AO432:AO434)/SUM(AN432:AN434),1)</f>
        <v>1</v>
      </c>
      <c r="AO450" s="93">
        <f>IFERROR(SUM(AP431:AP433)/SUM(AO431:AO433),1)</f>
        <v>1</v>
      </c>
      <c r="AP450" s="93">
        <f>IFERROR(SUM(AQ430:AQ432)/SUM(AP430:AP432),1)</f>
        <v>1</v>
      </c>
      <c r="AQ450" s="93">
        <f>IFERROR(SUM(AR429:AR431)/SUM(AQ429:AQ431),1)</f>
        <v>1</v>
      </c>
      <c r="AR450" s="93">
        <f>IFERROR(SUM(AS428:AS430)/SUM(AR428:AR430),1)</f>
        <v>1</v>
      </c>
      <c r="AS450" s="93">
        <f>IFERROR(SUM(AT427:AT429)/SUM(AS427:AS429),1)</f>
        <v>1</v>
      </c>
      <c r="AT450" s="93">
        <f>IFERROR(SUM(AU427:AU428)/SUM(AT427:AT428),1)</f>
        <v>1</v>
      </c>
      <c r="AU450" s="93">
        <f>IFERROR(SUM(AV427:AV427)/SUM(AU427:AU427),1)</f>
        <v>1</v>
      </c>
      <c r="AV450" s="93">
        <v>1</v>
      </c>
      <c r="AW450" s="285" t="s">
        <v>37</v>
      </c>
      <c r="AX450" s="107"/>
      <c r="AY450" s="93">
        <f>IFERROR(SUM(AZ433:AZ435)/SUM(AY433:AY435),1)</f>
        <v>1</v>
      </c>
      <c r="AZ450" s="93">
        <f>IFERROR(SUM(BA432:BA434)/SUM(AZ432:AZ434),1)</f>
        <v>1</v>
      </c>
      <c r="BA450" s="93">
        <f>IFERROR(SUM(BB431:BB433)/SUM(BA431:BA433),1)</f>
        <v>1</v>
      </c>
      <c r="BB450" s="93">
        <f>IFERROR(SUM(BC430:BC432)/SUM(BB430:BB432),1)</f>
        <v>1</v>
      </c>
      <c r="BC450" s="93">
        <f>IFERROR(SUM(BD429:BD431)/SUM(BC429:BC431),1)</f>
        <v>1</v>
      </c>
      <c r="BD450" s="93">
        <f>IFERROR(SUM(BE428:BE430)/SUM(BD428:BD430),1)</f>
        <v>1</v>
      </c>
      <c r="BE450" s="93">
        <f>IFERROR(SUM(BF427:BF429)/SUM(BE427:BE429),1)</f>
        <v>1</v>
      </c>
      <c r="BF450" s="93">
        <f>IFERROR(SUM(BG427:BG428)/SUM(BF427:BF428),1)</f>
        <v>1</v>
      </c>
      <c r="BG450" s="93">
        <f>IFERROR(SUM(BH427:BH427)/SUM(BG427:BG427),1)</f>
        <v>1</v>
      </c>
      <c r="BH450" s="93">
        <v>1</v>
      </c>
      <c r="BI450" s="285" t="s">
        <v>37</v>
      </c>
      <c r="BJ450" s="107"/>
      <c r="BK450" s="93">
        <f>IFERROR(SUM(BL433:BL435)/SUM(BK433:BK435),1)</f>
        <v>1</v>
      </c>
      <c r="BL450" s="93">
        <f>IFERROR(SUM(BM432:BM434)/SUM(BL432:BL434),1)</f>
        <v>1</v>
      </c>
      <c r="BM450" s="93">
        <f>IFERROR(SUM(BN431:BN433)/SUM(BM431:BM433),1)</f>
        <v>1</v>
      </c>
      <c r="BN450" s="93">
        <f>IFERROR(SUM(BO430:BO432)/SUM(BN430:BN432),1)</f>
        <v>1</v>
      </c>
      <c r="BO450" s="93">
        <f>IFERROR(SUM(BP429:BP431)/SUM(BO429:BO431),1)</f>
        <v>1</v>
      </c>
      <c r="BP450" s="93">
        <f>IFERROR(SUM(BQ428:BQ430)/SUM(BP428:BP430),1)</f>
        <v>1</v>
      </c>
      <c r="BQ450" s="93">
        <f>IFERROR(SUM(BR427:BR429)/SUM(BQ427:BQ429),1)</f>
        <v>1</v>
      </c>
      <c r="BR450" s="93">
        <f>IFERROR(SUM(BS427:BS428)/SUM(BR427:BR428),1)</f>
        <v>1</v>
      </c>
      <c r="BS450" s="93">
        <f>IFERROR(SUM(BT427:BT427)/SUM(BS427:BS427),1)</f>
        <v>1</v>
      </c>
      <c r="BT450" s="93">
        <v>1</v>
      </c>
      <c r="BU450" s="285" t="s">
        <v>37</v>
      </c>
      <c r="BV450" s="107"/>
      <c r="BW450" s="93">
        <f>IFERROR(SUM(BX433:BX435)/SUM(BW433:BW435),1)</f>
        <v>1</v>
      </c>
      <c r="BX450" s="93">
        <f>IFERROR(SUM(BY432:BY434)/SUM(BX432:BX434),1)</f>
        <v>1</v>
      </c>
      <c r="BY450" s="93">
        <f>IFERROR(SUM(BZ431:BZ433)/SUM(BY431:BY433),1)</f>
        <v>1</v>
      </c>
      <c r="BZ450" s="93">
        <f>IFERROR(SUM(CA430:CA432)/SUM(BZ430:BZ432),1)</f>
        <v>1</v>
      </c>
      <c r="CA450" s="93">
        <f>IFERROR(SUM(CB429:CB431)/SUM(CA429:CA431),1)</f>
        <v>1</v>
      </c>
      <c r="CB450" s="93">
        <f>IFERROR(SUM(CC428:CC430)/SUM(CB428:CB430),1)</f>
        <v>1</v>
      </c>
      <c r="CC450" s="93">
        <f>IFERROR(SUM(CD427:CD429)/SUM(CC427:CC429),1)</f>
        <v>1</v>
      </c>
      <c r="CD450" s="93">
        <f>IFERROR(SUM(CE427:CE428)/SUM(CD427:CD428),1)</f>
        <v>1</v>
      </c>
      <c r="CE450" s="93">
        <f>IFERROR(SUM(CF427:CF427)/SUM(CE427:CE427),1)</f>
        <v>1</v>
      </c>
      <c r="CF450" s="93">
        <v>1</v>
      </c>
      <c r="CG450" s="285" t="s">
        <v>37</v>
      </c>
      <c r="CH450" s="107"/>
      <c r="CI450" s="93">
        <f>IFERROR(SUM(CJ433:CJ435)/SUM(CI433:CI435),1)</f>
        <v>1</v>
      </c>
      <c r="CJ450" s="93">
        <f>IFERROR(SUM(CK432:CK434)/SUM(CJ432:CJ434),1)</f>
        <v>1</v>
      </c>
      <c r="CK450" s="93">
        <f>IFERROR(SUM(CL431:CL433)/SUM(CK431:CK433),1)</f>
        <v>1</v>
      </c>
      <c r="CL450" s="93">
        <f>IFERROR(SUM(CM430:CM432)/SUM(CL430:CL432),1)</f>
        <v>1</v>
      </c>
      <c r="CM450" s="93">
        <f>IFERROR(SUM(CN429:CN431)/SUM(CM429:CM431),1)</f>
        <v>1</v>
      </c>
      <c r="CN450" s="93">
        <f>IFERROR(SUM(CO428:CO430)/SUM(CN428:CN430),1)</f>
        <v>1</v>
      </c>
      <c r="CO450" s="93">
        <f>IFERROR(SUM(CP427:CP429)/SUM(CO427:CO429),1)</f>
        <v>1</v>
      </c>
      <c r="CP450" s="93">
        <f>IFERROR(SUM(CQ427:CQ428)/SUM(CP427:CP428),1)</f>
        <v>1</v>
      </c>
      <c r="CQ450" s="93">
        <f>IFERROR(SUM(CR427:CR427)/SUM(CQ427:CQ427),1)</f>
        <v>1</v>
      </c>
      <c r="CR450" s="93">
        <v>1</v>
      </c>
      <c r="CS450" s="285" t="s">
        <v>37</v>
      </c>
      <c r="CT450" s="107"/>
      <c r="CU450" s="93">
        <f>IFERROR(SUM(CV433:CV435)/SUM(CU433:CU435),1)</f>
        <v>1</v>
      </c>
      <c r="CV450" s="93">
        <f>IFERROR(SUM(CW432:CW434)/SUM(CV432:CV434),1)</f>
        <v>1</v>
      </c>
      <c r="CW450" s="93">
        <f>IFERROR(SUM(CX431:CX433)/SUM(CW431:CW433),1)</f>
        <v>1</v>
      </c>
      <c r="CX450" s="93">
        <f>IFERROR(SUM(CY430:CY432)/SUM(CX430:CX432),1)</f>
        <v>1</v>
      </c>
      <c r="CY450" s="93">
        <f>IFERROR(SUM(CZ429:CZ431)/SUM(CY429:CY431),1)</f>
        <v>1</v>
      </c>
      <c r="CZ450" s="93">
        <f>IFERROR(SUM(DA428:DA430)/SUM(CZ428:CZ430),1)</f>
        <v>1</v>
      </c>
      <c r="DA450" s="93">
        <f>IFERROR(SUM(DB427:DB429)/SUM(DA427:DA429),1)</f>
        <v>1</v>
      </c>
      <c r="DB450" s="93">
        <f>IFERROR(SUM(DC427:DC428)/SUM(DB427:DB428),1)</f>
        <v>1</v>
      </c>
      <c r="DC450" s="93">
        <f>IFERROR(SUM(DD427:DD427)/SUM(DC427:DC427),1)</f>
        <v>1</v>
      </c>
      <c r="DD450" s="93">
        <v>1</v>
      </c>
      <c r="DE450" s="285" t="s">
        <v>37</v>
      </c>
      <c r="DF450" s="107"/>
      <c r="DG450" s="93">
        <f>IFERROR(SUM(DH433:DH435)/SUM(DG433:DG435),1)</f>
        <v>1</v>
      </c>
      <c r="DH450" s="93">
        <f>IFERROR(SUM(DI432:DI434)/SUM(DH432:DH434),1)</f>
        <v>1</v>
      </c>
      <c r="DI450" s="93">
        <f>IFERROR(SUM(DJ431:DJ433)/SUM(DI431:DI433),1)</f>
        <v>1</v>
      </c>
      <c r="DJ450" s="93">
        <f>IFERROR(SUM(DK430:DK432)/SUM(DJ430:DJ432),1)</f>
        <v>1</v>
      </c>
      <c r="DK450" s="93">
        <f>IFERROR(SUM(DL429:DL431)/SUM(DK429:DK431),1)</f>
        <v>1</v>
      </c>
      <c r="DL450" s="93">
        <f>IFERROR(SUM(DM428:DM430)/SUM(DL428:DL430),1)</f>
        <v>1</v>
      </c>
      <c r="DM450" s="93">
        <f>IFERROR(SUM(DN427:DN429)/SUM(DM427:DM429),1)</f>
        <v>1</v>
      </c>
      <c r="DN450" s="93">
        <f>IFERROR(SUM(DO427:DO428)/SUM(DN427:DN428),1)</f>
        <v>1</v>
      </c>
      <c r="DO450" s="93">
        <f>IFERROR(SUM(DP427:DP427)/SUM(DO427:DO427),1)</f>
        <v>1</v>
      </c>
      <c r="DP450" s="93">
        <v>1</v>
      </c>
    </row>
    <row r="451" spans="1:120" ht="15.75" thickBot="1" x14ac:dyDescent="0.3">
      <c r="A451" s="11" t="s">
        <v>40</v>
      </c>
      <c r="B451" s="107"/>
      <c r="C451" s="93">
        <f>IF(C450=0,1,C450)</f>
        <v>1.2918438345574024</v>
      </c>
      <c r="D451" s="93">
        <f t="shared" ref="D451:K451" si="699">IF(D450=0,1,D450)</f>
        <v>1.0425920292059629</v>
      </c>
      <c r="E451" s="93">
        <f t="shared" si="699"/>
        <v>1.0242803140447805</v>
      </c>
      <c r="F451" s="93">
        <f t="shared" si="699"/>
        <v>1.0152761457109283</v>
      </c>
      <c r="G451" s="93">
        <f t="shared" si="699"/>
        <v>1.0106104874673227</v>
      </c>
      <c r="H451" s="93">
        <f t="shared" si="699"/>
        <v>1.0075317746744077</v>
      </c>
      <c r="I451" s="93">
        <f t="shared" si="699"/>
        <v>1.0053966540744739</v>
      </c>
      <c r="J451" s="93">
        <f t="shared" si="699"/>
        <v>1.0041887740854509</v>
      </c>
      <c r="K451" s="93">
        <f t="shared" si="699"/>
        <v>1.0023219814241486</v>
      </c>
      <c r="L451" s="93">
        <f>IF(L450=0,1,L450)</f>
        <v>1</v>
      </c>
      <c r="M451" s="285" t="s">
        <v>40</v>
      </c>
      <c r="N451" s="107"/>
      <c r="O451" s="93">
        <f>IF(O450=0,1,O450)</f>
        <v>1</v>
      </c>
      <c r="P451" s="93">
        <f t="shared" ref="P451:W451" si="700">IF(P450=0,1,P450)</f>
        <v>1</v>
      </c>
      <c r="Q451" s="93">
        <f t="shared" si="700"/>
        <v>1</v>
      </c>
      <c r="R451" s="93">
        <f t="shared" si="700"/>
        <v>1</v>
      </c>
      <c r="S451" s="93">
        <f t="shared" si="700"/>
        <v>1</v>
      </c>
      <c r="T451" s="93">
        <f t="shared" si="700"/>
        <v>1</v>
      </c>
      <c r="U451" s="93">
        <f t="shared" si="700"/>
        <v>1</v>
      </c>
      <c r="V451" s="93">
        <f t="shared" si="700"/>
        <v>1</v>
      </c>
      <c r="W451" s="93">
        <f t="shared" si="700"/>
        <v>1</v>
      </c>
      <c r="X451" s="93">
        <f>IF(X450=0,1,X450)</f>
        <v>1</v>
      </c>
      <c r="Y451" s="285" t="s">
        <v>40</v>
      </c>
      <c r="Z451" s="107"/>
      <c r="AA451" s="93">
        <f>IF(AA450=0,1,AA450)</f>
        <v>1</v>
      </c>
      <c r="AB451" s="93">
        <f t="shared" ref="AB451:AI451" si="701">IF(AB450=0,1,AB450)</f>
        <v>1</v>
      </c>
      <c r="AC451" s="93">
        <f t="shared" si="701"/>
        <v>1</v>
      </c>
      <c r="AD451" s="93">
        <f t="shared" si="701"/>
        <v>1</v>
      </c>
      <c r="AE451" s="93">
        <f t="shared" si="701"/>
        <v>1</v>
      </c>
      <c r="AF451" s="93">
        <f t="shared" si="701"/>
        <v>1</v>
      </c>
      <c r="AG451" s="93">
        <f t="shared" si="701"/>
        <v>1</v>
      </c>
      <c r="AH451" s="93">
        <f t="shared" si="701"/>
        <v>1</v>
      </c>
      <c r="AI451" s="93">
        <f t="shared" si="701"/>
        <v>1</v>
      </c>
      <c r="AJ451" s="93">
        <f>IF(AJ450=0,1,AJ450)</f>
        <v>1</v>
      </c>
      <c r="AK451" s="285" t="s">
        <v>40</v>
      </c>
      <c r="AL451" s="107"/>
      <c r="AM451" s="93">
        <f>IF(AM450=0,1,AM450)</f>
        <v>1</v>
      </c>
      <c r="AN451" s="93">
        <f t="shared" ref="AN451:AU451" si="702">IF(AN450=0,1,AN450)</f>
        <v>1</v>
      </c>
      <c r="AO451" s="93">
        <f t="shared" si="702"/>
        <v>1</v>
      </c>
      <c r="AP451" s="93">
        <f t="shared" si="702"/>
        <v>1</v>
      </c>
      <c r="AQ451" s="93">
        <f t="shared" si="702"/>
        <v>1</v>
      </c>
      <c r="AR451" s="93">
        <f t="shared" si="702"/>
        <v>1</v>
      </c>
      <c r="AS451" s="93">
        <f t="shared" si="702"/>
        <v>1</v>
      </c>
      <c r="AT451" s="93">
        <f t="shared" si="702"/>
        <v>1</v>
      </c>
      <c r="AU451" s="93">
        <f t="shared" si="702"/>
        <v>1</v>
      </c>
      <c r="AV451" s="93">
        <f>IF(AV450=0,1,AV450)</f>
        <v>1</v>
      </c>
      <c r="AW451" s="285" t="s">
        <v>40</v>
      </c>
      <c r="AX451" s="107"/>
      <c r="AY451" s="93">
        <f>IF(AY450=0,1,AY450)</f>
        <v>1</v>
      </c>
      <c r="AZ451" s="93">
        <f t="shared" ref="AZ451:BG451" si="703">IF(AZ450=0,1,AZ450)</f>
        <v>1</v>
      </c>
      <c r="BA451" s="93">
        <f t="shared" si="703"/>
        <v>1</v>
      </c>
      <c r="BB451" s="93">
        <f t="shared" si="703"/>
        <v>1</v>
      </c>
      <c r="BC451" s="93">
        <f t="shared" si="703"/>
        <v>1</v>
      </c>
      <c r="BD451" s="93">
        <f t="shared" si="703"/>
        <v>1</v>
      </c>
      <c r="BE451" s="93">
        <f t="shared" si="703"/>
        <v>1</v>
      </c>
      <c r="BF451" s="93">
        <f t="shared" si="703"/>
        <v>1</v>
      </c>
      <c r="BG451" s="93">
        <f t="shared" si="703"/>
        <v>1</v>
      </c>
      <c r="BH451" s="93">
        <f>IF(BH450=0,1,BH450)</f>
        <v>1</v>
      </c>
      <c r="BI451" s="285" t="s">
        <v>40</v>
      </c>
      <c r="BJ451" s="107"/>
      <c r="BK451" s="93">
        <f>IF(BK450=0,1,BK450)</f>
        <v>1</v>
      </c>
      <c r="BL451" s="93">
        <f t="shared" ref="BL451:BS451" si="704">IF(BL450=0,1,BL450)</f>
        <v>1</v>
      </c>
      <c r="BM451" s="93">
        <f t="shared" si="704"/>
        <v>1</v>
      </c>
      <c r="BN451" s="93">
        <f t="shared" si="704"/>
        <v>1</v>
      </c>
      <c r="BO451" s="93">
        <f t="shared" si="704"/>
        <v>1</v>
      </c>
      <c r="BP451" s="93">
        <f t="shared" si="704"/>
        <v>1</v>
      </c>
      <c r="BQ451" s="93">
        <f t="shared" si="704"/>
        <v>1</v>
      </c>
      <c r="BR451" s="93">
        <f t="shared" si="704"/>
        <v>1</v>
      </c>
      <c r="BS451" s="93">
        <f t="shared" si="704"/>
        <v>1</v>
      </c>
      <c r="BT451" s="93">
        <f>IF(BT450=0,1,BT450)</f>
        <v>1</v>
      </c>
      <c r="BU451" s="285" t="s">
        <v>40</v>
      </c>
      <c r="BV451" s="107"/>
      <c r="BW451" s="93">
        <f>IF(BW450=0,1,BW450)</f>
        <v>1</v>
      </c>
      <c r="BX451" s="93">
        <f t="shared" ref="BX451:CE451" si="705">IF(BX450=0,1,BX450)</f>
        <v>1</v>
      </c>
      <c r="BY451" s="93">
        <f t="shared" si="705"/>
        <v>1</v>
      </c>
      <c r="BZ451" s="93">
        <f t="shared" si="705"/>
        <v>1</v>
      </c>
      <c r="CA451" s="93">
        <f t="shared" si="705"/>
        <v>1</v>
      </c>
      <c r="CB451" s="93">
        <f t="shared" si="705"/>
        <v>1</v>
      </c>
      <c r="CC451" s="93">
        <f t="shared" si="705"/>
        <v>1</v>
      </c>
      <c r="CD451" s="93">
        <f t="shared" si="705"/>
        <v>1</v>
      </c>
      <c r="CE451" s="93">
        <f t="shared" si="705"/>
        <v>1</v>
      </c>
      <c r="CF451" s="93">
        <f>IF(CF450=0,1,CF450)</f>
        <v>1</v>
      </c>
      <c r="CG451" s="285" t="s">
        <v>40</v>
      </c>
      <c r="CH451" s="107"/>
      <c r="CI451" s="93">
        <f>IF(CI450=0,1,CI450)</f>
        <v>1</v>
      </c>
      <c r="CJ451" s="93">
        <f t="shared" ref="CJ451:CQ451" si="706">IF(CJ450=0,1,CJ450)</f>
        <v>1</v>
      </c>
      <c r="CK451" s="93">
        <f t="shared" si="706"/>
        <v>1</v>
      </c>
      <c r="CL451" s="93">
        <f t="shared" si="706"/>
        <v>1</v>
      </c>
      <c r="CM451" s="93">
        <f t="shared" si="706"/>
        <v>1</v>
      </c>
      <c r="CN451" s="93">
        <f t="shared" si="706"/>
        <v>1</v>
      </c>
      <c r="CO451" s="93">
        <f t="shared" si="706"/>
        <v>1</v>
      </c>
      <c r="CP451" s="93">
        <f t="shared" si="706"/>
        <v>1</v>
      </c>
      <c r="CQ451" s="93">
        <f t="shared" si="706"/>
        <v>1</v>
      </c>
      <c r="CR451" s="93">
        <f>IF(CR450=0,1,CR450)</f>
        <v>1</v>
      </c>
      <c r="CS451" s="285" t="s">
        <v>40</v>
      </c>
      <c r="CT451" s="107"/>
      <c r="CU451" s="93">
        <f>IF(CU450=0,1,CU450)</f>
        <v>1</v>
      </c>
      <c r="CV451" s="93">
        <f t="shared" ref="CV451:DC451" si="707">IF(CV450=0,1,CV450)</f>
        <v>1</v>
      </c>
      <c r="CW451" s="93">
        <f t="shared" si="707"/>
        <v>1</v>
      </c>
      <c r="CX451" s="93">
        <f t="shared" si="707"/>
        <v>1</v>
      </c>
      <c r="CY451" s="93">
        <f t="shared" si="707"/>
        <v>1</v>
      </c>
      <c r="CZ451" s="93">
        <f t="shared" si="707"/>
        <v>1</v>
      </c>
      <c r="DA451" s="93">
        <f t="shared" si="707"/>
        <v>1</v>
      </c>
      <c r="DB451" s="93">
        <f t="shared" si="707"/>
        <v>1</v>
      </c>
      <c r="DC451" s="93">
        <f t="shared" si="707"/>
        <v>1</v>
      </c>
      <c r="DD451" s="93">
        <f>IF(DD450=0,1,DD450)</f>
        <v>1</v>
      </c>
      <c r="DE451" s="285" t="s">
        <v>40</v>
      </c>
      <c r="DF451" s="107"/>
      <c r="DG451" s="93">
        <f>IF(DG450=0,1,DG450)</f>
        <v>1</v>
      </c>
      <c r="DH451" s="93">
        <f t="shared" ref="DH451:DO451" si="708">IF(DH450=0,1,DH450)</f>
        <v>1</v>
      </c>
      <c r="DI451" s="93">
        <f t="shared" si="708"/>
        <v>1</v>
      </c>
      <c r="DJ451" s="93">
        <f t="shared" si="708"/>
        <v>1</v>
      </c>
      <c r="DK451" s="93">
        <f t="shared" si="708"/>
        <v>1</v>
      </c>
      <c r="DL451" s="93">
        <f t="shared" si="708"/>
        <v>1</v>
      </c>
      <c r="DM451" s="93">
        <f t="shared" si="708"/>
        <v>1</v>
      </c>
      <c r="DN451" s="93">
        <f t="shared" si="708"/>
        <v>1</v>
      </c>
      <c r="DO451" s="93">
        <f t="shared" si="708"/>
        <v>1</v>
      </c>
      <c r="DP451" s="93">
        <f>IF(DP450=0,1,DP450)</f>
        <v>1</v>
      </c>
    </row>
    <row r="452" spans="1:120" ht="15.75" thickBot="1" x14ac:dyDescent="0.3">
      <c r="A452" s="111" t="s">
        <v>39</v>
      </c>
      <c r="B452" s="115"/>
      <c r="C452" s="113">
        <f>PRODUCT(C451:L451)</f>
        <v>1.443211663834947</v>
      </c>
      <c r="D452" s="113">
        <f>PRODUCT(D451:L451)</f>
        <v>1.1171719252965309</v>
      </c>
      <c r="E452" s="113">
        <f>PRODUCT(E451:L451)</f>
        <v>1.0715331539100375</v>
      </c>
      <c r="F452" s="113">
        <f>PRODUCT(F451:L451)</f>
        <v>1.0461327228663218</v>
      </c>
      <c r="G452" s="113">
        <f>PRODUCT(G451:L451)</f>
        <v>1.0303922999528241</v>
      </c>
      <c r="H452" s="113">
        <f>PRODUCT(H451:L451)</f>
        <v>1.0195741215144878</v>
      </c>
      <c r="I452" s="113">
        <f>PRODUCT(I451:L451)</f>
        <v>1.0119523246241755</v>
      </c>
      <c r="J452" s="113">
        <f>PRODUCT(J451:L451)</f>
        <v>1.006520481765216</v>
      </c>
      <c r="K452" s="113">
        <f>PRODUCT(K451:L451)</f>
        <v>1.0023219814241486</v>
      </c>
      <c r="L452" s="114">
        <f>PRODUCT(L451:L451)</f>
        <v>1</v>
      </c>
      <c r="M452" s="111" t="s">
        <v>39</v>
      </c>
      <c r="N452" s="115"/>
      <c r="O452" s="113">
        <f>PRODUCT(O451:X451)</f>
        <v>1</v>
      </c>
      <c r="P452" s="113">
        <f>PRODUCT(P451:X451)</f>
        <v>1</v>
      </c>
      <c r="Q452" s="113">
        <f>PRODUCT(Q451:X451)</f>
        <v>1</v>
      </c>
      <c r="R452" s="113">
        <f>PRODUCT(R451:X451)</f>
        <v>1</v>
      </c>
      <c r="S452" s="113">
        <f>PRODUCT(S451:X451)</f>
        <v>1</v>
      </c>
      <c r="T452" s="113">
        <f>PRODUCT(T451:X451)</f>
        <v>1</v>
      </c>
      <c r="U452" s="113">
        <f>PRODUCT(U451:X451)</f>
        <v>1</v>
      </c>
      <c r="V452" s="113">
        <f>PRODUCT(V451:X451)</f>
        <v>1</v>
      </c>
      <c r="W452" s="113">
        <f>PRODUCT(W451:X451)</f>
        <v>1</v>
      </c>
      <c r="X452" s="114">
        <f>PRODUCT(X451:X451)</f>
        <v>1</v>
      </c>
      <c r="Y452" s="111" t="s">
        <v>39</v>
      </c>
      <c r="Z452" s="115"/>
      <c r="AA452" s="113">
        <f>PRODUCT(AA451:AJ451)</f>
        <v>1</v>
      </c>
      <c r="AB452" s="113">
        <f>PRODUCT(AB451:AJ451)</f>
        <v>1</v>
      </c>
      <c r="AC452" s="113">
        <f>PRODUCT(AC451:AJ451)</f>
        <v>1</v>
      </c>
      <c r="AD452" s="113">
        <f>PRODUCT(AD451:AJ451)</f>
        <v>1</v>
      </c>
      <c r="AE452" s="113">
        <f>PRODUCT(AE451:AJ451)</f>
        <v>1</v>
      </c>
      <c r="AF452" s="113">
        <f>PRODUCT(AF451:AJ451)</f>
        <v>1</v>
      </c>
      <c r="AG452" s="113">
        <f>PRODUCT(AG451:AJ451)</f>
        <v>1</v>
      </c>
      <c r="AH452" s="113">
        <f>PRODUCT(AH451:AJ451)</f>
        <v>1</v>
      </c>
      <c r="AI452" s="113">
        <f>PRODUCT(AI451:AJ451)</f>
        <v>1</v>
      </c>
      <c r="AJ452" s="114">
        <f>PRODUCT(AJ451:AJ451)</f>
        <v>1</v>
      </c>
      <c r="AK452" s="111" t="s">
        <v>39</v>
      </c>
      <c r="AL452" s="115"/>
      <c r="AM452" s="113">
        <f>PRODUCT(AM451:AV451)</f>
        <v>1</v>
      </c>
      <c r="AN452" s="113">
        <f>PRODUCT(AN451:AV451)</f>
        <v>1</v>
      </c>
      <c r="AO452" s="113">
        <f>PRODUCT(AO451:AV451)</f>
        <v>1</v>
      </c>
      <c r="AP452" s="113">
        <f>PRODUCT(AP451:AV451)</f>
        <v>1</v>
      </c>
      <c r="AQ452" s="113">
        <f>PRODUCT(AQ451:AV451)</f>
        <v>1</v>
      </c>
      <c r="AR452" s="113">
        <f>PRODUCT(AR451:AV451)</f>
        <v>1</v>
      </c>
      <c r="AS452" s="113">
        <f>PRODUCT(AS451:AV451)</f>
        <v>1</v>
      </c>
      <c r="AT452" s="113">
        <f>PRODUCT(AT451:AV451)</f>
        <v>1</v>
      </c>
      <c r="AU452" s="113">
        <f>PRODUCT(AU451:AV451)</f>
        <v>1</v>
      </c>
      <c r="AV452" s="114">
        <f>PRODUCT(AV451:AV451)</f>
        <v>1</v>
      </c>
      <c r="AW452" s="111" t="s">
        <v>39</v>
      </c>
      <c r="AX452" s="115"/>
      <c r="AY452" s="113">
        <f>PRODUCT(AY451:BH451)</f>
        <v>1</v>
      </c>
      <c r="AZ452" s="113">
        <f>PRODUCT(AZ451:BH451)</f>
        <v>1</v>
      </c>
      <c r="BA452" s="113">
        <f>PRODUCT(BA451:BH451)</f>
        <v>1</v>
      </c>
      <c r="BB452" s="113">
        <f>PRODUCT(BB451:BH451)</f>
        <v>1</v>
      </c>
      <c r="BC452" s="113">
        <f>PRODUCT(BC451:BH451)</f>
        <v>1</v>
      </c>
      <c r="BD452" s="113">
        <f>PRODUCT(BD451:BH451)</f>
        <v>1</v>
      </c>
      <c r="BE452" s="113">
        <f>PRODUCT(BE451:BH451)</f>
        <v>1</v>
      </c>
      <c r="BF452" s="113">
        <f>PRODUCT(BF451:BH451)</f>
        <v>1</v>
      </c>
      <c r="BG452" s="113">
        <f>PRODUCT(BG451:BH451)</f>
        <v>1</v>
      </c>
      <c r="BH452" s="114">
        <f>PRODUCT(BH451:BH451)</f>
        <v>1</v>
      </c>
      <c r="BI452" s="111" t="s">
        <v>39</v>
      </c>
      <c r="BJ452" s="115"/>
      <c r="BK452" s="113">
        <f>PRODUCT(BK451:BT451)</f>
        <v>1</v>
      </c>
      <c r="BL452" s="113">
        <f>PRODUCT(BL451:BT451)</f>
        <v>1</v>
      </c>
      <c r="BM452" s="113">
        <f>PRODUCT(BM451:BT451)</f>
        <v>1</v>
      </c>
      <c r="BN452" s="113">
        <f>PRODUCT(BN451:BT451)</f>
        <v>1</v>
      </c>
      <c r="BO452" s="113">
        <f>PRODUCT(BO451:BT451)</f>
        <v>1</v>
      </c>
      <c r="BP452" s="113">
        <f>PRODUCT(BP451:BT451)</f>
        <v>1</v>
      </c>
      <c r="BQ452" s="113">
        <f>PRODUCT(BQ451:BT451)</f>
        <v>1</v>
      </c>
      <c r="BR452" s="113">
        <f>PRODUCT(BR451:BT451)</f>
        <v>1</v>
      </c>
      <c r="BS452" s="113">
        <f>PRODUCT(BS451:BT451)</f>
        <v>1</v>
      </c>
      <c r="BT452" s="114">
        <f>PRODUCT(BT451:BT451)</f>
        <v>1</v>
      </c>
      <c r="BU452" s="111" t="s">
        <v>39</v>
      </c>
      <c r="BV452" s="115"/>
      <c r="BW452" s="113">
        <f>PRODUCT(BW451:CF451)</f>
        <v>1</v>
      </c>
      <c r="BX452" s="113">
        <f>PRODUCT(BX451:CF451)</f>
        <v>1</v>
      </c>
      <c r="BY452" s="113">
        <f>PRODUCT(BY451:CF451)</f>
        <v>1</v>
      </c>
      <c r="BZ452" s="113">
        <f>PRODUCT(BZ451:CF451)</f>
        <v>1</v>
      </c>
      <c r="CA452" s="113">
        <f>PRODUCT(CA451:CF451)</f>
        <v>1</v>
      </c>
      <c r="CB452" s="113">
        <f>PRODUCT(CB451:CF451)</f>
        <v>1</v>
      </c>
      <c r="CC452" s="113">
        <f>PRODUCT(CC451:CF451)</f>
        <v>1</v>
      </c>
      <c r="CD452" s="113">
        <f>PRODUCT(CD451:CF451)</f>
        <v>1</v>
      </c>
      <c r="CE452" s="113">
        <f>PRODUCT(CE451:CF451)</f>
        <v>1</v>
      </c>
      <c r="CF452" s="114">
        <f>PRODUCT(CF451:CF451)</f>
        <v>1</v>
      </c>
      <c r="CG452" s="111" t="s">
        <v>39</v>
      </c>
      <c r="CH452" s="115"/>
      <c r="CI452" s="113">
        <f>PRODUCT(CI451:CR451)</f>
        <v>1</v>
      </c>
      <c r="CJ452" s="113">
        <f>PRODUCT(CJ451:CR451)</f>
        <v>1</v>
      </c>
      <c r="CK452" s="113">
        <f>PRODUCT(CK451:CR451)</f>
        <v>1</v>
      </c>
      <c r="CL452" s="113">
        <f>PRODUCT(CL451:CR451)</f>
        <v>1</v>
      </c>
      <c r="CM452" s="113">
        <f>PRODUCT(CM451:CR451)</f>
        <v>1</v>
      </c>
      <c r="CN452" s="113">
        <f>PRODUCT(CN451:CR451)</f>
        <v>1</v>
      </c>
      <c r="CO452" s="113">
        <f>PRODUCT(CO451:CR451)</f>
        <v>1</v>
      </c>
      <c r="CP452" s="113">
        <f>PRODUCT(CP451:CR451)</f>
        <v>1</v>
      </c>
      <c r="CQ452" s="113">
        <f>PRODUCT(CQ451:CR451)</f>
        <v>1</v>
      </c>
      <c r="CR452" s="114">
        <f>PRODUCT(CR451:CR451)</f>
        <v>1</v>
      </c>
      <c r="CS452" s="111" t="s">
        <v>39</v>
      </c>
      <c r="CT452" s="115"/>
      <c r="CU452" s="113">
        <f>PRODUCT(CU451:DD451)</f>
        <v>1</v>
      </c>
      <c r="CV452" s="113">
        <f>PRODUCT(CV451:DD451)</f>
        <v>1</v>
      </c>
      <c r="CW452" s="113">
        <f>PRODUCT(CW451:DD451)</f>
        <v>1</v>
      </c>
      <c r="CX452" s="113">
        <f>PRODUCT(CX451:DD451)</f>
        <v>1</v>
      </c>
      <c r="CY452" s="113">
        <f>PRODUCT(CY451:DD451)</f>
        <v>1</v>
      </c>
      <c r="CZ452" s="113">
        <f>PRODUCT(CZ451:DD451)</f>
        <v>1</v>
      </c>
      <c r="DA452" s="113">
        <f>PRODUCT(DA451:DD451)</f>
        <v>1</v>
      </c>
      <c r="DB452" s="113">
        <f>PRODUCT(DB451:DD451)</f>
        <v>1</v>
      </c>
      <c r="DC452" s="113">
        <f>PRODUCT(DC451:DD451)</f>
        <v>1</v>
      </c>
      <c r="DD452" s="114">
        <f>PRODUCT(DD451:DD451)</f>
        <v>1</v>
      </c>
      <c r="DE452" s="111" t="s">
        <v>39</v>
      </c>
      <c r="DF452" s="115"/>
      <c r="DG452" s="113">
        <f>PRODUCT(DG451:DP451)</f>
        <v>1</v>
      </c>
      <c r="DH452" s="113">
        <f>PRODUCT(DH451:DP451)</f>
        <v>1</v>
      </c>
      <c r="DI452" s="113">
        <f>PRODUCT(DI451:DP451)</f>
        <v>1</v>
      </c>
      <c r="DJ452" s="113">
        <f>PRODUCT(DJ451:DP451)</f>
        <v>1</v>
      </c>
      <c r="DK452" s="113">
        <f>PRODUCT(DK451:DP451)</f>
        <v>1</v>
      </c>
      <c r="DL452" s="113">
        <f>PRODUCT(DL451:DP451)</f>
        <v>1</v>
      </c>
      <c r="DM452" s="113">
        <f>PRODUCT(DM451:DP451)</f>
        <v>1</v>
      </c>
      <c r="DN452" s="113">
        <f>PRODUCT(DN451:DP451)</f>
        <v>1</v>
      </c>
      <c r="DO452" s="113">
        <f>PRODUCT(DO451:DP451)</f>
        <v>1</v>
      </c>
      <c r="DP452" s="114">
        <f>PRODUCT(DP451:DP451)</f>
        <v>1</v>
      </c>
    </row>
    <row r="453" spans="1:120" x14ac:dyDescent="0.25">
      <c r="A453" s="95" t="s">
        <v>208</v>
      </c>
      <c r="B453" s="106"/>
      <c r="C453" s="99">
        <f>C452*C436</f>
        <v>2418.8227485873713</v>
      </c>
      <c r="D453" s="99">
        <f>D452*D435</f>
        <v>2553.8550212278697</v>
      </c>
      <c r="E453" s="99">
        <f>E452*E434</f>
        <v>2507.3875801494878</v>
      </c>
      <c r="F453" s="99">
        <f>F452*F433</f>
        <v>2410.2897934840053</v>
      </c>
      <c r="G453" s="99">
        <f>G452*G432</f>
        <v>2433.7866124885704</v>
      </c>
      <c r="H453" s="99">
        <f>H452*H431</f>
        <v>2522.4263766268427</v>
      </c>
      <c r="I453" s="99">
        <f>I452*I430</f>
        <v>2173.673593292729</v>
      </c>
      <c r="J453" s="99">
        <f>J452*J429</f>
        <v>2021.0931273845538</v>
      </c>
      <c r="K453" s="99">
        <f>K452*K428</f>
        <v>2309.3498452012386</v>
      </c>
      <c r="L453" s="99">
        <f>L452*L427</f>
        <v>1295</v>
      </c>
      <c r="M453" s="95" t="s">
        <v>208</v>
      </c>
      <c r="N453" s="106"/>
      <c r="O453" s="99">
        <f>O452*O436</f>
        <v>0</v>
      </c>
      <c r="P453" s="99">
        <f>P452*P435</f>
        <v>0</v>
      </c>
      <c r="Q453" s="99">
        <f>Q452*Q434</f>
        <v>0</v>
      </c>
      <c r="R453" s="99">
        <f>R452*R433</f>
        <v>0</v>
      </c>
      <c r="S453" s="99">
        <f>S452*S432</f>
        <v>0</v>
      </c>
      <c r="T453" s="99">
        <f>T452*T431</f>
        <v>0</v>
      </c>
      <c r="U453" s="99">
        <f>U452*U430</f>
        <v>0</v>
      </c>
      <c r="V453" s="99">
        <f>V452*V429</f>
        <v>0</v>
      </c>
      <c r="W453" s="99">
        <f>W452*W428</f>
        <v>0</v>
      </c>
      <c r="X453" s="99">
        <f>X452*X427</f>
        <v>0</v>
      </c>
      <c r="Y453" s="95" t="s">
        <v>208</v>
      </c>
      <c r="Z453" s="106"/>
      <c r="AA453" s="99">
        <f>AA452*AA436</f>
        <v>0</v>
      </c>
      <c r="AB453" s="99">
        <f>AB452*AB435</f>
        <v>0</v>
      </c>
      <c r="AC453" s="99">
        <f>AC452*AC434</f>
        <v>0</v>
      </c>
      <c r="AD453" s="99">
        <f>AD452*AD433</f>
        <v>0</v>
      </c>
      <c r="AE453" s="99">
        <f>AE452*AE432</f>
        <v>0</v>
      </c>
      <c r="AF453" s="99">
        <f>AF452*AF431</f>
        <v>0</v>
      </c>
      <c r="AG453" s="99">
        <f>AG452*AG430</f>
        <v>0</v>
      </c>
      <c r="AH453" s="99">
        <f>AH452*AH429</f>
        <v>0</v>
      </c>
      <c r="AI453" s="99">
        <f>AI452*AI428</f>
        <v>0</v>
      </c>
      <c r="AJ453" s="99">
        <f>AJ452*AJ427</f>
        <v>0</v>
      </c>
      <c r="AK453" s="95" t="s">
        <v>208</v>
      </c>
      <c r="AL453" s="106"/>
      <c r="AM453" s="99">
        <f>AM452*AM436</f>
        <v>0</v>
      </c>
      <c r="AN453" s="99">
        <f>AN452*AN435</f>
        <v>0</v>
      </c>
      <c r="AO453" s="99">
        <f>AO452*AO434</f>
        <v>0</v>
      </c>
      <c r="AP453" s="99">
        <f>AP452*AP433</f>
        <v>0</v>
      </c>
      <c r="AQ453" s="99">
        <f>AQ452*AQ432</f>
        <v>0</v>
      </c>
      <c r="AR453" s="99">
        <f>AR452*AR431</f>
        <v>0</v>
      </c>
      <c r="AS453" s="99">
        <f>AS452*AS430</f>
        <v>0</v>
      </c>
      <c r="AT453" s="99">
        <f>AT452*AT429</f>
        <v>0</v>
      </c>
      <c r="AU453" s="99">
        <f>AU452*AU428</f>
        <v>0</v>
      </c>
      <c r="AV453" s="99">
        <f>AV452*AV427</f>
        <v>0</v>
      </c>
      <c r="AW453" s="95" t="s">
        <v>208</v>
      </c>
      <c r="AX453" s="106"/>
      <c r="AY453" s="99">
        <f>AY452*AY436</f>
        <v>0</v>
      </c>
      <c r="AZ453" s="99">
        <f>AZ452*AZ435</f>
        <v>0</v>
      </c>
      <c r="BA453" s="99">
        <f>BA452*BA434</f>
        <v>0</v>
      </c>
      <c r="BB453" s="99">
        <f>BB452*BB433</f>
        <v>0</v>
      </c>
      <c r="BC453" s="99">
        <f>BC452*BC432</f>
        <v>0</v>
      </c>
      <c r="BD453" s="99">
        <f>BD452*BD431</f>
        <v>0</v>
      </c>
      <c r="BE453" s="99">
        <f>BE452*BE430</f>
        <v>0</v>
      </c>
      <c r="BF453" s="99">
        <f>BF452*BF429</f>
        <v>0</v>
      </c>
      <c r="BG453" s="99">
        <f>BG452*BG428</f>
        <v>0</v>
      </c>
      <c r="BH453" s="99">
        <f>BH452*BH427</f>
        <v>0</v>
      </c>
      <c r="BI453" s="95" t="s">
        <v>208</v>
      </c>
      <c r="BJ453" s="106"/>
      <c r="BK453" s="99">
        <f>BK452*BK436</f>
        <v>0</v>
      </c>
      <c r="BL453" s="99">
        <f>BL452*BL435</f>
        <v>0</v>
      </c>
      <c r="BM453" s="99">
        <f>BM452*BM434</f>
        <v>0</v>
      </c>
      <c r="BN453" s="99">
        <f>BN452*BN433</f>
        <v>0</v>
      </c>
      <c r="BO453" s="99">
        <f>BO452*BO432</f>
        <v>0</v>
      </c>
      <c r="BP453" s="99">
        <f>BP452*BP431</f>
        <v>0</v>
      </c>
      <c r="BQ453" s="99">
        <f>BQ452*BQ430</f>
        <v>0</v>
      </c>
      <c r="BR453" s="99">
        <f>BR452*BR429</f>
        <v>0</v>
      </c>
      <c r="BS453" s="99">
        <f>BS452*BS428</f>
        <v>0</v>
      </c>
      <c r="BT453" s="99">
        <f>BT452*BT427</f>
        <v>0</v>
      </c>
      <c r="BU453" s="95" t="s">
        <v>208</v>
      </c>
      <c r="BV453" s="106"/>
      <c r="BW453" s="99">
        <f>BW452*BW436</f>
        <v>0</v>
      </c>
      <c r="BX453" s="99">
        <f>BX452*BX435</f>
        <v>0</v>
      </c>
      <c r="BY453" s="99">
        <f>BY452*BY434</f>
        <v>0</v>
      </c>
      <c r="BZ453" s="99">
        <f>BZ452*BZ433</f>
        <v>0</v>
      </c>
      <c r="CA453" s="99">
        <f>CA452*CA432</f>
        <v>0</v>
      </c>
      <c r="CB453" s="99">
        <f>CB452*CB431</f>
        <v>0</v>
      </c>
      <c r="CC453" s="99">
        <f>CC452*CC430</f>
        <v>0</v>
      </c>
      <c r="CD453" s="99">
        <f>CD452*CD429</f>
        <v>0</v>
      </c>
      <c r="CE453" s="99">
        <f>CE452*CE428</f>
        <v>0</v>
      </c>
      <c r="CF453" s="99">
        <f>CF452*CF427</f>
        <v>0</v>
      </c>
      <c r="CG453" s="95" t="s">
        <v>208</v>
      </c>
      <c r="CH453" s="106"/>
      <c r="CI453" s="99">
        <f>CI452*CI436</f>
        <v>0</v>
      </c>
      <c r="CJ453" s="99">
        <f>CJ452*CJ435</f>
        <v>0</v>
      </c>
      <c r="CK453" s="99">
        <f>CK452*CK434</f>
        <v>0</v>
      </c>
      <c r="CL453" s="99">
        <f>CL452*CL433</f>
        <v>0</v>
      </c>
      <c r="CM453" s="99">
        <f>CM452*CM432</f>
        <v>0</v>
      </c>
      <c r="CN453" s="99">
        <f>CN452*CN431</f>
        <v>0</v>
      </c>
      <c r="CO453" s="99">
        <f>CO452*CO430</f>
        <v>0</v>
      </c>
      <c r="CP453" s="99">
        <f>CP452*CP429</f>
        <v>0</v>
      </c>
      <c r="CQ453" s="99">
        <f>CQ452*CQ428</f>
        <v>0</v>
      </c>
      <c r="CR453" s="99">
        <f>CR452*CR427</f>
        <v>0</v>
      </c>
      <c r="CS453" s="95" t="s">
        <v>208</v>
      </c>
      <c r="CT453" s="106"/>
      <c r="CU453" s="99">
        <f>CU452*CU436</f>
        <v>0</v>
      </c>
      <c r="CV453" s="99">
        <f>CV452*CV435</f>
        <v>0</v>
      </c>
      <c r="CW453" s="99">
        <f>CW452*CW434</f>
        <v>0</v>
      </c>
      <c r="CX453" s="99">
        <f>CX452*CX433</f>
        <v>0</v>
      </c>
      <c r="CY453" s="99">
        <f>CY452*CY432</f>
        <v>0</v>
      </c>
      <c r="CZ453" s="99">
        <f>CZ452*CZ431</f>
        <v>0</v>
      </c>
      <c r="DA453" s="99">
        <f>DA452*DA430</f>
        <v>0</v>
      </c>
      <c r="DB453" s="99">
        <f>DB452*DB429</f>
        <v>0</v>
      </c>
      <c r="DC453" s="99">
        <f>DC452*DC428</f>
        <v>0</v>
      </c>
      <c r="DD453" s="99">
        <f>DD452*DD427</f>
        <v>0</v>
      </c>
      <c r="DE453" s="95" t="s">
        <v>208</v>
      </c>
      <c r="DF453" s="106"/>
      <c r="DG453" s="99">
        <f>DG452*DG436</f>
        <v>0</v>
      </c>
      <c r="DH453" s="99">
        <f>DH452*DH435</f>
        <v>0</v>
      </c>
      <c r="DI453" s="99">
        <f>DI452*DI434</f>
        <v>0</v>
      </c>
      <c r="DJ453" s="99">
        <f>DJ452*DJ433</f>
        <v>0</v>
      </c>
      <c r="DK453" s="99">
        <f>DK452*DK432</f>
        <v>0</v>
      </c>
      <c r="DL453" s="99">
        <f>DL452*DL431</f>
        <v>0</v>
      </c>
      <c r="DM453" s="99">
        <f>DM452*DM430</f>
        <v>0</v>
      </c>
      <c r="DN453" s="99">
        <f>DN452*DN429</f>
        <v>0</v>
      </c>
      <c r="DO453" s="99">
        <f>DO452*DO428</f>
        <v>0</v>
      </c>
      <c r="DP453" s="99">
        <f>DP452*DP427</f>
        <v>0</v>
      </c>
    </row>
    <row r="454" spans="1:120" ht="17.25" x14ac:dyDescent="0.25">
      <c r="A454" s="270"/>
      <c r="M454" s="270"/>
      <c r="Y454" s="270"/>
      <c r="AK454" s="270"/>
      <c r="AW454" s="270"/>
      <c r="BI454" s="270"/>
      <c r="BU454" s="270"/>
      <c r="CG454" s="270"/>
      <c r="CS454" s="270"/>
      <c r="DE454" s="270"/>
    </row>
  </sheetData>
  <sheetProtection algorithmName="SHA-512" hashValue="y2PULwF/eoWoEY/syG7VF0Qmn9pJ56F9Y2E8Yy/CDsncpkO4LRF1phc/eyiP/e5iYUr6EvPg8G0JZY9j3YTsFA==" saltValue="bcgz+4qQcZ588T8bqZlG7w==" spinCount="100000" sheet="1" objects="1" scenarios="1" formatColumns="0" formatRows="0" sort="0"/>
  <mergeCells count="20">
    <mergeCell ref="DH7:DI7"/>
    <mergeCell ref="DH8:DI8"/>
    <mergeCell ref="BX7:BY7"/>
    <mergeCell ref="BX8:BY8"/>
    <mergeCell ref="CJ7:CK7"/>
    <mergeCell ref="CJ8:CK8"/>
    <mergeCell ref="CV7:CW7"/>
    <mergeCell ref="CV8:CW8"/>
    <mergeCell ref="AN7:AO7"/>
    <mergeCell ref="AN8:AO8"/>
    <mergeCell ref="AZ7:BA7"/>
    <mergeCell ref="AZ8:BA8"/>
    <mergeCell ref="BL7:BM7"/>
    <mergeCell ref="BL8:BM8"/>
    <mergeCell ref="D7:E7"/>
    <mergeCell ref="D8:E8"/>
    <mergeCell ref="P7:Q7"/>
    <mergeCell ref="P8:Q8"/>
    <mergeCell ref="AB7:AC7"/>
    <mergeCell ref="AB8:AC8"/>
  </mergeCells>
  <conditionalFormatting sqref="D8:E8">
    <cfRule type="expression" dxfId="19" priority="19">
      <formula>IF(OR(D7="Paid - Loss &amp; DCCE",D7="Incurred - Loss &amp; DCCE"),TRUE,FALSE)</formula>
    </cfRule>
  </conditionalFormatting>
  <conditionalFormatting sqref="B249:L258">
    <cfRule type="expression" dxfId="18" priority="20">
      <formula>IF(DCCEDevtBasis="No",TRUE,FALSE)</formula>
    </cfRule>
  </conditionalFormatting>
  <conditionalFormatting sqref="P8:Q8">
    <cfRule type="expression" dxfId="17" priority="17">
      <formula>IF(OR(P7="Paid - Loss &amp; DCCE",P7="Incurred - Loss &amp; DCCE"),TRUE,FALSE)</formula>
    </cfRule>
  </conditionalFormatting>
  <conditionalFormatting sqref="N249:X258">
    <cfRule type="expression" dxfId="16" priority="18">
      <formula>IF(DCCEDevtBasis="No",TRUE,FALSE)</formula>
    </cfRule>
  </conditionalFormatting>
  <conditionalFormatting sqref="AB8:AC8">
    <cfRule type="expression" dxfId="15" priority="15">
      <formula>IF(OR(AB7="Paid - Loss &amp; DCCE",AB7="Incurred - Loss &amp; DCCE"),TRUE,FALSE)</formula>
    </cfRule>
  </conditionalFormatting>
  <conditionalFormatting sqref="Z249:AJ258">
    <cfRule type="expression" dxfId="14" priority="16">
      <formula>IF(DCCEDevtBasis="No",TRUE,FALSE)</formula>
    </cfRule>
  </conditionalFormatting>
  <conditionalFormatting sqref="AN8:AO8">
    <cfRule type="expression" dxfId="13" priority="13">
      <formula>IF(OR(AN7="Paid - Loss &amp; DCCE",AN7="Incurred - Loss &amp; DCCE"),TRUE,FALSE)</formula>
    </cfRule>
  </conditionalFormatting>
  <conditionalFormatting sqref="AL249:AV258">
    <cfRule type="expression" dxfId="12" priority="14">
      <formula>IF(DCCEDevtBasis="No",TRUE,FALSE)</formula>
    </cfRule>
  </conditionalFormatting>
  <conditionalFormatting sqref="AZ8:BA8">
    <cfRule type="expression" dxfId="11" priority="11">
      <formula>IF(OR(AZ7="Paid - Loss &amp; DCCE",AZ7="Incurred - Loss &amp; DCCE"),TRUE,FALSE)</formula>
    </cfRule>
  </conditionalFormatting>
  <conditionalFormatting sqref="AX249:BH258">
    <cfRule type="expression" dxfId="10" priority="12">
      <formula>IF(DCCEDevtBasis="No",TRUE,FALSE)</formula>
    </cfRule>
  </conditionalFormatting>
  <conditionalFormatting sqref="BL8:BM8">
    <cfRule type="expression" dxfId="9" priority="9">
      <formula>IF(OR(BL7="Paid - Loss &amp; DCCE",BL7="Incurred - Loss &amp; DCCE"),TRUE,FALSE)</formula>
    </cfRule>
  </conditionalFormatting>
  <conditionalFormatting sqref="BJ249:BT258">
    <cfRule type="expression" dxfId="8" priority="10">
      <formula>IF(DCCEDevtBasis="No",TRUE,FALSE)</formula>
    </cfRule>
  </conditionalFormatting>
  <conditionalFormatting sqref="BX8:BY8">
    <cfRule type="expression" dxfId="7" priority="7">
      <formula>IF(OR(BX7="Paid - Loss &amp; DCCE",BX7="Incurred - Loss &amp; DCCE"),TRUE,FALSE)</formula>
    </cfRule>
  </conditionalFormatting>
  <conditionalFormatting sqref="BV249:CF258">
    <cfRule type="expression" dxfId="6" priority="8">
      <formula>IF(DCCEDevtBasis="No",TRUE,FALSE)</formula>
    </cfRule>
  </conditionalFormatting>
  <conditionalFormatting sqref="CJ8:CK8">
    <cfRule type="expression" dxfId="5" priority="5">
      <formula>IF(OR(CJ7="Paid - Loss &amp; DCCE",CJ7="Incurred - Loss &amp; DCCE"),TRUE,FALSE)</formula>
    </cfRule>
  </conditionalFormatting>
  <conditionalFormatting sqref="CH249:CR258">
    <cfRule type="expression" dxfId="4" priority="6">
      <formula>IF(DCCEDevtBasis="No",TRUE,FALSE)</formula>
    </cfRule>
  </conditionalFormatting>
  <conditionalFormatting sqref="CV8:CW8">
    <cfRule type="expression" dxfId="3" priority="3">
      <formula>IF(OR(CV7="Paid - Loss &amp; DCCE",CV7="Incurred - Loss &amp; DCCE"),TRUE,FALSE)</formula>
    </cfRule>
  </conditionalFormatting>
  <conditionalFormatting sqref="CT249:DD258">
    <cfRule type="expression" dxfId="2" priority="4">
      <formula>IF(DCCEDevtBasis="No",TRUE,FALSE)</formula>
    </cfRule>
  </conditionalFormatting>
  <conditionalFormatting sqref="DH8:DI8">
    <cfRule type="expression" dxfId="1" priority="1">
      <formula>IF(OR(DH7="Paid - Loss &amp; DCCE",DH7="Incurred - Loss &amp; DCCE"),TRUE,FALSE)</formula>
    </cfRule>
  </conditionalFormatting>
  <conditionalFormatting sqref="DF249:DP258">
    <cfRule type="expression" dxfId="0" priority="2">
      <formula>IF(DCCEDevtBasis="No",TRUE,FALSE)</formula>
    </cfRule>
  </conditionalFormatting>
  <dataValidations count="4">
    <dataValidation type="list" allowBlank="1" showInputMessage="1" showErrorMessage="1" sqref="I23 U23 AG23 AS23 BE23 BQ23 CC23 CO23 DA23 DM23" xr:uid="{00000000-0002-0000-0500-000000000000}">
      <formula1>"Ratio,Dollar,NA"</formula1>
    </dataValidation>
    <dataValidation type="list" allowBlank="1" showInputMessage="1" showErrorMessage="1" sqref="D23 P23 AB23 AN23 AZ23 BL23 BX23 CJ23 CV23 DH23" xr:uid="{00000000-0002-0000-0500-000001000000}">
      <formula1>"Paid,Incurred,NA"</formula1>
    </dataValidation>
    <dataValidation type="list" allowBlank="1" showInputMessage="1" showErrorMessage="1" error="Please click on one of the valid selections." sqref="D7:E7 P7:Q7 AB7:AC7 AN7:AO7 AZ7:BA7 BL7:BM7 BX7:BY7 CJ7:CK7 CV7:CW7 DH7:DI7" xr:uid="{00000000-0002-0000-0500-000002000000}">
      <formula1>"Paid - Loss &amp; DCCE,Paid - Pure Loss,Incurred - Loss &amp; DCCE,Incurred - Pure Loss"</formula1>
    </dataValidation>
    <dataValidation type="list" allowBlank="1" showInputMessage="1" showErrorMessage="1" error="Please click on one of the valid selections." sqref="DH8:DI8 BX8:BY8 D8:E8 P8:Q8 AB8:AC8 AN8:AO8 AZ8:BA8 BL8:BM8 CJ8:CK8 CV8:CW8" xr:uid="{00000000-0002-0000-0500-000003000000}">
      <formula1>"Paid - DCCE Dollar,Paid - DCCE (by Ratio),Incurred - DCCE Dollar,Incurred - DCCE (by Ratio),NA"</formula1>
    </dataValidation>
  </dataValidations>
  <hyperlinks>
    <hyperlink ref="A12" location="'3.Exhibit 7 - Annual'!A28" display="Paid - Loss &amp; DCCE" xr:uid="{00000000-0004-0000-0500-000000000000}"/>
    <hyperlink ref="A13" location="'3.Exhibit 7 - Annual'!A63" display="Paid - Pure Loss" xr:uid="{00000000-0004-0000-0500-000001000000}"/>
    <hyperlink ref="A14" location="'3.Exhibit 7 - Annual'!A171" display="Incurred - Loss &amp; DCCE" xr:uid="{00000000-0004-0000-0500-000002000000}"/>
    <hyperlink ref="A15" location="'3.Exhibit 7 - Annual'!A206" display="Incurred - Pure Loss" xr:uid="{00000000-0004-0000-0500-000003000000}"/>
    <hyperlink ref="A17" location="'3.Exhibit 7 - Annual'!A98" display="Paid - DCCE Dollar" xr:uid="{00000000-0004-0000-0500-000004000000}"/>
    <hyperlink ref="A18" location="'3.Exhibit 7 - Annual'!A133" display="Paid - DCCE (by Ratio)" xr:uid="{00000000-0004-0000-0500-000005000000}"/>
    <hyperlink ref="A19" location="'3.Exhibit 7 - Annual'!A241" display="Incurred - DCCE Dollar" xr:uid="{00000000-0004-0000-0500-000006000000}"/>
    <hyperlink ref="A20" location="'3.Exhibit 7 - Annual'!A276" display="Incurred - DCCE (by Ratio)" xr:uid="{00000000-0004-0000-0500-000007000000}"/>
    <hyperlink ref="M12" location="'3.Exhibit 7 - Annual'!M28" display="Paid - Loss &amp; DCCE" xr:uid="{00000000-0004-0000-0500-000008000000}"/>
    <hyperlink ref="M13" location="'3.Exhibit 7 - Annual'!M63" display="Paid - Pure Loss" xr:uid="{00000000-0004-0000-0500-000009000000}"/>
    <hyperlink ref="M14" location="'3.Exhibit 7 - Annual'!M171" display="Incurred - Loss &amp; DCCE" xr:uid="{00000000-0004-0000-0500-00000A000000}"/>
    <hyperlink ref="M15" location="'3.Exhibit 7 - Annual'!M206" display="Incurred - Pure Loss" xr:uid="{00000000-0004-0000-0500-00000B000000}"/>
    <hyperlink ref="M17" location="'3.Exhibit 7 - Annual'!M98" display="Paid - DCCE Dollar" xr:uid="{00000000-0004-0000-0500-00000C000000}"/>
    <hyperlink ref="M18" location="'3.Exhibit 7 - Annual'!M133" display="Paid - DCCE (by Ratio)" xr:uid="{00000000-0004-0000-0500-00000D000000}"/>
    <hyperlink ref="M19" location="'3.Exhibit 7 - Annual'!M241" display="Incurred - DCCE Dollar" xr:uid="{00000000-0004-0000-0500-00000E000000}"/>
    <hyperlink ref="M20" location="'3.Exhibit 7 - Annual'!M276" display="Incurred - DCCE (by Ratio)" xr:uid="{00000000-0004-0000-0500-00000F000000}"/>
    <hyperlink ref="Y12" location="'3.Exhibit 7 - Annual'!Y28" display="Paid - Loss &amp; DCCE" xr:uid="{00000000-0004-0000-0500-000010000000}"/>
    <hyperlink ref="Y13" location="'3.Exhibit 7 - Annual'!Y63" display="Paid - Pure Loss" xr:uid="{00000000-0004-0000-0500-000011000000}"/>
    <hyperlink ref="Y14" location="'3.Exhibit 7 - Annual'!Y171" display="Incurred - Loss &amp; DCCE" xr:uid="{00000000-0004-0000-0500-000012000000}"/>
    <hyperlink ref="Y15" location="'3.Exhibit 7 - Annual'!Y206" display="Incurred - Pure Loss" xr:uid="{00000000-0004-0000-0500-000013000000}"/>
    <hyperlink ref="Y17" location="'3.Exhibit 7 - Annual'!Y98" display="Paid - DCCE Dollar" xr:uid="{00000000-0004-0000-0500-000014000000}"/>
    <hyperlink ref="Y18" location="'3.Exhibit 7 - Annual'!Y133" display="Paid - DCCE (by Ratio)" xr:uid="{00000000-0004-0000-0500-000015000000}"/>
    <hyperlink ref="Y19" location="'3.Exhibit 7 - Annual'!Y241" display="Incurred - DCCE Dollar" xr:uid="{00000000-0004-0000-0500-000016000000}"/>
    <hyperlink ref="Y20" location="'3.Exhibit 7 - Annual'!Y276" display="Incurred - DCCE (by Ratio)" xr:uid="{00000000-0004-0000-0500-000017000000}"/>
    <hyperlink ref="AK12" location="'3.Exhibit 7 - Annual'!AK28" display="Paid - Loss &amp; DCCE" xr:uid="{00000000-0004-0000-0500-000018000000}"/>
    <hyperlink ref="AK13" location="'3.Exhibit 7 - Annual'!AK63" display="Paid - Pure Loss" xr:uid="{00000000-0004-0000-0500-000019000000}"/>
    <hyperlink ref="AK14" location="'3.Exhibit 7 - Annual'!AK171" display="Incurred - Loss &amp; DCCE" xr:uid="{00000000-0004-0000-0500-00001A000000}"/>
    <hyperlink ref="AK15" location="'3.Exhibit 7 - Annual'!AK206" display="Incurred - Pure Loss" xr:uid="{00000000-0004-0000-0500-00001B000000}"/>
    <hyperlink ref="AK17" location="'3.Exhibit 7 - Annual'!AK98" display="Paid - DCCE Dollar" xr:uid="{00000000-0004-0000-0500-00001C000000}"/>
    <hyperlink ref="AK18" location="'3.Exhibit 7 - Annual'!AK133" display="Paid - DCCE (by Ratio)" xr:uid="{00000000-0004-0000-0500-00001D000000}"/>
    <hyperlink ref="AK19" location="'3.Exhibit 7 - Annual'!AK241" display="Incurred - DCCE Dollar" xr:uid="{00000000-0004-0000-0500-00001E000000}"/>
    <hyperlink ref="AK20" location="'3.Exhibit 7 - Annual'!AK276" display="Incurred - DCCE (by Ratio)" xr:uid="{00000000-0004-0000-0500-00001F000000}"/>
    <hyperlink ref="AW12" location="'3.Exhibit 7 - Annual'!AW28" display="Paid - Loss &amp; DCCE" xr:uid="{00000000-0004-0000-0500-000020000000}"/>
    <hyperlink ref="AW13" location="'3.Exhibit 7 - Annual'!AW63" display="Paid - Pure Loss" xr:uid="{00000000-0004-0000-0500-000021000000}"/>
    <hyperlink ref="AW14" location="'3.Exhibit 7 - Annual'!AW171" display="Incurred - Loss &amp; DCCE" xr:uid="{00000000-0004-0000-0500-000022000000}"/>
    <hyperlink ref="AW15" location="'3.Exhibit 7 - Annual'!AW206" display="Incurred - Pure Loss" xr:uid="{00000000-0004-0000-0500-000023000000}"/>
    <hyperlink ref="AW17" location="'3.Exhibit 7 - Annual'!AW98" display="Paid - DCCE Dollar" xr:uid="{00000000-0004-0000-0500-000024000000}"/>
    <hyperlink ref="AW18" location="'3.Exhibit 7 - Annual'!AW133" display="Paid - DCCE (by Ratio)" xr:uid="{00000000-0004-0000-0500-000025000000}"/>
    <hyperlink ref="AW19" location="'3.Exhibit 7 - Annual'!AW241" display="Incurred - DCCE Dollar" xr:uid="{00000000-0004-0000-0500-000026000000}"/>
    <hyperlink ref="AW20" location="'3.Exhibit 7 - Annual'!AW276" display="Incurred - DCCE (by Ratio)" xr:uid="{00000000-0004-0000-0500-000027000000}"/>
    <hyperlink ref="BI12" location="'3.Exhibit 7 - Annual'!BI28" display="Paid - Loss &amp; DCCE" xr:uid="{00000000-0004-0000-0500-000028000000}"/>
    <hyperlink ref="BI13" location="'3.Exhibit 7 - Annual'!BI63" display="Paid - Pure Loss" xr:uid="{00000000-0004-0000-0500-000029000000}"/>
    <hyperlink ref="BI14" location="'3.Exhibit 7 - Annual'!BI171" display="Incurred - Loss &amp; DCCE" xr:uid="{00000000-0004-0000-0500-00002A000000}"/>
    <hyperlink ref="BI15" location="'3.Exhibit 7 - Annual'!BI206" display="Incurred - Pure Loss" xr:uid="{00000000-0004-0000-0500-00002B000000}"/>
    <hyperlink ref="BI17" location="'3.Exhibit 7 - Annual'!BI98" display="Paid - DCCE Dollar" xr:uid="{00000000-0004-0000-0500-00002C000000}"/>
    <hyperlink ref="BI18" location="'3.Exhibit 7 - Annual'!BI133" display="Paid - DCCE (by Ratio)" xr:uid="{00000000-0004-0000-0500-00002D000000}"/>
    <hyperlink ref="BI19" location="'3.Exhibit 7 - Annual'!BI241" display="Incurred - DCCE Dollar" xr:uid="{00000000-0004-0000-0500-00002E000000}"/>
    <hyperlink ref="BI20" location="'3.Exhibit 7 - Annual'!BI276" display="Incurred - DCCE (by Ratio)" xr:uid="{00000000-0004-0000-0500-00002F000000}"/>
    <hyperlink ref="BU12" location="'3.Exhibit 7 - Annual'!BU28" display="Paid - Loss &amp; DCCE" xr:uid="{00000000-0004-0000-0500-000030000000}"/>
    <hyperlink ref="BU13" location="'3.Exhibit 7 - Annual'!BU63" display="Paid - Pure Loss" xr:uid="{00000000-0004-0000-0500-000031000000}"/>
    <hyperlink ref="BU14" location="'3.Exhibit 7 - Annual'!BU171" display="Incurred - Loss &amp; DCCE" xr:uid="{00000000-0004-0000-0500-000032000000}"/>
    <hyperlink ref="BU15" location="'3.Exhibit 7 - Annual'!BU206" display="Incurred - Pure Loss" xr:uid="{00000000-0004-0000-0500-000033000000}"/>
    <hyperlink ref="BU17" location="'3.Exhibit 7 - Annual'!BU98" display="Paid - DCCE Dollar" xr:uid="{00000000-0004-0000-0500-000034000000}"/>
    <hyperlink ref="BU18" location="'3.Exhibit 7 - Annual'!BU133" display="Paid - DCCE (by Ratio)" xr:uid="{00000000-0004-0000-0500-000035000000}"/>
    <hyperlink ref="BU19" location="'3.Exhibit 7 - Annual'!BU241" display="Incurred - DCCE Dollar" xr:uid="{00000000-0004-0000-0500-000036000000}"/>
    <hyperlink ref="BU20" location="'3.Exhibit 7 - Annual'!BU276" display="Incurred - DCCE (by Ratio)" xr:uid="{00000000-0004-0000-0500-000037000000}"/>
    <hyperlink ref="CG12" location="'3.Exhibit 7 - Annual'!CG28" display="Paid - Loss &amp; DCCE" xr:uid="{00000000-0004-0000-0500-000038000000}"/>
    <hyperlink ref="CG13" location="'3.Exhibit 7 - Annual'!CG63" display="Paid - Pure Loss" xr:uid="{00000000-0004-0000-0500-000039000000}"/>
    <hyperlink ref="CG14" location="'3.Exhibit 7 - Annual'!CG171" display="Incurred - Loss &amp; DCCE" xr:uid="{00000000-0004-0000-0500-00003A000000}"/>
    <hyperlink ref="CG15" location="'3.Exhibit 7 - Annual'!CG206" display="Incurred - Pure Loss" xr:uid="{00000000-0004-0000-0500-00003B000000}"/>
    <hyperlink ref="CG17" location="'3.Exhibit 7 - Annual'!CG98" display="Paid - DCCE Dollar" xr:uid="{00000000-0004-0000-0500-00003C000000}"/>
    <hyperlink ref="CG18" location="'3.Exhibit 7 - Annual'!CG133" display="Paid - DCCE (by Ratio)" xr:uid="{00000000-0004-0000-0500-00003D000000}"/>
    <hyperlink ref="CG19" location="'3.Exhibit 7 - Annual'!CG241" display="Incurred - DCCE Dollar" xr:uid="{00000000-0004-0000-0500-00003E000000}"/>
    <hyperlink ref="CG20" location="'3.Exhibit 7 - Annual'!CG276" display="Incurred - DCCE (by Ratio)" xr:uid="{00000000-0004-0000-0500-00003F000000}"/>
    <hyperlink ref="CS12" location="'3.Exhibit 7 - Annual'!CS28" display="Paid - Loss &amp; DCCE" xr:uid="{00000000-0004-0000-0500-000040000000}"/>
    <hyperlink ref="CS13" location="'3.Exhibit 7 - Annual'!CS63" display="Paid - Pure Loss" xr:uid="{00000000-0004-0000-0500-000041000000}"/>
    <hyperlink ref="CS14" location="'3.Exhibit 7 - Annual'!CS171" display="Incurred - Loss &amp; DCCE" xr:uid="{00000000-0004-0000-0500-000042000000}"/>
    <hyperlink ref="CS15" location="'3.Exhibit 7 - Annual'!CS206" display="Incurred - Pure Loss" xr:uid="{00000000-0004-0000-0500-000043000000}"/>
    <hyperlink ref="CS17" location="'3.Exhibit 7 - Annual'!CS98" display="Paid - DCCE Dollar" xr:uid="{00000000-0004-0000-0500-000044000000}"/>
    <hyperlink ref="CS18" location="'3.Exhibit 7 - Annual'!CS133" display="Paid - DCCE (by Ratio)" xr:uid="{00000000-0004-0000-0500-000045000000}"/>
    <hyperlink ref="CS19" location="'3.Exhibit 7 - Annual'!CS241" display="Incurred - DCCE Dollar" xr:uid="{00000000-0004-0000-0500-000046000000}"/>
    <hyperlink ref="CS20" location="'3.Exhibit 7 - Annual'!CS276" display="Incurred - DCCE (by Ratio)" xr:uid="{00000000-0004-0000-0500-000047000000}"/>
    <hyperlink ref="DE12" location="'3.Exhibit 7 - Annual'!DE28" display="Paid - Loss &amp; DCCE" xr:uid="{00000000-0004-0000-0500-000048000000}"/>
    <hyperlink ref="DE13" location="'3.Exhibit 7 - Annual'!DE63" display="Paid - Pure Loss" xr:uid="{00000000-0004-0000-0500-000049000000}"/>
    <hyperlink ref="DE14" location="'3.Exhibit 7 - Annual'!DE171" display="Incurred - Loss &amp; DCCE" xr:uid="{00000000-0004-0000-0500-00004A000000}"/>
    <hyperlink ref="DE15" location="'3.Exhibit 7 - Annual'!DE206" display="Incurred - Pure Loss" xr:uid="{00000000-0004-0000-0500-00004B000000}"/>
    <hyperlink ref="DE17" location="'3.Exhibit 7 - Annual'!DE98" display="Paid - DCCE Dollar" xr:uid="{00000000-0004-0000-0500-00004C000000}"/>
    <hyperlink ref="DE18" location="'3.Exhibit 7 - Annual'!DE133" display="Paid - DCCE (by Ratio)" xr:uid="{00000000-0004-0000-0500-00004D000000}"/>
    <hyperlink ref="DE19" location="'3.Exhibit 7 - Annual'!DE241" display="Incurred - DCCE Dollar" xr:uid="{00000000-0004-0000-0500-00004E000000}"/>
    <hyperlink ref="DE20" location="'3.Exhibit 7 - Annual'!DE276" display="Incurred - DCCE (by Ratio)" xr:uid="{00000000-0004-0000-0500-00004F000000}"/>
  </hyperlinks>
  <printOptions horizontalCentered="1"/>
  <pageMargins left="0.45" right="0.45" top="0.5" bottom="0.5" header="0.3" footer="0.05"/>
  <pageSetup scale="78" fitToHeight="3" orientation="landscape" useFirstPageNumber="1" r:id="rId1"/>
  <headerFooter>
    <oddHeader>&amp;R&amp;"-,Bold"&amp;12Exhibit 7</oddHeader>
    <oddFooter xml:space="preserve">&amp;L1/3/2023 Edition
&amp;CStandard Exhibits Template
Portions of the material contained in this document are protected by copyright owned by the State Farm Mutual Automobile Insurance Company, 2023&amp;RPage 3.&amp;P
</oddFooter>
  </headerFooter>
  <rowBreaks count="12" manualBreakCount="12">
    <brk id="27" max="11" man="1"/>
    <brk id="62" max="11" man="1"/>
    <brk id="97" max="11" man="1"/>
    <brk id="132" max="11" man="1"/>
    <brk id="170" max="11" man="1"/>
    <brk id="205" max="16383" man="1"/>
    <brk id="240" max="16383" man="1"/>
    <brk id="275" max="16383" man="1"/>
    <brk id="313" max="16383" man="1"/>
    <brk id="348" max="11" man="1"/>
    <brk id="383" max="11" man="1"/>
    <brk id="418" max="16383" man="1"/>
  </rowBreaks>
  <colBreaks count="9" manualBreakCount="9">
    <brk id="12" min="13" max="452" man="1"/>
    <brk id="24" min="13" max="452" man="1"/>
    <brk id="36" min="13" max="452" man="1"/>
    <brk id="48" min="13" max="452" man="1"/>
    <brk id="60" min="13" max="452" man="1"/>
    <brk id="72" min="13" max="452" man="1"/>
    <brk id="84" min="13" max="452" man="1"/>
    <brk id="96" min="13" max="452" man="1"/>
    <brk id="108" min="13" max="452"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tabColor rgb="FF0000FF"/>
  </sheetPr>
  <dimension ref="A1:FY101"/>
  <sheetViews>
    <sheetView showGridLines="0" view="pageBreakPreview" topLeftCell="B1" zoomScale="85" zoomScaleNormal="100" zoomScaleSheetLayoutView="85" workbookViewId="0">
      <selection activeCell="E9" sqref="E9"/>
    </sheetView>
  </sheetViews>
  <sheetFormatPr defaultRowHeight="15" x14ac:dyDescent="0.25"/>
  <cols>
    <col min="1" max="1" width="3" hidden="1" customWidth="1"/>
    <col min="3" max="3" width="2.7109375" customWidth="1"/>
    <col min="4" max="8" width="15.7109375" customWidth="1"/>
    <col min="9" max="9" width="2.7109375" customWidth="1"/>
    <col min="10" max="14" width="15.7109375" customWidth="1"/>
    <col min="15" max="15" width="2.7109375" customWidth="1"/>
    <col min="16" max="19" width="15.7109375" customWidth="1"/>
    <col min="21" max="21" width="2.7109375" customWidth="1"/>
    <col min="22" max="26" width="15.7109375" customWidth="1"/>
    <col min="27" max="27" width="2.7109375" customWidth="1"/>
    <col min="28" max="32" width="15.7109375" customWidth="1"/>
    <col min="33" max="33" width="2.7109375" customWidth="1"/>
    <col min="34" max="37" width="15.7109375" customWidth="1"/>
    <col min="39" max="39" width="2.7109375" customWidth="1"/>
    <col min="40" max="44" width="15.7109375" customWidth="1"/>
    <col min="45" max="45" width="2.7109375" customWidth="1"/>
    <col min="46" max="50" width="15.7109375" customWidth="1"/>
    <col min="51" max="51" width="2.7109375" customWidth="1"/>
    <col min="52" max="55" width="15.7109375" customWidth="1"/>
    <col min="57" max="57" width="2.7109375" customWidth="1"/>
    <col min="58" max="62" width="15.7109375" customWidth="1"/>
    <col min="63" max="63" width="2.7109375" customWidth="1"/>
    <col min="64" max="68" width="15.7109375" customWidth="1"/>
    <col min="69" max="69" width="2.7109375" customWidth="1"/>
    <col min="70" max="73" width="15.7109375" customWidth="1"/>
    <col min="75" max="75" width="2.7109375" customWidth="1"/>
    <col min="76" max="80" width="15.7109375" customWidth="1"/>
    <col min="81" max="81" width="2.7109375" customWidth="1"/>
    <col min="82" max="86" width="15.7109375" customWidth="1"/>
    <col min="87" max="87" width="2.7109375" customWidth="1"/>
    <col min="88" max="91" width="15.7109375" customWidth="1"/>
    <col min="93" max="93" width="2.7109375" customWidth="1"/>
    <col min="94" max="98" width="15.7109375" customWidth="1"/>
    <col min="99" max="99" width="2.7109375" customWidth="1"/>
    <col min="100" max="104" width="15.7109375" customWidth="1"/>
    <col min="105" max="105" width="2.7109375" customWidth="1"/>
    <col min="106" max="109" width="15.7109375" customWidth="1"/>
    <col min="111" max="111" width="2.7109375" customWidth="1"/>
    <col min="112" max="116" width="15.7109375" customWidth="1"/>
    <col min="117" max="117" width="2.7109375" customWidth="1"/>
    <col min="118" max="122" width="15.7109375" customWidth="1"/>
    <col min="123" max="123" width="2.7109375" customWidth="1"/>
    <col min="124" max="127" width="15.7109375" customWidth="1"/>
    <col min="129" max="129" width="2.7109375" customWidth="1"/>
    <col min="130" max="134" width="15.7109375" customWidth="1"/>
    <col min="135" max="135" width="2.7109375" customWidth="1"/>
    <col min="136" max="140" width="15.7109375" customWidth="1"/>
    <col min="141" max="141" width="2.7109375" customWidth="1"/>
    <col min="142" max="145" width="15.7109375" customWidth="1"/>
    <col min="147" max="147" width="2.7109375" customWidth="1"/>
    <col min="148" max="152" width="15.7109375" customWidth="1"/>
    <col min="153" max="153" width="2.7109375" customWidth="1"/>
    <col min="154" max="158" width="15.7109375" customWidth="1"/>
    <col min="159" max="159" width="2.7109375" customWidth="1"/>
    <col min="160" max="163" width="15.7109375" customWidth="1"/>
    <col min="165" max="165" width="2.7109375" customWidth="1"/>
    <col min="166" max="170" width="15.7109375" customWidth="1"/>
    <col min="171" max="171" width="2.7109375" customWidth="1"/>
    <col min="172" max="176" width="15.7109375" customWidth="1"/>
    <col min="177" max="177" width="2.7109375" customWidth="1"/>
    <col min="178" max="181" width="15.7109375" customWidth="1"/>
  </cols>
  <sheetData>
    <row r="1" spans="1:181" ht="21" x14ac:dyDescent="0.35">
      <c r="B1" s="137" t="str">
        <f>Co_Name</f>
        <v>State Farm General Insurance Company</v>
      </c>
      <c r="C1" s="47"/>
      <c r="D1" s="47"/>
      <c r="E1" s="47"/>
      <c r="F1" s="47"/>
      <c r="G1" s="47"/>
      <c r="H1" s="47"/>
      <c r="I1" s="47"/>
      <c r="J1" s="47"/>
      <c r="K1" s="47"/>
      <c r="L1" s="47"/>
      <c r="M1" s="47"/>
      <c r="N1" s="47"/>
      <c r="O1" s="47"/>
      <c r="P1" s="47"/>
      <c r="Q1" s="45"/>
      <c r="R1" s="45"/>
      <c r="S1" s="2"/>
      <c r="T1" s="137" t="str">
        <f>Co_Name</f>
        <v>State Farm General Insurance Company</v>
      </c>
      <c r="U1" s="47"/>
      <c r="V1" s="47"/>
      <c r="W1" s="47"/>
      <c r="X1" s="47"/>
      <c r="Y1" s="47"/>
      <c r="Z1" s="47"/>
      <c r="AA1" s="47"/>
      <c r="AB1" s="47"/>
      <c r="AC1" s="47"/>
      <c r="AD1" s="47"/>
      <c r="AE1" s="47"/>
      <c r="AF1" s="47"/>
      <c r="AG1" s="47"/>
      <c r="AH1" s="47"/>
      <c r="AI1" s="45"/>
      <c r="AJ1" s="45"/>
      <c r="AK1" s="2"/>
      <c r="AL1" s="137" t="str">
        <f>Co_Name</f>
        <v>State Farm General Insurance Company</v>
      </c>
      <c r="AM1" s="47"/>
      <c r="AN1" s="47"/>
      <c r="AO1" s="47"/>
      <c r="AP1" s="47"/>
      <c r="AQ1" s="47"/>
      <c r="AR1" s="47"/>
      <c r="AS1" s="47"/>
      <c r="AT1" s="47"/>
      <c r="AU1" s="47"/>
      <c r="AV1" s="47"/>
      <c r="AW1" s="47"/>
      <c r="AX1" s="47"/>
      <c r="AY1" s="47"/>
      <c r="AZ1" s="47"/>
      <c r="BA1" s="45"/>
      <c r="BB1" s="45"/>
      <c r="BC1" s="2"/>
      <c r="BD1" s="137" t="str">
        <f>Co_Name</f>
        <v>State Farm General Insurance Company</v>
      </c>
      <c r="BE1" s="47"/>
      <c r="BF1" s="47"/>
      <c r="BG1" s="47"/>
      <c r="BH1" s="47"/>
      <c r="BI1" s="47"/>
      <c r="BJ1" s="47"/>
      <c r="BK1" s="47"/>
      <c r="BL1" s="47"/>
      <c r="BM1" s="47"/>
      <c r="BN1" s="47"/>
      <c r="BO1" s="47"/>
      <c r="BP1" s="47"/>
      <c r="BQ1" s="47"/>
      <c r="BR1" s="47"/>
      <c r="BS1" s="45"/>
      <c r="BT1" s="45"/>
      <c r="BU1" s="2"/>
      <c r="BV1" s="137" t="str">
        <f>Co_Name</f>
        <v>State Farm General Insurance Company</v>
      </c>
      <c r="BW1" s="47"/>
      <c r="BX1" s="47"/>
      <c r="BY1" s="47"/>
      <c r="BZ1" s="47"/>
      <c r="CA1" s="47"/>
      <c r="CB1" s="47"/>
      <c r="CC1" s="47"/>
      <c r="CD1" s="47"/>
      <c r="CE1" s="47"/>
      <c r="CF1" s="47"/>
      <c r="CG1" s="47"/>
      <c r="CH1" s="47"/>
      <c r="CI1" s="47"/>
      <c r="CJ1" s="47"/>
      <c r="CK1" s="45"/>
      <c r="CL1" s="45"/>
      <c r="CM1" s="2"/>
      <c r="CN1" s="137" t="str">
        <f>Co_Name</f>
        <v>State Farm General Insurance Company</v>
      </c>
      <c r="CO1" s="47"/>
      <c r="CP1" s="47"/>
      <c r="CQ1" s="47"/>
      <c r="CR1" s="47"/>
      <c r="CS1" s="47"/>
      <c r="CT1" s="47"/>
      <c r="CU1" s="47"/>
      <c r="CV1" s="47"/>
      <c r="CW1" s="47"/>
      <c r="CX1" s="47"/>
      <c r="CY1" s="47"/>
      <c r="CZ1" s="47"/>
      <c r="DA1" s="47"/>
      <c r="DB1" s="47"/>
      <c r="DC1" s="45"/>
      <c r="DD1" s="45"/>
      <c r="DE1" s="2"/>
      <c r="DF1" s="137" t="str">
        <f>Co_Name</f>
        <v>State Farm General Insurance Company</v>
      </c>
      <c r="DG1" s="47"/>
      <c r="DH1" s="47"/>
      <c r="DI1" s="47"/>
      <c r="DJ1" s="47"/>
      <c r="DK1" s="47"/>
      <c r="DL1" s="47"/>
      <c r="DM1" s="47"/>
      <c r="DN1" s="47"/>
      <c r="DO1" s="47"/>
      <c r="DP1" s="47"/>
      <c r="DQ1" s="47"/>
      <c r="DR1" s="47"/>
      <c r="DS1" s="47"/>
      <c r="DT1" s="47"/>
      <c r="DU1" s="45"/>
      <c r="DV1" s="45"/>
      <c r="DW1" s="2"/>
      <c r="DX1" s="137" t="str">
        <f>Co_Name</f>
        <v>State Farm General Insurance Company</v>
      </c>
      <c r="DY1" s="47"/>
      <c r="DZ1" s="47"/>
      <c r="EA1" s="47"/>
      <c r="EB1" s="47"/>
      <c r="EC1" s="47"/>
      <c r="ED1" s="47"/>
      <c r="EE1" s="47"/>
      <c r="EF1" s="47"/>
      <c r="EG1" s="47"/>
      <c r="EH1" s="47"/>
      <c r="EI1" s="47"/>
      <c r="EJ1" s="47"/>
      <c r="EK1" s="47"/>
      <c r="EL1" s="47"/>
      <c r="EM1" s="45"/>
      <c r="EN1" s="45"/>
      <c r="EO1" s="2"/>
      <c r="EP1" s="137" t="str">
        <f>Co_Name</f>
        <v>State Farm General Insurance Company</v>
      </c>
      <c r="EQ1" s="47"/>
      <c r="ER1" s="47"/>
      <c r="ES1" s="47"/>
      <c r="ET1" s="47"/>
      <c r="EU1" s="47"/>
      <c r="EV1" s="47"/>
      <c r="EW1" s="47"/>
      <c r="EX1" s="47"/>
      <c r="EY1" s="47"/>
      <c r="EZ1" s="47"/>
      <c r="FA1" s="47"/>
      <c r="FB1" s="47"/>
      <c r="FC1" s="47"/>
      <c r="FD1" s="47"/>
      <c r="FE1" s="45"/>
      <c r="FF1" s="45"/>
      <c r="FG1" s="2"/>
      <c r="FH1" s="137" t="str">
        <f>Co_Name</f>
        <v>State Farm General Insurance Company</v>
      </c>
      <c r="FI1" s="47"/>
      <c r="FJ1" s="47"/>
      <c r="FK1" s="47"/>
      <c r="FL1" s="47"/>
      <c r="FM1" s="47"/>
      <c r="FN1" s="47"/>
      <c r="FO1" s="47"/>
      <c r="FP1" s="47"/>
      <c r="FQ1" s="47"/>
      <c r="FR1" s="47"/>
      <c r="FS1" s="47"/>
      <c r="FT1" s="47"/>
      <c r="FU1" s="47"/>
      <c r="FV1" s="47"/>
      <c r="FW1" s="45"/>
      <c r="FX1" s="45"/>
      <c r="FY1" s="2"/>
    </row>
    <row r="2" spans="1:181" ht="21" x14ac:dyDescent="0.35">
      <c r="B2" s="137" t="str">
        <f>Detailed_LineDesc01</f>
        <v>Homeowners Multiple Peril</v>
      </c>
      <c r="C2" s="47"/>
      <c r="D2" s="47"/>
      <c r="E2" s="47"/>
      <c r="F2" s="47"/>
      <c r="G2" s="47"/>
      <c r="H2" s="47"/>
      <c r="I2" s="47"/>
      <c r="J2" s="47"/>
      <c r="K2" s="47"/>
      <c r="L2" s="47"/>
      <c r="M2" s="47"/>
      <c r="N2" s="47"/>
      <c r="O2" s="47"/>
      <c r="P2" s="47"/>
      <c r="Q2" s="45"/>
      <c r="R2" s="45"/>
      <c r="S2" s="2"/>
      <c r="T2" s="137" t="str">
        <f>Detailed_LineDesc02</f>
        <v/>
      </c>
      <c r="U2" s="47"/>
      <c r="V2" s="47"/>
      <c r="W2" s="47"/>
      <c r="X2" s="47"/>
      <c r="Y2" s="47"/>
      <c r="Z2" s="47"/>
      <c r="AA2" s="47"/>
      <c r="AB2" s="47"/>
      <c r="AC2" s="47"/>
      <c r="AD2" s="47"/>
      <c r="AE2" s="47"/>
      <c r="AF2" s="47"/>
      <c r="AG2" s="47"/>
      <c r="AH2" s="47"/>
      <c r="AI2" s="45"/>
      <c r="AJ2" s="45"/>
      <c r="AK2" s="2"/>
      <c r="AL2" s="137" t="str">
        <f>Detailed_LineDesc03</f>
        <v/>
      </c>
      <c r="AM2" s="47"/>
      <c r="AN2" s="47"/>
      <c r="AO2" s="47"/>
      <c r="AP2" s="47"/>
      <c r="AQ2" s="47"/>
      <c r="AR2" s="47"/>
      <c r="AS2" s="47"/>
      <c r="AT2" s="47"/>
      <c r="AU2" s="47"/>
      <c r="AV2" s="47"/>
      <c r="AW2" s="47"/>
      <c r="AX2" s="47"/>
      <c r="AY2" s="47"/>
      <c r="AZ2" s="47"/>
      <c r="BA2" s="45"/>
      <c r="BB2" s="45"/>
      <c r="BC2" s="2"/>
      <c r="BD2" s="137" t="str">
        <f>Detailed_LineDesc04</f>
        <v/>
      </c>
      <c r="BE2" s="47"/>
      <c r="BF2" s="47"/>
      <c r="BG2" s="47"/>
      <c r="BH2" s="47"/>
      <c r="BI2" s="47"/>
      <c r="BJ2" s="47"/>
      <c r="BK2" s="47"/>
      <c r="BL2" s="47"/>
      <c r="BM2" s="47"/>
      <c r="BN2" s="47"/>
      <c r="BO2" s="47"/>
      <c r="BP2" s="47"/>
      <c r="BQ2" s="47"/>
      <c r="BR2" s="47"/>
      <c r="BS2" s="45"/>
      <c r="BT2" s="45"/>
      <c r="BU2" s="2"/>
      <c r="BV2" s="137" t="str">
        <f>Detailed_LineDesc05</f>
        <v/>
      </c>
      <c r="BW2" s="47"/>
      <c r="BX2" s="47"/>
      <c r="BY2" s="47"/>
      <c r="BZ2" s="47"/>
      <c r="CA2" s="47"/>
      <c r="CB2" s="47"/>
      <c r="CC2" s="47"/>
      <c r="CD2" s="47"/>
      <c r="CE2" s="47"/>
      <c r="CF2" s="47"/>
      <c r="CG2" s="47"/>
      <c r="CH2" s="47"/>
      <c r="CI2" s="47"/>
      <c r="CJ2" s="47"/>
      <c r="CK2" s="45"/>
      <c r="CL2" s="45"/>
      <c r="CM2" s="2"/>
      <c r="CN2" s="137" t="str">
        <f>Detailed_LineDesc06</f>
        <v/>
      </c>
      <c r="CO2" s="47"/>
      <c r="CP2" s="47"/>
      <c r="CQ2" s="47"/>
      <c r="CR2" s="47"/>
      <c r="CS2" s="47"/>
      <c r="CT2" s="47"/>
      <c r="CU2" s="47"/>
      <c r="CV2" s="47"/>
      <c r="CW2" s="47"/>
      <c r="CX2" s="47"/>
      <c r="CY2" s="47"/>
      <c r="CZ2" s="47"/>
      <c r="DA2" s="47"/>
      <c r="DB2" s="47"/>
      <c r="DC2" s="45"/>
      <c r="DD2" s="45"/>
      <c r="DE2" s="2"/>
      <c r="DF2" s="137" t="str">
        <f>Detailed_LineDesc07</f>
        <v/>
      </c>
      <c r="DG2" s="47"/>
      <c r="DH2" s="47"/>
      <c r="DI2" s="47"/>
      <c r="DJ2" s="47"/>
      <c r="DK2" s="47"/>
      <c r="DL2" s="47"/>
      <c r="DM2" s="47"/>
      <c r="DN2" s="47"/>
      <c r="DO2" s="47"/>
      <c r="DP2" s="47"/>
      <c r="DQ2" s="47"/>
      <c r="DR2" s="47"/>
      <c r="DS2" s="47"/>
      <c r="DT2" s="47"/>
      <c r="DU2" s="45"/>
      <c r="DV2" s="45"/>
      <c r="DW2" s="2"/>
      <c r="DX2" s="137" t="str">
        <f>Detailed_LineDesc08</f>
        <v/>
      </c>
      <c r="DY2" s="47"/>
      <c r="DZ2" s="47"/>
      <c r="EA2" s="47"/>
      <c r="EB2" s="47"/>
      <c r="EC2" s="47"/>
      <c r="ED2" s="47"/>
      <c r="EE2" s="47"/>
      <c r="EF2" s="47"/>
      <c r="EG2" s="47"/>
      <c r="EH2" s="47"/>
      <c r="EI2" s="47"/>
      <c r="EJ2" s="47"/>
      <c r="EK2" s="47"/>
      <c r="EL2" s="47"/>
      <c r="EM2" s="45"/>
      <c r="EN2" s="45"/>
      <c r="EO2" s="2"/>
      <c r="EP2" s="137" t="str">
        <f>Detailed_LineDesc09</f>
        <v/>
      </c>
      <c r="EQ2" s="47"/>
      <c r="ER2" s="47"/>
      <c r="ES2" s="47"/>
      <c r="ET2" s="47"/>
      <c r="EU2" s="47"/>
      <c r="EV2" s="47"/>
      <c r="EW2" s="47"/>
      <c r="EX2" s="47"/>
      <c r="EY2" s="47"/>
      <c r="EZ2" s="47"/>
      <c r="FA2" s="47"/>
      <c r="FB2" s="47"/>
      <c r="FC2" s="47"/>
      <c r="FD2" s="47"/>
      <c r="FE2" s="45"/>
      <c r="FF2" s="45"/>
      <c r="FG2" s="2"/>
      <c r="FH2" s="137" t="str">
        <f>Detailed_LineDesc10</f>
        <v/>
      </c>
      <c r="FI2" s="47"/>
      <c r="FJ2" s="47"/>
      <c r="FK2" s="47"/>
      <c r="FL2" s="47"/>
      <c r="FM2" s="47"/>
      <c r="FN2" s="47"/>
      <c r="FO2" s="47"/>
      <c r="FP2" s="47"/>
      <c r="FQ2" s="47"/>
      <c r="FR2" s="47"/>
      <c r="FS2" s="47"/>
      <c r="FT2" s="47"/>
      <c r="FU2" s="47"/>
      <c r="FV2" s="47"/>
      <c r="FW2" s="45"/>
      <c r="FX2" s="45"/>
      <c r="FY2" s="2"/>
    </row>
    <row r="3" spans="1:181" x14ac:dyDescent="0.25">
      <c r="B3" s="41"/>
      <c r="C3" s="41"/>
      <c r="D3" s="41"/>
      <c r="E3" s="41"/>
      <c r="F3" s="41"/>
      <c r="G3" s="41"/>
      <c r="H3" s="41"/>
      <c r="I3" s="41"/>
      <c r="J3" s="41"/>
      <c r="K3" s="41"/>
      <c r="L3" s="41"/>
      <c r="M3" s="41"/>
      <c r="N3" s="41"/>
      <c r="O3" s="41"/>
      <c r="P3" s="45"/>
      <c r="Q3" s="2"/>
      <c r="R3" s="2"/>
      <c r="S3" s="2"/>
      <c r="T3" s="41"/>
      <c r="U3" s="41"/>
      <c r="V3" s="41"/>
      <c r="W3" s="41"/>
      <c r="X3" s="41"/>
      <c r="Y3" s="41"/>
      <c r="Z3" s="41"/>
      <c r="AA3" s="41"/>
      <c r="AB3" s="41"/>
      <c r="AC3" s="41"/>
      <c r="AD3" s="41"/>
      <c r="AE3" s="41"/>
      <c r="AF3" s="41"/>
      <c r="AG3" s="41"/>
      <c r="AH3" s="45"/>
      <c r="AI3" s="2"/>
      <c r="AJ3" s="2"/>
      <c r="AK3" s="2"/>
      <c r="AL3" s="41"/>
      <c r="AM3" s="41"/>
      <c r="AN3" s="41"/>
      <c r="AO3" s="41"/>
      <c r="AP3" s="41"/>
      <c r="AQ3" s="41"/>
      <c r="AR3" s="41"/>
      <c r="AS3" s="41"/>
      <c r="AT3" s="41"/>
      <c r="AU3" s="41"/>
      <c r="AV3" s="41"/>
      <c r="AW3" s="41"/>
      <c r="AX3" s="41"/>
      <c r="AY3" s="41"/>
      <c r="AZ3" s="45"/>
      <c r="BA3" s="2"/>
      <c r="BB3" s="2"/>
      <c r="BC3" s="2"/>
      <c r="BD3" s="41"/>
      <c r="BE3" s="41"/>
      <c r="BF3" s="41"/>
      <c r="BG3" s="41"/>
      <c r="BH3" s="41"/>
      <c r="BI3" s="41"/>
      <c r="BJ3" s="41"/>
      <c r="BK3" s="41"/>
      <c r="BL3" s="41"/>
      <c r="BM3" s="41"/>
      <c r="BN3" s="41"/>
      <c r="BO3" s="41"/>
      <c r="BP3" s="41"/>
      <c r="BQ3" s="41"/>
      <c r="BR3" s="45"/>
      <c r="BS3" s="2"/>
      <c r="BT3" s="2"/>
      <c r="BU3" s="2"/>
      <c r="BV3" s="41"/>
      <c r="BW3" s="41"/>
      <c r="BX3" s="41"/>
      <c r="BY3" s="41"/>
      <c r="BZ3" s="41"/>
      <c r="CA3" s="41"/>
      <c r="CB3" s="41"/>
      <c r="CC3" s="41"/>
      <c r="CD3" s="41"/>
      <c r="CE3" s="41"/>
      <c r="CF3" s="41"/>
      <c r="CG3" s="41"/>
      <c r="CH3" s="41"/>
      <c r="CI3" s="41"/>
      <c r="CJ3" s="45"/>
      <c r="CK3" s="2"/>
      <c r="CL3" s="2"/>
      <c r="CM3" s="2"/>
      <c r="CN3" s="41"/>
      <c r="CO3" s="41"/>
      <c r="CP3" s="41"/>
      <c r="CQ3" s="41"/>
      <c r="CR3" s="41"/>
      <c r="CS3" s="41"/>
      <c r="CT3" s="41"/>
      <c r="CU3" s="41"/>
      <c r="CV3" s="41"/>
      <c r="CW3" s="41"/>
      <c r="CX3" s="41"/>
      <c r="CY3" s="41"/>
      <c r="CZ3" s="41"/>
      <c r="DA3" s="41"/>
      <c r="DB3" s="45"/>
      <c r="DC3" s="2"/>
      <c r="DD3" s="2"/>
      <c r="DE3" s="2"/>
      <c r="DF3" s="41"/>
      <c r="DG3" s="41"/>
      <c r="DH3" s="41"/>
      <c r="DI3" s="41"/>
      <c r="DJ3" s="41"/>
      <c r="DK3" s="41"/>
      <c r="DL3" s="41"/>
      <c r="DM3" s="41"/>
      <c r="DN3" s="41"/>
      <c r="DO3" s="41"/>
      <c r="DP3" s="41"/>
      <c r="DQ3" s="41"/>
      <c r="DR3" s="41"/>
      <c r="DS3" s="41"/>
      <c r="DT3" s="45"/>
      <c r="DU3" s="2"/>
      <c r="DV3" s="2"/>
      <c r="DW3" s="2"/>
      <c r="DX3" s="41"/>
      <c r="DY3" s="41"/>
      <c r="DZ3" s="41"/>
      <c r="EA3" s="41"/>
      <c r="EB3" s="41"/>
      <c r="EC3" s="41"/>
      <c r="ED3" s="41"/>
      <c r="EE3" s="41"/>
      <c r="EF3" s="41"/>
      <c r="EG3" s="41"/>
      <c r="EH3" s="41"/>
      <c r="EI3" s="41"/>
      <c r="EJ3" s="41"/>
      <c r="EK3" s="41"/>
      <c r="EL3" s="45"/>
      <c r="EM3" s="2"/>
      <c r="EN3" s="2"/>
      <c r="EO3" s="2"/>
      <c r="EP3" s="41"/>
      <c r="EQ3" s="41"/>
      <c r="ER3" s="41"/>
      <c r="ES3" s="41"/>
      <c r="ET3" s="41"/>
      <c r="EU3" s="41"/>
      <c r="EV3" s="41"/>
      <c r="EW3" s="41"/>
      <c r="EX3" s="41"/>
      <c r="EY3" s="41"/>
      <c r="EZ3" s="41"/>
      <c r="FA3" s="41"/>
      <c r="FB3" s="41"/>
      <c r="FC3" s="41"/>
      <c r="FD3" s="45"/>
      <c r="FE3" s="2"/>
      <c r="FF3" s="2"/>
      <c r="FG3" s="2"/>
      <c r="FH3" s="41"/>
      <c r="FI3" s="41"/>
      <c r="FJ3" s="41"/>
      <c r="FK3" s="41"/>
      <c r="FL3" s="41"/>
      <c r="FM3" s="41"/>
      <c r="FN3" s="41"/>
      <c r="FO3" s="41"/>
      <c r="FP3" s="41"/>
      <c r="FQ3" s="41"/>
      <c r="FR3" s="41"/>
      <c r="FS3" s="41"/>
      <c r="FT3" s="41"/>
      <c r="FU3" s="41"/>
      <c r="FV3" s="45"/>
      <c r="FW3" s="2"/>
      <c r="FX3" s="2"/>
      <c r="FY3" s="2"/>
    </row>
    <row r="4" spans="1:181" ht="21" x14ac:dyDescent="0.35">
      <c r="A4" s="48" t="s">
        <v>55</v>
      </c>
      <c r="B4" s="48" t="s">
        <v>55</v>
      </c>
      <c r="C4" s="48"/>
      <c r="D4" s="47"/>
      <c r="E4" s="47"/>
      <c r="F4" s="47"/>
      <c r="G4" s="47"/>
      <c r="H4" s="47"/>
      <c r="I4" s="47"/>
      <c r="J4" s="47"/>
      <c r="K4" s="47"/>
      <c r="L4" s="47"/>
      <c r="M4" s="47"/>
      <c r="N4" s="47"/>
      <c r="O4" s="47"/>
      <c r="P4" s="47"/>
      <c r="Q4" s="2"/>
      <c r="R4" s="2"/>
      <c r="S4" s="2"/>
      <c r="T4" s="48" t="s">
        <v>55</v>
      </c>
      <c r="U4" s="48"/>
      <c r="V4" s="47"/>
      <c r="W4" s="47"/>
      <c r="X4" s="47"/>
      <c r="Y4" s="47"/>
      <c r="Z4" s="47"/>
      <c r="AA4" s="47"/>
      <c r="AB4" s="47"/>
      <c r="AC4" s="47"/>
      <c r="AD4" s="47"/>
      <c r="AE4" s="47"/>
      <c r="AF4" s="47"/>
      <c r="AG4" s="47"/>
      <c r="AH4" s="47"/>
      <c r="AI4" s="2"/>
      <c r="AJ4" s="2"/>
      <c r="AK4" s="2"/>
      <c r="AL4" s="48" t="s">
        <v>55</v>
      </c>
      <c r="AM4" s="48"/>
      <c r="AN4" s="47"/>
      <c r="AO4" s="47"/>
      <c r="AP4" s="47"/>
      <c r="AQ4" s="47"/>
      <c r="AR4" s="47"/>
      <c r="AS4" s="47"/>
      <c r="AT4" s="47"/>
      <c r="AU4" s="47"/>
      <c r="AV4" s="47"/>
      <c r="AW4" s="47"/>
      <c r="AX4" s="47"/>
      <c r="AY4" s="47"/>
      <c r="AZ4" s="47"/>
      <c r="BA4" s="2"/>
      <c r="BB4" s="2"/>
      <c r="BC4" s="2"/>
      <c r="BD4" s="48" t="s">
        <v>55</v>
      </c>
      <c r="BE4" s="48"/>
      <c r="BF4" s="47"/>
      <c r="BG4" s="47"/>
      <c r="BH4" s="47"/>
      <c r="BI4" s="47"/>
      <c r="BJ4" s="47"/>
      <c r="BK4" s="47"/>
      <c r="BL4" s="47"/>
      <c r="BM4" s="47"/>
      <c r="BN4" s="47"/>
      <c r="BO4" s="47"/>
      <c r="BP4" s="47"/>
      <c r="BQ4" s="47"/>
      <c r="BR4" s="47"/>
      <c r="BS4" s="2"/>
      <c r="BT4" s="2"/>
      <c r="BU4" s="2"/>
      <c r="BV4" s="48" t="s">
        <v>55</v>
      </c>
      <c r="BW4" s="48"/>
      <c r="BX4" s="47"/>
      <c r="BY4" s="47"/>
      <c r="BZ4" s="47"/>
      <c r="CA4" s="47"/>
      <c r="CB4" s="47"/>
      <c r="CC4" s="47"/>
      <c r="CD4" s="47"/>
      <c r="CE4" s="47"/>
      <c r="CF4" s="47"/>
      <c r="CG4" s="47"/>
      <c r="CH4" s="47"/>
      <c r="CI4" s="47"/>
      <c r="CJ4" s="47"/>
      <c r="CK4" s="2"/>
      <c r="CL4" s="2"/>
      <c r="CM4" s="2"/>
      <c r="CN4" s="48" t="s">
        <v>55</v>
      </c>
      <c r="CO4" s="48"/>
      <c r="CP4" s="47"/>
      <c r="CQ4" s="47"/>
      <c r="CR4" s="47"/>
      <c r="CS4" s="47"/>
      <c r="CT4" s="47"/>
      <c r="CU4" s="47"/>
      <c r="CV4" s="47"/>
      <c r="CW4" s="47"/>
      <c r="CX4" s="47"/>
      <c r="CY4" s="47"/>
      <c r="CZ4" s="47"/>
      <c r="DA4" s="47"/>
      <c r="DB4" s="47"/>
      <c r="DC4" s="2"/>
      <c r="DD4" s="2"/>
      <c r="DE4" s="2"/>
      <c r="DF4" s="48" t="s">
        <v>55</v>
      </c>
      <c r="DG4" s="48"/>
      <c r="DH4" s="47"/>
      <c r="DI4" s="47"/>
      <c r="DJ4" s="47"/>
      <c r="DK4" s="47"/>
      <c r="DL4" s="47"/>
      <c r="DM4" s="47"/>
      <c r="DN4" s="47"/>
      <c r="DO4" s="47"/>
      <c r="DP4" s="47"/>
      <c r="DQ4" s="47"/>
      <c r="DR4" s="47"/>
      <c r="DS4" s="47"/>
      <c r="DT4" s="47"/>
      <c r="DU4" s="2"/>
      <c r="DV4" s="2"/>
      <c r="DW4" s="2"/>
      <c r="DX4" s="48" t="s">
        <v>55</v>
      </c>
      <c r="DY4" s="48"/>
      <c r="DZ4" s="47"/>
      <c r="EA4" s="47"/>
      <c r="EB4" s="47"/>
      <c r="EC4" s="47"/>
      <c r="ED4" s="47"/>
      <c r="EE4" s="47"/>
      <c r="EF4" s="47"/>
      <c r="EG4" s="47"/>
      <c r="EH4" s="47"/>
      <c r="EI4" s="47"/>
      <c r="EJ4" s="47"/>
      <c r="EK4" s="47"/>
      <c r="EL4" s="47"/>
      <c r="EM4" s="2"/>
      <c r="EN4" s="2"/>
      <c r="EO4" s="2"/>
      <c r="EP4" s="48" t="s">
        <v>55</v>
      </c>
      <c r="EQ4" s="48"/>
      <c r="ER4" s="47"/>
      <c r="ES4" s="47"/>
      <c r="ET4" s="47"/>
      <c r="EU4" s="47"/>
      <c r="EV4" s="47"/>
      <c r="EW4" s="47"/>
      <c r="EX4" s="47"/>
      <c r="EY4" s="47"/>
      <c r="EZ4" s="47"/>
      <c r="FA4" s="47"/>
      <c r="FB4" s="47"/>
      <c r="FC4" s="47"/>
      <c r="FD4" s="47"/>
      <c r="FE4" s="2"/>
      <c r="FF4" s="2"/>
      <c r="FG4" s="2"/>
      <c r="FH4" s="48" t="s">
        <v>55</v>
      </c>
      <c r="FI4" s="48"/>
      <c r="FJ4" s="47"/>
      <c r="FK4" s="47"/>
      <c r="FL4" s="47"/>
      <c r="FM4" s="47"/>
      <c r="FN4" s="47"/>
      <c r="FO4" s="47"/>
      <c r="FP4" s="47"/>
      <c r="FQ4" s="47"/>
      <c r="FR4" s="47"/>
      <c r="FS4" s="47"/>
      <c r="FT4" s="47"/>
      <c r="FU4" s="47"/>
      <c r="FV4" s="47"/>
      <c r="FW4" s="2"/>
      <c r="FX4" s="2"/>
      <c r="FY4" s="2"/>
    </row>
    <row r="5" spans="1:181" x14ac:dyDescent="0.25">
      <c r="B5" s="138" t="str">
        <f>Covg01</f>
        <v>Rental Dwelling</v>
      </c>
      <c r="C5" s="40"/>
      <c r="D5" s="41"/>
      <c r="E5" s="41"/>
      <c r="F5" s="41"/>
      <c r="G5" s="41"/>
      <c r="H5" s="41"/>
      <c r="I5" s="41"/>
      <c r="J5" s="41"/>
      <c r="K5" s="41"/>
      <c r="L5" s="41"/>
      <c r="M5" s="41"/>
      <c r="N5" s="41"/>
      <c r="O5" s="41"/>
      <c r="P5" s="41"/>
      <c r="Q5" s="2"/>
      <c r="R5" s="2"/>
      <c r="S5" s="2"/>
      <c r="T5" s="138">
        <f>Covg02</f>
        <v>0</v>
      </c>
      <c r="U5" s="40"/>
      <c r="V5" s="41"/>
      <c r="W5" s="41"/>
      <c r="X5" s="41"/>
      <c r="Y5" s="41"/>
      <c r="Z5" s="41"/>
      <c r="AA5" s="41"/>
      <c r="AB5" s="41"/>
      <c r="AC5" s="41"/>
      <c r="AD5" s="41"/>
      <c r="AE5" s="41"/>
      <c r="AF5" s="41"/>
      <c r="AG5" s="41"/>
      <c r="AH5" s="41"/>
      <c r="AI5" s="2"/>
      <c r="AJ5" s="2"/>
      <c r="AK5" s="2"/>
      <c r="AL5" s="138">
        <f>Covg03</f>
        <v>0</v>
      </c>
      <c r="AM5" s="40"/>
      <c r="AN5" s="41"/>
      <c r="AO5" s="41"/>
      <c r="AP5" s="41"/>
      <c r="AQ5" s="41"/>
      <c r="AR5" s="41"/>
      <c r="AS5" s="41"/>
      <c r="AT5" s="41"/>
      <c r="AU5" s="41"/>
      <c r="AV5" s="41"/>
      <c r="AW5" s="41"/>
      <c r="AX5" s="41"/>
      <c r="AY5" s="41"/>
      <c r="AZ5" s="41"/>
      <c r="BA5" s="2"/>
      <c r="BB5" s="2"/>
      <c r="BC5" s="2"/>
      <c r="BD5" s="138">
        <f>Covg04</f>
        <v>0</v>
      </c>
      <c r="BE5" s="40"/>
      <c r="BF5" s="41"/>
      <c r="BG5" s="41"/>
      <c r="BH5" s="41"/>
      <c r="BI5" s="41"/>
      <c r="BJ5" s="41"/>
      <c r="BK5" s="41"/>
      <c r="BL5" s="41"/>
      <c r="BM5" s="41"/>
      <c r="BN5" s="41"/>
      <c r="BO5" s="41"/>
      <c r="BP5" s="41"/>
      <c r="BQ5" s="41"/>
      <c r="BR5" s="41"/>
      <c r="BS5" s="2"/>
      <c r="BT5" s="2"/>
      <c r="BU5" s="2"/>
      <c r="BV5" s="138">
        <f>Covg05</f>
        <v>0</v>
      </c>
      <c r="BW5" s="40"/>
      <c r="BX5" s="41"/>
      <c r="BY5" s="41"/>
      <c r="BZ5" s="41"/>
      <c r="CA5" s="41"/>
      <c r="CB5" s="41"/>
      <c r="CC5" s="41"/>
      <c r="CD5" s="41"/>
      <c r="CE5" s="41"/>
      <c r="CF5" s="41"/>
      <c r="CG5" s="41"/>
      <c r="CH5" s="41"/>
      <c r="CI5" s="41"/>
      <c r="CJ5" s="41"/>
      <c r="CK5" s="2"/>
      <c r="CL5" s="2"/>
      <c r="CM5" s="2"/>
      <c r="CN5" s="138">
        <f>Covg06</f>
        <v>0</v>
      </c>
      <c r="CO5" s="40"/>
      <c r="CP5" s="41"/>
      <c r="CQ5" s="41"/>
      <c r="CR5" s="41"/>
      <c r="CS5" s="41"/>
      <c r="CT5" s="41"/>
      <c r="CU5" s="41"/>
      <c r="CV5" s="41"/>
      <c r="CW5" s="41"/>
      <c r="CX5" s="41"/>
      <c r="CY5" s="41"/>
      <c r="CZ5" s="41"/>
      <c r="DA5" s="41"/>
      <c r="DB5" s="41"/>
      <c r="DC5" s="2"/>
      <c r="DD5" s="2"/>
      <c r="DE5" s="2"/>
      <c r="DF5" s="138">
        <f>Covg07</f>
        <v>0</v>
      </c>
      <c r="DG5" s="40"/>
      <c r="DH5" s="41"/>
      <c r="DI5" s="41"/>
      <c r="DJ5" s="41"/>
      <c r="DK5" s="41"/>
      <c r="DL5" s="41"/>
      <c r="DM5" s="41"/>
      <c r="DN5" s="41"/>
      <c r="DO5" s="41"/>
      <c r="DP5" s="41"/>
      <c r="DQ5" s="41"/>
      <c r="DR5" s="41"/>
      <c r="DS5" s="41"/>
      <c r="DT5" s="41"/>
      <c r="DU5" s="2"/>
      <c r="DV5" s="2"/>
      <c r="DW5" s="2"/>
      <c r="DX5" s="138">
        <f>Covg08</f>
        <v>0</v>
      </c>
      <c r="DY5" s="40"/>
      <c r="DZ5" s="41"/>
      <c r="EA5" s="41"/>
      <c r="EB5" s="41"/>
      <c r="EC5" s="41"/>
      <c r="ED5" s="41"/>
      <c r="EE5" s="41"/>
      <c r="EF5" s="41"/>
      <c r="EG5" s="41"/>
      <c r="EH5" s="41"/>
      <c r="EI5" s="41"/>
      <c r="EJ5" s="41"/>
      <c r="EK5" s="41"/>
      <c r="EL5" s="41"/>
      <c r="EM5" s="2"/>
      <c r="EN5" s="2"/>
      <c r="EO5" s="2"/>
      <c r="EP5" s="138">
        <f>Covg09</f>
        <v>0</v>
      </c>
      <c r="EQ5" s="40"/>
      <c r="ER5" s="41"/>
      <c r="ES5" s="41"/>
      <c r="ET5" s="41"/>
      <c r="EU5" s="41"/>
      <c r="EV5" s="41"/>
      <c r="EW5" s="41"/>
      <c r="EX5" s="41"/>
      <c r="EY5" s="41"/>
      <c r="EZ5" s="41"/>
      <c r="FA5" s="41"/>
      <c r="FB5" s="41"/>
      <c r="FC5" s="41"/>
      <c r="FD5" s="41"/>
      <c r="FE5" s="2"/>
      <c r="FF5" s="2"/>
      <c r="FG5" s="2"/>
      <c r="FH5" s="138">
        <f>Covg10</f>
        <v>0</v>
      </c>
      <c r="FI5" s="40"/>
      <c r="FJ5" s="41"/>
      <c r="FK5" s="41"/>
      <c r="FL5" s="41"/>
      <c r="FM5" s="41"/>
      <c r="FN5" s="41"/>
      <c r="FO5" s="41"/>
      <c r="FP5" s="41"/>
      <c r="FQ5" s="41"/>
      <c r="FR5" s="41"/>
      <c r="FS5" s="41"/>
      <c r="FT5" s="41"/>
      <c r="FU5" s="41"/>
      <c r="FV5" s="41"/>
      <c r="FW5" s="2"/>
      <c r="FX5" s="2"/>
      <c r="FY5" s="2"/>
    </row>
    <row r="6" spans="1:181" x14ac:dyDescent="0.25">
      <c r="B6" s="138"/>
      <c r="C6" s="40"/>
      <c r="D6" s="265" t="str">
        <f>IF(COUNTIF(D11:D37,0)=0,"","For calendar quarters where business was not being written and there are no earned exposures, enter blank cells rather than cells containing zero.")</f>
        <v/>
      </c>
      <c r="E6" s="41"/>
      <c r="F6" s="41"/>
      <c r="G6" s="41"/>
      <c r="H6" s="41"/>
      <c r="I6" s="41"/>
      <c r="J6" s="41"/>
      <c r="K6" s="41"/>
      <c r="L6" s="41"/>
      <c r="M6" s="41"/>
      <c r="N6" s="41"/>
      <c r="O6" s="41"/>
      <c r="P6" s="41"/>
      <c r="Q6" s="2"/>
      <c r="R6" s="2"/>
      <c r="S6" s="2"/>
      <c r="T6" s="138"/>
      <c r="U6" s="40"/>
      <c r="V6" s="306" t="str">
        <f>IF(COUNTIF(V11:V37,0)=0,"","For calendar quarters where business was not being written and there are no earned exposures, enter blank cells rather than cells containing zero.")</f>
        <v/>
      </c>
      <c r="W6" s="41"/>
      <c r="X6" s="41"/>
      <c r="Y6" s="41"/>
      <c r="Z6" s="41"/>
      <c r="AA6" s="41"/>
      <c r="AB6" s="41"/>
      <c r="AC6" s="41"/>
      <c r="AD6" s="41"/>
      <c r="AE6" s="41"/>
      <c r="AF6" s="41"/>
      <c r="AG6" s="41"/>
      <c r="AH6" s="41"/>
      <c r="AI6" s="2"/>
      <c r="AJ6" s="2"/>
      <c r="AK6" s="2"/>
      <c r="AL6" s="138"/>
      <c r="AM6" s="40"/>
      <c r="AN6" s="306" t="str">
        <f>IF(COUNTIF(AN11:AN37,0)=0,"","For calendar quarters where business was not being written and there are no earned exposures, enter blank cells rather than cells containing zero.")</f>
        <v/>
      </c>
      <c r="AO6" s="41"/>
      <c r="AP6" s="41"/>
      <c r="AQ6" s="41"/>
      <c r="AR6" s="41"/>
      <c r="AS6" s="41"/>
      <c r="AT6" s="41"/>
      <c r="AU6" s="41"/>
      <c r="AV6" s="41"/>
      <c r="AW6" s="41"/>
      <c r="AX6" s="41"/>
      <c r="AY6" s="41"/>
      <c r="AZ6" s="41"/>
      <c r="BA6" s="2"/>
      <c r="BB6" s="2"/>
      <c r="BC6" s="2"/>
      <c r="BD6" s="138"/>
      <c r="BE6" s="40"/>
      <c r="BF6" s="306" t="str">
        <f>IF(COUNTIF(BF11:BF37,0)=0,"","For calendar quarters where business was not being written and there are no earned exposures, enter blank cells rather than cells containing zero.")</f>
        <v/>
      </c>
      <c r="BG6" s="41"/>
      <c r="BH6" s="41"/>
      <c r="BI6" s="41"/>
      <c r="BJ6" s="41"/>
      <c r="BK6" s="41"/>
      <c r="BL6" s="41"/>
      <c r="BM6" s="41"/>
      <c r="BN6" s="41"/>
      <c r="BO6" s="41"/>
      <c r="BP6" s="41"/>
      <c r="BQ6" s="41"/>
      <c r="BR6" s="41"/>
      <c r="BS6" s="2"/>
      <c r="BT6" s="2"/>
      <c r="BU6" s="2"/>
      <c r="BV6" s="138"/>
      <c r="BW6" s="40"/>
      <c r="BX6" s="265" t="str">
        <f>IF(COUNTIF(BX11:BX37,0)=0,"","For calendar quarters where business was not being written and there are no earned exposures, enter blank cells rather than cells containing zero.")</f>
        <v/>
      </c>
      <c r="BY6" s="41"/>
      <c r="BZ6" s="41"/>
      <c r="CA6" s="41"/>
      <c r="CB6" s="41"/>
      <c r="CC6" s="41"/>
      <c r="CD6" s="41"/>
      <c r="CE6" s="41"/>
      <c r="CF6" s="41"/>
      <c r="CG6" s="41"/>
      <c r="CH6" s="41"/>
      <c r="CI6" s="41"/>
      <c r="CJ6" s="41"/>
      <c r="CK6" s="2"/>
      <c r="CL6" s="2"/>
      <c r="CM6" s="2"/>
      <c r="CN6" s="138"/>
      <c r="CO6" s="40"/>
      <c r="CP6" s="265" t="str">
        <f>IF(COUNTIF(CP11:CP37,0)=0,"","For calendar quarters where business was not being written and there are no earned exposures, enter blank cells rather than cells containing zero.")</f>
        <v/>
      </c>
      <c r="CQ6" s="41"/>
      <c r="CR6" s="41"/>
      <c r="CS6" s="41"/>
      <c r="CT6" s="41"/>
      <c r="CU6" s="41"/>
      <c r="CV6" s="41"/>
      <c r="CW6" s="41"/>
      <c r="CX6" s="41"/>
      <c r="CY6" s="41"/>
      <c r="CZ6" s="41"/>
      <c r="DA6" s="41"/>
      <c r="DB6" s="41"/>
      <c r="DC6" s="2"/>
      <c r="DD6" s="2"/>
      <c r="DE6" s="2"/>
      <c r="DF6" s="138"/>
      <c r="DG6" s="40"/>
      <c r="DH6" s="265" t="str">
        <f>IF(COUNTIF(DH11:DH37,0)=0,"","For calendar quarters where business was not being written and there are no earned exposures, enter blank cells rather than cells containing zero.")</f>
        <v/>
      </c>
      <c r="DI6" s="41"/>
      <c r="DJ6" s="41"/>
      <c r="DK6" s="41"/>
      <c r="DL6" s="41"/>
      <c r="DM6" s="41"/>
      <c r="DN6" s="41"/>
      <c r="DO6" s="41"/>
      <c r="DP6" s="41"/>
      <c r="DQ6" s="41"/>
      <c r="DR6" s="41"/>
      <c r="DS6" s="41"/>
      <c r="DT6" s="41"/>
      <c r="DU6" s="2"/>
      <c r="DV6" s="2"/>
      <c r="DW6" s="2"/>
      <c r="DX6" s="138"/>
      <c r="DY6" s="40"/>
      <c r="DZ6" s="265" t="str">
        <f>IF(COUNTIF(DZ11:DZ37,0)=0,"","For calendar quarters where business was not being written and there are no earned exposures, enter blank cells rather than cells containing zero.")</f>
        <v/>
      </c>
      <c r="EA6" s="41"/>
      <c r="EB6" s="41"/>
      <c r="EC6" s="41"/>
      <c r="ED6" s="41"/>
      <c r="EE6" s="41"/>
      <c r="EF6" s="41"/>
      <c r="EG6" s="41"/>
      <c r="EH6" s="41"/>
      <c r="EI6" s="41"/>
      <c r="EJ6" s="41"/>
      <c r="EK6" s="41"/>
      <c r="EL6" s="41"/>
      <c r="EM6" s="2"/>
      <c r="EN6" s="2"/>
      <c r="EO6" s="2"/>
      <c r="EP6" s="138"/>
      <c r="EQ6" s="40"/>
      <c r="ER6" s="265" t="str">
        <f>IF(COUNTIF(ER11:ER37,0)=0,"","For calendar quarters where business was not being written and there are no earned exposures, enter blank cells rather than cells containing zero.")</f>
        <v/>
      </c>
      <c r="ES6" s="41"/>
      <c r="ET6" s="41"/>
      <c r="EU6" s="41"/>
      <c r="EV6" s="41"/>
      <c r="EW6" s="41"/>
      <c r="EX6" s="41"/>
      <c r="EY6" s="41"/>
      <c r="EZ6" s="41"/>
      <c r="FA6" s="41"/>
      <c r="FB6" s="41"/>
      <c r="FC6" s="41"/>
      <c r="FD6" s="41"/>
      <c r="FE6" s="2"/>
      <c r="FF6" s="2"/>
      <c r="FG6" s="2"/>
      <c r="FH6" s="138"/>
      <c r="FI6" s="40"/>
      <c r="FJ6" s="265" t="str">
        <f>IF(COUNTIF(FJ11:FJ37,0)=0,"","For calendar quarters where business was not being written and there are no earned exposures, enter blank cells rather than cells containing zero.")</f>
        <v/>
      </c>
      <c r="FK6" s="41"/>
      <c r="FL6" s="41"/>
      <c r="FM6" s="41"/>
      <c r="FN6" s="41"/>
      <c r="FO6" s="41"/>
      <c r="FP6" s="41"/>
      <c r="FQ6" s="41"/>
      <c r="FR6" s="41"/>
      <c r="FS6" s="41"/>
      <c r="FT6" s="41"/>
      <c r="FU6" s="41"/>
      <c r="FV6" s="41"/>
      <c r="FW6" s="2"/>
      <c r="FX6" s="2"/>
      <c r="FY6" s="2"/>
    </row>
    <row r="7" spans="1:181" s="300" customFormat="1" x14ac:dyDescent="0.25">
      <c r="B7" s="301"/>
      <c r="C7" s="302"/>
      <c r="D7" s="300" t="str">
        <f>IF(COUNTBLANK(D11:H37)=135,"",IF(COUNTBLANK(D11:H37)=0,"","It appears as though you have blank cells/ no data for some years and a variance may be required."))</f>
        <v/>
      </c>
      <c r="E7" s="303"/>
      <c r="F7" s="303"/>
      <c r="G7" s="303"/>
      <c r="H7" s="303"/>
      <c r="I7" s="303"/>
      <c r="J7" s="303"/>
      <c r="K7" s="303"/>
      <c r="L7" s="303"/>
      <c r="M7" s="303"/>
      <c r="N7" s="303"/>
      <c r="O7" s="303"/>
      <c r="P7" s="303"/>
      <c r="Q7" s="304"/>
      <c r="R7" s="304"/>
      <c r="S7" s="304"/>
      <c r="T7" s="301"/>
      <c r="U7" s="302"/>
      <c r="V7" s="305" t="str">
        <f>IF(COUNTBLANK(V11:Z37)=135,"",IF(COUNTBLANK(V11:Z37)=0,"","It appears as though you have blank cells/ no data for some years and a variance may be required."))</f>
        <v/>
      </c>
      <c r="W7" s="303"/>
      <c r="X7" s="303"/>
      <c r="Y7" s="303"/>
      <c r="Z7" s="303"/>
      <c r="AA7" s="303"/>
      <c r="AB7" s="303"/>
      <c r="AC7" s="303"/>
      <c r="AD7" s="303"/>
      <c r="AE7" s="303"/>
      <c r="AF7" s="303"/>
      <c r="AG7" s="303"/>
      <c r="AH7" s="303"/>
      <c r="AI7" s="304"/>
      <c r="AJ7" s="304"/>
      <c r="AK7" s="304"/>
      <c r="AL7" s="301"/>
      <c r="AM7" s="302"/>
      <c r="AN7" s="307" t="str">
        <f>IF(COUNTBLANK(AN11:AR37)=135,"",IF(COUNTBLANK(AN11:AR37)=0,"","It appears as though you have blank cells/ no data for some years and a variance may be required."))</f>
        <v/>
      </c>
      <c r="AO7" s="303"/>
      <c r="AP7" s="303"/>
      <c r="AQ7" s="303"/>
      <c r="AR7" s="303"/>
      <c r="AS7" s="303"/>
      <c r="AT7" s="303"/>
      <c r="AU7" s="303"/>
      <c r="AV7" s="303"/>
      <c r="AW7" s="303"/>
      <c r="AX7" s="303"/>
      <c r="AY7" s="303"/>
      <c r="AZ7" s="303"/>
      <c r="BA7" s="304"/>
      <c r="BB7" s="304"/>
      <c r="BC7" s="304"/>
      <c r="BD7" s="301"/>
      <c r="BE7" s="302"/>
      <c r="BF7" s="305" t="str">
        <f>IF(COUNTBLANK(BF11:BJ37)=135,"",IF(COUNTBLANK(BF11:BJ37)=0,"","It appears as though you have blank cells/ no data for some years and a variance may be required."))</f>
        <v/>
      </c>
      <c r="BG7" s="303"/>
      <c r="BH7" s="303"/>
      <c r="BI7" s="303"/>
      <c r="BJ7" s="303"/>
      <c r="BK7" s="303"/>
      <c r="BL7" s="303"/>
      <c r="BM7" s="303"/>
      <c r="BN7" s="303"/>
      <c r="BO7" s="303"/>
      <c r="BP7" s="303"/>
      <c r="BQ7" s="303"/>
      <c r="BR7" s="303"/>
      <c r="BS7" s="304"/>
      <c r="BT7" s="304"/>
      <c r="BU7" s="304"/>
      <c r="BV7" s="301"/>
      <c r="BW7" s="302"/>
      <c r="BX7" s="305" t="str">
        <f>IF(COUNTBLANK(BX11:CB37)=135,"",IF(COUNTBLANK(BX11:CB37)=0,"","It appears as though you have blank cells/ no data for some years and a variance may be required."))</f>
        <v/>
      </c>
      <c r="BY7" s="303"/>
      <c r="BZ7" s="303"/>
      <c r="CA7" s="303"/>
      <c r="CB7" s="303"/>
      <c r="CC7" s="303"/>
      <c r="CD7" s="303"/>
      <c r="CE7" s="303"/>
      <c r="CF7" s="303"/>
      <c r="CG7" s="303"/>
      <c r="CH7" s="303"/>
      <c r="CI7" s="303"/>
      <c r="CJ7" s="303"/>
      <c r="CK7" s="304"/>
      <c r="CL7" s="304"/>
      <c r="CM7" s="304"/>
      <c r="CN7" s="301"/>
      <c r="CO7" s="302"/>
      <c r="CP7" s="305" t="str">
        <f>IF(COUNTBLANK(CP11:CT37)=135,"",IF(COUNTBLANK(CP11:CT37)=0,"","It appears as though you have blank cells/ no data for some years and a variance may be required."))</f>
        <v/>
      </c>
      <c r="CQ7" s="303"/>
      <c r="CR7" s="303"/>
      <c r="CS7" s="303"/>
      <c r="CT7" s="303"/>
      <c r="CU7" s="303"/>
      <c r="CV7" s="303"/>
      <c r="CW7" s="303"/>
      <c r="CX7" s="303"/>
      <c r="CY7" s="303"/>
      <c r="CZ7" s="303"/>
      <c r="DA7" s="303"/>
      <c r="DB7" s="303"/>
      <c r="DC7" s="304"/>
      <c r="DD7" s="304"/>
      <c r="DE7" s="304"/>
      <c r="DF7" s="301"/>
      <c r="DG7" s="302"/>
      <c r="DH7" s="305" t="str">
        <f>IF(COUNTBLANK(DH11:DL37)=135,"",IF(COUNTBLANK(DH11:DL37)=0,"","It appears as though you have blank cells/ no data for some years and a variance may be required."))</f>
        <v/>
      </c>
      <c r="DI7" s="303"/>
      <c r="DJ7" s="303"/>
      <c r="DK7" s="303"/>
      <c r="DL7" s="303"/>
      <c r="DM7" s="303"/>
      <c r="DN7" s="303"/>
      <c r="DO7" s="303"/>
      <c r="DP7" s="303"/>
      <c r="DQ7" s="303"/>
      <c r="DR7" s="303"/>
      <c r="DS7" s="303"/>
      <c r="DT7" s="303"/>
      <c r="DU7" s="304"/>
      <c r="DV7" s="304"/>
      <c r="DW7" s="304"/>
      <c r="DX7" s="301"/>
      <c r="DY7" s="302"/>
      <c r="DZ7" s="305" t="str">
        <f>IF(COUNTBLANK(DZ11:ED37)=135,"",IF(COUNTBLANK(DZ11:ED37)=0,"","It appears as though you have blank cells/ no data for some years and a variance may be required."))</f>
        <v/>
      </c>
      <c r="EA7" s="303"/>
      <c r="EB7" s="303"/>
      <c r="EC7" s="303"/>
      <c r="ED7" s="303"/>
      <c r="EE7" s="303"/>
      <c r="EF7" s="303"/>
      <c r="EG7" s="303"/>
      <c r="EH7" s="303"/>
      <c r="EI7" s="303"/>
      <c r="EJ7" s="303"/>
      <c r="EK7" s="303"/>
      <c r="EL7" s="303"/>
      <c r="EM7" s="304"/>
      <c r="EN7" s="304"/>
      <c r="EO7" s="304"/>
      <c r="EP7" s="301"/>
      <c r="EQ7" s="302"/>
      <c r="ER7" s="305" t="str">
        <f>IF(COUNTBLANK(ER11:EV37)=135,"",IF(COUNTBLANK(ER11:EV37)=0,"","It appears as though you have blank cells/ no data for some years and a variance may be required."))</f>
        <v/>
      </c>
      <c r="ES7" s="303"/>
      <c r="ET7" s="303"/>
      <c r="EU7" s="303"/>
      <c r="EV7" s="303"/>
      <c r="EW7" s="303"/>
      <c r="EX7" s="303"/>
      <c r="EY7" s="303"/>
      <c r="EZ7" s="303"/>
      <c r="FA7" s="303"/>
      <c r="FB7" s="303"/>
      <c r="FC7" s="303"/>
      <c r="FD7" s="303"/>
      <c r="FE7" s="304"/>
      <c r="FF7" s="304"/>
      <c r="FG7" s="304"/>
      <c r="FH7" s="301"/>
      <c r="FI7" s="302"/>
      <c r="FJ7" s="305" t="str">
        <f>IF(COUNTBLANK(FJ11:FN37)=135,"",IF(COUNTBLANK(FJ11:FN37)=0,"","It appears as though you have blank cells/ no data for some years and a variance may be required."))</f>
        <v/>
      </c>
      <c r="FK7" s="303"/>
      <c r="FL7" s="303"/>
      <c r="FM7" s="303"/>
      <c r="FN7" s="303"/>
      <c r="FO7" s="303"/>
      <c r="FP7" s="303"/>
      <c r="FQ7" s="303"/>
      <c r="FR7" s="303"/>
      <c r="FS7" s="303"/>
      <c r="FT7" s="303"/>
      <c r="FU7" s="303"/>
      <c r="FV7" s="303"/>
      <c r="FW7" s="304"/>
      <c r="FX7" s="304"/>
      <c r="FY7" s="304"/>
    </row>
    <row r="8" spans="1:181" ht="15.75" customHeight="1" x14ac:dyDescent="0.25">
      <c r="B8" s="50"/>
      <c r="C8" s="5"/>
      <c r="D8" s="52" t="str">
        <f>"California Company-Specific Loss "&amp;IF(DCCE_LTrndCo="Includes DCCE","and DCCE ","")&amp;"Trend Data"</f>
        <v>California Company-Specific Loss Trend Data</v>
      </c>
      <c r="E8" s="52"/>
      <c r="F8" s="2"/>
      <c r="G8" s="52"/>
      <c r="H8" s="52"/>
      <c r="I8" s="4"/>
      <c r="J8" s="4"/>
      <c r="K8" s="4"/>
      <c r="L8" s="4"/>
      <c r="M8" s="4"/>
      <c r="N8" s="4"/>
      <c r="O8" s="4"/>
      <c r="T8" s="50"/>
      <c r="U8" s="5"/>
      <c r="V8" s="52" t="str">
        <f>"California Company-Specific Loss "&amp;IF(DCCE_LTrndCo="Includes DCCE","and DCCE ","")&amp;"Trend Data"</f>
        <v>California Company-Specific Loss Trend Data</v>
      </c>
      <c r="W8" s="52"/>
      <c r="X8" s="2"/>
      <c r="Y8" s="52"/>
      <c r="Z8" s="52"/>
      <c r="AA8" s="4"/>
      <c r="AB8" s="4"/>
      <c r="AC8" s="4"/>
      <c r="AD8" s="4"/>
      <c r="AE8" s="4"/>
      <c r="AF8" s="4"/>
      <c r="AG8" s="4"/>
      <c r="AL8" s="50"/>
      <c r="AM8" s="5"/>
      <c r="AN8" s="52" t="str">
        <f>"California Company-Specific Loss "&amp;IF(DCCE_LTrndCo="Includes DCCE","and DCCE ","")&amp;"Trend Data"</f>
        <v>California Company-Specific Loss Trend Data</v>
      </c>
      <c r="AO8" s="52"/>
      <c r="AP8" s="2"/>
      <c r="AQ8" s="52"/>
      <c r="AR8" s="52"/>
      <c r="AS8" s="4"/>
      <c r="AT8" s="4"/>
      <c r="AU8" s="4"/>
      <c r="AV8" s="4"/>
      <c r="AW8" s="4"/>
      <c r="AX8" s="4"/>
      <c r="AY8" s="4"/>
      <c r="BD8" s="50"/>
      <c r="BE8" s="5"/>
      <c r="BF8" s="52" t="str">
        <f>"California Company-Specific Loss "&amp;IF(DCCE_LTrndCo="Includes DCCE","and DCCE ","")&amp;"Trend Data"</f>
        <v>California Company-Specific Loss Trend Data</v>
      </c>
      <c r="BG8" s="52"/>
      <c r="BH8" s="2"/>
      <c r="BI8" s="52"/>
      <c r="BJ8" s="52"/>
      <c r="BK8" s="4"/>
      <c r="BL8" s="4"/>
      <c r="BM8" s="4"/>
      <c r="BN8" s="4"/>
      <c r="BO8" s="4"/>
      <c r="BP8" s="4"/>
      <c r="BQ8" s="4"/>
      <c r="BV8" s="50"/>
      <c r="BW8" s="5"/>
      <c r="BX8" s="52" t="str">
        <f>"California Company-Specific Loss "&amp;IF(DCCE_LTrndCo="Includes DCCE","and DCCE ","")&amp;"Trend Data"</f>
        <v>California Company-Specific Loss Trend Data</v>
      </c>
      <c r="BY8" s="52"/>
      <c r="BZ8" s="2"/>
      <c r="CA8" s="52"/>
      <c r="CB8" s="52"/>
      <c r="CC8" s="4"/>
      <c r="CD8" s="4"/>
      <c r="CE8" s="4"/>
      <c r="CF8" s="4"/>
      <c r="CG8" s="4"/>
      <c r="CH8" s="4"/>
      <c r="CI8" s="4"/>
      <c r="CN8" s="50"/>
      <c r="CO8" s="5"/>
      <c r="CP8" s="52" t="str">
        <f>"California Company-Specific Loss "&amp;IF(DCCE_LTrndCo="Includes DCCE","and DCCE ","")&amp;"Trend Data"</f>
        <v>California Company-Specific Loss Trend Data</v>
      </c>
      <c r="CQ8" s="52"/>
      <c r="CR8" s="2"/>
      <c r="CS8" s="52"/>
      <c r="CT8" s="52"/>
      <c r="CU8" s="4"/>
      <c r="CV8" s="4"/>
      <c r="CW8" s="4"/>
      <c r="CX8" s="4"/>
      <c r="CY8" s="4"/>
      <c r="CZ8" s="4"/>
      <c r="DA8" s="4"/>
      <c r="DF8" s="50"/>
      <c r="DG8" s="5"/>
      <c r="DH8" s="52" t="str">
        <f>"California Company-Specific Loss "&amp;IF(DCCE_LTrndCo="Includes DCCE","and DCCE ","")&amp;"Trend Data"</f>
        <v>California Company-Specific Loss Trend Data</v>
      </c>
      <c r="DI8" s="52"/>
      <c r="DJ8" s="2"/>
      <c r="DK8" s="52"/>
      <c r="DL8" s="52"/>
      <c r="DM8" s="4"/>
      <c r="DN8" s="4"/>
      <c r="DO8" s="4"/>
      <c r="DP8" s="4"/>
      <c r="DQ8" s="4"/>
      <c r="DR8" s="4"/>
      <c r="DS8" s="4"/>
      <c r="DX8" s="50"/>
      <c r="DY8" s="5"/>
      <c r="DZ8" s="52" t="str">
        <f>"California Company-Specific Loss "&amp;IF(DCCE_LTrndCo="Includes DCCE","and DCCE ","")&amp;"Trend Data"</f>
        <v>California Company-Specific Loss Trend Data</v>
      </c>
      <c r="EA8" s="52"/>
      <c r="EB8" s="2"/>
      <c r="EC8" s="52"/>
      <c r="ED8" s="52"/>
      <c r="EE8" s="4"/>
      <c r="EF8" s="4"/>
      <c r="EG8" s="4"/>
      <c r="EH8" s="4"/>
      <c r="EI8" s="4"/>
      <c r="EJ8" s="4"/>
      <c r="EK8" s="4"/>
      <c r="EP8" s="50"/>
      <c r="EQ8" s="5"/>
      <c r="ER8" s="52" t="str">
        <f>"California Company-Specific Loss "&amp;IF(DCCE_LTrndCo="Includes DCCE","and DCCE ","")&amp;"Trend Data"</f>
        <v>California Company-Specific Loss Trend Data</v>
      </c>
      <c r="ES8" s="52"/>
      <c r="ET8" s="2"/>
      <c r="EU8" s="52"/>
      <c r="EV8" s="52"/>
      <c r="EW8" s="4"/>
      <c r="EX8" s="4"/>
      <c r="EY8" s="4"/>
      <c r="EZ8" s="4"/>
      <c r="FA8" s="4"/>
      <c r="FB8" s="4"/>
      <c r="FC8" s="4"/>
      <c r="FH8" s="50"/>
      <c r="FI8" s="5"/>
      <c r="FJ8" s="52" t="str">
        <f>"California Company-Specific Loss "&amp;IF(DCCE_LTrndCo="Includes DCCE","and DCCE ","")&amp;"Trend Data"</f>
        <v>California Company-Specific Loss Trend Data</v>
      </c>
      <c r="FK8" s="52"/>
      <c r="FL8" s="2"/>
      <c r="FM8" s="52"/>
      <c r="FN8" s="52"/>
      <c r="FO8" s="4"/>
      <c r="FP8" s="4"/>
      <c r="FQ8" s="4"/>
      <c r="FR8" s="4"/>
      <c r="FS8" s="4"/>
      <c r="FT8" s="4"/>
      <c r="FU8" s="4"/>
    </row>
    <row r="9" spans="1:181" ht="15.75" thickBot="1" x14ac:dyDescent="0.3">
      <c r="B9" s="7"/>
      <c r="C9" s="8"/>
      <c r="D9" s="43" t="s">
        <v>21</v>
      </c>
      <c r="E9" s="9"/>
      <c r="F9" s="51"/>
      <c r="G9" s="9"/>
      <c r="H9" s="9"/>
      <c r="J9" s="45" t="s">
        <v>22</v>
      </c>
      <c r="K9" s="26"/>
      <c r="L9" s="26"/>
      <c r="M9" s="26"/>
      <c r="N9" s="26"/>
      <c r="O9" s="4"/>
      <c r="P9" s="45" t="s">
        <v>22</v>
      </c>
      <c r="Q9" s="26"/>
      <c r="R9" s="26"/>
      <c r="S9" s="26"/>
      <c r="T9" s="7"/>
      <c r="U9" s="8"/>
      <c r="V9" s="43" t="s">
        <v>21</v>
      </c>
      <c r="W9" s="9"/>
      <c r="X9" s="51"/>
      <c r="Y9" s="9"/>
      <c r="Z9" s="9"/>
      <c r="AB9" s="45" t="s">
        <v>22</v>
      </c>
      <c r="AC9" s="26"/>
      <c r="AD9" s="26"/>
      <c r="AE9" s="26"/>
      <c r="AF9" s="26"/>
      <c r="AG9" s="4"/>
      <c r="AH9" s="45" t="s">
        <v>22</v>
      </c>
      <c r="AI9" s="26"/>
      <c r="AJ9" s="26"/>
      <c r="AK9" s="26"/>
      <c r="AL9" s="7"/>
      <c r="AM9" s="8"/>
      <c r="AN9" s="43" t="s">
        <v>21</v>
      </c>
      <c r="AO9" s="9"/>
      <c r="AP9" s="51"/>
      <c r="AQ9" s="9"/>
      <c r="AR9" s="9"/>
      <c r="AT9" s="45" t="s">
        <v>22</v>
      </c>
      <c r="AU9" s="26"/>
      <c r="AV9" s="26"/>
      <c r="AW9" s="26"/>
      <c r="AX9" s="26"/>
      <c r="AY9" s="4"/>
      <c r="AZ9" s="45" t="s">
        <v>22</v>
      </c>
      <c r="BA9" s="26"/>
      <c r="BB9" s="26"/>
      <c r="BC9" s="26"/>
      <c r="BD9" s="7"/>
      <c r="BE9" s="8"/>
      <c r="BF9" s="43" t="s">
        <v>21</v>
      </c>
      <c r="BG9" s="9"/>
      <c r="BH9" s="51"/>
      <c r="BI9" s="9"/>
      <c r="BJ9" s="9"/>
      <c r="BL9" s="45" t="s">
        <v>22</v>
      </c>
      <c r="BM9" s="26"/>
      <c r="BN9" s="26"/>
      <c r="BO9" s="26"/>
      <c r="BP9" s="26"/>
      <c r="BQ9" s="4"/>
      <c r="BR9" s="45" t="s">
        <v>22</v>
      </c>
      <c r="BS9" s="26"/>
      <c r="BT9" s="26"/>
      <c r="BU9" s="26"/>
      <c r="BV9" s="7"/>
      <c r="BW9" s="8"/>
      <c r="BX9" s="43" t="s">
        <v>21</v>
      </c>
      <c r="BY9" s="9"/>
      <c r="BZ9" s="51"/>
      <c r="CA9" s="9"/>
      <c r="CB9" s="9"/>
      <c r="CD9" s="45" t="s">
        <v>22</v>
      </c>
      <c r="CE9" s="26"/>
      <c r="CF9" s="26"/>
      <c r="CG9" s="26"/>
      <c r="CH9" s="26"/>
      <c r="CI9" s="4"/>
      <c r="CJ9" s="45" t="s">
        <v>22</v>
      </c>
      <c r="CK9" s="26"/>
      <c r="CL9" s="26"/>
      <c r="CM9" s="26"/>
      <c r="CN9" s="7"/>
      <c r="CO9" s="8"/>
      <c r="CP9" s="43" t="s">
        <v>21</v>
      </c>
      <c r="CQ9" s="9"/>
      <c r="CR9" s="51"/>
      <c r="CS9" s="9"/>
      <c r="CT9" s="9"/>
      <c r="CV9" s="45" t="s">
        <v>22</v>
      </c>
      <c r="CW9" s="26"/>
      <c r="CX9" s="26"/>
      <c r="CY9" s="26"/>
      <c r="CZ9" s="26"/>
      <c r="DA9" s="4"/>
      <c r="DB9" s="45" t="s">
        <v>22</v>
      </c>
      <c r="DC9" s="26"/>
      <c r="DD9" s="26"/>
      <c r="DE9" s="26"/>
      <c r="DF9" s="7"/>
      <c r="DG9" s="8"/>
      <c r="DH9" s="43" t="s">
        <v>21</v>
      </c>
      <c r="DI9" s="9"/>
      <c r="DJ9" s="51"/>
      <c r="DK9" s="9"/>
      <c r="DL9" s="9"/>
      <c r="DN9" s="45" t="s">
        <v>22</v>
      </c>
      <c r="DO9" s="26"/>
      <c r="DP9" s="26"/>
      <c r="DQ9" s="26"/>
      <c r="DR9" s="26"/>
      <c r="DS9" s="4"/>
      <c r="DT9" s="45" t="s">
        <v>22</v>
      </c>
      <c r="DU9" s="26"/>
      <c r="DV9" s="26"/>
      <c r="DW9" s="26"/>
      <c r="DX9" s="7"/>
      <c r="DY9" s="8"/>
      <c r="DZ9" s="43" t="s">
        <v>21</v>
      </c>
      <c r="EA9" s="9"/>
      <c r="EB9" s="51"/>
      <c r="EC9" s="9"/>
      <c r="ED9" s="9"/>
      <c r="EF9" s="45" t="s">
        <v>22</v>
      </c>
      <c r="EG9" s="26"/>
      <c r="EH9" s="26"/>
      <c r="EI9" s="26"/>
      <c r="EJ9" s="26"/>
      <c r="EK9" s="4"/>
      <c r="EL9" s="45" t="s">
        <v>22</v>
      </c>
      <c r="EM9" s="26"/>
      <c r="EN9" s="26"/>
      <c r="EO9" s="26"/>
      <c r="EP9" s="7"/>
      <c r="EQ9" s="8"/>
      <c r="ER9" s="43" t="s">
        <v>21</v>
      </c>
      <c r="ES9" s="9"/>
      <c r="ET9" s="51"/>
      <c r="EU9" s="9"/>
      <c r="EV9" s="9"/>
      <c r="EX9" s="45" t="s">
        <v>22</v>
      </c>
      <c r="EY9" s="26"/>
      <c r="EZ9" s="26"/>
      <c r="FA9" s="26"/>
      <c r="FB9" s="26"/>
      <c r="FC9" s="4"/>
      <c r="FD9" s="45" t="s">
        <v>22</v>
      </c>
      <c r="FE9" s="26"/>
      <c r="FF9" s="26"/>
      <c r="FG9" s="26"/>
      <c r="FH9" s="7"/>
      <c r="FI9" s="8"/>
      <c r="FJ9" s="43" t="s">
        <v>21</v>
      </c>
      <c r="FK9" s="9"/>
      <c r="FL9" s="51"/>
      <c r="FM9" s="9"/>
      <c r="FN9" s="9"/>
      <c r="FP9" s="45" t="s">
        <v>22</v>
      </c>
      <c r="FQ9" s="26"/>
      <c r="FR9" s="26"/>
      <c r="FS9" s="26"/>
      <c r="FT9" s="26"/>
      <c r="FU9" s="4"/>
      <c r="FV9" s="45" t="s">
        <v>22</v>
      </c>
      <c r="FW9" s="26"/>
      <c r="FX9" s="26"/>
      <c r="FY9" s="26"/>
    </row>
    <row r="10" spans="1:181" ht="105.75" thickBot="1" x14ac:dyDescent="0.3">
      <c r="B10" s="10" t="s">
        <v>0</v>
      </c>
      <c r="D10" s="10" t="s">
        <v>3</v>
      </c>
      <c r="E10" s="10" t="s">
        <v>1</v>
      </c>
      <c r="F10" s="10" t="s">
        <v>2</v>
      </c>
      <c r="G10" s="10" t="str">
        <f>IF(DCCE_LTrndCo="Excludes DCCE","Paid Losses","Paid Losses &amp; DCCE")</f>
        <v>Paid Losses</v>
      </c>
      <c r="H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I10" s="11"/>
      <c r="J10" s="10" t="str">
        <f>D10</f>
        <v>Earned Exposures</v>
      </c>
      <c r="K10" s="10" t="str">
        <f t="shared" ref="K10:N10" si="0">E10</f>
        <v>Closed Claims</v>
      </c>
      <c r="L10" s="10" t="str">
        <f t="shared" si="0"/>
        <v>Reported Claims</v>
      </c>
      <c r="M10" s="10" t="str">
        <f t="shared" si="0"/>
        <v>Paid Losses</v>
      </c>
      <c r="N10" s="10" t="str">
        <f t="shared" si="0"/>
        <v>Total Paid Losses including Partial Payments on Prior Calendar Years, on Closed Claims</v>
      </c>
      <c r="O10" s="4"/>
      <c r="P10" s="10" t="s">
        <v>27</v>
      </c>
      <c r="Q10" s="10" t="s">
        <v>28</v>
      </c>
      <c r="R10" s="10" t="str">
        <f>IF(DCCE_LTrndCo="Excludes DCCE","Paid Loss Severity","Paid Loss &amp; DCCE Severity")</f>
        <v>Paid Loss Severity</v>
      </c>
      <c r="S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T10" s="10" t="s">
        <v>0</v>
      </c>
      <c r="V10" s="10" t="s">
        <v>3</v>
      </c>
      <c r="W10" s="10" t="s">
        <v>1</v>
      </c>
      <c r="X10" s="10" t="s">
        <v>2</v>
      </c>
      <c r="Y10" s="10" t="str">
        <f>IF(DCCE_LTrndCo="Excludes DCCE","Paid Losses","Paid Losses &amp; DCCE")</f>
        <v>Paid Losses</v>
      </c>
      <c r="Z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A10" s="11"/>
      <c r="AB10" s="10" t="str">
        <f>V10</f>
        <v>Earned Exposures</v>
      </c>
      <c r="AC10" s="10" t="str">
        <f t="shared" ref="AC10" si="1">W10</f>
        <v>Closed Claims</v>
      </c>
      <c r="AD10" s="10" t="str">
        <f t="shared" ref="AD10" si="2">X10</f>
        <v>Reported Claims</v>
      </c>
      <c r="AE10" s="10" t="str">
        <f t="shared" ref="AE10" si="3">Y10</f>
        <v>Paid Losses</v>
      </c>
      <c r="AF10" s="10" t="str">
        <f t="shared" ref="AF10" si="4">Z10</f>
        <v>Total Paid Losses including Partial Payments on Prior Calendar Years, on Closed Claims</v>
      </c>
      <c r="AG10" s="4"/>
      <c r="AH10" s="10" t="s">
        <v>27</v>
      </c>
      <c r="AI10" s="10" t="s">
        <v>28</v>
      </c>
      <c r="AJ10" s="10" t="str">
        <f>IF(DCCE_LTrndCo="Excludes DCCE","Paid Loss Severity","Paid Loss &amp; DCCE Severity")</f>
        <v>Paid Loss Severity</v>
      </c>
      <c r="AK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AL10" s="10" t="s">
        <v>0</v>
      </c>
      <c r="AN10" s="10" t="s">
        <v>3</v>
      </c>
      <c r="AO10" s="10" t="s">
        <v>1</v>
      </c>
      <c r="AP10" s="10" t="s">
        <v>2</v>
      </c>
      <c r="AQ10" s="10" t="str">
        <f>IF(DCCE_LTrndCo="Excludes DCCE","Paid Losses","Paid Losses &amp; DCCE")</f>
        <v>Paid Losses</v>
      </c>
      <c r="AR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S10" s="11"/>
      <c r="AT10" s="10" t="str">
        <f>AN10</f>
        <v>Earned Exposures</v>
      </c>
      <c r="AU10" s="10" t="str">
        <f t="shared" ref="AU10" si="5">AO10</f>
        <v>Closed Claims</v>
      </c>
      <c r="AV10" s="10" t="str">
        <f t="shared" ref="AV10" si="6">AP10</f>
        <v>Reported Claims</v>
      </c>
      <c r="AW10" s="10" t="str">
        <f t="shared" ref="AW10" si="7">AQ10</f>
        <v>Paid Losses</v>
      </c>
      <c r="AX10" s="10" t="str">
        <f t="shared" ref="AX10" si="8">AR10</f>
        <v>Total Paid Losses including Partial Payments on Prior Calendar Years, on Closed Claims</v>
      </c>
      <c r="AY10" s="4"/>
      <c r="AZ10" s="10" t="s">
        <v>27</v>
      </c>
      <c r="BA10" s="10" t="s">
        <v>28</v>
      </c>
      <c r="BB10" s="10" t="str">
        <f>IF(DCCE_LTrndCo="Excludes DCCE","Paid Loss Severity","Paid Loss &amp; DCCE Severity")</f>
        <v>Paid Loss Severity</v>
      </c>
      <c r="BC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D10" s="10" t="s">
        <v>0</v>
      </c>
      <c r="BF10" s="10" t="s">
        <v>3</v>
      </c>
      <c r="BG10" s="10" t="s">
        <v>1</v>
      </c>
      <c r="BH10" s="10" t="s">
        <v>2</v>
      </c>
      <c r="BI10" s="10" t="str">
        <f>IF(DCCE_LTrndCo="Excludes DCCE","Paid Losses","Paid Losses &amp; DCCE")</f>
        <v>Paid Losses</v>
      </c>
      <c r="BJ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BK10" s="11"/>
      <c r="BL10" s="10" t="str">
        <f>BF10</f>
        <v>Earned Exposures</v>
      </c>
      <c r="BM10" s="10" t="str">
        <f t="shared" ref="BM10" si="9">BG10</f>
        <v>Closed Claims</v>
      </c>
      <c r="BN10" s="10" t="str">
        <f t="shared" ref="BN10" si="10">BH10</f>
        <v>Reported Claims</v>
      </c>
      <c r="BO10" s="10" t="str">
        <f t="shared" ref="BO10" si="11">BI10</f>
        <v>Paid Losses</v>
      </c>
      <c r="BP10" s="10" t="str">
        <f t="shared" ref="BP10" si="12">BJ10</f>
        <v>Total Paid Losses including Partial Payments on Prior Calendar Years, on Closed Claims</v>
      </c>
      <c r="BQ10" s="4"/>
      <c r="BR10" s="10" t="s">
        <v>27</v>
      </c>
      <c r="BS10" s="10" t="s">
        <v>28</v>
      </c>
      <c r="BT10" s="10" t="str">
        <f>IF(DCCE_LTrndCo="Excludes DCCE","Paid Loss Severity","Paid Loss &amp; DCCE Severity")</f>
        <v>Paid Loss Severity</v>
      </c>
      <c r="BU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V10" s="10" t="s">
        <v>0</v>
      </c>
      <c r="BX10" s="10" t="s">
        <v>3</v>
      </c>
      <c r="BY10" s="10" t="s">
        <v>1</v>
      </c>
      <c r="BZ10" s="10" t="s">
        <v>2</v>
      </c>
      <c r="CA10" s="10" t="str">
        <f>IF(DCCE_LTrndCo="Excludes DCCE","Paid Losses","Paid Losses &amp; DCCE")</f>
        <v>Paid Losses</v>
      </c>
      <c r="CB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C10" s="11"/>
      <c r="CD10" s="10" t="str">
        <f>BX10</f>
        <v>Earned Exposures</v>
      </c>
      <c r="CE10" s="10" t="str">
        <f t="shared" ref="CE10" si="13">BY10</f>
        <v>Closed Claims</v>
      </c>
      <c r="CF10" s="10" t="str">
        <f t="shared" ref="CF10" si="14">BZ10</f>
        <v>Reported Claims</v>
      </c>
      <c r="CG10" s="10" t="str">
        <f t="shared" ref="CG10" si="15">CA10</f>
        <v>Paid Losses</v>
      </c>
      <c r="CH10" s="10" t="str">
        <f t="shared" ref="CH10" si="16">CB10</f>
        <v>Total Paid Losses including Partial Payments on Prior Calendar Years, on Closed Claims</v>
      </c>
      <c r="CI10" s="4"/>
      <c r="CJ10" s="10" t="s">
        <v>27</v>
      </c>
      <c r="CK10" s="10" t="s">
        <v>28</v>
      </c>
      <c r="CL10" s="10" t="str">
        <f>IF(DCCE_LTrndCo="Excludes DCCE","Paid Loss Severity","Paid Loss &amp; DCCE Severity")</f>
        <v>Paid Loss Severity</v>
      </c>
      <c r="CM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CN10" s="10" t="s">
        <v>0</v>
      </c>
      <c r="CP10" s="10" t="s">
        <v>3</v>
      </c>
      <c r="CQ10" s="10" t="s">
        <v>1</v>
      </c>
      <c r="CR10" s="10" t="s">
        <v>2</v>
      </c>
      <c r="CS10" s="10" t="str">
        <f>IF(DCCE_LTrndCo="Excludes DCCE","Paid Losses","Paid Losses &amp; DCCE")</f>
        <v>Paid Losses</v>
      </c>
      <c r="CT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U10" s="11"/>
      <c r="CV10" s="10" t="str">
        <f>CP10</f>
        <v>Earned Exposures</v>
      </c>
      <c r="CW10" s="10" t="str">
        <f t="shared" ref="CW10" si="17">CQ10</f>
        <v>Closed Claims</v>
      </c>
      <c r="CX10" s="10" t="str">
        <f t="shared" ref="CX10" si="18">CR10</f>
        <v>Reported Claims</v>
      </c>
      <c r="CY10" s="10" t="str">
        <f t="shared" ref="CY10" si="19">CS10</f>
        <v>Paid Losses</v>
      </c>
      <c r="CZ10" s="10" t="str">
        <f t="shared" ref="CZ10" si="20">CT10</f>
        <v>Total Paid Losses including Partial Payments on Prior Calendar Years, on Closed Claims</v>
      </c>
      <c r="DA10" s="4"/>
      <c r="DB10" s="10" t="s">
        <v>27</v>
      </c>
      <c r="DC10" s="10" t="s">
        <v>28</v>
      </c>
      <c r="DD10" s="10" t="str">
        <f>IF(DCCE_LTrndCo="Excludes DCCE","Paid Loss Severity","Paid Loss &amp; DCCE Severity")</f>
        <v>Paid Loss Severity</v>
      </c>
      <c r="DE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F10" s="10" t="s">
        <v>0</v>
      </c>
      <c r="DH10" s="10" t="s">
        <v>3</v>
      </c>
      <c r="DI10" s="10" t="s">
        <v>1</v>
      </c>
      <c r="DJ10" s="10" t="s">
        <v>2</v>
      </c>
      <c r="DK10" s="10" t="str">
        <f>IF(DCCE_LTrndCo="Excludes DCCE","Paid Losses","Paid Losses &amp; DCCE")</f>
        <v>Paid Losses</v>
      </c>
      <c r="DL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DM10" s="11"/>
      <c r="DN10" s="10" t="str">
        <f>DH10</f>
        <v>Earned Exposures</v>
      </c>
      <c r="DO10" s="10" t="str">
        <f t="shared" ref="DO10" si="21">DI10</f>
        <v>Closed Claims</v>
      </c>
      <c r="DP10" s="10" t="str">
        <f t="shared" ref="DP10" si="22">DJ10</f>
        <v>Reported Claims</v>
      </c>
      <c r="DQ10" s="10" t="str">
        <f t="shared" ref="DQ10" si="23">DK10</f>
        <v>Paid Losses</v>
      </c>
      <c r="DR10" s="10" t="str">
        <f t="shared" ref="DR10" si="24">DL10</f>
        <v>Total Paid Losses including Partial Payments on Prior Calendar Years, on Closed Claims</v>
      </c>
      <c r="DS10" s="4"/>
      <c r="DT10" s="10" t="s">
        <v>27</v>
      </c>
      <c r="DU10" s="10" t="s">
        <v>28</v>
      </c>
      <c r="DV10" s="10" t="str">
        <f>IF(DCCE_LTrndCo="Excludes DCCE","Paid Loss Severity","Paid Loss &amp; DCCE Severity")</f>
        <v>Paid Loss Severity</v>
      </c>
      <c r="DW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X10" s="10" t="s">
        <v>0</v>
      </c>
      <c r="DZ10" s="10" t="s">
        <v>3</v>
      </c>
      <c r="EA10" s="10" t="s">
        <v>1</v>
      </c>
      <c r="EB10" s="10" t="s">
        <v>2</v>
      </c>
      <c r="EC10" s="10" t="str">
        <f>IF(DCCE_LTrndCo="Excludes DCCE","Paid Losses","Paid Losses &amp; DCCE")</f>
        <v>Paid Losses</v>
      </c>
      <c r="ED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E10" s="11"/>
      <c r="EF10" s="10" t="str">
        <f>DZ10</f>
        <v>Earned Exposures</v>
      </c>
      <c r="EG10" s="10" t="str">
        <f t="shared" ref="EG10" si="25">EA10</f>
        <v>Closed Claims</v>
      </c>
      <c r="EH10" s="10" t="str">
        <f t="shared" ref="EH10" si="26">EB10</f>
        <v>Reported Claims</v>
      </c>
      <c r="EI10" s="10" t="str">
        <f t="shared" ref="EI10" si="27">EC10</f>
        <v>Paid Losses</v>
      </c>
      <c r="EJ10" s="10" t="str">
        <f t="shared" ref="EJ10" si="28">ED10</f>
        <v>Total Paid Losses including Partial Payments on Prior Calendar Years, on Closed Claims</v>
      </c>
      <c r="EK10" s="4"/>
      <c r="EL10" s="10" t="s">
        <v>27</v>
      </c>
      <c r="EM10" s="10" t="s">
        <v>28</v>
      </c>
      <c r="EN10" s="10" t="str">
        <f>IF(DCCE_LTrndCo="Excludes DCCE","Paid Loss Severity","Paid Loss &amp; DCCE Severity")</f>
        <v>Paid Loss Severity</v>
      </c>
      <c r="EO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EP10" s="10" t="s">
        <v>0</v>
      </c>
      <c r="ER10" s="10" t="s">
        <v>3</v>
      </c>
      <c r="ES10" s="10" t="s">
        <v>1</v>
      </c>
      <c r="ET10" s="10" t="s">
        <v>2</v>
      </c>
      <c r="EU10" s="10" t="str">
        <f>IF(DCCE_LTrndCo="Excludes DCCE","Paid Losses","Paid Losses &amp; DCCE")</f>
        <v>Paid Losses</v>
      </c>
      <c r="EV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W10" s="11"/>
      <c r="EX10" s="10" t="str">
        <f>ER10</f>
        <v>Earned Exposures</v>
      </c>
      <c r="EY10" s="10" t="str">
        <f t="shared" ref="EY10" si="29">ES10</f>
        <v>Closed Claims</v>
      </c>
      <c r="EZ10" s="10" t="str">
        <f t="shared" ref="EZ10" si="30">ET10</f>
        <v>Reported Claims</v>
      </c>
      <c r="FA10" s="10" t="str">
        <f t="shared" ref="FA10" si="31">EU10</f>
        <v>Paid Losses</v>
      </c>
      <c r="FB10" s="10" t="str">
        <f t="shared" ref="FB10" si="32">EV10</f>
        <v>Total Paid Losses including Partial Payments on Prior Calendar Years, on Closed Claims</v>
      </c>
      <c r="FC10" s="4"/>
      <c r="FD10" s="10" t="s">
        <v>27</v>
      </c>
      <c r="FE10" s="10" t="s">
        <v>28</v>
      </c>
      <c r="FF10" s="10" t="str">
        <f>IF(DCCE_LTrndCo="Excludes DCCE","Paid Loss Severity","Paid Loss &amp; DCCE Severity")</f>
        <v>Paid Loss Severity</v>
      </c>
      <c r="FG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FH10" s="10" t="s">
        <v>0</v>
      </c>
      <c r="FJ10" s="10" t="s">
        <v>3</v>
      </c>
      <c r="FK10" s="10" t="s">
        <v>1</v>
      </c>
      <c r="FL10" s="10" t="s">
        <v>2</v>
      </c>
      <c r="FM10" s="10" t="str">
        <f>IF(DCCE_LTrndCo="Excludes DCCE","Paid Losses","Paid Losses &amp; DCCE")</f>
        <v>Paid Losses</v>
      </c>
      <c r="FN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FO10" s="11"/>
      <c r="FP10" s="10" t="str">
        <f>FJ10</f>
        <v>Earned Exposures</v>
      </c>
      <c r="FQ10" s="10" t="str">
        <f t="shared" ref="FQ10" si="33">FK10</f>
        <v>Closed Claims</v>
      </c>
      <c r="FR10" s="10" t="str">
        <f t="shared" ref="FR10" si="34">FL10</f>
        <v>Reported Claims</v>
      </c>
      <c r="FS10" s="10" t="str">
        <f t="shared" ref="FS10" si="35">FM10</f>
        <v>Paid Losses</v>
      </c>
      <c r="FT10" s="10" t="str">
        <f t="shared" ref="FT10" si="36">FN10</f>
        <v>Total Paid Losses including Partial Payments on Prior Calendar Years, on Closed Claims</v>
      </c>
      <c r="FU10" s="4"/>
      <c r="FV10" s="10" t="s">
        <v>27</v>
      </c>
      <c r="FW10" s="10" t="s">
        <v>28</v>
      </c>
      <c r="FX10" s="10" t="str">
        <f>IF(DCCE_LTrndCo="Excludes DCCE","Paid Loss Severity","Paid Loss &amp; DCCE Severity")</f>
        <v>Paid Loss Severity</v>
      </c>
      <c r="FY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row>
    <row r="11" spans="1:181" x14ac:dyDescent="0.25">
      <c r="A11" s="25">
        <v>1</v>
      </c>
      <c r="B11" s="31">
        <f t="shared" ref="B11:B35" si="37">IF(RIGHT(B12,1)="1",B12-7,B12-1)</f>
        <v>20154</v>
      </c>
      <c r="C11" s="13"/>
      <c r="D11" s="84">
        <v>69870.48</v>
      </c>
      <c r="E11" s="84">
        <v>1140</v>
      </c>
      <c r="F11" s="84">
        <v>1546</v>
      </c>
      <c r="G11" s="84">
        <v>18608584.600000001</v>
      </c>
      <c r="H11" s="84">
        <v>19856375.559999991</v>
      </c>
      <c r="I11" s="13"/>
      <c r="J11" s="34"/>
      <c r="K11" s="34"/>
      <c r="L11" s="34"/>
      <c r="M11" s="34"/>
      <c r="N11" s="34"/>
      <c r="O11" s="4"/>
      <c r="P11" s="34"/>
      <c r="Q11" s="34"/>
      <c r="R11" s="34"/>
      <c r="S11" s="34"/>
      <c r="T11" s="31">
        <f t="shared" ref="T11:T35" si="38">IF(RIGHT(T12,1)="1",T12-7,T12-1)</f>
        <v>20154</v>
      </c>
      <c r="U11" s="13"/>
      <c r="V11" s="84"/>
      <c r="W11" s="84"/>
      <c r="X11" s="84"/>
      <c r="Y11" s="84"/>
      <c r="Z11" s="84"/>
      <c r="AA11" s="13"/>
      <c r="AB11" s="34"/>
      <c r="AC11" s="34"/>
      <c r="AD11" s="34"/>
      <c r="AE11" s="34"/>
      <c r="AF11" s="34"/>
      <c r="AG11" s="4"/>
      <c r="AH11" s="34"/>
      <c r="AI11" s="34"/>
      <c r="AJ11" s="34"/>
      <c r="AK11" s="34"/>
      <c r="AL11" s="31">
        <f t="shared" ref="AL11:AL35" si="39">IF(RIGHT(AL12,1)="1",AL12-7,AL12-1)</f>
        <v>20154</v>
      </c>
      <c r="AM11" s="13"/>
      <c r="AN11" s="84"/>
      <c r="AO11" s="84"/>
      <c r="AP11" s="84"/>
      <c r="AQ11" s="84"/>
      <c r="AR11" s="84"/>
      <c r="AS11" s="13"/>
      <c r="AT11" s="34"/>
      <c r="AU11" s="34"/>
      <c r="AV11" s="34"/>
      <c r="AW11" s="34"/>
      <c r="AX11" s="34"/>
      <c r="AY11" s="4"/>
      <c r="AZ11" s="34"/>
      <c r="BA11" s="34"/>
      <c r="BB11" s="34"/>
      <c r="BC11" s="34"/>
      <c r="BD11" s="31">
        <f t="shared" ref="BD11:BD35" si="40">IF(RIGHT(BD12,1)="1",BD12-7,BD12-1)</f>
        <v>20154</v>
      </c>
      <c r="BE11" s="13"/>
      <c r="BF11" s="84"/>
      <c r="BG11" s="84"/>
      <c r="BH11" s="84"/>
      <c r="BI11" s="84"/>
      <c r="BJ11" s="84"/>
      <c r="BK11" s="13"/>
      <c r="BL11" s="34"/>
      <c r="BM11" s="34"/>
      <c r="BN11" s="34"/>
      <c r="BO11" s="34"/>
      <c r="BP11" s="34"/>
      <c r="BQ11" s="4"/>
      <c r="BR11" s="34"/>
      <c r="BS11" s="34"/>
      <c r="BT11" s="34"/>
      <c r="BU11" s="34"/>
      <c r="BV11" s="31">
        <f t="shared" ref="BV11:BV35" si="41">IF(RIGHT(BV12,1)="1",BV12-7,BV12-1)</f>
        <v>20154</v>
      </c>
      <c r="BW11" s="13"/>
      <c r="BX11" s="84"/>
      <c r="BY11" s="84"/>
      <c r="BZ11" s="84"/>
      <c r="CA11" s="84"/>
      <c r="CB11" s="84"/>
      <c r="CC11" s="13"/>
      <c r="CD11" s="34"/>
      <c r="CE11" s="34"/>
      <c r="CF11" s="34"/>
      <c r="CG11" s="34"/>
      <c r="CH11" s="34"/>
      <c r="CI11" s="4"/>
      <c r="CJ11" s="34"/>
      <c r="CK11" s="34"/>
      <c r="CL11" s="34"/>
      <c r="CM11" s="34"/>
      <c r="CN11" s="31">
        <f t="shared" ref="CN11:CN35" si="42">IF(RIGHT(CN12,1)="1",CN12-7,CN12-1)</f>
        <v>20154</v>
      </c>
      <c r="CO11" s="13"/>
      <c r="CP11" s="84"/>
      <c r="CQ11" s="84"/>
      <c r="CR11" s="84"/>
      <c r="CS11" s="84"/>
      <c r="CT11" s="84"/>
      <c r="CU11" s="13"/>
      <c r="CV11" s="34"/>
      <c r="CW11" s="34"/>
      <c r="CX11" s="34"/>
      <c r="CY11" s="34"/>
      <c r="CZ11" s="34"/>
      <c r="DA11" s="4"/>
      <c r="DB11" s="34"/>
      <c r="DC11" s="34"/>
      <c r="DD11" s="34"/>
      <c r="DE11" s="34"/>
      <c r="DF11" s="31">
        <f t="shared" ref="DF11:DF35" si="43">IF(RIGHT(DF12,1)="1",DF12-7,DF12-1)</f>
        <v>20154</v>
      </c>
      <c r="DG11" s="13"/>
      <c r="DH11" s="84"/>
      <c r="DI11" s="84"/>
      <c r="DJ11" s="84"/>
      <c r="DK11" s="84"/>
      <c r="DL11" s="84"/>
      <c r="DM11" s="13"/>
      <c r="DN11" s="34"/>
      <c r="DO11" s="34"/>
      <c r="DP11" s="34"/>
      <c r="DQ11" s="34"/>
      <c r="DR11" s="34"/>
      <c r="DS11" s="4"/>
      <c r="DT11" s="34"/>
      <c r="DU11" s="34"/>
      <c r="DV11" s="34"/>
      <c r="DW11" s="34"/>
      <c r="DX11" s="31">
        <f t="shared" ref="DX11:DX35" si="44">IF(RIGHT(DX12,1)="1",DX12-7,DX12-1)</f>
        <v>20154</v>
      </c>
      <c r="DY11" s="13"/>
      <c r="DZ11" s="84"/>
      <c r="EA11" s="84"/>
      <c r="EB11" s="84"/>
      <c r="EC11" s="84"/>
      <c r="ED11" s="84"/>
      <c r="EE11" s="13"/>
      <c r="EF11" s="34"/>
      <c r="EG11" s="34"/>
      <c r="EH11" s="34"/>
      <c r="EI11" s="34"/>
      <c r="EJ11" s="34"/>
      <c r="EK11" s="4"/>
      <c r="EL11" s="34"/>
      <c r="EM11" s="34"/>
      <c r="EN11" s="34"/>
      <c r="EO11" s="34"/>
      <c r="EP11" s="31">
        <f t="shared" ref="EP11:EP35" si="45">IF(RIGHT(EP12,1)="1",EP12-7,EP12-1)</f>
        <v>20154</v>
      </c>
      <c r="EQ11" s="13"/>
      <c r="ER11" s="84"/>
      <c r="ES11" s="84"/>
      <c r="ET11" s="84"/>
      <c r="EU11" s="84"/>
      <c r="EV11" s="84"/>
      <c r="EW11" s="13"/>
      <c r="EX11" s="34"/>
      <c r="EY11" s="34"/>
      <c r="EZ11" s="34"/>
      <c r="FA11" s="34"/>
      <c r="FB11" s="34"/>
      <c r="FC11" s="4"/>
      <c r="FD11" s="34"/>
      <c r="FE11" s="34"/>
      <c r="FF11" s="34"/>
      <c r="FG11" s="34"/>
      <c r="FH11" s="31">
        <f t="shared" ref="FH11:FH35" si="46">IF(RIGHT(FH12,1)="1",FH12-7,FH12-1)</f>
        <v>20154</v>
      </c>
      <c r="FI11" s="13"/>
      <c r="FJ11" s="84"/>
      <c r="FK11" s="84"/>
      <c r="FL11" s="84"/>
      <c r="FM11" s="84"/>
      <c r="FN11" s="84"/>
      <c r="FO11" s="13"/>
      <c r="FP11" s="34"/>
      <c r="FQ11" s="34"/>
      <c r="FR11" s="34"/>
      <c r="FS11" s="34"/>
      <c r="FT11" s="34"/>
      <c r="FU11" s="4"/>
      <c r="FV11" s="34"/>
      <c r="FW11" s="34"/>
      <c r="FX11" s="34"/>
      <c r="FY11" s="34"/>
    </row>
    <row r="12" spans="1:181" x14ac:dyDescent="0.25">
      <c r="A12" s="25">
        <v>2</v>
      </c>
      <c r="B12" s="31">
        <f t="shared" si="37"/>
        <v>20161</v>
      </c>
      <c r="C12" s="15"/>
      <c r="D12" s="16">
        <v>69739.520000000004</v>
      </c>
      <c r="E12" s="16">
        <v>1254</v>
      </c>
      <c r="F12" s="16">
        <v>1809</v>
      </c>
      <c r="G12" s="16">
        <v>23520340.989999998</v>
      </c>
      <c r="H12" s="16">
        <v>20909037.039999999</v>
      </c>
      <c r="I12" s="13"/>
      <c r="J12" s="35"/>
      <c r="K12" s="35"/>
      <c r="L12" s="35"/>
      <c r="M12" s="35"/>
      <c r="N12" s="35"/>
      <c r="O12" s="4"/>
      <c r="P12" s="35"/>
      <c r="Q12" s="35"/>
      <c r="R12" s="35"/>
      <c r="S12" s="35"/>
      <c r="T12" s="31">
        <f t="shared" si="38"/>
        <v>20161</v>
      </c>
      <c r="U12" s="15"/>
      <c r="V12" s="16"/>
      <c r="W12" s="16"/>
      <c r="X12" s="16"/>
      <c r="Y12" s="16"/>
      <c r="Z12" s="16"/>
      <c r="AA12" s="13"/>
      <c r="AB12" s="35"/>
      <c r="AC12" s="35"/>
      <c r="AD12" s="35"/>
      <c r="AE12" s="35"/>
      <c r="AF12" s="35"/>
      <c r="AG12" s="4"/>
      <c r="AH12" s="35"/>
      <c r="AI12" s="35"/>
      <c r="AJ12" s="35"/>
      <c r="AK12" s="35"/>
      <c r="AL12" s="31">
        <f t="shared" si="39"/>
        <v>20161</v>
      </c>
      <c r="AM12" s="15"/>
      <c r="AN12" s="16"/>
      <c r="AO12" s="16"/>
      <c r="AP12" s="16"/>
      <c r="AQ12" s="16"/>
      <c r="AR12" s="16"/>
      <c r="AS12" s="13"/>
      <c r="AT12" s="35"/>
      <c r="AU12" s="35"/>
      <c r="AV12" s="35"/>
      <c r="AW12" s="35"/>
      <c r="AX12" s="35"/>
      <c r="AY12" s="4"/>
      <c r="AZ12" s="35"/>
      <c r="BA12" s="35"/>
      <c r="BB12" s="35"/>
      <c r="BC12" s="35"/>
      <c r="BD12" s="31">
        <f t="shared" si="40"/>
        <v>20161</v>
      </c>
      <c r="BE12" s="15"/>
      <c r="BF12" s="16"/>
      <c r="BG12" s="16"/>
      <c r="BH12" s="16"/>
      <c r="BI12" s="16"/>
      <c r="BJ12" s="16"/>
      <c r="BK12" s="13"/>
      <c r="BL12" s="35"/>
      <c r="BM12" s="35"/>
      <c r="BN12" s="35"/>
      <c r="BO12" s="35"/>
      <c r="BP12" s="35"/>
      <c r="BQ12" s="4"/>
      <c r="BR12" s="35"/>
      <c r="BS12" s="35"/>
      <c r="BT12" s="35"/>
      <c r="BU12" s="35"/>
      <c r="BV12" s="31">
        <f t="shared" si="41"/>
        <v>20161</v>
      </c>
      <c r="BW12" s="15"/>
      <c r="BX12" s="16"/>
      <c r="BY12" s="16"/>
      <c r="BZ12" s="16"/>
      <c r="CA12" s="16"/>
      <c r="CB12" s="16"/>
      <c r="CC12" s="13"/>
      <c r="CD12" s="35"/>
      <c r="CE12" s="35"/>
      <c r="CF12" s="35"/>
      <c r="CG12" s="35"/>
      <c r="CH12" s="35"/>
      <c r="CI12" s="4"/>
      <c r="CJ12" s="35"/>
      <c r="CK12" s="35"/>
      <c r="CL12" s="35"/>
      <c r="CM12" s="35"/>
      <c r="CN12" s="31">
        <f t="shared" si="42"/>
        <v>20161</v>
      </c>
      <c r="CO12" s="15"/>
      <c r="CP12" s="16"/>
      <c r="CQ12" s="16"/>
      <c r="CR12" s="16"/>
      <c r="CS12" s="16"/>
      <c r="CT12" s="16"/>
      <c r="CU12" s="13"/>
      <c r="CV12" s="35"/>
      <c r="CW12" s="35"/>
      <c r="CX12" s="35"/>
      <c r="CY12" s="35"/>
      <c r="CZ12" s="35"/>
      <c r="DA12" s="4"/>
      <c r="DB12" s="35"/>
      <c r="DC12" s="35"/>
      <c r="DD12" s="35"/>
      <c r="DE12" s="35"/>
      <c r="DF12" s="31">
        <f t="shared" si="43"/>
        <v>20161</v>
      </c>
      <c r="DG12" s="15"/>
      <c r="DH12" s="16"/>
      <c r="DI12" s="16"/>
      <c r="DJ12" s="16"/>
      <c r="DK12" s="16"/>
      <c r="DL12" s="16"/>
      <c r="DM12" s="13"/>
      <c r="DN12" s="35"/>
      <c r="DO12" s="35"/>
      <c r="DP12" s="35"/>
      <c r="DQ12" s="35"/>
      <c r="DR12" s="35"/>
      <c r="DS12" s="4"/>
      <c r="DT12" s="35"/>
      <c r="DU12" s="35"/>
      <c r="DV12" s="35"/>
      <c r="DW12" s="35"/>
      <c r="DX12" s="31">
        <f t="shared" si="44"/>
        <v>20161</v>
      </c>
      <c r="DY12" s="15"/>
      <c r="DZ12" s="16"/>
      <c r="EA12" s="16"/>
      <c r="EB12" s="16"/>
      <c r="EC12" s="16"/>
      <c r="ED12" s="16"/>
      <c r="EE12" s="13"/>
      <c r="EF12" s="35"/>
      <c r="EG12" s="35"/>
      <c r="EH12" s="35"/>
      <c r="EI12" s="35"/>
      <c r="EJ12" s="35"/>
      <c r="EK12" s="4"/>
      <c r="EL12" s="35"/>
      <c r="EM12" s="35"/>
      <c r="EN12" s="35"/>
      <c r="EO12" s="35"/>
      <c r="EP12" s="31">
        <f t="shared" si="45"/>
        <v>20161</v>
      </c>
      <c r="EQ12" s="15"/>
      <c r="ER12" s="16"/>
      <c r="ES12" s="16"/>
      <c r="ET12" s="16"/>
      <c r="EU12" s="16"/>
      <c r="EV12" s="16"/>
      <c r="EW12" s="13"/>
      <c r="EX12" s="35"/>
      <c r="EY12" s="35"/>
      <c r="EZ12" s="35"/>
      <c r="FA12" s="35"/>
      <c r="FB12" s="35"/>
      <c r="FC12" s="4"/>
      <c r="FD12" s="35"/>
      <c r="FE12" s="35"/>
      <c r="FF12" s="35"/>
      <c r="FG12" s="35"/>
      <c r="FH12" s="31">
        <f t="shared" si="46"/>
        <v>20161</v>
      </c>
      <c r="FI12" s="15"/>
      <c r="FJ12" s="16"/>
      <c r="FK12" s="16"/>
      <c r="FL12" s="16"/>
      <c r="FM12" s="16"/>
      <c r="FN12" s="16"/>
      <c r="FO12" s="13"/>
      <c r="FP12" s="35"/>
      <c r="FQ12" s="35"/>
      <c r="FR12" s="35"/>
      <c r="FS12" s="35"/>
      <c r="FT12" s="35"/>
      <c r="FU12" s="4"/>
      <c r="FV12" s="35"/>
      <c r="FW12" s="35"/>
      <c r="FX12" s="35"/>
      <c r="FY12" s="35"/>
    </row>
    <row r="13" spans="1:181" x14ac:dyDescent="0.25">
      <c r="A13" s="25">
        <v>3</v>
      </c>
      <c r="B13" s="31">
        <f t="shared" si="37"/>
        <v>20162</v>
      </c>
      <c r="C13" s="15"/>
      <c r="D13" s="16">
        <v>69733.5</v>
      </c>
      <c r="E13" s="16">
        <v>1096</v>
      </c>
      <c r="F13" s="16">
        <v>1564</v>
      </c>
      <c r="G13" s="16">
        <v>18747519.91</v>
      </c>
      <c r="H13" s="16">
        <v>20050041.039999999</v>
      </c>
      <c r="I13" s="13"/>
      <c r="J13" s="35"/>
      <c r="K13" s="35"/>
      <c r="L13" s="35"/>
      <c r="M13" s="35"/>
      <c r="N13" s="35"/>
      <c r="O13" s="13"/>
      <c r="P13" s="35"/>
      <c r="Q13" s="35"/>
      <c r="R13" s="35"/>
      <c r="S13" s="35"/>
      <c r="T13" s="31">
        <f t="shared" si="38"/>
        <v>20162</v>
      </c>
      <c r="U13" s="15"/>
      <c r="V13" s="16"/>
      <c r="W13" s="16"/>
      <c r="X13" s="16"/>
      <c r="Y13" s="16"/>
      <c r="Z13" s="16"/>
      <c r="AA13" s="13"/>
      <c r="AB13" s="35"/>
      <c r="AC13" s="35"/>
      <c r="AD13" s="35"/>
      <c r="AE13" s="35"/>
      <c r="AF13" s="35"/>
      <c r="AG13" s="13"/>
      <c r="AH13" s="35"/>
      <c r="AI13" s="35"/>
      <c r="AJ13" s="35"/>
      <c r="AK13" s="35"/>
      <c r="AL13" s="31">
        <f t="shared" si="39"/>
        <v>20162</v>
      </c>
      <c r="AM13" s="15"/>
      <c r="AN13" s="16"/>
      <c r="AO13" s="16"/>
      <c r="AP13" s="16"/>
      <c r="AQ13" s="16"/>
      <c r="AR13" s="16"/>
      <c r="AS13" s="13"/>
      <c r="AT13" s="35"/>
      <c r="AU13" s="35"/>
      <c r="AV13" s="35"/>
      <c r="AW13" s="35"/>
      <c r="AX13" s="35"/>
      <c r="AY13" s="13"/>
      <c r="AZ13" s="35"/>
      <c r="BA13" s="35"/>
      <c r="BB13" s="35"/>
      <c r="BC13" s="35"/>
      <c r="BD13" s="31">
        <f t="shared" si="40"/>
        <v>20162</v>
      </c>
      <c r="BE13" s="15"/>
      <c r="BF13" s="16"/>
      <c r="BG13" s="16"/>
      <c r="BH13" s="16"/>
      <c r="BI13" s="16"/>
      <c r="BJ13" s="16"/>
      <c r="BK13" s="13"/>
      <c r="BL13" s="35"/>
      <c r="BM13" s="35"/>
      <c r="BN13" s="35"/>
      <c r="BO13" s="35"/>
      <c r="BP13" s="35"/>
      <c r="BQ13" s="13"/>
      <c r="BR13" s="35"/>
      <c r="BS13" s="35"/>
      <c r="BT13" s="35"/>
      <c r="BU13" s="35"/>
      <c r="BV13" s="31">
        <f t="shared" si="41"/>
        <v>20162</v>
      </c>
      <c r="BW13" s="15"/>
      <c r="BX13" s="16"/>
      <c r="BY13" s="16"/>
      <c r="BZ13" s="16"/>
      <c r="CA13" s="16"/>
      <c r="CB13" s="16"/>
      <c r="CC13" s="13"/>
      <c r="CD13" s="35"/>
      <c r="CE13" s="35"/>
      <c r="CF13" s="35"/>
      <c r="CG13" s="35"/>
      <c r="CH13" s="35"/>
      <c r="CI13" s="13"/>
      <c r="CJ13" s="35"/>
      <c r="CK13" s="35"/>
      <c r="CL13" s="35"/>
      <c r="CM13" s="35"/>
      <c r="CN13" s="31">
        <f t="shared" si="42"/>
        <v>20162</v>
      </c>
      <c r="CO13" s="15"/>
      <c r="CP13" s="16"/>
      <c r="CQ13" s="16"/>
      <c r="CR13" s="16"/>
      <c r="CS13" s="16"/>
      <c r="CT13" s="16"/>
      <c r="CU13" s="13"/>
      <c r="CV13" s="35"/>
      <c r="CW13" s="35"/>
      <c r="CX13" s="35"/>
      <c r="CY13" s="35"/>
      <c r="CZ13" s="35"/>
      <c r="DA13" s="13"/>
      <c r="DB13" s="35"/>
      <c r="DC13" s="35"/>
      <c r="DD13" s="35"/>
      <c r="DE13" s="35"/>
      <c r="DF13" s="31">
        <f t="shared" si="43"/>
        <v>20162</v>
      </c>
      <c r="DG13" s="15"/>
      <c r="DH13" s="16"/>
      <c r="DI13" s="16"/>
      <c r="DJ13" s="16"/>
      <c r="DK13" s="16"/>
      <c r="DL13" s="16"/>
      <c r="DM13" s="13"/>
      <c r="DN13" s="35"/>
      <c r="DO13" s="35"/>
      <c r="DP13" s="35"/>
      <c r="DQ13" s="35"/>
      <c r="DR13" s="35"/>
      <c r="DS13" s="13"/>
      <c r="DT13" s="35"/>
      <c r="DU13" s="35"/>
      <c r="DV13" s="35"/>
      <c r="DW13" s="35"/>
      <c r="DX13" s="31">
        <f t="shared" si="44"/>
        <v>20162</v>
      </c>
      <c r="DY13" s="15"/>
      <c r="DZ13" s="16"/>
      <c r="EA13" s="16"/>
      <c r="EB13" s="16"/>
      <c r="EC13" s="16"/>
      <c r="ED13" s="16"/>
      <c r="EE13" s="13"/>
      <c r="EF13" s="35"/>
      <c r="EG13" s="35"/>
      <c r="EH13" s="35"/>
      <c r="EI13" s="35"/>
      <c r="EJ13" s="35"/>
      <c r="EK13" s="13"/>
      <c r="EL13" s="35"/>
      <c r="EM13" s="35"/>
      <c r="EN13" s="35"/>
      <c r="EO13" s="35"/>
      <c r="EP13" s="31">
        <f t="shared" si="45"/>
        <v>20162</v>
      </c>
      <c r="EQ13" s="15"/>
      <c r="ER13" s="16"/>
      <c r="ES13" s="16"/>
      <c r="ET13" s="16"/>
      <c r="EU13" s="16"/>
      <c r="EV13" s="16"/>
      <c r="EW13" s="13"/>
      <c r="EX13" s="35"/>
      <c r="EY13" s="35"/>
      <c r="EZ13" s="35"/>
      <c r="FA13" s="35"/>
      <c r="FB13" s="35"/>
      <c r="FC13" s="13"/>
      <c r="FD13" s="35"/>
      <c r="FE13" s="35"/>
      <c r="FF13" s="35"/>
      <c r="FG13" s="35"/>
      <c r="FH13" s="31">
        <f t="shared" si="46"/>
        <v>20162</v>
      </c>
      <c r="FI13" s="15"/>
      <c r="FJ13" s="16"/>
      <c r="FK13" s="16"/>
      <c r="FL13" s="16"/>
      <c r="FM13" s="16"/>
      <c r="FN13" s="16"/>
      <c r="FO13" s="13"/>
      <c r="FP13" s="35"/>
      <c r="FQ13" s="35"/>
      <c r="FR13" s="35"/>
      <c r="FS13" s="35"/>
      <c r="FT13" s="35"/>
      <c r="FU13" s="13"/>
      <c r="FV13" s="35"/>
      <c r="FW13" s="35"/>
      <c r="FX13" s="35"/>
      <c r="FY13" s="35"/>
    </row>
    <row r="14" spans="1:181" x14ac:dyDescent="0.25">
      <c r="A14" s="25">
        <v>4</v>
      </c>
      <c r="B14" s="31">
        <f t="shared" si="37"/>
        <v>20163</v>
      </c>
      <c r="C14" s="15"/>
      <c r="D14" s="16">
        <v>69570.61</v>
      </c>
      <c r="E14" s="16">
        <v>1091</v>
      </c>
      <c r="F14" s="16">
        <v>1661</v>
      </c>
      <c r="G14" s="16">
        <v>20073314.16</v>
      </c>
      <c r="H14" s="16">
        <v>19291255.09</v>
      </c>
      <c r="I14" s="13"/>
      <c r="J14" s="33">
        <f>IF(COUNT(D11:D14)&lt;4,"",SUM(D11:D14))</f>
        <v>278914.11</v>
      </c>
      <c r="K14" s="33">
        <f>IF(COUNT(D11:D14)&lt;4,"",SUM(E11:E14))</f>
        <v>4581</v>
      </c>
      <c r="L14" s="33">
        <f>IF(COUNT(D11:D14)&lt;4,"",SUM(F11:F14))</f>
        <v>6580</v>
      </c>
      <c r="M14" s="33">
        <f>IF(COUNT(D11:D14)&lt;4,"",SUM(G11:G14))</f>
        <v>80949759.659999996</v>
      </c>
      <c r="N14" s="33">
        <f>IF(COUNT(D11:D14)&lt;4,"",SUM(H11:H14))</f>
        <v>80106708.729999989</v>
      </c>
      <c r="O14" s="13"/>
      <c r="P14" s="55">
        <f>IFERROR(K14/J14*100,0)</f>
        <v>1.6424411084831816</v>
      </c>
      <c r="Q14" s="55">
        <f>IFERROR(L14/J14*100,0)</f>
        <v>2.3591492018815399</v>
      </c>
      <c r="R14" s="56">
        <f>IFERROR(M14/K14,0)</f>
        <v>17670.761768172888</v>
      </c>
      <c r="S14" s="56">
        <f>IFERROR(N14/K14,0)</f>
        <v>17486.729694389869</v>
      </c>
      <c r="T14" s="31">
        <f t="shared" si="38"/>
        <v>20163</v>
      </c>
      <c r="U14" s="15"/>
      <c r="V14" s="16"/>
      <c r="W14" s="16"/>
      <c r="X14" s="16"/>
      <c r="Y14" s="16"/>
      <c r="Z14" s="16"/>
      <c r="AA14" s="13"/>
      <c r="AB14" s="33" t="str">
        <f>IF(COUNT(V11:V14)&lt;4,"",SUM(V11:V14))</f>
        <v/>
      </c>
      <c r="AC14" s="33" t="str">
        <f>IF(COUNT(V11:V14)&lt;4,"",SUM(W11:W14))</f>
        <v/>
      </c>
      <c r="AD14" s="33" t="str">
        <f>IF(COUNT(V11:V14)&lt;4,"",SUM(X11:X14))</f>
        <v/>
      </c>
      <c r="AE14" s="33" t="str">
        <f>IF(COUNT(V11:V14)&lt;4,"",SUM(Y11:Y14))</f>
        <v/>
      </c>
      <c r="AF14" s="33" t="str">
        <f>IF(COUNT(V11:V14)&lt;4,"",SUM(Z11:Z14))</f>
        <v/>
      </c>
      <c r="AG14" s="13"/>
      <c r="AH14" s="55">
        <f>IFERROR(AC14/AB14*100,0)</f>
        <v>0</v>
      </c>
      <c r="AI14" s="55">
        <f>IFERROR(AD14/AB14*100,0)</f>
        <v>0</v>
      </c>
      <c r="AJ14" s="56">
        <f>IFERROR(AE14/AC14,0)</f>
        <v>0</v>
      </c>
      <c r="AK14" s="56">
        <f>IFERROR(AF14/AC14,0)</f>
        <v>0</v>
      </c>
      <c r="AL14" s="31">
        <f t="shared" si="39"/>
        <v>20163</v>
      </c>
      <c r="AM14" s="15"/>
      <c r="AN14" s="16"/>
      <c r="AO14" s="16"/>
      <c r="AP14" s="16"/>
      <c r="AQ14" s="16"/>
      <c r="AR14" s="16"/>
      <c r="AS14" s="13"/>
      <c r="AT14" s="33" t="str">
        <f>IF(COUNT(AN11:AN14)&lt;4,"",SUM(AN11:AN14))</f>
        <v/>
      </c>
      <c r="AU14" s="33" t="str">
        <f>IF(COUNT(AN11:AN14)&lt;4,"",SUM(AO11:AO14))</f>
        <v/>
      </c>
      <c r="AV14" s="33" t="str">
        <f>IF(COUNT(AN11:AN14)&lt;4,"",SUM(AP11:AP14))</f>
        <v/>
      </c>
      <c r="AW14" s="33" t="str">
        <f>IF(COUNT(AN11:AN14)&lt;4,"",SUM(AQ11:AQ14))</f>
        <v/>
      </c>
      <c r="AX14" s="33" t="str">
        <f>IF(COUNT(AN11:AN14)&lt;4,"",SUM(AR11:AR14))</f>
        <v/>
      </c>
      <c r="AY14" s="13"/>
      <c r="AZ14" s="55">
        <f>IFERROR(AU14/AT14*100,0)</f>
        <v>0</v>
      </c>
      <c r="BA14" s="55">
        <f>IFERROR(AV14/AT14*100,0)</f>
        <v>0</v>
      </c>
      <c r="BB14" s="56">
        <f>IFERROR(AW14/AU14,0)</f>
        <v>0</v>
      </c>
      <c r="BC14" s="56">
        <f>IFERROR(AX14/AU14,0)</f>
        <v>0</v>
      </c>
      <c r="BD14" s="31">
        <f t="shared" si="40"/>
        <v>20163</v>
      </c>
      <c r="BE14" s="15"/>
      <c r="BF14" s="16"/>
      <c r="BG14" s="16"/>
      <c r="BH14" s="16"/>
      <c r="BI14" s="16"/>
      <c r="BJ14" s="16"/>
      <c r="BK14" s="13"/>
      <c r="BL14" s="33" t="str">
        <f>IF(COUNT(BF11:BF14)&lt;4,"",SUM(BF11:BF14))</f>
        <v/>
      </c>
      <c r="BM14" s="33" t="str">
        <f>IF(COUNT(BF11:BF14)&lt;4,"",SUM(BG11:BG14))</f>
        <v/>
      </c>
      <c r="BN14" s="33" t="str">
        <f>IF(COUNT(BF11:BF14)&lt;4,"",SUM(BH11:BH14))</f>
        <v/>
      </c>
      <c r="BO14" s="33" t="str">
        <f>IF(COUNT(BF11:BF14)&lt;4,"",SUM(BI11:BI14))</f>
        <v/>
      </c>
      <c r="BP14" s="33" t="str">
        <f>IF(COUNT(BF11:BF14)&lt;4,"",SUM(BJ11:BJ14))</f>
        <v/>
      </c>
      <c r="BQ14" s="13"/>
      <c r="BR14" s="55">
        <f>IFERROR(BM14/BL14*100,0)</f>
        <v>0</v>
      </c>
      <c r="BS14" s="55">
        <f>IFERROR(BN14/BL14*100,0)</f>
        <v>0</v>
      </c>
      <c r="BT14" s="56">
        <f>IFERROR(BO14/BM14,0)</f>
        <v>0</v>
      </c>
      <c r="BU14" s="56">
        <f>IFERROR(BP14/BM14,0)</f>
        <v>0</v>
      </c>
      <c r="BV14" s="31">
        <f t="shared" si="41"/>
        <v>20163</v>
      </c>
      <c r="BW14" s="15"/>
      <c r="BX14" s="16"/>
      <c r="BY14" s="16"/>
      <c r="BZ14" s="16"/>
      <c r="CA14" s="16"/>
      <c r="CB14" s="16"/>
      <c r="CC14" s="13"/>
      <c r="CD14" s="33" t="str">
        <f>IF(COUNT(BX11:BX14)&lt;4,"",SUM(BX11:BX14))</f>
        <v/>
      </c>
      <c r="CE14" s="33" t="str">
        <f>IF(COUNT(BX11:BX14)&lt;4,"",SUM(BY11:BY14))</f>
        <v/>
      </c>
      <c r="CF14" s="33" t="str">
        <f>IF(COUNT(BX11:BX14)&lt;4,"",SUM(BZ11:BZ14))</f>
        <v/>
      </c>
      <c r="CG14" s="33" t="str">
        <f>IF(COUNT(BX11:BX14)&lt;4,"",SUM(CA11:CA14))</f>
        <v/>
      </c>
      <c r="CH14" s="33" t="str">
        <f>IF(COUNT(BX11:BX14)&lt;4,"",SUM(CB11:CB14))</f>
        <v/>
      </c>
      <c r="CI14" s="13"/>
      <c r="CJ14" s="55">
        <f>IFERROR(CE14/CD14*100,0)</f>
        <v>0</v>
      </c>
      <c r="CK14" s="55">
        <f>IFERROR(CF14/CD14*100,0)</f>
        <v>0</v>
      </c>
      <c r="CL14" s="56">
        <f>IFERROR(CG14/CE14,0)</f>
        <v>0</v>
      </c>
      <c r="CM14" s="56">
        <f>IFERROR(CH14/CE14,0)</f>
        <v>0</v>
      </c>
      <c r="CN14" s="31">
        <f t="shared" si="42"/>
        <v>20163</v>
      </c>
      <c r="CO14" s="15"/>
      <c r="CP14" s="16"/>
      <c r="CQ14" s="16"/>
      <c r="CR14" s="16"/>
      <c r="CS14" s="16"/>
      <c r="CT14" s="16"/>
      <c r="CU14" s="13"/>
      <c r="CV14" s="33" t="str">
        <f>IF(COUNT(CP11:CP14)&lt;4,"",SUM(CP11:CP14))</f>
        <v/>
      </c>
      <c r="CW14" s="33" t="str">
        <f>IF(COUNT(CP11:CP14)&lt;4,"",SUM(CQ11:CQ14))</f>
        <v/>
      </c>
      <c r="CX14" s="33" t="str">
        <f>IF(COUNT(CP11:CP14)&lt;4,"",SUM(CR11:CR14))</f>
        <v/>
      </c>
      <c r="CY14" s="33" t="str">
        <f>IF(COUNT(CP11:CP14)&lt;4,"",SUM(CS11:CS14))</f>
        <v/>
      </c>
      <c r="CZ14" s="33" t="str">
        <f>IF(COUNT(CP11:CP14)&lt;4,"",SUM(CT11:CT14))</f>
        <v/>
      </c>
      <c r="DA14" s="13"/>
      <c r="DB14" s="55">
        <f>IFERROR(CW14/CV14*100,0)</f>
        <v>0</v>
      </c>
      <c r="DC14" s="55">
        <f>IFERROR(CX14/CV14*100,0)</f>
        <v>0</v>
      </c>
      <c r="DD14" s="56">
        <f>IFERROR(CY14/CW14,0)</f>
        <v>0</v>
      </c>
      <c r="DE14" s="56">
        <f>IFERROR(CZ14/CW14,0)</f>
        <v>0</v>
      </c>
      <c r="DF14" s="31">
        <f t="shared" si="43"/>
        <v>20163</v>
      </c>
      <c r="DG14" s="15"/>
      <c r="DH14" s="16"/>
      <c r="DI14" s="16"/>
      <c r="DJ14" s="16"/>
      <c r="DK14" s="16"/>
      <c r="DL14" s="16"/>
      <c r="DM14" s="13"/>
      <c r="DN14" s="33" t="str">
        <f>IF(COUNT(DH11:DH14)&lt;4,"",SUM(DH11:DH14))</f>
        <v/>
      </c>
      <c r="DO14" s="33" t="str">
        <f>IF(COUNT(DH11:DH14)&lt;4,"",SUM(DI11:DI14))</f>
        <v/>
      </c>
      <c r="DP14" s="33" t="str">
        <f>IF(COUNT(DH11:DH14)&lt;4,"",SUM(DJ11:DJ14))</f>
        <v/>
      </c>
      <c r="DQ14" s="33" t="str">
        <f>IF(COUNT(DH11:DH14)&lt;4,"",SUM(DK11:DK14))</f>
        <v/>
      </c>
      <c r="DR14" s="33" t="str">
        <f>IF(COUNT(DH11:DH14)&lt;4,"",SUM(DL11:DL14))</f>
        <v/>
      </c>
      <c r="DS14" s="13"/>
      <c r="DT14" s="55">
        <f>IFERROR(DO14/DN14*100,0)</f>
        <v>0</v>
      </c>
      <c r="DU14" s="55">
        <f>IFERROR(DP14/DN14*100,0)</f>
        <v>0</v>
      </c>
      <c r="DV14" s="56">
        <f>IFERROR(DQ14/DO14,0)</f>
        <v>0</v>
      </c>
      <c r="DW14" s="56">
        <f>IFERROR(DR14/DO14,0)</f>
        <v>0</v>
      </c>
      <c r="DX14" s="31">
        <f t="shared" si="44"/>
        <v>20163</v>
      </c>
      <c r="DY14" s="15"/>
      <c r="DZ14" s="16"/>
      <c r="EA14" s="16"/>
      <c r="EB14" s="16"/>
      <c r="EC14" s="16"/>
      <c r="ED14" s="16"/>
      <c r="EE14" s="13"/>
      <c r="EF14" s="33" t="str">
        <f>IF(COUNT(DZ11:DZ14)&lt;4,"",SUM(DZ11:DZ14))</f>
        <v/>
      </c>
      <c r="EG14" s="33" t="str">
        <f>IF(COUNT(DZ11:DZ14)&lt;4,"",SUM(EA11:EA14))</f>
        <v/>
      </c>
      <c r="EH14" s="33" t="str">
        <f>IF(COUNT(DZ11:DZ14)&lt;4,"",SUM(EB11:EB14))</f>
        <v/>
      </c>
      <c r="EI14" s="33" t="str">
        <f>IF(COUNT(DZ11:DZ14)&lt;4,"",SUM(EC11:EC14))</f>
        <v/>
      </c>
      <c r="EJ14" s="33" t="str">
        <f>IF(COUNT(DZ11:DZ14)&lt;4,"",SUM(ED11:ED14))</f>
        <v/>
      </c>
      <c r="EK14" s="13"/>
      <c r="EL14" s="55">
        <f>IFERROR(EG14/EF14*100,0)</f>
        <v>0</v>
      </c>
      <c r="EM14" s="55">
        <f>IFERROR(EH14/EF14*100,0)</f>
        <v>0</v>
      </c>
      <c r="EN14" s="56">
        <f>IFERROR(EI14/EG14,0)</f>
        <v>0</v>
      </c>
      <c r="EO14" s="56">
        <f>IFERROR(EJ14/EG14,0)</f>
        <v>0</v>
      </c>
      <c r="EP14" s="31">
        <f t="shared" si="45"/>
        <v>20163</v>
      </c>
      <c r="EQ14" s="15"/>
      <c r="ER14" s="16"/>
      <c r="ES14" s="16"/>
      <c r="ET14" s="16"/>
      <c r="EU14" s="16"/>
      <c r="EV14" s="16"/>
      <c r="EW14" s="13"/>
      <c r="EX14" s="33" t="str">
        <f>IF(COUNT(ER11:ER14)&lt;4,"",SUM(ER11:ER14))</f>
        <v/>
      </c>
      <c r="EY14" s="33" t="str">
        <f>IF(COUNT(ER11:ER14)&lt;4,"",SUM(ES11:ES14))</f>
        <v/>
      </c>
      <c r="EZ14" s="33" t="str">
        <f>IF(COUNT(ER11:ER14)&lt;4,"",SUM(ET11:ET14))</f>
        <v/>
      </c>
      <c r="FA14" s="33" t="str">
        <f>IF(COUNT(ER11:ER14)&lt;4,"",SUM(EU11:EU14))</f>
        <v/>
      </c>
      <c r="FB14" s="33" t="str">
        <f>IF(COUNT(ER11:ER14)&lt;4,"",SUM(EV11:EV14))</f>
        <v/>
      </c>
      <c r="FC14" s="13"/>
      <c r="FD14" s="55">
        <f>IFERROR(EY14/EX14*100,0)</f>
        <v>0</v>
      </c>
      <c r="FE14" s="55">
        <f>IFERROR(EZ14/EX14*100,0)</f>
        <v>0</v>
      </c>
      <c r="FF14" s="56">
        <f>IFERROR(FA14/EY14,0)</f>
        <v>0</v>
      </c>
      <c r="FG14" s="56">
        <f>IFERROR(FB14/EY14,0)</f>
        <v>0</v>
      </c>
      <c r="FH14" s="31">
        <f t="shared" si="46"/>
        <v>20163</v>
      </c>
      <c r="FI14" s="15"/>
      <c r="FJ14" s="16"/>
      <c r="FK14" s="16"/>
      <c r="FL14" s="16"/>
      <c r="FM14" s="16"/>
      <c r="FN14" s="16"/>
      <c r="FO14" s="13"/>
      <c r="FP14" s="33" t="str">
        <f>IF(COUNT(FJ11:FJ14)&lt;4,"",SUM(FJ11:FJ14))</f>
        <v/>
      </c>
      <c r="FQ14" s="33" t="str">
        <f>IF(COUNT(FJ11:FJ14)&lt;4,"",SUM(FK11:FK14))</f>
        <v/>
      </c>
      <c r="FR14" s="33" t="str">
        <f>IF(COUNT(FJ11:FJ14)&lt;4,"",SUM(FL11:FL14))</f>
        <v/>
      </c>
      <c r="FS14" s="33" t="str">
        <f>IF(COUNT(FJ11:FJ14)&lt;4,"",SUM(FM11:FM14))</f>
        <v/>
      </c>
      <c r="FT14" s="33" t="str">
        <f>IF(COUNT(FJ11:FJ14)&lt;4,"",SUM(FN11:FN14))</f>
        <v/>
      </c>
      <c r="FU14" s="13"/>
      <c r="FV14" s="55">
        <f>IFERROR(FQ14/FP14*100,0)</f>
        <v>0</v>
      </c>
      <c r="FW14" s="55">
        <f>IFERROR(FR14/FP14*100,0)</f>
        <v>0</v>
      </c>
      <c r="FX14" s="56">
        <f>IFERROR(FS14/FQ14,0)</f>
        <v>0</v>
      </c>
      <c r="FY14" s="56">
        <f>IFERROR(FT14/FQ14,0)</f>
        <v>0</v>
      </c>
    </row>
    <row r="15" spans="1:181" x14ac:dyDescent="0.25">
      <c r="A15" s="25">
        <v>5</v>
      </c>
      <c r="B15" s="31">
        <f t="shared" si="37"/>
        <v>20164</v>
      </c>
      <c r="C15" s="15"/>
      <c r="D15" s="16">
        <v>69380.759999999995</v>
      </c>
      <c r="E15" s="16">
        <v>1139</v>
      </c>
      <c r="F15" s="16">
        <v>1721</v>
      </c>
      <c r="G15" s="16">
        <v>20491598.800000001</v>
      </c>
      <c r="H15" s="16">
        <v>22199777.600000001</v>
      </c>
      <c r="I15" s="13"/>
      <c r="J15" s="33">
        <f t="shared" ref="J15:J37" si="47">IF(COUNT(D12:D15)&lt;4,"",SUM(D12:D15))</f>
        <v>278424.39</v>
      </c>
      <c r="K15" s="33">
        <f t="shared" ref="K15:K37" si="48">IF(COUNT(D12:D15)&lt;4,"",SUM(E12:E15))</f>
        <v>4580</v>
      </c>
      <c r="L15" s="33">
        <f t="shared" ref="L15:L37" si="49">IF(COUNT(D12:D15)&lt;4,"",SUM(F12:F15))</f>
        <v>6755</v>
      </c>
      <c r="M15" s="33">
        <f t="shared" ref="M15:M37" si="50">IF(COUNT(D12:D15)&lt;4,"",SUM(G12:G15))</f>
        <v>82832773.859999999</v>
      </c>
      <c r="N15" s="33">
        <f t="shared" ref="N15:N37" si="51">IF(COUNT(D12:D15)&lt;4,"",SUM(H12:H15))</f>
        <v>82450110.770000011</v>
      </c>
      <c r="O15" s="13"/>
      <c r="P15" s="55">
        <f t="shared" ref="P15:P37" si="52">IFERROR(K15/J15*100,0)</f>
        <v>1.6449708303212949</v>
      </c>
      <c r="Q15" s="55">
        <f t="shared" ref="Q15:Q37" si="53">IFERROR(L15/J15*100,0)</f>
        <v>2.426152392755534</v>
      </c>
      <c r="R15" s="56">
        <f t="shared" ref="R15:R37" si="54">IFERROR(M15/K15,0)</f>
        <v>18085.758484716156</v>
      </c>
      <c r="S15" s="56">
        <f t="shared" ref="S15:S37" si="55">IFERROR(N15/K15,0)</f>
        <v>18002.20759170306</v>
      </c>
      <c r="T15" s="31">
        <f t="shared" si="38"/>
        <v>20164</v>
      </c>
      <c r="U15" s="15"/>
      <c r="V15" s="16"/>
      <c r="W15" s="16"/>
      <c r="X15" s="16"/>
      <c r="Y15" s="16"/>
      <c r="Z15" s="16"/>
      <c r="AA15" s="13"/>
      <c r="AB15" s="33" t="str">
        <f t="shared" ref="AB15:AB37" si="56">IF(COUNT(V12:V15)&lt;4,"",SUM(V12:V15))</f>
        <v/>
      </c>
      <c r="AC15" s="33" t="str">
        <f t="shared" ref="AC15:AC37" si="57">IF(COUNT(V12:V15)&lt;4,"",SUM(W12:W15))</f>
        <v/>
      </c>
      <c r="AD15" s="33" t="str">
        <f t="shared" ref="AD15:AD37" si="58">IF(COUNT(V12:V15)&lt;4,"",SUM(X12:X15))</f>
        <v/>
      </c>
      <c r="AE15" s="33" t="str">
        <f t="shared" ref="AE15:AE37" si="59">IF(COUNT(V12:V15)&lt;4,"",SUM(Y12:Y15))</f>
        <v/>
      </c>
      <c r="AF15" s="33" t="str">
        <f t="shared" ref="AF15:AF37" si="60">IF(COUNT(V12:V15)&lt;4,"",SUM(Z12:Z15))</f>
        <v/>
      </c>
      <c r="AG15" s="13"/>
      <c r="AH15" s="55">
        <f t="shared" ref="AH15:AH37" si="61">IFERROR(AC15/AB15*100,0)</f>
        <v>0</v>
      </c>
      <c r="AI15" s="55">
        <f t="shared" ref="AI15:AI37" si="62">IFERROR(AD15/AB15*100,0)</f>
        <v>0</v>
      </c>
      <c r="AJ15" s="56">
        <f t="shared" ref="AJ15:AJ37" si="63">IFERROR(AE15/AC15,0)</f>
        <v>0</v>
      </c>
      <c r="AK15" s="56">
        <f t="shared" ref="AK15:AK37" si="64">IFERROR(AF15/AC15,0)</f>
        <v>0</v>
      </c>
      <c r="AL15" s="31">
        <f t="shared" si="39"/>
        <v>20164</v>
      </c>
      <c r="AM15" s="15"/>
      <c r="AN15" s="16"/>
      <c r="AO15" s="16"/>
      <c r="AP15" s="16"/>
      <c r="AQ15" s="16"/>
      <c r="AR15" s="16"/>
      <c r="AS15" s="13"/>
      <c r="AT15" s="33" t="str">
        <f t="shared" ref="AT15:AT37" si="65">IF(COUNT(AN12:AN15)&lt;4,"",SUM(AN12:AN15))</f>
        <v/>
      </c>
      <c r="AU15" s="33" t="str">
        <f t="shared" ref="AU15:AU37" si="66">IF(COUNT(AN12:AN15)&lt;4,"",SUM(AO12:AO15))</f>
        <v/>
      </c>
      <c r="AV15" s="33" t="str">
        <f t="shared" ref="AV15:AV37" si="67">IF(COUNT(AN12:AN15)&lt;4,"",SUM(AP12:AP15))</f>
        <v/>
      </c>
      <c r="AW15" s="33" t="str">
        <f t="shared" ref="AW15:AW37" si="68">IF(COUNT(AN12:AN15)&lt;4,"",SUM(AQ12:AQ15))</f>
        <v/>
      </c>
      <c r="AX15" s="33" t="str">
        <f t="shared" ref="AX15:AX37" si="69">IF(COUNT(AN12:AN15)&lt;4,"",SUM(AR12:AR15))</f>
        <v/>
      </c>
      <c r="AY15" s="13"/>
      <c r="AZ15" s="55">
        <f t="shared" ref="AZ15:AZ37" si="70">IFERROR(AU15/AT15*100,0)</f>
        <v>0</v>
      </c>
      <c r="BA15" s="55">
        <f t="shared" ref="BA15:BA37" si="71">IFERROR(AV15/AT15*100,0)</f>
        <v>0</v>
      </c>
      <c r="BB15" s="56">
        <f t="shared" ref="BB15:BB37" si="72">IFERROR(AW15/AU15,0)</f>
        <v>0</v>
      </c>
      <c r="BC15" s="56">
        <f t="shared" ref="BC15:BC37" si="73">IFERROR(AX15/AU15,0)</f>
        <v>0</v>
      </c>
      <c r="BD15" s="31">
        <f t="shared" si="40"/>
        <v>20164</v>
      </c>
      <c r="BE15" s="15"/>
      <c r="BF15" s="16"/>
      <c r="BG15" s="16"/>
      <c r="BH15" s="16"/>
      <c r="BI15" s="16"/>
      <c r="BJ15" s="16"/>
      <c r="BK15" s="13"/>
      <c r="BL15" s="33" t="str">
        <f t="shared" ref="BL15:BL37" si="74">IF(COUNT(BF12:BF15)&lt;4,"",SUM(BF12:BF15))</f>
        <v/>
      </c>
      <c r="BM15" s="33" t="str">
        <f t="shared" ref="BM15:BM37" si="75">IF(COUNT(BF12:BF15)&lt;4,"",SUM(BG12:BG15))</f>
        <v/>
      </c>
      <c r="BN15" s="33" t="str">
        <f t="shared" ref="BN15:BN37" si="76">IF(COUNT(BF12:BF15)&lt;4,"",SUM(BH12:BH15))</f>
        <v/>
      </c>
      <c r="BO15" s="33" t="str">
        <f t="shared" ref="BO15:BO37" si="77">IF(COUNT(BF12:BF15)&lt;4,"",SUM(BI12:BI15))</f>
        <v/>
      </c>
      <c r="BP15" s="33" t="str">
        <f t="shared" ref="BP15:BP37" si="78">IF(COUNT(BF12:BF15)&lt;4,"",SUM(BJ12:BJ15))</f>
        <v/>
      </c>
      <c r="BQ15" s="13"/>
      <c r="BR15" s="55">
        <f t="shared" ref="BR15:BR37" si="79">IFERROR(BM15/BL15*100,0)</f>
        <v>0</v>
      </c>
      <c r="BS15" s="55">
        <f t="shared" ref="BS15:BS37" si="80">IFERROR(BN15/BL15*100,0)</f>
        <v>0</v>
      </c>
      <c r="BT15" s="56">
        <f t="shared" ref="BT15:BT37" si="81">IFERROR(BO15/BM15,0)</f>
        <v>0</v>
      </c>
      <c r="BU15" s="56">
        <f t="shared" ref="BU15:BU37" si="82">IFERROR(BP15/BM15,0)</f>
        <v>0</v>
      </c>
      <c r="BV15" s="31">
        <f t="shared" si="41"/>
        <v>20164</v>
      </c>
      <c r="BW15" s="15"/>
      <c r="BX15" s="16"/>
      <c r="BY15" s="16"/>
      <c r="BZ15" s="16"/>
      <c r="CA15" s="16"/>
      <c r="CB15" s="16"/>
      <c r="CC15" s="13"/>
      <c r="CD15" s="33" t="str">
        <f t="shared" ref="CD15:CD37" si="83">IF(COUNT(BX12:BX15)&lt;4,"",SUM(BX12:BX15))</f>
        <v/>
      </c>
      <c r="CE15" s="33" t="str">
        <f t="shared" ref="CE15:CE37" si="84">IF(COUNT(BX12:BX15)&lt;4,"",SUM(BY12:BY15))</f>
        <v/>
      </c>
      <c r="CF15" s="33" t="str">
        <f t="shared" ref="CF15:CF37" si="85">IF(COUNT(BX12:BX15)&lt;4,"",SUM(BZ12:BZ15))</f>
        <v/>
      </c>
      <c r="CG15" s="33" t="str">
        <f t="shared" ref="CG15:CG37" si="86">IF(COUNT(BX12:BX15)&lt;4,"",SUM(CA12:CA15))</f>
        <v/>
      </c>
      <c r="CH15" s="33" t="str">
        <f t="shared" ref="CH15:CH37" si="87">IF(COUNT(BX12:BX15)&lt;4,"",SUM(CB12:CB15))</f>
        <v/>
      </c>
      <c r="CI15" s="13"/>
      <c r="CJ15" s="55">
        <f t="shared" ref="CJ15:CJ37" si="88">IFERROR(CE15/CD15*100,0)</f>
        <v>0</v>
      </c>
      <c r="CK15" s="55">
        <f t="shared" ref="CK15:CK37" si="89">IFERROR(CF15/CD15*100,0)</f>
        <v>0</v>
      </c>
      <c r="CL15" s="56">
        <f t="shared" ref="CL15:CL37" si="90">IFERROR(CG15/CE15,0)</f>
        <v>0</v>
      </c>
      <c r="CM15" s="56">
        <f t="shared" ref="CM15:CM37" si="91">IFERROR(CH15/CE15,0)</f>
        <v>0</v>
      </c>
      <c r="CN15" s="31">
        <f t="shared" si="42"/>
        <v>20164</v>
      </c>
      <c r="CO15" s="15"/>
      <c r="CP15" s="16"/>
      <c r="CQ15" s="16"/>
      <c r="CR15" s="16"/>
      <c r="CS15" s="16"/>
      <c r="CT15" s="16"/>
      <c r="CU15" s="13"/>
      <c r="CV15" s="33" t="str">
        <f t="shared" ref="CV15:CV37" si="92">IF(COUNT(CP12:CP15)&lt;4,"",SUM(CP12:CP15))</f>
        <v/>
      </c>
      <c r="CW15" s="33" t="str">
        <f t="shared" ref="CW15:CW37" si="93">IF(COUNT(CP12:CP15)&lt;4,"",SUM(CQ12:CQ15))</f>
        <v/>
      </c>
      <c r="CX15" s="33" t="str">
        <f t="shared" ref="CX15:CX37" si="94">IF(COUNT(CP12:CP15)&lt;4,"",SUM(CR12:CR15))</f>
        <v/>
      </c>
      <c r="CY15" s="33" t="str">
        <f t="shared" ref="CY15:CY37" si="95">IF(COUNT(CP12:CP15)&lt;4,"",SUM(CS12:CS15))</f>
        <v/>
      </c>
      <c r="CZ15" s="33" t="str">
        <f t="shared" ref="CZ15:CZ37" si="96">IF(COUNT(CP12:CP15)&lt;4,"",SUM(CT12:CT15))</f>
        <v/>
      </c>
      <c r="DA15" s="13"/>
      <c r="DB15" s="55">
        <f t="shared" ref="DB15:DB37" si="97">IFERROR(CW15/CV15*100,0)</f>
        <v>0</v>
      </c>
      <c r="DC15" s="55">
        <f t="shared" ref="DC15:DC37" si="98">IFERROR(CX15/CV15*100,0)</f>
        <v>0</v>
      </c>
      <c r="DD15" s="56">
        <f t="shared" ref="DD15:DD37" si="99">IFERROR(CY15/CW15,0)</f>
        <v>0</v>
      </c>
      <c r="DE15" s="56">
        <f t="shared" ref="DE15:DE37" si="100">IFERROR(CZ15/CW15,0)</f>
        <v>0</v>
      </c>
      <c r="DF15" s="31">
        <f t="shared" si="43"/>
        <v>20164</v>
      </c>
      <c r="DG15" s="15"/>
      <c r="DH15" s="16"/>
      <c r="DI15" s="16"/>
      <c r="DJ15" s="16"/>
      <c r="DK15" s="16"/>
      <c r="DL15" s="16"/>
      <c r="DM15" s="13"/>
      <c r="DN15" s="33" t="str">
        <f t="shared" ref="DN15:DN37" si="101">IF(COUNT(DH12:DH15)&lt;4,"",SUM(DH12:DH15))</f>
        <v/>
      </c>
      <c r="DO15" s="33" t="str">
        <f t="shared" ref="DO15:DO37" si="102">IF(COUNT(DH12:DH15)&lt;4,"",SUM(DI12:DI15))</f>
        <v/>
      </c>
      <c r="DP15" s="33" t="str">
        <f t="shared" ref="DP15:DP37" si="103">IF(COUNT(DH12:DH15)&lt;4,"",SUM(DJ12:DJ15))</f>
        <v/>
      </c>
      <c r="DQ15" s="33" t="str">
        <f t="shared" ref="DQ15:DQ37" si="104">IF(COUNT(DH12:DH15)&lt;4,"",SUM(DK12:DK15))</f>
        <v/>
      </c>
      <c r="DR15" s="33" t="str">
        <f t="shared" ref="DR15:DR37" si="105">IF(COUNT(DH12:DH15)&lt;4,"",SUM(DL12:DL15))</f>
        <v/>
      </c>
      <c r="DS15" s="13"/>
      <c r="DT15" s="55">
        <f t="shared" ref="DT15:DT37" si="106">IFERROR(DO15/DN15*100,0)</f>
        <v>0</v>
      </c>
      <c r="DU15" s="55">
        <f t="shared" ref="DU15:DU37" si="107">IFERROR(DP15/DN15*100,0)</f>
        <v>0</v>
      </c>
      <c r="DV15" s="56">
        <f t="shared" ref="DV15:DV37" si="108">IFERROR(DQ15/DO15,0)</f>
        <v>0</v>
      </c>
      <c r="DW15" s="56">
        <f t="shared" ref="DW15:DW37" si="109">IFERROR(DR15/DO15,0)</f>
        <v>0</v>
      </c>
      <c r="DX15" s="31">
        <f t="shared" si="44"/>
        <v>20164</v>
      </c>
      <c r="DY15" s="15"/>
      <c r="DZ15" s="16"/>
      <c r="EA15" s="16"/>
      <c r="EB15" s="16"/>
      <c r="EC15" s="16"/>
      <c r="ED15" s="16"/>
      <c r="EE15" s="13"/>
      <c r="EF15" s="33" t="str">
        <f t="shared" ref="EF15:EF37" si="110">IF(COUNT(DZ12:DZ15)&lt;4,"",SUM(DZ12:DZ15))</f>
        <v/>
      </c>
      <c r="EG15" s="33" t="str">
        <f t="shared" ref="EG15:EG37" si="111">IF(COUNT(DZ12:DZ15)&lt;4,"",SUM(EA12:EA15))</f>
        <v/>
      </c>
      <c r="EH15" s="33" t="str">
        <f t="shared" ref="EH15:EH37" si="112">IF(COUNT(DZ12:DZ15)&lt;4,"",SUM(EB12:EB15))</f>
        <v/>
      </c>
      <c r="EI15" s="33" t="str">
        <f t="shared" ref="EI15:EI37" si="113">IF(COUNT(DZ12:DZ15)&lt;4,"",SUM(EC12:EC15))</f>
        <v/>
      </c>
      <c r="EJ15" s="33" t="str">
        <f t="shared" ref="EJ15:EJ37" si="114">IF(COUNT(DZ12:DZ15)&lt;4,"",SUM(ED12:ED15))</f>
        <v/>
      </c>
      <c r="EK15" s="13"/>
      <c r="EL15" s="55">
        <f t="shared" ref="EL15:EL37" si="115">IFERROR(EG15/EF15*100,0)</f>
        <v>0</v>
      </c>
      <c r="EM15" s="55">
        <f t="shared" ref="EM15:EM37" si="116">IFERROR(EH15/EF15*100,0)</f>
        <v>0</v>
      </c>
      <c r="EN15" s="56">
        <f t="shared" ref="EN15:EN37" si="117">IFERROR(EI15/EG15,0)</f>
        <v>0</v>
      </c>
      <c r="EO15" s="56">
        <f t="shared" ref="EO15:EO37" si="118">IFERROR(EJ15/EG15,0)</f>
        <v>0</v>
      </c>
      <c r="EP15" s="31">
        <f t="shared" si="45"/>
        <v>20164</v>
      </c>
      <c r="EQ15" s="15"/>
      <c r="ER15" s="16"/>
      <c r="ES15" s="16"/>
      <c r="ET15" s="16"/>
      <c r="EU15" s="16"/>
      <c r="EV15" s="16"/>
      <c r="EW15" s="13"/>
      <c r="EX15" s="33" t="str">
        <f t="shared" ref="EX15:EX37" si="119">IF(COUNT(ER12:ER15)&lt;4,"",SUM(ER12:ER15))</f>
        <v/>
      </c>
      <c r="EY15" s="33" t="str">
        <f t="shared" ref="EY15:EY37" si="120">IF(COUNT(ER12:ER15)&lt;4,"",SUM(ES12:ES15))</f>
        <v/>
      </c>
      <c r="EZ15" s="33" t="str">
        <f t="shared" ref="EZ15:EZ37" si="121">IF(COUNT(ER12:ER15)&lt;4,"",SUM(ET12:ET15))</f>
        <v/>
      </c>
      <c r="FA15" s="33" t="str">
        <f t="shared" ref="FA15:FA37" si="122">IF(COUNT(ER12:ER15)&lt;4,"",SUM(EU12:EU15))</f>
        <v/>
      </c>
      <c r="FB15" s="33" t="str">
        <f t="shared" ref="FB15:FB37" si="123">IF(COUNT(ER12:ER15)&lt;4,"",SUM(EV12:EV15))</f>
        <v/>
      </c>
      <c r="FC15" s="13"/>
      <c r="FD15" s="55">
        <f t="shared" ref="FD15:FD37" si="124">IFERROR(EY15/EX15*100,0)</f>
        <v>0</v>
      </c>
      <c r="FE15" s="55">
        <f t="shared" ref="FE15:FE37" si="125">IFERROR(EZ15/EX15*100,0)</f>
        <v>0</v>
      </c>
      <c r="FF15" s="56">
        <f t="shared" ref="FF15:FF37" si="126">IFERROR(FA15/EY15,0)</f>
        <v>0</v>
      </c>
      <c r="FG15" s="56">
        <f t="shared" ref="FG15:FG37" si="127">IFERROR(FB15/EY15,0)</f>
        <v>0</v>
      </c>
      <c r="FH15" s="31">
        <f t="shared" si="46"/>
        <v>20164</v>
      </c>
      <c r="FI15" s="15"/>
      <c r="FJ15" s="16"/>
      <c r="FK15" s="16"/>
      <c r="FL15" s="16"/>
      <c r="FM15" s="16"/>
      <c r="FN15" s="16"/>
      <c r="FO15" s="13"/>
      <c r="FP15" s="33" t="str">
        <f t="shared" ref="FP15:FP37" si="128">IF(COUNT(FJ12:FJ15)&lt;4,"",SUM(FJ12:FJ15))</f>
        <v/>
      </c>
      <c r="FQ15" s="33" t="str">
        <f t="shared" ref="FQ15:FQ37" si="129">IF(COUNT(FJ12:FJ15)&lt;4,"",SUM(FK12:FK15))</f>
        <v/>
      </c>
      <c r="FR15" s="33" t="str">
        <f t="shared" ref="FR15:FR37" si="130">IF(COUNT(FJ12:FJ15)&lt;4,"",SUM(FL12:FL15))</f>
        <v/>
      </c>
      <c r="FS15" s="33" t="str">
        <f t="shared" ref="FS15:FS37" si="131">IF(COUNT(FJ12:FJ15)&lt;4,"",SUM(FM12:FM15))</f>
        <v/>
      </c>
      <c r="FT15" s="33" t="str">
        <f t="shared" ref="FT15:FT37" si="132">IF(COUNT(FJ12:FJ15)&lt;4,"",SUM(FN12:FN15))</f>
        <v/>
      </c>
      <c r="FU15" s="13"/>
      <c r="FV15" s="55">
        <f t="shared" ref="FV15:FV37" si="133">IFERROR(FQ15/FP15*100,0)</f>
        <v>0</v>
      </c>
      <c r="FW15" s="55">
        <f t="shared" ref="FW15:FW37" si="134">IFERROR(FR15/FP15*100,0)</f>
        <v>0</v>
      </c>
      <c r="FX15" s="56">
        <f t="shared" ref="FX15:FX37" si="135">IFERROR(FS15/FQ15,0)</f>
        <v>0</v>
      </c>
      <c r="FY15" s="56">
        <f t="shared" ref="FY15:FY37" si="136">IFERROR(FT15/FQ15,0)</f>
        <v>0</v>
      </c>
    </row>
    <row r="16" spans="1:181" x14ac:dyDescent="0.25">
      <c r="A16" s="25">
        <v>6</v>
      </c>
      <c r="B16" s="31">
        <f t="shared" si="37"/>
        <v>20171</v>
      </c>
      <c r="C16" s="15"/>
      <c r="D16" s="16">
        <v>69155.25</v>
      </c>
      <c r="E16" s="16">
        <v>1374</v>
      </c>
      <c r="F16" s="16">
        <v>2047</v>
      </c>
      <c r="G16" s="16">
        <v>27079814.289999999</v>
      </c>
      <c r="H16" s="16">
        <v>24835706.649999999</v>
      </c>
      <c r="I16" s="13"/>
      <c r="J16" s="33">
        <f t="shared" si="47"/>
        <v>277840.12</v>
      </c>
      <c r="K16" s="33">
        <f t="shared" si="48"/>
        <v>4700</v>
      </c>
      <c r="L16" s="33">
        <f t="shared" si="49"/>
        <v>6993</v>
      </c>
      <c r="M16" s="33">
        <f t="shared" si="50"/>
        <v>86392247.159999996</v>
      </c>
      <c r="N16" s="33">
        <f t="shared" si="51"/>
        <v>86376780.379999995</v>
      </c>
      <c r="O16" s="13"/>
      <c r="P16" s="55">
        <f t="shared" si="52"/>
        <v>1.6916203462624477</v>
      </c>
      <c r="Q16" s="55">
        <f t="shared" si="53"/>
        <v>2.516915123704957</v>
      </c>
      <c r="R16" s="56">
        <f t="shared" si="54"/>
        <v>18381.329182978723</v>
      </c>
      <c r="S16" s="56">
        <f t="shared" si="55"/>
        <v>18378.038378723402</v>
      </c>
      <c r="T16" s="31">
        <f t="shared" si="38"/>
        <v>20171</v>
      </c>
      <c r="U16" s="15"/>
      <c r="V16" s="16"/>
      <c r="W16" s="16"/>
      <c r="X16" s="16"/>
      <c r="Y16" s="16"/>
      <c r="Z16" s="16"/>
      <c r="AA16" s="13"/>
      <c r="AB16" s="33" t="str">
        <f t="shared" si="56"/>
        <v/>
      </c>
      <c r="AC16" s="33" t="str">
        <f t="shared" si="57"/>
        <v/>
      </c>
      <c r="AD16" s="33" t="str">
        <f t="shared" si="58"/>
        <v/>
      </c>
      <c r="AE16" s="33" t="str">
        <f t="shared" si="59"/>
        <v/>
      </c>
      <c r="AF16" s="33" t="str">
        <f t="shared" si="60"/>
        <v/>
      </c>
      <c r="AG16" s="13"/>
      <c r="AH16" s="55">
        <f t="shared" si="61"/>
        <v>0</v>
      </c>
      <c r="AI16" s="55">
        <f t="shared" si="62"/>
        <v>0</v>
      </c>
      <c r="AJ16" s="56">
        <f t="shared" si="63"/>
        <v>0</v>
      </c>
      <c r="AK16" s="56">
        <f t="shared" si="64"/>
        <v>0</v>
      </c>
      <c r="AL16" s="31">
        <f t="shared" si="39"/>
        <v>20171</v>
      </c>
      <c r="AM16" s="15"/>
      <c r="AN16" s="16"/>
      <c r="AO16" s="16"/>
      <c r="AP16" s="16"/>
      <c r="AQ16" s="16"/>
      <c r="AR16" s="16"/>
      <c r="AS16" s="13"/>
      <c r="AT16" s="33" t="str">
        <f t="shared" si="65"/>
        <v/>
      </c>
      <c r="AU16" s="33" t="str">
        <f t="shared" si="66"/>
        <v/>
      </c>
      <c r="AV16" s="33" t="str">
        <f t="shared" si="67"/>
        <v/>
      </c>
      <c r="AW16" s="33" t="str">
        <f t="shared" si="68"/>
        <v/>
      </c>
      <c r="AX16" s="33" t="str">
        <f t="shared" si="69"/>
        <v/>
      </c>
      <c r="AY16" s="13"/>
      <c r="AZ16" s="55">
        <f t="shared" si="70"/>
        <v>0</v>
      </c>
      <c r="BA16" s="55">
        <f t="shared" si="71"/>
        <v>0</v>
      </c>
      <c r="BB16" s="56">
        <f t="shared" si="72"/>
        <v>0</v>
      </c>
      <c r="BC16" s="56">
        <f t="shared" si="73"/>
        <v>0</v>
      </c>
      <c r="BD16" s="31">
        <f t="shared" si="40"/>
        <v>20171</v>
      </c>
      <c r="BE16" s="15"/>
      <c r="BF16" s="16"/>
      <c r="BG16" s="16"/>
      <c r="BH16" s="16"/>
      <c r="BI16" s="16"/>
      <c r="BJ16" s="16"/>
      <c r="BK16" s="13"/>
      <c r="BL16" s="33" t="str">
        <f t="shared" si="74"/>
        <v/>
      </c>
      <c r="BM16" s="33" t="str">
        <f t="shared" si="75"/>
        <v/>
      </c>
      <c r="BN16" s="33" t="str">
        <f t="shared" si="76"/>
        <v/>
      </c>
      <c r="BO16" s="33" t="str">
        <f t="shared" si="77"/>
        <v/>
      </c>
      <c r="BP16" s="33" t="str">
        <f t="shared" si="78"/>
        <v/>
      </c>
      <c r="BQ16" s="13"/>
      <c r="BR16" s="55">
        <f t="shared" si="79"/>
        <v>0</v>
      </c>
      <c r="BS16" s="55">
        <f t="shared" si="80"/>
        <v>0</v>
      </c>
      <c r="BT16" s="56">
        <f t="shared" si="81"/>
        <v>0</v>
      </c>
      <c r="BU16" s="56">
        <f t="shared" si="82"/>
        <v>0</v>
      </c>
      <c r="BV16" s="31">
        <f t="shared" si="41"/>
        <v>20171</v>
      </c>
      <c r="BW16" s="15"/>
      <c r="BX16" s="16"/>
      <c r="BY16" s="16"/>
      <c r="BZ16" s="16"/>
      <c r="CA16" s="16"/>
      <c r="CB16" s="16"/>
      <c r="CC16" s="13"/>
      <c r="CD16" s="33" t="str">
        <f t="shared" si="83"/>
        <v/>
      </c>
      <c r="CE16" s="33" t="str">
        <f t="shared" si="84"/>
        <v/>
      </c>
      <c r="CF16" s="33" t="str">
        <f t="shared" si="85"/>
        <v/>
      </c>
      <c r="CG16" s="33" t="str">
        <f t="shared" si="86"/>
        <v/>
      </c>
      <c r="CH16" s="33" t="str">
        <f t="shared" si="87"/>
        <v/>
      </c>
      <c r="CI16" s="13"/>
      <c r="CJ16" s="55">
        <f t="shared" si="88"/>
        <v>0</v>
      </c>
      <c r="CK16" s="55">
        <f t="shared" si="89"/>
        <v>0</v>
      </c>
      <c r="CL16" s="56">
        <f t="shared" si="90"/>
        <v>0</v>
      </c>
      <c r="CM16" s="56">
        <f t="shared" si="91"/>
        <v>0</v>
      </c>
      <c r="CN16" s="31">
        <f t="shared" si="42"/>
        <v>20171</v>
      </c>
      <c r="CO16" s="15"/>
      <c r="CP16" s="16"/>
      <c r="CQ16" s="16"/>
      <c r="CR16" s="16"/>
      <c r="CS16" s="16"/>
      <c r="CT16" s="16"/>
      <c r="CU16" s="13"/>
      <c r="CV16" s="33" t="str">
        <f t="shared" si="92"/>
        <v/>
      </c>
      <c r="CW16" s="33" t="str">
        <f t="shared" si="93"/>
        <v/>
      </c>
      <c r="CX16" s="33" t="str">
        <f t="shared" si="94"/>
        <v/>
      </c>
      <c r="CY16" s="33" t="str">
        <f t="shared" si="95"/>
        <v/>
      </c>
      <c r="CZ16" s="33" t="str">
        <f t="shared" si="96"/>
        <v/>
      </c>
      <c r="DA16" s="13"/>
      <c r="DB16" s="55">
        <f t="shared" si="97"/>
        <v>0</v>
      </c>
      <c r="DC16" s="55">
        <f t="shared" si="98"/>
        <v>0</v>
      </c>
      <c r="DD16" s="56">
        <f t="shared" si="99"/>
        <v>0</v>
      </c>
      <c r="DE16" s="56">
        <f t="shared" si="100"/>
        <v>0</v>
      </c>
      <c r="DF16" s="31">
        <f t="shared" si="43"/>
        <v>20171</v>
      </c>
      <c r="DG16" s="15"/>
      <c r="DH16" s="16"/>
      <c r="DI16" s="16"/>
      <c r="DJ16" s="16"/>
      <c r="DK16" s="16"/>
      <c r="DL16" s="16"/>
      <c r="DM16" s="13"/>
      <c r="DN16" s="33" t="str">
        <f t="shared" si="101"/>
        <v/>
      </c>
      <c r="DO16" s="33" t="str">
        <f t="shared" si="102"/>
        <v/>
      </c>
      <c r="DP16" s="33" t="str">
        <f t="shared" si="103"/>
        <v/>
      </c>
      <c r="DQ16" s="33" t="str">
        <f t="shared" si="104"/>
        <v/>
      </c>
      <c r="DR16" s="33" t="str">
        <f t="shared" si="105"/>
        <v/>
      </c>
      <c r="DS16" s="13"/>
      <c r="DT16" s="55">
        <f t="shared" si="106"/>
        <v>0</v>
      </c>
      <c r="DU16" s="55">
        <f t="shared" si="107"/>
        <v>0</v>
      </c>
      <c r="DV16" s="56">
        <f t="shared" si="108"/>
        <v>0</v>
      </c>
      <c r="DW16" s="56">
        <f t="shared" si="109"/>
        <v>0</v>
      </c>
      <c r="DX16" s="31">
        <f t="shared" si="44"/>
        <v>20171</v>
      </c>
      <c r="DY16" s="15"/>
      <c r="DZ16" s="16"/>
      <c r="EA16" s="16"/>
      <c r="EB16" s="16"/>
      <c r="EC16" s="16"/>
      <c r="ED16" s="16"/>
      <c r="EE16" s="13"/>
      <c r="EF16" s="33" t="str">
        <f t="shared" si="110"/>
        <v/>
      </c>
      <c r="EG16" s="33" t="str">
        <f t="shared" si="111"/>
        <v/>
      </c>
      <c r="EH16" s="33" t="str">
        <f t="shared" si="112"/>
        <v/>
      </c>
      <c r="EI16" s="33" t="str">
        <f t="shared" si="113"/>
        <v/>
      </c>
      <c r="EJ16" s="33" t="str">
        <f t="shared" si="114"/>
        <v/>
      </c>
      <c r="EK16" s="13"/>
      <c r="EL16" s="55">
        <f t="shared" si="115"/>
        <v>0</v>
      </c>
      <c r="EM16" s="55">
        <f t="shared" si="116"/>
        <v>0</v>
      </c>
      <c r="EN16" s="56">
        <f t="shared" si="117"/>
        <v>0</v>
      </c>
      <c r="EO16" s="56">
        <f t="shared" si="118"/>
        <v>0</v>
      </c>
      <c r="EP16" s="31">
        <f t="shared" si="45"/>
        <v>20171</v>
      </c>
      <c r="EQ16" s="15"/>
      <c r="ER16" s="16"/>
      <c r="ES16" s="16"/>
      <c r="ET16" s="16"/>
      <c r="EU16" s="16"/>
      <c r="EV16" s="16"/>
      <c r="EW16" s="13"/>
      <c r="EX16" s="33" t="str">
        <f t="shared" si="119"/>
        <v/>
      </c>
      <c r="EY16" s="33" t="str">
        <f t="shared" si="120"/>
        <v/>
      </c>
      <c r="EZ16" s="33" t="str">
        <f t="shared" si="121"/>
        <v/>
      </c>
      <c r="FA16" s="33" t="str">
        <f t="shared" si="122"/>
        <v/>
      </c>
      <c r="FB16" s="33" t="str">
        <f t="shared" si="123"/>
        <v/>
      </c>
      <c r="FC16" s="13"/>
      <c r="FD16" s="55">
        <f t="shared" si="124"/>
        <v>0</v>
      </c>
      <c r="FE16" s="55">
        <f t="shared" si="125"/>
        <v>0</v>
      </c>
      <c r="FF16" s="56">
        <f t="shared" si="126"/>
        <v>0</v>
      </c>
      <c r="FG16" s="56">
        <f t="shared" si="127"/>
        <v>0</v>
      </c>
      <c r="FH16" s="31">
        <f t="shared" si="46"/>
        <v>20171</v>
      </c>
      <c r="FI16" s="15"/>
      <c r="FJ16" s="16"/>
      <c r="FK16" s="16"/>
      <c r="FL16" s="16"/>
      <c r="FM16" s="16"/>
      <c r="FN16" s="16"/>
      <c r="FO16" s="13"/>
      <c r="FP16" s="33" t="str">
        <f t="shared" si="128"/>
        <v/>
      </c>
      <c r="FQ16" s="33" t="str">
        <f t="shared" si="129"/>
        <v/>
      </c>
      <c r="FR16" s="33" t="str">
        <f t="shared" si="130"/>
        <v/>
      </c>
      <c r="FS16" s="33" t="str">
        <f t="shared" si="131"/>
        <v/>
      </c>
      <c r="FT16" s="33" t="str">
        <f t="shared" si="132"/>
        <v/>
      </c>
      <c r="FU16" s="13"/>
      <c r="FV16" s="55">
        <f t="shared" si="133"/>
        <v>0</v>
      </c>
      <c r="FW16" s="55">
        <f t="shared" si="134"/>
        <v>0</v>
      </c>
      <c r="FX16" s="56">
        <f t="shared" si="135"/>
        <v>0</v>
      </c>
      <c r="FY16" s="56">
        <f t="shared" si="136"/>
        <v>0</v>
      </c>
    </row>
    <row r="17" spans="1:181" x14ac:dyDescent="0.25">
      <c r="A17" s="25">
        <v>7</v>
      </c>
      <c r="B17" s="31">
        <f t="shared" si="37"/>
        <v>20172</v>
      </c>
      <c r="C17" s="15"/>
      <c r="D17" s="16">
        <v>69794.97</v>
      </c>
      <c r="E17" s="16">
        <v>1302</v>
      </c>
      <c r="F17" s="16">
        <v>1816</v>
      </c>
      <c r="G17" s="16">
        <v>19692663.030000001</v>
      </c>
      <c r="H17" s="16">
        <v>21560514.870000001</v>
      </c>
      <c r="I17" s="13"/>
      <c r="J17" s="33">
        <f t="shared" si="47"/>
        <v>277901.58999999997</v>
      </c>
      <c r="K17" s="33">
        <f t="shared" si="48"/>
        <v>4906</v>
      </c>
      <c r="L17" s="33">
        <f t="shared" si="49"/>
        <v>7245</v>
      </c>
      <c r="M17" s="33">
        <f t="shared" si="50"/>
        <v>87337390.280000001</v>
      </c>
      <c r="N17" s="33">
        <f t="shared" si="51"/>
        <v>87887254.209999993</v>
      </c>
      <c r="O17" s="13"/>
      <c r="P17" s="55">
        <f t="shared" si="52"/>
        <v>1.7653731308266356</v>
      </c>
      <c r="Q17" s="55">
        <f t="shared" si="53"/>
        <v>2.6070379806031339</v>
      </c>
      <c r="R17" s="56">
        <f t="shared" si="54"/>
        <v>17802.158638401957</v>
      </c>
      <c r="S17" s="56">
        <f t="shared" si="55"/>
        <v>17914.238526294332</v>
      </c>
      <c r="T17" s="31">
        <f t="shared" si="38"/>
        <v>20172</v>
      </c>
      <c r="U17" s="15"/>
      <c r="V17" s="16"/>
      <c r="W17" s="16"/>
      <c r="X17" s="16"/>
      <c r="Y17" s="16"/>
      <c r="Z17" s="16"/>
      <c r="AA17" s="13"/>
      <c r="AB17" s="33" t="str">
        <f t="shared" si="56"/>
        <v/>
      </c>
      <c r="AC17" s="33" t="str">
        <f t="shared" si="57"/>
        <v/>
      </c>
      <c r="AD17" s="33" t="str">
        <f t="shared" si="58"/>
        <v/>
      </c>
      <c r="AE17" s="33" t="str">
        <f t="shared" si="59"/>
        <v/>
      </c>
      <c r="AF17" s="33" t="str">
        <f t="shared" si="60"/>
        <v/>
      </c>
      <c r="AG17" s="13"/>
      <c r="AH17" s="55">
        <f t="shared" si="61"/>
        <v>0</v>
      </c>
      <c r="AI17" s="55">
        <f t="shared" si="62"/>
        <v>0</v>
      </c>
      <c r="AJ17" s="56">
        <f t="shared" si="63"/>
        <v>0</v>
      </c>
      <c r="AK17" s="56">
        <f t="shared" si="64"/>
        <v>0</v>
      </c>
      <c r="AL17" s="31">
        <f t="shared" si="39"/>
        <v>20172</v>
      </c>
      <c r="AM17" s="15"/>
      <c r="AN17" s="16"/>
      <c r="AO17" s="16"/>
      <c r="AP17" s="16"/>
      <c r="AQ17" s="16"/>
      <c r="AR17" s="16"/>
      <c r="AS17" s="13"/>
      <c r="AT17" s="33" t="str">
        <f t="shared" si="65"/>
        <v/>
      </c>
      <c r="AU17" s="33" t="str">
        <f t="shared" si="66"/>
        <v/>
      </c>
      <c r="AV17" s="33" t="str">
        <f t="shared" si="67"/>
        <v/>
      </c>
      <c r="AW17" s="33" t="str">
        <f t="shared" si="68"/>
        <v/>
      </c>
      <c r="AX17" s="33" t="str">
        <f t="shared" si="69"/>
        <v/>
      </c>
      <c r="AY17" s="13"/>
      <c r="AZ17" s="55">
        <f t="shared" si="70"/>
        <v>0</v>
      </c>
      <c r="BA17" s="55">
        <f t="shared" si="71"/>
        <v>0</v>
      </c>
      <c r="BB17" s="56">
        <f t="shared" si="72"/>
        <v>0</v>
      </c>
      <c r="BC17" s="56">
        <f t="shared" si="73"/>
        <v>0</v>
      </c>
      <c r="BD17" s="31">
        <f t="shared" si="40"/>
        <v>20172</v>
      </c>
      <c r="BE17" s="15"/>
      <c r="BF17" s="16"/>
      <c r="BG17" s="16"/>
      <c r="BH17" s="16"/>
      <c r="BI17" s="16"/>
      <c r="BJ17" s="16"/>
      <c r="BK17" s="13"/>
      <c r="BL17" s="33" t="str">
        <f t="shared" si="74"/>
        <v/>
      </c>
      <c r="BM17" s="33" t="str">
        <f t="shared" si="75"/>
        <v/>
      </c>
      <c r="BN17" s="33" t="str">
        <f t="shared" si="76"/>
        <v/>
      </c>
      <c r="BO17" s="33" t="str">
        <f t="shared" si="77"/>
        <v/>
      </c>
      <c r="BP17" s="33" t="str">
        <f t="shared" si="78"/>
        <v/>
      </c>
      <c r="BQ17" s="13"/>
      <c r="BR17" s="55">
        <f t="shared" si="79"/>
        <v>0</v>
      </c>
      <c r="BS17" s="55">
        <f t="shared" si="80"/>
        <v>0</v>
      </c>
      <c r="BT17" s="56">
        <f t="shared" si="81"/>
        <v>0</v>
      </c>
      <c r="BU17" s="56">
        <f t="shared" si="82"/>
        <v>0</v>
      </c>
      <c r="BV17" s="31">
        <f t="shared" si="41"/>
        <v>20172</v>
      </c>
      <c r="BW17" s="15"/>
      <c r="BX17" s="16"/>
      <c r="BY17" s="16"/>
      <c r="BZ17" s="16"/>
      <c r="CA17" s="16"/>
      <c r="CB17" s="16"/>
      <c r="CC17" s="13"/>
      <c r="CD17" s="33" t="str">
        <f t="shared" si="83"/>
        <v/>
      </c>
      <c r="CE17" s="33" t="str">
        <f t="shared" si="84"/>
        <v/>
      </c>
      <c r="CF17" s="33" t="str">
        <f t="shared" si="85"/>
        <v/>
      </c>
      <c r="CG17" s="33" t="str">
        <f t="shared" si="86"/>
        <v/>
      </c>
      <c r="CH17" s="33" t="str">
        <f t="shared" si="87"/>
        <v/>
      </c>
      <c r="CI17" s="13"/>
      <c r="CJ17" s="55">
        <f t="shared" si="88"/>
        <v>0</v>
      </c>
      <c r="CK17" s="55">
        <f t="shared" si="89"/>
        <v>0</v>
      </c>
      <c r="CL17" s="56">
        <f t="shared" si="90"/>
        <v>0</v>
      </c>
      <c r="CM17" s="56">
        <f t="shared" si="91"/>
        <v>0</v>
      </c>
      <c r="CN17" s="31">
        <f t="shared" si="42"/>
        <v>20172</v>
      </c>
      <c r="CO17" s="15"/>
      <c r="CP17" s="16"/>
      <c r="CQ17" s="16"/>
      <c r="CR17" s="16"/>
      <c r="CS17" s="16"/>
      <c r="CT17" s="16"/>
      <c r="CU17" s="13"/>
      <c r="CV17" s="33" t="str">
        <f t="shared" si="92"/>
        <v/>
      </c>
      <c r="CW17" s="33" t="str">
        <f t="shared" si="93"/>
        <v/>
      </c>
      <c r="CX17" s="33" t="str">
        <f t="shared" si="94"/>
        <v/>
      </c>
      <c r="CY17" s="33" t="str">
        <f t="shared" si="95"/>
        <v/>
      </c>
      <c r="CZ17" s="33" t="str">
        <f t="shared" si="96"/>
        <v/>
      </c>
      <c r="DA17" s="13"/>
      <c r="DB17" s="55">
        <f t="shared" si="97"/>
        <v>0</v>
      </c>
      <c r="DC17" s="55">
        <f t="shared" si="98"/>
        <v>0</v>
      </c>
      <c r="DD17" s="56">
        <f t="shared" si="99"/>
        <v>0</v>
      </c>
      <c r="DE17" s="56">
        <f t="shared" si="100"/>
        <v>0</v>
      </c>
      <c r="DF17" s="31">
        <f t="shared" si="43"/>
        <v>20172</v>
      </c>
      <c r="DG17" s="15"/>
      <c r="DH17" s="16"/>
      <c r="DI17" s="16"/>
      <c r="DJ17" s="16"/>
      <c r="DK17" s="16"/>
      <c r="DL17" s="16"/>
      <c r="DM17" s="13"/>
      <c r="DN17" s="33" t="str">
        <f t="shared" si="101"/>
        <v/>
      </c>
      <c r="DO17" s="33" t="str">
        <f t="shared" si="102"/>
        <v/>
      </c>
      <c r="DP17" s="33" t="str">
        <f t="shared" si="103"/>
        <v/>
      </c>
      <c r="DQ17" s="33" t="str">
        <f t="shared" si="104"/>
        <v/>
      </c>
      <c r="DR17" s="33" t="str">
        <f t="shared" si="105"/>
        <v/>
      </c>
      <c r="DS17" s="13"/>
      <c r="DT17" s="55">
        <f t="shared" si="106"/>
        <v>0</v>
      </c>
      <c r="DU17" s="55">
        <f t="shared" si="107"/>
        <v>0</v>
      </c>
      <c r="DV17" s="56">
        <f t="shared" si="108"/>
        <v>0</v>
      </c>
      <c r="DW17" s="56">
        <f t="shared" si="109"/>
        <v>0</v>
      </c>
      <c r="DX17" s="31">
        <f t="shared" si="44"/>
        <v>20172</v>
      </c>
      <c r="DY17" s="15"/>
      <c r="DZ17" s="16"/>
      <c r="EA17" s="16"/>
      <c r="EB17" s="16"/>
      <c r="EC17" s="16"/>
      <c r="ED17" s="16"/>
      <c r="EE17" s="13"/>
      <c r="EF17" s="33" t="str">
        <f t="shared" si="110"/>
        <v/>
      </c>
      <c r="EG17" s="33" t="str">
        <f t="shared" si="111"/>
        <v/>
      </c>
      <c r="EH17" s="33" t="str">
        <f t="shared" si="112"/>
        <v/>
      </c>
      <c r="EI17" s="33" t="str">
        <f t="shared" si="113"/>
        <v/>
      </c>
      <c r="EJ17" s="33" t="str">
        <f t="shared" si="114"/>
        <v/>
      </c>
      <c r="EK17" s="13"/>
      <c r="EL17" s="55">
        <f t="shared" si="115"/>
        <v>0</v>
      </c>
      <c r="EM17" s="55">
        <f t="shared" si="116"/>
        <v>0</v>
      </c>
      <c r="EN17" s="56">
        <f t="shared" si="117"/>
        <v>0</v>
      </c>
      <c r="EO17" s="56">
        <f t="shared" si="118"/>
        <v>0</v>
      </c>
      <c r="EP17" s="31">
        <f t="shared" si="45"/>
        <v>20172</v>
      </c>
      <c r="EQ17" s="15"/>
      <c r="ER17" s="16"/>
      <c r="ES17" s="16"/>
      <c r="ET17" s="16"/>
      <c r="EU17" s="16"/>
      <c r="EV17" s="16"/>
      <c r="EW17" s="13"/>
      <c r="EX17" s="33" t="str">
        <f t="shared" si="119"/>
        <v/>
      </c>
      <c r="EY17" s="33" t="str">
        <f t="shared" si="120"/>
        <v/>
      </c>
      <c r="EZ17" s="33" t="str">
        <f t="shared" si="121"/>
        <v/>
      </c>
      <c r="FA17" s="33" t="str">
        <f t="shared" si="122"/>
        <v/>
      </c>
      <c r="FB17" s="33" t="str">
        <f t="shared" si="123"/>
        <v/>
      </c>
      <c r="FC17" s="13"/>
      <c r="FD17" s="55">
        <f t="shared" si="124"/>
        <v>0</v>
      </c>
      <c r="FE17" s="55">
        <f t="shared" si="125"/>
        <v>0</v>
      </c>
      <c r="FF17" s="56">
        <f t="shared" si="126"/>
        <v>0</v>
      </c>
      <c r="FG17" s="56">
        <f t="shared" si="127"/>
        <v>0</v>
      </c>
      <c r="FH17" s="31">
        <f t="shared" si="46"/>
        <v>20172</v>
      </c>
      <c r="FI17" s="15"/>
      <c r="FJ17" s="16"/>
      <c r="FK17" s="16"/>
      <c r="FL17" s="16"/>
      <c r="FM17" s="16"/>
      <c r="FN17" s="16"/>
      <c r="FO17" s="13"/>
      <c r="FP17" s="33" t="str">
        <f t="shared" si="128"/>
        <v/>
      </c>
      <c r="FQ17" s="33" t="str">
        <f t="shared" si="129"/>
        <v/>
      </c>
      <c r="FR17" s="33" t="str">
        <f t="shared" si="130"/>
        <v/>
      </c>
      <c r="FS17" s="33" t="str">
        <f t="shared" si="131"/>
        <v/>
      </c>
      <c r="FT17" s="33" t="str">
        <f t="shared" si="132"/>
        <v/>
      </c>
      <c r="FU17" s="13"/>
      <c r="FV17" s="55">
        <f t="shared" si="133"/>
        <v>0</v>
      </c>
      <c r="FW17" s="55">
        <f t="shared" si="134"/>
        <v>0</v>
      </c>
      <c r="FX17" s="56">
        <f t="shared" si="135"/>
        <v>0</v>
      </c>
      <c r="FY17" s="56">
        <f t="shared" si="136"/>
        <v>0</v>
      </c>
    </row>
    <row r="18" spans="1:181" x14ac:dyDescent="0.25">
      <c r="A18" s="25">
        <v>8</v>
      </c>
      <c r="B18" s="31">
        <f t="shared" si="37"/>
        <v>20173</v>
      </c>
      <c r="C18" s="15"/>
      <c r="D18" s="16">
        <v>69574.12</v>
      </c>
      <c r="E18" s="16">
        <v>934</v>
      </c>
      <c r="F18" s="16">
        <v>1629</v>
      </c>
      <c r="G18" s="16">
        <v>17719855.09</v>
      </c>
      <c r="H18" s="16">
        <v>19471297.68</v>
      </c>
      <c r="I18" s="13"/>
      <c r="J18" s="33">
        <f t="shared" si="47"/>
        <v>277905.09999999998</v>
      </c>
      <c r="K18" s="33">
        <f t="shared" si="48"/>
        <v>4749</v>
      </c>
      <c r="L18" s="33">
        <f t="shared" si="49"/>
        <v>7213</v>
      </c>
      <c r="M18" s="33">
        <f t="shared" si="50"/>
        <v>84983931.210000008</v>
      </c>
      <c r="N18" s="33">
        <f t="shared" si="51"/>
        <v>88067296.800000012</v>
      </c>
      <c r="O18" s="13"/>
      <c r="P18" s="55">
        <f t="shared" si="52"/>
        <v>1.708856728429957</v>
      </c>
      <c r="Q18" s="55">
        <f t="shared" si="53"/>
        <v>2.5954903310518591</v>
      </c>
      <c r="R18" s="56">
        <f t="shared" si="54"/>
        <v>17895.121332912193</v>
      </c>
      <c r="S18" s="56">
        <f t="shared" si="55"/>
        <v>18544.387618445991</v>
      </c>
      <c r="T18" s="31">
        <f t="shared" si="38"/>
        <v>20173</v>
      </c>
      <c r="U18" s="15"/>
      <c r="V18" s="16"/>
      <c r="W18" s="16"/>
      <c r="X18" s="16"/>
      <c r="Y18" s="16"/>
      <c r="Z18" s="16"/>
      <c r="AA18" s="13"/>
      <c r="AB18" s="33" t="str">
        <f t="shared" si="56"/>
        <v/>
      </c>
      <c r="AC18" s="33" t="str">
        <f t="shared" si="57"/>
        <v/>
      </c>
      <c r="AD18" s="33" t="str">
        <f t="shared" si="58"/>
        <v/>
      </c>
      <c r="AE18" s="33" t="str">
        <f t="shared" si="59"/>
        <v/>
      </c>
      <c r="AF18" s="33" t="str">
        <f t="shared" si="60"/>
        <v/>
      </c>
      <c r="AG18" s="13"/>
      <c r="AH18" s="55">
        <f t="shared" si="61"/>
        <v>0</v>
      </c>
      <c r="AI18" s="55">
        <f t="shared" si="62"/>
        <v>0</v>
      </c>
      <c r="AJ18" s="56">
        <f t="shared" si="63"/>
        <v>0</v>
      </c>
      <c r="AK18" s="56">
        <f t="shared" si="64"/>
        <v>0</v>
      </c>
      <c r="AL18" s="31">
        <f t="shared" si="39"/>
        <v>20173</v>
      </c>
      <c r="AM18" s="15"/>
      <c r="AN18" s="16"/>
      <c r="AO18" s="16"/>
      <c r="AP18" s="16"/>
      <c r="AQ18" s="16"/>
      <c r="AR18" s="16"/>
      <c r="AS18" s="13"/>
      <c r="AT18" s="33" t="str">
        <f t="shared" si="65"/>
        <v/>
      </c>
      <c r="AU18" s="33" t="str">
        <f t="shared" si="66"/>
        <v/>
      </c>
      <c r="AV18" s="33" t="str">
        <f t="shared" si="67"/>
        <v/>
      </c>
      <c r="AW18" s="33" t="str">
        <f t="shared" si="68"/>
        <v/>
      </c>
      <c r="AX18" s="33" t="str">
        <f t="shared" si="69"/>
        <v/>
      </c>
      <c r="AY18" s="13"/>
      <c r="AZ18" s="55">
        <f t="shared" si="70"/>
        <v>0</v>
      </c>
      <c r="BA18" s="55">
        <f t="shared" si="71"/>
        <v>0</v>
      </c>
      <c r="BB18" s="56">
        <f t="shared" si="72"/>
        <v>0</v>
      </c>
      <c r="BC18" s="56">
        <f t="shared" si="73"/>
        <v>0</v>
      </c>
      <c r="BD18" s="31">
        <f t="shared" si="40"/>
        <v>20173</v>
      </c>
      <c r="BE18" s="15"/>
      <c r="BF18" s="16"/>
      <c r="BG18" s="16"/>
      <c r="BH18" s="16"/>
      <c r="BI18" s="16"/>
      <c r="BJ18" s="16"/>
      <c r="BK18" s="13"/>
      <c r="BL18" s="33" t="str">
        <f t="shared" si="74"/>
        <v/>
      </c>
      <c r="BM18" s="33" t="str">
        <f t="shared" si="75"/>
        <v/>
      </c>
      <c r="BN18" s="33" t="str">
        <f t="shared" si="76"/>
        <v/>
      </c>
      <c r="BO18" s="33" t="str">
        <f t="shared" si="77"/>
        <v/>
      </c>
      <c r="BP18" s="33" t="str">
        <f t="shared" si="78"/>
        <v/>
      </c>
      <c r="BQ18" s="13"/>
      <c r="BR18" s="55">
        <f t="shared" si="79"/>
        <v>0</v>
      </c>
      <c r="BS18" s="55">
        <f t="shared" si="80"/>
        <v>0</v>
      </c>
      <c r="BT18" s="56">
        <f t="shared" si="81"/>
        <v>0</v>
      </c>
      <c r="BU18" s="56">
        <f t="shared" si="82"/>
        <v>0</v>
      </c>
      <c r="BV18" s="31">
        <f t="shared" si="41"/>
        <v>20173</v>
      </c>
      <c r="BW18" s="15"/>
      <c r="BX18" s="16"/>
      <c r="BY18" s="16"/>
      <c r="BZ18" s="16"/>
      <c r="CA18" s="16"/>
      <c r="CB18" s="16"/>
      <c r="CC18" s="13"/>
      <c r="CD18" s="33" t="str">
        <f t="shared" si="83"/>
        <v/>
      </c>
      <c r="CE18" s="33" t="str">
        <f t="shared" si="84"/>
        <v/>
      </c>
      <c r="CF18" s="33" t="str">
        <f t="shared" si="85"/>
        <v/>
      </c>
      <c r="CG18" s="33" t="str">
        <f t="shared" si="86"/>
        <v/>
      </c>
      <c r="CH18" s="33" t="str">
        <f t="shared" si="87"/>
        <v/>
      </c>
      <c r="CI18" s="13"/>
      <c r="CJ18" s="55">
        <f t="shared" si="88"/>
        <v>0</v>
      </c>
      <c r="CK18" s="55">
        <f t="shared" si="89"/>
        <v>0</v>
      </c>
      <c r="CL18" s="56">
        <f t="shared" si="90"/>
        <v>0</v>
      </c>
      <c r="CM18" s="56">
        <f t="shared" si="91"/>
        <v>0</v>
      </c>
      <c r="CN18" s="31">
        <f t="shared" si="42"/>
        <v>20173</v>
      </c>
      <c r="CO18" s="15"/>
      <c r="CP18" s="16"/>
      <c r="CQ18" s="16"/>
      <c r="CR18" s="16"/>
      <c r="CS18" s="16"/>
      <c r="CT18" s="16"/>
      <c r="CU18" s="13"/>
      <c r="CV18" s="33" t="str">
        <f t="shared" si="92"/>
        <v/>
      </c>
      <c r="CW18" s="33" t="str">
        <f t="shared" si="93"/>
        <v/>
      </c>
      <c r="CX18" s="33" t="str">
        <f t="shared" si="94"/>
        <v/>
      </c>
      <c r="CY18" s="33" t="str">
        <f t="shared" si="95"/>
        <v/>
      </c>
      <c r="CZ18" s="33" t="str">
        <f t="shared" si="96"/>
        <v/>
      </c>
      <c r="DA18" s="13"/>
      <c r="DB18" s="55">
        <f t="shared" si="97"/>
        <v>0</v>
      </c>
      <c r="DC18" s="55">
        <f t="shared" si="98"/>
        <v>0</v>
      </c>
      <c r="DD18" s="56">
        <f t="shared" si="99"/>
        <v>0</v>
      </c>
      <c r="DE18" s="56">
        <f t="shared" si="100"/>
        <v>0</v>
      </c>
      <c r="DF18" s="31">
        <f t="shared" si="43"/>
        <v>20173</v>
      </c>
      <c r="DG18" s="15"/>
      <c r="DH18" s="16"/>
      <c r="DI18" s="16"/>
      <c r="DJ18" s="16"/>
      <c r="DK18" s="16"/>
      <c r="DL18" s="16"/>
      <c r="DM18" s="13"/>
      <c r="DN18" s="33" t="str">
        <f t="shared" si="101"/>
        <v/>
      </c>
      <c r="DO18" s="33" t="str">
        <f t="shared" si="102"/>
        <v/>
      </c>
      <c r="DP18" s="33" t="str">
        <f t="shared" si="103"/>
        <v/>
      </c>
      <c r="DQ18" s="33" t="str">
        <f t="shared" si="104"/>
        <v/>
      </c>
      <c r="DR18" s="33" t="str">
        <f t="shared" si="105"/>
        <v/>
      </c>
      <c r="DS18" s="13"/>
      <c r="DT18" s="55">
        <f t="shared" si="106"/>
        <v>0</v>
      </c>
      <c r="DU18" s="55">
        <f t="shared" si="107"/>
        <v>0</v>
      </c>
      <c r="DV18" s="56">
        <f t="shared" si="108"/>
        <v>0</v>
      </c>
      <c r="DW18" s="56">
        <f t="shared" si="109"/>
        <v>0</v>
      </c>
      <c r="DX18" s="31">
        <f t="shared" si="44"/>
        <v>20173</v>
      </c>
      <c r="DY18" s="15"/>
      <c r="DZ18" s="16"/>
      <c r="EA18" s="16"/>
      <c r="EB18" s="16"/>
      <c r="EC18" s="16"/>
      <c r="ED18" s="16"/>
      <c r="EE18" s="13"/>
      <c r="EF18" s="33" t="str">
        <f t="shared" si="110"/>
        <v/>
      </c>
      <c r="EG18" s="33" t="str">
        <f t="shared" si="111"/>
        <v/>
      </c>
      <c r="EH18" s="33" t="str">
        <f t="shared" si="112"/>
        <v/>
      </c>
      <c r="EI18" s="33" t="str">
        <f t="shared" si="113"/>
        <v/>
      </c>
      <c r="EJ18" s="33" t="str">
        <f t="shared" si="114"/>
        <v/>
      </c>
      <c r="EK18" s="13"/>
      <c r="EL18" s="55">
        <f t="shared" si="115"/>
        <v>0</v>
      </c>
      <c r="EM18" s="55">
        <f t="shared" si="116"/>
        <v>0</v>
      </c>
      <c r="EN18" s="56">
        <f t="shared" si="117"/>
        <v>0</v>
      </c>
      <c r="EO18" s="56">
        <f t="shared" si="118"/>
        <v>0</v>
      </c>
      <c r="EP18" s="31">
        <f t="shared" si="45"/>
        <v>20173</v>
      </c>
      <c r="EQ18" s="15"/>
      <c r="ER18" s="16"/>
      <c r="ES18" s="16"/>
      <c r="ET18" s="16"/>
      <c r="EU18" s="16"/>
      <c r="EV18" s="16"/>
      <c r="EW18" s="13"/>
      <c r="EX18" s="33" t="str">
        <f t="shared" si="119"/>
        <v/>
      </c>
      <c r="EY18" s="33" t="str">
        <f t="shared" si="120"/>
        <v/>
      </c>
      <c r="EZ18" s="33" t="str">
        <f t="shared" si="121"/>
        <v/>
      </c>
      <c r="FA18" s="33" t="str">
        <f t="shared" si="122"/>
        <v/>
      </c>
      <c r="FB18" s="33" t="str">
        <f t="shared" si="123"/>
        <v/>
      </c>
      <c r="FC18" s="13"/>
      <c r="FD18" s="55">
        <f t="shared" si="124"/>
        <v>0</v>
      </c>
      <c r="FE18" s="55">
        <f t="shared" si="125"/>
        <v>0</v>
      </c>
      <c r="FF18" s="56">
        <f t="shared" si="126"/>
        <v>0</v>
      </c>
      <c r="FG18" s="56">
        <f t="shared" si="127"/>
        <v>0</v>
      </c>
      <c r="FH18" s="31">
        <f t="shared" si="46"/>
        <v>20173</v>
      </c>
      <c r="FI18" s="15"/>
      <c r="FJ18" s="16"/>
      <c r="FK18" s="16"/>
      <c r="FL18" s="16"/>
      <c r="FM18" s="16"/>
      <c r="FN18" s="16"/>
      <c r="FO18" s="13"/>
      <c r="FP18" s="33" t="str">
        <f t="shared" si="128"/>
        <v/>
      </c>
      <c r="FQ18" s="33" t="str">
        <f t="shared" si="129"/>
        <v/>
      </c>
      <c r="FR18" s="33" t="str">
        <f t="shared" si="130"/>
        <v/>
      </c>
      <c r="FS18" s="33" t="str">
        <f t="shared" si="131"/>
        <v/>
      </c>
      <c r="FT18" s="33" t="str">
        <f t="shared" si="132"/>
        <v/>
      </c>
      <c r="FU18" s="13"/>
      <c r="FV18" s="55">
        <f t="shared" si="133"/>
        <v>0</v>
      </c>
      <c r="FW18" s="55">
        <f t="shared" si="134"/>
        <v>0</v>
      </c>
      <c r="FX18" s="56">
        <f t="shared" si="135"/>
        <v>0</v>
      </c>
      <c r="FY18" s="56">
        <f t="shared" si="136"/>
        <v>0</v>
      </c>
    </row>
    <row r="19" spans="1:181" x14ac:dyDescent="0.25">
      <c r="A19" s="25">
        <v>9</v>
      </c>
      <c r="B19" s="31">
        <f t="shared" si="37"/>
        <v>20174</v>
      </c>
      <c r="C19" s="15"/>
      <c r="D19" s="16">
        <v>69176.320000000007</v>
      </c>
      <c r="E19" s="16">
        <v>871</v>
      </c>
      <c r="F19" s="16">
        <v>1408</v>
      </c>
      <c r="G19" s="16">
        <v>17623250.050000001</v>
      </c>
      <c r="H19" s="16">
        <v>20397860.399999999</v>
      </c>
      <c r="I19" s="13"/>
      <c r="J19" s="33">
        <f t="shared" si="47"/>
        <v>277700.66000000003</v>
      </c>
      <c r="K19" s="33">
        <f t="shared" si="48"/>
        <v>4481</v>
      </c>
      <c r="L19" s="33">
        <f t="shared" si="49"/>
        <v>6900</v>
      </c>
      <c r="M19" s="33">
        <f t="shared" si="50"/>
        <v>82115582.459999993</v>
      </c>
      <c r="N19" s="33">
        <f t="shared" si="51"/>
        <v>86265379.599999994</v>
      </c>
      <c r="O19" s="13"/>
      <c r="P19" s="55">
        <f t="shared" si="52"/>
        <v>1.6136079763008122</v>
      </c>
      <c r="Q19" s="55">
        <f t="shared" si="53"/>
        <v>2.4846898095236791</v>
      </c>
      <c r="R19" s="56">
        <f t="shared" si="54"/>
        <v>18325.280620397232</v>
      </c>
      <c r="S19" s="56">
        <f t="shared" si="55"/>
        <v>19251.367908948894</v>
      </c>
      <c r="T19" s="31">
        <f t="shared" si="38"/>
        <v>20174</v>
      </c>
      <c r="U19" s="15"/>
      <c r="V19" s="16"/>
      <c r="W19" s="16"/>
      <c r="X19" s="16"/>
      <c r="Y19" s="16"/>
      <c r="Z19" s="16"/>
      <c r="AA19" s="13"/>
      <c r="AB19" s="33" t="str">
        <f t="shared" si="56"/>
        <v/>
      </c>
      <c r="AC19" s="33" t="str">
        <f t="shared" si="57"/>
        <v/>
      </c>
      <c r="AD19" s="33" t="str">
        <f t="shared" si="58"/>
        <v/>
      </c>
      <c r="AE19" s="33" t="str">
        <f t="shared" si="59"/>
        <v/>
      </c>
      <c r="AF19" s="33" t="str">
        <f t="shared" si="60"/>
        <v/>
      </c>
      <c r="AG19" s="13"/>
      <c r="AH19" s="55">
        <f t="shared" si="61"/>
        <v>0</v>
      </c>
      <c r="AI19" s="55">
        <f t="shared" si="62"/>
        <v>0</v>
      </c>
      <c r="AJ19" s="56">
        <f t="shared" si="63"/>
        <v>0</v>
      </c>
      <c r="AK19" s="56">
        <f t="shared" si="64"/>
        <v>0</v>
      </c>
      <c r="AL19" s="31">
        <f t="shared" si="39"/>
        <v>20174</v>
      </c>
      <c r="AM19" s="15"/>
      <c r="AN19" s="16"/>
      <c r="AO19" s="16"/>
      <c r="AP19" s="16"/>
      <c r="AQ19" s="16"/>
      <c r="AR19" s="16"/>
      <c r="AS19" s="13"/>
      <c r="AT19" s="33" t="str">
        <f t="shared" si="65"/>
        <v/>
      </c>
      <c r="AU19" s="33" t="str">
        <f t="shared" si="66"/>
        <v/>
      </c>
      <c r="AV19" s="33" t="str">
        <f t="shared" si="67"/>
        <v/>
      </c>
      <c r="AW19" s="33" t="str">
        <f t="shared" si="68"/>
        <v/>
      </c>
      <c r="AX19" s="33" t="str">
        <f t="shared" si="69"/>
        <v/>
      </c>
      <c r="AY19" s="13"/>
      <c r="AZ19" s="55">
        <f t="shared" si="70"/>
        <v>0</v>
      </c>
      <c r="BA19" s="55">
        <f t="shared" si="71"/>
        <v>0</v>
      </c>
      <c r="BB19" s="56">
        <f t="shared" si="72"/>
        <v>0</v>
      </c>
      <c r="BC19" s="56">
        <f t="shared" si="73"/>
        <v>0</v>
      </c>
      <c r="BD19" s="31">
        <f t="shared" si="40"/>
        <v>20174</v>
      </c>
      <c r="BE19" s="15"/>
      <c r="BF19" s="16"/>
      <c r="BG19" s="16"/>
      <c r="BH19" s="16"/>
      <c r="BI19" s="16"/>
      <c r="BJ19" s="16"/>
      <c r="BK19" s="13"/>
      <c r="BL19" s="33" t="str">
        <f t="shared" si="74"/>
        <v/>
      </c>
      <c r="BM19" s="33" t="str">
        <f t="shared" si="75"/>
        <v/>
      </c>
      <c r="BN19" s="33" t="str">
        <f t="shared" si="76"/>
        <v/>
      </c>
      <c r="BO19" s="33" t="str">
        <f t="shared" si="77"/>
        <v/>
      </c>
      <c r="BP19" s="33" t="str">
        <f t="shared" si="78"/>
        <v/>
      </c>
      <c r="BQ19" s="13"/>
      <c r="BR19" s="55">
        <f t="shared" si="79"/>
        <v>0</v>
      </c>
      <c r="BS19" s="55">
        <f t="shared" si="80"/>
        <v>0</v>
      </c>
      <c r="BT19" s="56">
        <f t="shared" si="81"/>
        <v>0</v>
      </c>
      <c r="BU19" s="56">
        <f t="shared" si="82"/>
        <v>0</v>
      </c>
      <c r="BV19" s="31">
        <f t="shared" si="41"/>
        <v>20174</v>
      </c>
      <c r="BW19" s="15"/>
      <c r="BX19" s="16"/>
      <c r="BY19" s="16"/>
      <c r="BZ19" s="16"/>
      <c r="CA19" s="16"/>
      <c r="CB19" s="16"/>
      <c r="CC19" s="13"/>
      <c r="CD19" s="33" t="str">
        <f t="shared" si="83"/>
        <v/>
      </c>
      <c r="CE19" s="33" t="str">
        <f t="shared" si="84"/>
        <v/>
      </c>
      <c r="CF19" s="33" t="str">
        <f t="shared" si="85"/>
        <v/>
      </c>
      <c r="CG19" s="33" t="str">
        <f t="shared" si="86"/>
        <v/>
      </c>
      <c r="CH19" s="33" t="str">
        <f t="shared" si="87"/>
        <v/>
      </c>
      <c r="CI19" s="13"/>
      <c r="CJ19" s="55">
        <f t="shared" si="88"/>
        <v>0</v>
      </c>
      <c r="CK19" s="55">
        <f t="shared" si="89"/>
        <v>0</v>
      </c>
      <c r="CL19" s="56">
        <f t="shared" si="90"/>
        <v>0</v>
      </c>
      <c r="CM19" s="56">
        <f t="shared" si="91"/>
        <v>0</v>
      </c>
      <c r="CN19" s="31">
        <f t="shared" si="42"/>
        <v>20174</v>
      </c>
      <c r="CO19" s="15"/>
      <c r="CP19" s="16"/>
      <c r="CQ19" s="16"/>
      <c r="CR19" s="16"/>
      <c r="CS19" s="16"/>
      <c r="CT19" s="16"/>
      <c r="CU19" s="13"/>
      <c r="CV19" s="33" t="str">
        <f t="shared" si="92"/>
        <v/>
      </c>
      <c r="CW19" s="33" t="str">
        <f t="shared" si="93"/>
        <v/>
      </c>
      <c r="CX19" s="33" t="str">
        <f t="shared" si="94"/>
        <v/>
      </c>
      <c r="CY19" s="33" t="str">
        <f t="shared" si="95"/>
        <v/>
      </c>
      <c r="CZ19" s="33" t="str">
        <f t="shared" si="96"/>
        <v/>
      </c>
      <c r="DA19" s="13"/>
      <c r="DB19" s="55">
        <f t="shared" si="97"/>
        <v>0</v>
      </c>
      <c r="DC19" s="55">
        <f t="shared" si="98"/>
        <v>0</v>
      </c>
      <c r="DD19" s="56">
        <f t="shared" si="99"/>
        <v>0</v>
      </c>
      <c r="DE19" s="56">
        <f t="shared" si="100"/>
        <v>0</v>
      </c>
      <c r="DF19" s="31">
        <f t="shared" si="43"/>
        <v>20174</v>
      </c>
      <c r="DG19" s="15"/>
      <c r="DH19" s="16"/>
      <c r="DI19" s="16"/>
      <c r="DJ19" s="16"/>
      <c r="DK19" s="16"/>
      <c r="DL19" s="16"/>
      <c r="DM19" s="13"/>
      <c r="DN19" s="33" t="str">
        <f t="shared" si="101"/>
        <v/>
      </c>
      <c r="DO19" s="33" t="str">
        <f t="shared" si="102"/>
        <v/>
      </c>
      <c r="DP19" s="33" t="str">
        <f t="shared" si="103"/>
        <v/>
      </c>
      <c r="DQ19" s="33" t="str">
        <f t="shared" si="104"/>
        <v/>
      </c>
      <c r="DR19" s="33" t="str">
        <f t="shared" si="105"/>
        <v/>
      </c>
      <c r="DS19" s="13"/>
      <c r="DT19" s="55">
        <f t="shared" si="106"/>
        <v>0</v>
      </c>
      <c r="DU19" s="55">
        <f t="shared" si="107"/>
        <v>0</v>
      </c>
      <c r="DV19" s="56">
        <f t="shared" si="108"/>
        <v>0</v>
      </c>
      <c r="DW19" s="56">
        <f t="shared" si="109"/>
        <v>0</v>
      </c>
      <c r="DX19" s="31">
        <f t="shared" si="44"/>
        <v>20174</v>
      </c>
      <c r="DY19" s="15"/>
      <c r="DZ19" s="16"/>
      <c r="EA19" s="16"/>
      <c r="EB19" s="16"/>
      <c r="EC19" s="16"/>
      <c r="ED19" s="16"/>
      <c r="EE19" s="13"/>
      <c r="EF19" s="33" t="str">
        <f t="shared" si="110"/>
        <v/>
      </c>
      <c r="EG19" s="33" t="str">
        <f t="shared" si="111"/>
        <v/>
      </c>
      <c r="EH19" s="33" t="str">
        <f t="shared" si="112"/>
        <v/>
      </c>
      <c r="EI19" s="33" t="str">
        <f t="shared" si="113"/>
        <v/>
      </c>
      <c r="EJ19" s="33" t="str">
        <f t="shared" si="114"/>
        <v/>
      </c>
      <c r="EK19" s="13"/>
      <c r="EL19" s="55">
        <f t="shared" si="115"/>
        <v>0</v>
      </c>
      <c r="EM19" s="55">
        <f t="shared" si="116"/>
        <v>0</v>
      </c>
      <c r="EN19" s="56">
        <f t="shared" si="117"/>
        <v>0</v>
      </c>
      <c r="EO19" s="56">
        <f t="shared" si="118"/>
        <v>0</v>
      </c>
      <c r="EP19" s="31">
        <f t="shared" si="45"/>
        <v>20174</v>
      </c>
      <c r="EQ19" s="15"/>
      <c r="ER19" s="16"/>
      <c r="ES19" s="16"/>
      <c r="ET19" s="16"/>
      <c r="EU19" s="16"/>
      <c r="EV19" s="16"/>
      <c r="EW19" s="13"/>
      <c r="EX19" s="33" t="str">
        <f t="shared" si="119"/>
        <v/>
      </c>
      <c r="EY19" s="33" t="str">
        <f t="shared" si="120"/>
        <v/>
      </c>
      <c r="EZ19" s="33" t="str">
        <f t="shared" si="121"/>
        <v/>
      </c>
      <c r="FA19" s="33" t="str">
        <f t="shared" si="122"/>
        <v/>
      </c>
      <c r="FB19" s="33" t="str">
        <f t="shared" si="123"/>
        <v/>
      </c>
      <c r="FC19" s="13"/>
      <c r="FD19" s="55">
        <f t="shared" si="124"/>
        <v>0</v>
      </c>
      <c r="FE19" s="55">
        <f t="shared" si="125"/>
        <v>0</v>
      </c>
      <c r="FF19" s="56">
        <f t="shared" si="126"/>
        <v>0</v>
      </c>
      <c r="FG19" s="56">
        <f t="shared" si="127"/>
        <v>0</v>
      </c>
      <c r="FH19" s="31">
        <f t="shared" si="46"/>
        <v>20174</v>
      </c>
      <c r="FI19" s="15"/>
      <c r="FJ19" s="16"/>
      <c r="FK19" s="16"/>
      <c r="FL19" s="16"/>
      <c r="FM19" s="16"/>
      <c r="FN19" s="16"/>
      <c r="FO19" s="13"/>
      <c r="FP19" s="33" t="str">
        <f t="shared" si="128"/>
        <v/>
      </c>
      <c r="FQ19" s="33" t="str">
        <f t="shared" si="129"/>
        <v/>
      </c>
      <c r="FR19" s="33" t="str">
        <f t="shared" si="130"/>
        <v/>
      </c>
      <c r="FS19" s="33" t="str">
        <f t="shared" si="131"/>
        <v/>
      </c>
      <c r="FT19" s="33" t="str">
        <f t="shared" si="132"/>
        <v/>
      </c>
      <c r="FU19" s="13"/>
      <c r="FV19" s="55">
        <f t="shared" si="133"/>
        <v>0</v>
      </c>
      <c r="FW19" s="55">
        <f t="shared" si="134"/>
        <v>0</v>
      </c>
      <c r="FX19" s="56">
        <f t="shared" si="135"/>
        <v>0</v>
      </c>
      <c r="FY19" s="56">
        <f t="shared" si="136"/>
        <v>0</v>
      </c>
    </row>
    <row r="20" spans="1:181" x14ac:dyDescent="0.25">
      <c r="A20" s="25">
        <v>10</v>
      </c>
      <c r="B20" s="31">
        <f t="shared" si="37"/>
        <v>20181</v>
      </c>
      <c r="C20" s="15"/>
      <c r="D20" s="16">
        <v>68784.89</v>
      </c>
      <c r="E20" s="16">
        <v>887</v>
      </c>
      <c r="F20" s="16">
        <v>1451</v>
      </c>
      <c r="G20" s="16">
        <v>17844473.899999999</v>
      </c>
      <c r="H20" s="16">
        <v>19416482.98</v>
      </c>
      <c r="I20" s="13"/>
      <c r="J20" s="33">
        <f t="shared" si="47"/>
        <v>277330.3</v>
      </c>
      <c r="K20" s="33">
        <f t="shared" si="48"/>
        <v>3994</v>
      </c>
      <c r="L20" s="33">
        <f t="shared" si="49"/>
        <v>6304</v>
      </c>
      <c r="M20" s="33">
        <f t="shared" si="50"/>
        <v>72880242.069999993</v>
      </c>
      <c r="N20" s="33">
        <f t="shared" si="51"/>
        <v>80846155.929999992</v>
      </c>
      <c r="O20" s="13"/>
      <c r="P20" s="55">
        <f t="shared" si="52"/>
        <v>1.4401599825190396</v>
      </c>
      <c r="Q20" s="55">
        <f t="shared" si="53"/>
        <v>2.273101785127698</v>
      </c>
      <c r="R20" s="56">
        <f t="shared" si="54"/>
        <v>18247.431664997493</v>
      </c>
      <c r="S20" s="56">
        <f t="shared" si="55"/>
        <v>20241.901835252876</v>
      </c>
      <c r="T20" s="31">
        <f t="shared" si="38"/>
        <v>20181</v>
      </c>
      <c r="U20" s="15"/>
      <c r="V20" s="16"/>
      <c r="W20" s="16"/>
      <c r="X20" s="16"/>
      <c r="Y20" s="16"/>
      <c r="Z20" s="16"/>
      <c r="AA20" s="13"/>
      <c r="AB20" s="33" t="str">
        <f t="shared" si="56"/>
        <v/>
      </c>
      <c r="AC20" s="33" t="str">
        <f t="shared" si="57"/>
        <v/>
      </c>
      <c r="AD20" s="33" t="str">
        <f t="shared" si="58"/>
        <v/>
      </c>
      <c r="AE20" s="33" t="str">
        <f t="shared" si="59"/>
        <v/>
      </c>
      <c r="AF20" s="33" t="str">
        <f t="shared" si="60"/>
        <v/>
      </c>
      <c r="AG20" s="13"/>
      <c r="AH20" s="55">
        <f t="shared" si="61"/>
        <v>0</v>
      </c>
      <c r="AI20" s="55">
        <f t="shared" si="62"/>
        <v>0</v>
      </c>
      <c r="AJ20" s="56">
        <f t="shared" si="63"/>
        <v>0</v>
      </c>
      <c r="AK20" s="56">
        <f t="shared" si="64"/>
        <v>0</v>
      </c>
      <c r="AL20" s="31">
        <f t="shared" si="39"/>
        <v>20181</v>
      </c>
      <c r="AM20" s="15"/>
      <c r="AN20" s="16"/>
      <c r="AO20" s="16"/>
      <c r="AP20" s="16"/>
      <c r="AQ20" s="16"/>
      <c r="AR20" s="16"/>
      <c r="AS20" s="13"/>
      <c r="AT20" s="33" t="str">
        <f t="shared" si="65"/>
        <v/>
      </c>
      <c r="AU20" s="33" t="str">
        <f t="shared" si="66"/>
        <v/>
      </c>
      <c r="AV20" s="33" t="str">
        <f t="shared" si="67"/>
        <v/>
      </c>
      <c r="AW20" s="33" t="str">
        <f t="shared" si="68"/>
        <v/>
      </c>
      <c r="AX20" s="33" t="str">
        <f t="shared" si="69"/>
        <v/>
      </c>
      <c r="AY20" s="13"/>
      <c r="AZ20" s="55">
        <f t="shared" si="70"/>
        <v>0</v>
      </c>
      <c r="BA20" s="55">
        <f t="shared" si="71"/>
        <v>0</v>
      </c>
      <c r="BB20" s="56">
        <f t="shared" si="72"/>
        <v>0</v>
      </c>
      <c r="BC20" s="56">
        <f t="shared" si="73"/>
        <v>0</v>
      </c>
      <c r="BD20" s="31">
        <f t="shared" si="40"/>
        <v>20181</v>
      </c>
      <c r="BE20" s="15"/>
      <c r="BF20" s="16"/>
      <c r="BG20" s="16"/>
      <c r="BH20" s="16"/>
      <c r="BI20" s="16"/>
      <c r="BJ20" s="16"/>
      <c r="BK20" s="13"/>
      <c r="BL20" s="33" t="str">
        <f t="shared" si="74"/>
        <v/>
      </c>
      <c r="BM20" s="33" t="str">
        <f t="shared" si="75"/>
        <v/>
      </c>
      <c r="BN20" s="33" t="str">
        <f t="shared" si="76"/>
        <v/>
      </c>
      <c r="BO20" s="33" t="str">
        <f t="shared" si="77"/>
        <v/>
      </c>
      <c r="BP20" s="33" t="str">
        <f t="shared" si="78"/>
        <v/>
      </c>
      <c r="BQ20" s="13"/>
      <c r="BR20" s="55">
        <f t="shared" si="79"/>
        <v>0</v>
      </c>
      <c r="BS20" s="55">
        <f t="shared" si="80"/>
        <v>0</v>
      </c>
      <c r="BT20" s="56">
        <f t="shared" si="81"/>
        <v>0</v>
      </c>
      <c r="BU20" s="56">
        <f t="shared" si="82"/>
        <v>0</v>
      </c>
      <c r="BV20" s="31">
        <f t="shared" si="41"/>
        <v>20181</v>
      </c>
      <c r="BW20" s="15"/>
      <c r="BX20" s="16"/>
      <c r="BY20" s="16"/>
      <c r="BZ20" s="16"/>
      <c r="CA20" s="16"/>
      <c r="CB20" s="16"/>
      <c r="CC20" s="13"/>
      <c r="CD20" s="33" t="str">
        <f t="shared" si="83"/>
        <v/>
      </c>
      <c r="CE20" s="33" t="str">
        <f t="shared" si="84"/>
        <v/>
      </c>
      <c r="CF20" s="33" t="str">
        <f t="shared" si="85"/>
        <v/>
      </c>
      <c r="CG20" s="33" t="str">
        <f t="shared" si="86"/>
        <v/>
      </c>
      <c r="CH20" s="33" t="str">
        <f t="shared" si="87"/>
        <v/>
      </c>
      <c r="CI20" s="13"/>
      <c r="CJ20" s="55">
        <f t="shared" si="88"/>
        <v>0</v>
      </c>
      <c r="CK20" s="55">
        <f t="shared" si="89"/>
        <v>0</v>
      </c>
      <c r="CL20" s="56">
        <f t="shared" si="90"/>
        <v>0</v>
      </c>
      <c r="CM20" s="56">
        <f t="shared" si="91"/>
        <v>0</v>
      </c>
      <c r="CN20" s="31">
        <f t="shared" si="42"/>
        <v>20181</v>
      </c>
      <c r="CO20" s="15"/>
      <c r="CP20" s="16"/>
      <c r="CQ20" s="16"/>
      <c r="CR20" s="16"/>
      <c r="CS20" s="16"/>
      <c r="CT20" s="16"/>
      <c r="CU20" s="13"/>
      <c r="CV20" s="33" t="str">
        <f t="shared" si="92"/>
        <v/>
      </c>
      <c r="CW20" s="33" t="str">
        <f t="shared" si="93"/>
        <v/>
      </c>
      <c r="CX20" s="33" t="str">
        <f t="shared" si="94"/>
        <v/>
      </c>
      <c r="CY20" s="33" t="str">
        <f t="shared" si="95"/>
        <v/>
      </c>
      <c r="CZ20" s="33" t="str">
        <f t="shared" si="96"/>
        <v/>
      </c>
      <c r="DA20" s="13"/>
      <c r="DB20" s="55">
        <f t="shared" si="97"/>
        <v>0</v>
      </c>
      <c r="DC20" s="55">
        <f t="shared" si="98"/>
        <v>0</v>
      </c>
      <c r="DD20" s="56">
        <f t="shared" si="99"/>
        <v>0</v>
      </c>
      <c r="DE20" s="56">
        <f t="shared" si="100"/>
        <v>0</v>
      </c>
      <c r="DF20" s="31">
        <f t="shared" si="43"/>
        <v>20181</v>
      </c>
      <c r="DG20" s="15"/>
      <c r="DH20" s="16"/>
      <c r="DI20" s="16"/>
      <c r="DJ20" s="16"/>
      <c r="DK20" s="16"/>
      <c r="DL20" s="16"/>
      <c r="DM20" s="13"/>
      <c r="DN20" s="33" t="str">
        <f t="shared" si="101"/>
        <v/>
      </c>
      <c r="DO20" s="33" t="str">
        <f t="shared" si="102"/>
        <v/>
      </c>
      <c r="DP20" s="33" t="str">
        <f t="shared" si="103"/>
        <v/>
      </c>
      <c r="DQ20" s="33" t="str">
        <f t="shared" si="104"/>
        <v/>
      </c>
      <c r="DR20" s="33" t="str">
        <f t="shared" si="105"/>
        <v/>
      </c>
      <c r="DS20" s="13"/>
      <c r="DT20" s="55">
        <f t="shared" si="106"/>
        <v>0</v>
      </c>
      <c r="DU20" s="55">
        <f t="shared" si="107"/>
        <v>0</v>
      </c>
      <c r="DV20" s="56">
        <f t="shared" si="108"/>
        <v>0</v>
      </c>
      <c r="DW20" s="56">
        <f t="shared" si="109"/>
        <v>0</v>
      </c>
      <c r="DX20" s="31">
        <f t="shared" si="44"/>
        <v>20181</v>
      </c>
      <c r="DY20" s="15"/>
      <c r="DZ20" s="16"/>
      <c r="EA20" s="16"/>
      <c r="EB20" s="16"/>
      <c r="EC20" s="16"/>
      <c r="ED20" s="16"/>
      <c r="EE20" s="13"/>
      <c r="EF20" s="33" t="str">
        <f t="shared" si="110"/>
        <v/>
      </c>
      <c r="EG20" s="33" t="str">
        <f t="shared" si="111"/>
        <v/>
      </c>
      <c r="EH20" s="33" t="str">
        <f t="shared" si="112"/>
        <v/>
      </c>
      <c r="EI20" s="33" t="str">
        <f t="shared" si="113"/>
        <v/>
      </c>
      <c r="EJ20" s="33" t="str">
        <f t="shared" si="114"/>
        <v/>
      </c>
      <c r="EK20" s="13"/>
      <c r="EL20" s="55">
        <f t="shared" si="115"/>
        <v>0</v>
      </c>
      <c r="EM20" s="55">
        <f t="shared" si="116"/>
        <v>0</v>
      </c>
      <c r="EN20" s="56">
        <f t="shared" si="117"/>
        <v>0</v>
      </c>
      <c r="EO20" s="56">
        <f t="shared" si="118"/>
        <v>0</v>
      </c>
      <c r="EP20" s="31">
        <f t="shared" si="45"/>
        <v>20181</v>
      </c>
      <c r="EQ20" s="15"/>
      <c r="ER20" s="16"/>
      <c r="ES20" s="16"/>
      <c r="ET20" s="16"/>
      <c r="EU20" s="16"/>
      <c r="EV20" s="16"/>
      <c r="EW20" s="13"/>
      <c r="EX20" s="33" t="str">
        <f t="shared" si="119"/>
        <v/>
      </c>
      <c r="EY20" s="33" t="str">
        <f t="shared" si="120"/>
        <v/>
      </c>
      <c r="EZ20" s="33" t="str">
        <f t="shared" si="121"/>
        <v/>
      </c>
      <c r="FA20" s="33" t="str">
        <f t="shared" si="122"/>
        <v/>
      </c>
      <c r="FB20" s="33" t="str">
        <f t="shared" si="123"/>
        <v/>
      </c>
      <c r="FC20" s="13"/>
      <c r="FD20" s="55">
        <f t="shared" si="124"/>
        <v>0</v>
      </c>
      <c r="FE20" s="55">
        <f t="shared" si="125"/>
        <v>0</v>
      </c>
      <c r="FF20" s="56">
        <f t="shared" si="126"/>
        <v>0</v>
      </c>
      <c r="FG20" s="56">
        <f t="shared" si="127"/>
        <v>0</v>
      </c>
      <c r="FH20" s="31">
        <f t="shared" si="46"/>
        <v>20181</v>
      </c>
      <c r="FI20" s="15"/>
      <c r="FJ20" s="16"/>
      <c r="FK20" s="16"/>
      <c r="FL20" s="16"/>
      <c r="FM20" s="16"/>
      <c r="FN20" s="16"/>
      <c r="FO20" s="13"/>
      <c r="FP20" s="33" t="str">
        <f t="shared" si="128"/>
        <v/>
      </c>
      <c r="FQ20" s="33" t="str">
        <f t="shared" si="129"/>
        <v/>
      </c>
      <c r="FR20" s="33" t="str">
        <f t="shared" si="130"/>
        <v/>
      </c>
      <c r="FS20" s="33" t="str">
        <f t="shared" si="131"/>
        <v/>
      </c>
      <c r="FT20" s="33" t="str">
        <f t="shared" si="132"/>
        <v/>
      </c>
      <c r="FU20" s="13"/>
      <c r="FV20" s="55">
        <f t="shared" si="133"/>
        <v>0</v>
      </c>
      <c r="FW20" s="55">
        <f t="shared" si="134"/>
        <v>0</v>
      </c>
      <c r="FX20" s="56">
        <f t="shared" si="135"/>
        <v>0</v>
      </c>
      <c r="FY20" s="56">
        <f t="shared" si="136"/>
        <v>0</v>
      </c>
    </row>
    <row r="21" spans="1:181" x14ac:dyDescent="0.25">
      <c r="A21" s="25">
        <v>11</v>
      </c>
      <c r="B21" s="31">
        <f t="shared" si="37"/>
        <v>20182</v>
      </c>
      <c r="C21" s="15"/>
      <c r="D21" s="16">
        <v>68338.19</v>
      </c>
      <c r="E21" s="16">
        <v>939</v>
      </c>
      <c r="F21" s="16">
        <v>1450</v>
      </c>
      <c r="G21" s="16">
        <v>19320710.98</v>
      </c>
      <c r="H21" s="16">
        <v>17520466.800000001</v>
      </c>
      <c r="I21" s="13"/>
      <c r="J21" s="33">
        <f t="shared" si="47"/>
        <v>275873.52</v>
      </c>
      <c r="K21" s="33">
        <f t="shared" si="48"/>
        <v>3631</v>
      </c>
      <c r="L21" s="33">
        <f t="shared" si="49"/>
        <v>5938</v>
      </c>
      <c r="M21" s="33">
        <f t="shared" si="50"/>
        <v>72508290.019999996</v>
      </c>
      <c r="N21" s="33">
        <f t="shared" si="51"/>
        <v>76806107.859999999</v>
      </c>
      <c r="O21" s="13"/>
      <c r="P21" s="55">
        <f t="shared" si="52"/>
        <v>1.3161828652492635</v>
      </c>
      <c r="Q21" s="55">
        <f t="shared" si="53"/>
        <v>2.1524356523960688</v>
      </c>
      <c r="R21" s="56">
        <f t="shared" si="54"/>
        <v>19969.234376204902</v>
      </c>
      <c r="S21" s="56">
        <f t="shared" si="55"/>
        <v>21152.880159735611</v>
      </c>
      <c r="T21" s="31">
        <f t="shared" si="38"/>
        <v>20182</v>
      </c>
      <c r="U21" s="15"/>
      <c r="V21" s="16"/>
      <c r="W21" s="16"/>
      <c r="X21" s="16"/>
      <c r="Y21" s="16"/>
      <c r="Z21" s="16"/>
      <c r="AA21" s="13"/>
      <c r="AB21" s="33" t="str">
        <f t="shared" si="56"/>
        <v/>
      </c>
      <c r="AC21" s="33" t="str">
        <f t="shared" si="57"/>
        <v/>
      </c>
      <c r="AD21" s="33" t="str">
        <f t="shared" si="58"/>
        <v/>
      </c>
      <c r="AE21" s="33" t="str">
        <f t="shared" si="59"/>
        <v/>
      </c>
      <c r="AF21" s="33" t="str">
        <f t="shared" si="60"/>
        <v/>
      </c>
      <c r="AG21" s="13"/>
      <c r="AH21" s="55">
        <f t="shared" si="61"/>
        <v>0</v>
      </c>
      <c r="AI21" s="55">
        <f t="shared" si="62"/>
        <v>0</v>
      </c>
      <c r="AJ21" s="56">
        <f t="shared" si="63"/>
        <v>0</v>
      </c>
      <c r="AK21" s="56">
        <f t="shared" si="64"/>
        <v>0</v>
      </c>
      <c r="AL21" s="31">
        <f t="shared" si="39"/>
        <v>20182</v>
      </c>
      <c r="AM21" s="15"/>
      <c r="AN21" s="16"/>
      <c r="AO21" s="16"/>
      <c r="AP21" s="16"/>
      <c r="AQ21" s="16"/>
      <c r="AR21" s="16"/>
      <c r="AS21" s="13"/>
      <c r="AT21" s="33" t="str">
        <f t="shared" si="65"/>
        <v/>
      </c>
      <c r="AU21" s="33" t="str">
        <f t="shared" si="66"/>
        <v/>
      </c>
      <c r="AV21" s="33" t="str">
        <f t="shared" si="67"/>
        <v/>
      </c>
      <c r="AW21" s="33" t="str">
        <f t="shared" si="68"/>
        <v/>
      </c>
      <c r="AX21" s="33" t="str">
        <f t="shared" si="69"/>
        <v/>
      </c>
      <c r="AY21" s="13"/>
      <c r="AZ21" s="55">
        <f t="shared" si="70"/>
        <v>0</v>
      </c>
      <c r="BA21" s="55">
        <f t="shared" si="71"/>
        <v>0</v>
      </c>
      <c r="BB21" s="56">
        <f t="shared" si="72"/>
        <v>0</v>
      </c>
      <c r="BC21" s="56">
        <f t="shared" si="73"/>
        <v>0</v>
      </c>
      <c r="BD21" s="31">
        <f t="shared" si="40"/>
        <v>20182</v>
      </c>
      <c r="BE21" s="15"/>
      <c r="BF21" s="16"/>
      <c r="BG21" s="16"/>
      <c r="BH21" s="16"/>
      <c r="BI21" s="16"/>
      <c r="BJ21" s="16"/>
      <c r="BK21" s="13"/>
      <c r="BL21" s="33" t="str">
        <f t="shared" si="74"/>
        <v/>
      </c>
      <c r="BM21" s="33" t="str">
        <f t="shared" si="75"/>
        <v/>
      </c>
      <c r="BN21" s="33" t="str">
        <f t="shared" si="76"/>
        <v/>
      </c>
      <c r="BO21" s="33" t="str">
        <f t="shared" si="77"/>
        <v/>
      </c>
      <c r="BP21" s="33" t="str">
        <f t="shared" si="78"/>
        <v/>
      </c>
      <c r="BQ21" s="13"/>
      <c r="BR21" s="55">
        <f t="shared" si="79"/>
        <v>0</v>
      </c>
      <c r="BS21" s="55">
        <f t="shared" si="80"/>
        <v>0</v>
      </c>
      <c r="BT21" s="56">
        <f t="shared" si="81"/>
        <v>0</v>
      </c>
      <c r="BU21" s="56">
        <f t="shared" si="82"/>
        <v>0</v>
      </c>
      <c r="BV21" s="31">
        <f t="shared" si="41"/>
        <v>20182</v>
      </c>
      <c r="BW21" s="15"/>
      <c r="BX21" s="16"/>
      <c r="BY21" s="16"/>
      <c r="BZ21" s="16"/>
      <c r="CA21" s="16"/>
      <c r="CB21" s="16"/>
      <c r="CC21" s="13"/>
      <c r="CD21" s="33" t="str">
        <f t="shared" si="83"/>
        <v/>
      </c>
      <c r="CE21" s="33" t="str">
        <f t="shared" si="84"/>
        <v/>
      </c>
      <c r="CF21" s="33" t="str">
        <f t="shared" si="85"/>
        <v/>
      </c>
      <c r="CG21" s="33" t="str">
        <f t="shared" si="86"/>
        <v/>
      </c>
      <c r="CH21" s="33" t="str">
        <f t="shared" si="87"/>
        <v/>
      </c>
      <c r="CI21" s="13"/>
      <c r="CJ21" s="55">
        <f t="shared" si="88"/>
        <v>0</v>
      </c>
      <c r="CK21" s="55">
        <f t="shared" si="89"/>
        <v>0</v>
      </c>
      <c r="CL21" s="56">
        <f t="shared" si="90"/>
        <v>0</v>
      </c>
      <c r="CM21" s="56">
        <f t="shared" si="91"/>
        <v>0</v>
      </c>
      <c r="CN21" s="31">
        <f t="shared" si="42"/>
        <v>20182</v>
      </c>
      <c r="CO21" s="15"/>
      <c r="CP21" s="16"/>
      <c r="CQ21" s="16"/>
      <c r="CR21" s="16"/>
      <c r="CS21" s="16"/>
      <c r="CT21" s="16"/>
      <c r="CU21" s="13"/>
      <c r="CV21" s="33" t="str">
        <f t="shared" si="92"/>
        <v/>
      </c>
      <c r="CW21" s="33" t="str">
        <f t="shared" si="93"/>
        <v/>
      </c>
      <c r="CX21" s="33" t="str">
        <f t="shared" si="94"/>
        <v/>
      </c>
      <c r="CY21" s="33" t="str">
        <f t="shared" si="95"/>
        <v/>
      </c>
      <c r="CZ21" s="33" t="str">
        <f t="shared" si="96"/>
        <v/>
      </c>
      <c r="DA21" s="13"/>
      <c r="DB21" s="55">
        <f t="shared" si="97"/>
        <v>0</v>
      </c>
      <c r="DC21" s="55">
        <f t="shared" si="98"/>
        <v>0</v>
      </c>
      <c r="DD21" s="56">
        <f t="shared" si="99"/>
        <v>0</v>
      </c>
      <c r="DE21" s="56">
        <f t="shared" si="100"/>
        <v>0</v>
      </c>
      <c r="DF21" s="31">
        <f t="shared" si="43"/>
        <v>20182</v>
      </c>
      <c r="DG21" s="15"/>
      <c r="DH21" s="16"/>
      <c r="DI21" s="16"/>
      <c r="DJ21" s="16"/>
      <c r="DK21" s="16"/>
      <c r="DL21" s="16"/>
      <c r="DM21" s="13"/>
      <c r="DN21" s="33" t="str">
        <f t="shared" si="101"/>
        <v/>
      </c>
      <c r="DO21" s="33" t="str">
        <f t="shared" si="102"/>
        <v/>
      </c>
      <c r="DP21" s="33" t="str">
        <f t="shared" si="103"/>
        <v/>
      </c>
      <c r="DQ21" s="33" t="str">
        <f t="shared" si="104"/>
        <v/>
      </c>
      <c r="DR21" s="33" t="str">
        <f t="shared" si="105"/>
        <v/>
      </c>
      <c r="DS21" s="13"/>
      <c r="DT21" s="55">
        <f t="shared" si="106"/>
        <v>0</v>
      </c>
      <c r="DU21" s="55">
        <f t="shared" si="107"/>
        <v>0</v>
      </c>
      <c r="DV21" s="56">
        <f t="shared" si="108"/>
        <v>0</v>
      </c>
      <c r="DW21" s="56">
        <f t="shared" si="109"/>
        <v>0</v>
      </c>
      <c r="DX21" s="31">
        <f t="shared" si="44"/>
        <v>20182</v>
      </c>
      <c r="DY21" s="15"/>
      <c r="DZ21" s="16"/>
      <c r="EA21" s="16"/>
      <c r="EB21" s="16"/>
      <c r="EC21" s="16"/>
      <c r="ED21" s="16"/>
      <c r="EE21" s="13"/>
      <c r="EF21" s="33" t="str">
        <f t="shared" si="110"/>
        <v/>
      </c>
      <c r="EG21" s="33" t="str">
        <f t="shared" si="111"/>
        <v/>
      </c>
      <c r="EH21" s="33" t="str">
        <f t="shared" si="112"/>
        <v/>
      </c>
      <c r="EI21" s="33" t="str">
        <f t="shared" si="113"/>
        <v/>
      </c>
      <c r="EJ21" s="33" t="str">
        <f t="shared" si="114"/>
        <v/>
      </c>
      <c r="EK21" s="13"/>
      <c r="EL21" s="55">
        <f t="shared" si="115"/>
        <v>0</v>
      </c>
      <c r="EM21" s="55">
        <f t="shared" si="116"/>
        <v>0</v>
      </c>
      <c r="EN21" s="56">
        <f t="shared" si="117"/>
        <v>0</v>
      </c>
      <c r="EO21" s="56">
        <f t="shared" si="118"/>
        <v>0</v>
      </c>
      <c r="EP21" s="31">
        <f t="shared" si="45"/>
        <v>20182</v>
      </c>
      <c r="EQ21" s="15"/>
      <c r="ER21" s="16"/>
      <c r="ES21" s="16"/>
      <c r="ET21" s="16"/>
      <c r="EU21" s="16"/>
      <c r="EV21" s="16"/>
      <c r="EW21" s="13"/>
      <c r="EX21" s="33" t="str">
        <f t="shared" si="119"/>
        <v/>
      </c>
      <c r="EY21" s="33" t="str">
        <f t="shared" si="120"/>
        <v/>
      </c>
      <c r="EZ21" s="33" t="str">
        <f t="shared" si="121"/>
        <v/>
      </c>
      <c r="FA21" s="33" t="str">
        <f t="shared" si="122"/>
        <v/>
      </c>
      <c r="FB21" s="33" t="str">
        <f t="shared" si="123"/>
        <v/>
      </c>
      <c r="FC21" s="13"/>
      <c r="FD21" s="55">
        <f t="shared" si="124"/>
        <v>0</v>
      </c>
      <c r="FE21" s="55">
        <f t="shared" si="125"/>
        <v>0</v>
      </c>
      <c r="FF21" s="56">
        <f t="shared" si="126"/>
        <v>0</v>
      </c>
      <c r="FG21" s="56">
        <f t="shared" si="127"/>
        <v>0</v>
      </c>
      <c r="FH21" s="31">
        <f t="shared" si="46"/>
        <v>20182</v>
      </c>
      <c r="FI21" s="15"/>
      <c r="FJ21" s="16"/>
      <c r="FK21" s="16"/>
      <c r="FL21" s="16"/>
      <c r="FM21" s="16"/>
      <c r="FN21" s="16"/>
      <c r="FO21" s="13"/>
      <c r="FP21" s="33" t="str">
        <f t="shared" si="128"/>
        <v/>
      </c>
      <c r="FQ21" s="33" t="str">
        <f t="shared" si="129"/>
        <v/>
      </c>
      <c r="FR21" s="33" t="str">
        <f t="shared" si="130"/>
        <v/>
      </c>
      <c r="FS21" s="33" t="str">
        <f t="shared" si="131"/>
        <v/>
      </c>
      <c r="FT21" s="33" t="str">
        <f t="shared" si="132"/>
        <v/>
      </c>
      <c r="FU21" s="13"/>
      <c r="FV21" s="55">
        <f t="shared" si="133"/>
        <v>0</v>
      </c>
      <c r="FW21" s="55">
        <f t="shared" si="134"/>
        <v>0</v>
      </c>
      <c r="FX21" s="56">
        <f t="shared" si="135"/>
        <v>0</v>
      </c>
      <c r="FY21" s="56">
        <f t="shared" si="136"/>
        <v>0</v>
      </c>
    </row>
    <row r="22" spans="1:181" x14ac:dyDescent="0.25">
      <c r="A22" s="25">
        <v>12</v>
      </c>
      <c r="B22" s="31">
        <f t="shared" si="37"/>
        <v>20183</v>
      </c>
      <c r="C22" s="15"/>
      <c r="D22" s="16">
        <v>67984.7</v>
      </c>
      <c r="E22" s="16">
        <v>841</v>
      </c>
      <c r="F22" s="16">
        <v>1565</v>
      </c>
      <c r="G22" s="16">
        <v>20929851.010000002</v>
      </c>
      <c r="H22" s="16">
        <v>19656749.120000001</v>
      </c>
      <c r="I22" s="13"/>
      <c r="J22" s="33">
        <f t="shared" si="47"/>
        <v>274284.10000000003</v>
      </c>
      <c r="K22" s="33">
        <f t="shared" si="48"/>
        <v>3538</v>
      </c>
      <c r="L22" s="33">
        <f t="shared" si="49"/>
        <v>5874</v>
      </c>
      <c r="M22" s="33">
        <f t="shared" si="50"/>
        <v>75718285.940000013</v>
      </c>
      <c r="N22" s="33">
        <f t="shared" si="51"/>
        <v>76991559.299999997</v>
      </c>
      <c r="O22" s="13"/>
      <c r="P22" s="55">
        <f t="shared" si="52"/>
        <v>1.2899034249524488</v>
      </c>
      <c r="Q22" s="55">
        <f t="shared" si="53"/>
        <v>2.1415751040618098</v>
      </c>
      <c r="R22" s="56">
        <f t="shared" si="54"/>
        <v>21401.437518371964</v>
      </c>
      <c r="S22" s="56">
        <f t="shared" si="55"/>
        <v>21761.322583380439</v>
      </c>
      <c r="T22" s="31">
        <f t="shared" si="38"/>
        <v>20183</v>
      </c>
      <c r="U22" s="15"/>
      <c r="V22" s="16"/>
      <c r="W22" s="16"/>
      <c r="X22" s="16"/>
      <c r="Y22" s="16"/>
      <c r="Z22" s="16"/>
      <c r="AA22" s="13"/>
      <c r="AB22" s="33" t="str">
        <f t="shared" si="56"/>
        <v/>
      </c>
      <c r="AC22" s="33" t="str">
        <f t="shared" si="57"/>
        <v/>
      </c>
      <c r="AD22" s="33" t="str">
        <f t="shared" si="58"/>
        <v/>
      </c>
      <c r="AE22" s="33" t="str">
        <f t="shared" si="59"/>
        <v/>
      </c>
      <c r="AF22" s="33" t="str">
        <f t="shared" si="60"/>
        <v/>
      </c>
      <c r="AG22" s="13"/>
      <c r="AH22" s="55">
        <f t="shared" si="61"/>
        <v>0</v>
      </c>
      <c r="AI22" s="55">
        <f t="shared" si="62"/>
        <v>0</v>
      </c>
      <c r="AJ22" s="56">
        <f t="shared" si="63"/>
        <v>0</v>
      </c>
      <c r="AK22" s="56">
        <f t="shared" si="64"/>
        <v>0</v>
      </c>
      <c r="AL22" s="31">
        <f t="shared" si="39"/>
        <v>20183</v>
      </c>
      <c r="AM22" s="15"/>
      <c r="AN22" s="16"/>
      <c r="AO22" s="16"/>
      <c r="AP22" s="16"/>
      <c r="AQ22" s="16"/>
      <c r="AR22" s="16"/>
      <c r="AS22" s="13"/>
      <c r="AT22" s="33" t="str">
        <f t="shared" si="65"/>
        <v/>
      </c>
      <c r="AU22" s="33" t="str">
        <f t="shared" si="66"/>
        <v/>
      </c>
      <c r="AV22" s="33" t="str">
        <f t="shared" si="67"/>
        <v/>
      </c>
      <c r="AW22" s="33" t="str">
        <f t="shared" si="68"/>
        <v/>
      </c>
      <c r="AX22" s="33" t="str">
        <f t="shared" si="69"/>
        <v/>
      </c>
      <c r="AY22" s="13"/>
      <c r="AZ22" s="55">
        <f t="shared" si="70"/>
        <v>0</v>
      </c>
      <c r="BA22" s="55">
        <f t="shared" si="71"/>
        <v>0</v>
      </c>
      <c r="BB22" s="56">
        <f t="shared" si="72"/>
        <v>0</v>
      </c>
      <c r="BC22" s="56">
        <f t="shared" si="73"/>
        <v>0</v>
      </c>
      <c r="BD22" s="31">
        <f t="shared" si="40"/>
        <v>20183</v>
      </c>
      <c r="BE22" s="15"/>
      <c r="BF22" s="16"/>
      <c r="BG22" s="16"/>
      <c r="BH22" s="16"/>
      <c r="BI22" s="16"/>
      <c r="BJ22" s="16"/>
      <c r="BK22" s="13"/>
      <c r="BL22" s="33" t="str">
        <f t="shared" si="74"/>
        <v/>
      </c>
      <c r="BM22" s="33" t="str">
        <f t="shared" si="75"/>
        <v/>
      </c>
      <c r="BN22" s="33" t="str">
        <f t="shared" si="76"/>
        <v/>
      </c>
      <c r="BO22" s="33" t="str">
        <f t="shared" si="77"/>
        <v/>
      </c>
      <c r="BP22" s="33" t="str">
        <f t="shared" si="78"/>
        <v/>
      </c>
      <c r="BQ22" s="13"/>
      <c r="BR22" s="55">
        <f t="shared" si="79"/>
        <v>0</v>
      </c>
      <c r="BS22" s="55">
        <f t="shared" si="80"/>
        <v>0</v>
      </c>
      <c r="BT22" s="56">
        <f t="shared" si="81"/>
        <v>0</v>
      </c>
      <c r="BU22" s="56">
        <f t="shared" si="82"/>
        <v>0</v>
      </c>
      <c r="BV22" s="31">
        <f t="shared" si="41"/>
        <v>20183</v>
      </c>
      <c r="BW22" s="15"/>
      <c r="BX22" s="16"/>
      <c r="BY22" s="16"/>
      <c r="BZ22" s="16"/>
      <c r="CA22" s="16"/>
      <c r="CB22" s="16"/>
      <c r="CC22" s="13"/>
      <c r="CD22" s="33" t="str">
        <f t="shared" si="83"/>
        <v/>
      </c>
      <c r="CE22" s="33" t="str">
        <f t="shared" si="84"/>
        <v/>
      </c>
      <c r="CF22" s="33" t="str">
        <f t="shared" si="85"/>
        <v/>
      </c>
      <c r="CG22" s="33" t="str">
        <f t="shared" si="86"/>
        <v/>
      </c>
      <c r="CH22" s="33" t="str">
        <f t="shared" si="87"/>
        <v/>
      </c>
      <c r="CI22" s="13"/>
      <c r="CJ22" s="55">
        <f t="shared" si="88"/>
        <v>0</v>
      </c>
      <c r="CK22" s="55">
        <f t="shared" si="89"/>
        <v>0</v>
      </c>
      <c r="CL22" s="56">
        <f t="shared" si="90"/>
        <v>0</v>
      </c>
      <c r="CM22" s="56">
        <f t="shared" si="91"/>
        <v>0</v>
      </c>
      <c r="CN22" s="31">
        <f t="shared" si="42"/>
        <v>20183</v>
      </c>
      <c r="CO22" s="15"/>
      <c r="CP22" s="16"/>
      <c r="CQ22" s="16"/>
      <c r="CR22" s="16"/>
      <c r="CS22" s="16"/>
      <c r="CT22" s="16"/>
      <c r="CU22" s="13"/>
      <c r="CV22" s="33" t="str">
        <f t="shared" si="92"/>
        <v/>
      </c>
      <c r="CW22" s="33" t="str">
        <f t="shared" si="93"/>
        <v/>
      </c>
      <c r="CX22" s="33" t="str">
        <f t="shared" si="94"/>
        <v/>
      </c>
      <c r="CY22" s="33" t="str">
        <f t="shared" si="95"/>
        <v/>
      </c>
      <c r="CZ22" s="33" t="str">
        <f t="shared" si="96"/>
        <v/>
      </c>
      <c r="DA22" s="13"/>
      <c r="DB22" s="55">
        <f t="shared" si="97"/>
        <v>0</v>
      </c>
      <c r="DC22" s="55">
        <f t="shared" si="98"/>
        <v>0</v>
      </c>
      <c r="DD22" s="56">
        <f t="shared" si="99"/>
        <v>0</v>
      </c>
      <c r="DE22" s="56">
        <f t="shared" si="100"/>
        <v>0</v>
      </c>
      <c r="DF22" s="31">
        <f t="shared" si="43"/>
        <v>20183</v>
      </c>
      <c r="DG22" s="15"/>
      <c r="DH22" s="16"/>
      <c r="DI22" s="16"/>
      <c r="DJ22" s="16"/>
      <c r="DK22" s="16"/>
      <c r="DL22" s="16"/>
      <c r="DM22" s="13"/>
      <c r="DN22" s="33" t="str">
        <f t="shared" si="101"/>
        <v/>
      </c>
      <c r="DO22" s="33" t="str">
        <f t="shared" si="102"/>
        <v/>
      </c>
      <c r="DP22" s="33" t="str">
        <f t="shared" si="103"/>
        <v/>
      </c>
      <c r="DQ22" s="33" t="str">
        <f t="shared" si="104"/>
        <v/>
      </c>
      <c r="DR22" s="33" t="str">
        <f t="shared" si="105"/>
        <v/>
      </c>
      <c r="DS22" s="13"/>
      <c r="DT22" s="55">
        <f t="shared" si="106"/>
        <v>0</v>
      </c>
      <c r="DU22" s="55">
        <f t="shared" si="107"/>
        <v>0</v>
      </c>
      <c r="DV22" s="56">
        <f t="shared" si="108"/>
        <v>0</v>
      </c>
      <c r="DW22" s="56">
        <f t="shared" si="109"/>
        <v>0</v>
      </c>
      <c r="DX22" s="31">
        <f t="shared" si="44"/>
        <v>20183</v>
      </c>
      <c r="DY22" s="15"/>
      <c r="DZ22" s="16"/>
      <c r="EA22" s="16"/>
      <c r="EB22" s="16"/>
      <c r="EC22" s="16"/>
      <c r="ED22" s="16"/>
      <c r="EE22" s="13"/>
      <c r="EF22" s="33" t="str">
        <f t="shared" si="110"/>
        <v/>
      </c>
      <c r="EG22" s="33" t="str">
        <f t="shared" si="111"/>
        <v/>
      </c>
      <c r="EH22" s="33" t="str">
        <f t="shared" si="112"/>
        <v/>
      </c>
      <c r="EI22" s="33" t="str">
        <f t="shared" si="113"/>
        <v/>
      </c>
      <c r="EJ22" s="33" t="str">
        <f t="shared" si="114"/>
        <v/>
      </c>
      <c r="EK22" s="13"/>
      <c r="EL22" s="55">
        <f t="shared" si="115"/>
        <v>0</v>
      </c>
      <c r="EM22" s="55">
        <f t="shared" si="116"/>
        <v>0</v>
      </c>
      <c r="EN22" s="56">
        <f t="shared" si="117"/>
        <v>0</v>
      </c>
      <c r="EO22" s="56">
        <f t="shared" si="118"/>
        <v>0</v>
      </c>
      <c r="EP22" s="31">
        <f t="shared" si="45"/>
        <v>20183</v>
      </c>
      <c r="EQ22" s="15"/>
      <c r="ER22" s="16"/>
      <c r="ES22" s="16"/>
      <c r="ET22" s="16"/>
      <c r="EU22" s="16"/>
      <c r="EV22" s="16"/>
      <c r="EW22" s="13"/>
      <c r="EX22" s="33" t="str">
        <f t="shared" si="119"/>
        <v/>
      </c>
      <c r="EY22" s="33" t="str">
        <f t="shared" si="120"/>
        <v/>
      </c>
      <c r="EZ22" s="33" t="str">
        <f t="shared" si="121"/>
        <v/>
      </c>
      <c r="FA22" s="33" t="str">
        <f t="shared" si="122"/>
        <v/>
      </c>
      <c r="FB22" s="33" t="str">
        <f t="shared" si="123"/>
        <v/>
      </c>
      <c r="FC22" s="13"/>
      <c r="FD22" s="55">
        <f t="shared" si="124"/>
        <v>0</v>
      </c>
      <c r="FE22" s="55">
        <f t="shared" si="125"/>
        <v>0</v>
      </c>
      <c r="FF22" s="56">
        <f t="shared" si="126"/>
        <v>0</v>
      </c>
      <c r="FG22" s="56">
        <f t="shared" si="127"/>
        <v>0</v>
      </c>
      <c r="FH22" s="31">
        <f t="shared" si="46"/>
        <v>20183</v>
      </c>
      <c r="FI22" s="15"/>
      <c r="FJ22" s="16"/>
      <c r="FK22" s="16"/>
      <c r="FL22" s="16"/>
      <c r="FM22" s="16"/>
      <c r="FN22" s="16"/>
      <c r="FO22" s="13"/>
      <c r="FP22" s="33" t="str">
        <f t="shared" si="128"/>
        <v/>
      </c>
      <c r="FQ22" s="33" t="str">
        <f t="shared" si="129"/>
        <v/>
      </c>
      <c r="FR22" s="33" t="str">
        <f t="shared" si="130"/>
        <v/>
      </c>
      <c r="FS22" s="33" t="str">
        <f t="shared" si="131"/>
        <v/>
      </c>
      <c r="FT22" s="33" t="str">
        <f t="shared" si="132"/>
        <v/>
      </c>
      <c r="FU22" s="13"/>
      <c r="FV22" s="55">
        <f t="shared" si="133"/>
        <v>0</v>
      </c>
      <c r="FW22" s="55">
        <f t="shared" si="134"/>
        <v>0</v>
      </c>
      <c r="FX22" s="56">
        <f t="shared" si="135"/>
        <v>0</v>
      </c>
      <c r="FY22" s="56">
        <f t="shared" si="136"/>
        <v>0</v>
      </c>
    </row>
    <row r="23" spans="1:181" x14ac:dyDescent="0.25">
      <c r="A23" s="25">
        <v>13</v>
      </c>
      <c r="B23" s="31">
        <f t="shared" si="37"/>
        <v>20184</v>
      </c>
      <c r="C23" s="15"/>
      <c r="D23" s="16">
        <v>68129.97</v>
      </c>
      <c r="E23" s="16">
        <v>885</v>
      </c>
      <c r="F23" s="16">
        <v>1509</v>
      </c>
      <c r="G23" s="16">
        <v>18919064.579999998</v>
      </c>
      <c r="H23" s="16">
        <v>21231001.719999999</v>
      </c>
      <c r="I23" s="13"/>
      <c r="J23" s="33">
        <f t="shared" si="47"/>
        <v>273237.75</v>
      </c>
      <c r="K23" s="33">
        <f t="shared" si="48"/>
        <v>3552</v>
      </c>
      <c r="L23" s="33">
        <f t="shared" si="49"/>
        <v>5975</v>
      </c>
      <c r="M23" s="33">
        <f t="shared" si="50"/>
        <v>77014100.469999999</v>
      </c>
      <c r="N23" s="33">
        <f t="shared" si="51"/>
        <v>77824700.620000005</v>
      </c>
      <c r="O23" s="13"/>
      <c r="P23" s="55">
        <f t="shared" si="52"/>
        <v>1.2999667871661218</v>
      </c>
      <c r="Q23" s="55">
        <f t="shared" si="53"/>
        <v>2.1867403021727414</v>
      </c>
      <c r="R23" s="56">
        <f t="shared" si="54"/>
        <v>21681.897654842342</v>
      </c>
      <c r="S23" s="56">
        <f t="shared" si="55"/>
        <v>21910.107156531532</v>
      </c>
      <c r="T23" s="31">
        <f t="shared" si="38"/>
        <v>20184</v>
      </c>
      <c r="U23" s="15"/>
      <c r="V23" s="16"/>
      <c r="W23" s="16"/>
      <c r="X23" s="16"/>
      <c r="Y23" s="16"/>
      <c r="Z23" s="16"/>
      <c r="AA23" s="13"/>
      <c r="AB23" s="33" t="str">
        <f t="shared" si="56"/>
        <v/>
      </c>
      <c r="AC23" s="33" t="str">
        <f t="shared" si="57"/>
        <v/>
      </c>
      <c r="AD23" s="33" t="str">
        <f t="shared" si="58"/>
        <v/>
      </c>
      <c r="AE23" s="33" t="str">
        <f t="shared" si="59"/>
        <v/>
      </c>
      <c r="AF23" s="33" t="str">
        <f t="shared" si="60"/>
        <v/>
      </c>
      <c r="AG23" s="13"/>
      <c r="AH23" s="55">
        <f t="shared" si="61"/>
        <v>0</v>
      </c>
      <c r="AI23" s="55">
        <f t="shared" si="62"/>
        <v>0</v>
      </c>
      <c r="AJ23" s="56">
        <f t="shared" si="63"/>
        <v>0</v>
      </c>
      <c r="AK23" s="56">
        <f t="shared" si="64"/>
        <v>0</v>
      </c>
      <c r="AL23" s="31">
        <f t="shared" si="39"/>
        <v>20184</v>
      </c>
      <c r="AM23" s="15"/>
      <c r="AN23" s="16"/>
      <c r="AO23" s="16"/>
      <c r="AP23" s="16"/>
      <c r="AQ23" s="16"/>
      <c r="AR23" s="16"/>
      <c r="AS23" s="13"/>
      <c r="AT23" s="33" t="str">
        <f t="shared" si="65"/>
        <v/>
      </c>
      <c r="AU23" s="33" t="str">
        <f t="shared" si="66"/>
        <v/>
      </c>
      <c r="AV23" s="33" t="str">
        <f t="shared" si="67"/>
        <v/>
      </c>
      <c r="AW23" s="33" t="str">
        <f t="shared" si="68"/>
        <v/>
      </c>
      <c r="AX23" s="33" t="str">
        <f t="shared" si="69"/>
        <v/>
      </c>
      <c r="AY23" s="13"/>
      <c r="AZ23" s="55">
        <f t="shared" si="70"/>
        <v>0</v>
      </c>
      <c r="BA23" s="55">
        <f t="shared" si="71"/>
        <v>0</v>
      </c>
      <c r="BB23" s="56">
        <f t="shared" si="72"/>
        <v>0</v>
      </c>
      <c r="BC23" s="56">
        <f t="shared" si="73"/>
        <v>0</v>
      </c>
      <c r="BD23" s="31">
        <f t="shared" si="40"/>
        <v>20184</v>
      </c>
      <c r="BE23" s="15"/>
      <c r="BF23" s="16"/>
      <c r="BG23" s="16"/>
      <c r="BH23" s="16"/>
      <c r="BI23" s="16"/>
      <c r="BJ23" s="16"/>
      <c r="BK23" s="13"/>
      <c r="BL23" s="33" t="str">
        <f t="shared" si="74"/>
        <v/>
      </c>
      <c r="BM23" s="33" t="str">
        <f t="shared" si="75"/>
        <v/>
      </c>
      <c r="BN23" s="33" t="str">
        <f t="shared" si="76"/>
        <v/>
      </c>
      <c r="BO23" s="33" t="str">
        <f t="shared" si="77"/>
        <v/>
      </c>
      <c r="BP23" s="33" t="str">
        <f t="shared" si="78"/>
        <v/>
      </c>
      <c r="BQ23" s="13"/>
      <c r="BR23" s="55">
        <f t="shared" si="79"/>
        <v>0</v>
      </c>
      <c r="BS23" s="55">
        <f t="shared" si="80"/>
        <v>0</v>
      </c>
      <c r="BT23" s="56">
        <f t="shared" si="81"/>
        <v>0</v>
      </c>
      <c r="BU23" s="56">
        <f t="shared" si="82"/>
        <v>0</v>
      </c>
      <c r="BV23" s="31">
        <f t="shared" si="41"/>
        <v>20184</v>
      </c>
      <c r="BW23" s="15"/>
      <c r="BX23" s="16"/>
      <c r="BY23" s="16"/>
      <c r="BZ23" s="16"/>
      <c r="CA23" s="16"/>
      <c r="CB23" s="16"/>
      <c r="CC23" s="13"/>
      <c r="CD23" s="33" t="str">
        <f t="shared" si="83"/>
        <v/>
      </c>
      <c r="CE23" s="33" t="str">
        <f t="shared" si="84"/>
        <v/>
      </c>
      <c r="CF23" s="33" t="str">
        <f t="shared" si="85"/>
        <v/>
      </c>
      <c r="CG23" s="33" t="str">
        <f t="shared" si="86"/>
        <v/>
      </c>
      <c r="CH23" s="33" t="str">
        <f t="shared" si="87"/>
        <v/>
      </c>
      <c r="CI23" s="13"/>
      <c r="CJ23" s="55">
        <f t="shared" si="88"/>
        <v>0</v>
      </c>
      <c r="CK23" s="55">
        <f t="shared" si="89"/>
        <v>0</v>
      </c>
      <c r="CL23" s="56">
        <f t="shared" si="90"/>
        <v>0</v>
      </c>
      <c r="CM23" s="56">
        <f t="shared" si="91"/>
        <v>0</v>
      </c>
      <c r="CN23" s="31">
        <f t="shared" si="42"/>
        <v>20184</v>
      </c>
      <c r="CO23" s="15"/>
      <c r="CP23" s="16"/>
      <c r="CQ23" s="16"/>
      <c r="CR23" s="16"/>
      <c r="CS23" s="16"/>
      <c r="CT23" s="16"/>
      <c r="CU23" s="13"/>
      <c r="CV23" s="33" t="str">
        <f t="shared" si="92"/>
        <v/>
      </c>
      <c r="CW23" s="33" t="str">
        <f t="shared" si="93"/>
        <v/>
      </c>
      <c r="CX23" s="33" t="str">
        <f t="shared" si="94"/>
        <v/>
      </c>
      <c r="CY23" s="33" t="str">
        <f t="shared" si="95"/>
        <v/>
      </c>
      <c r="CZ23" s="33" t="str">
        <f t="shared" si="96"/>
        <v/>
      </c>
      <c r="DA23" s="13"/>
      <c r="DB23" s="55">
        <f t="shared" si="97"/>
        <v>0</v>
      </c>
      <c r="DC23" s="55">
        <f t="shared" si="98"/>
        <v>0</v>
      </c>
      <c r="DD23" s="56">
        <f t="shared" si="99"/>
        <v>0</v>
      </c>
      <c r="DE23" s="56">
        <f t="shared" si="100"/>
        <v>0</v>
      </c>
      <c r="DF23" s="31">
        <f t="shared" si="43"/>
        <v>20184</v>
      </c>
      <c r="DG23" s="15"/>
      <c r="DH23" s="16"/>
      <c r="DI23" s="16"/>
      <c r="DJ23" s="16"/>
      <c r="DK23" s="16"/>
      <c r="DL23" s="16"/>
      <c r="DM23" s="13"/>
      <c r="DN23" s="33" t="str">
        <f t="shared" si="101"/>
        <v/>
      </c>
      <c r="DO23" s="33" t="str">
        <f t="shared" si="102"/>
        <v/>
      </c>
      <c r="DP23" s="33" t="str">
        <f t="shared" si="103"/>
        <v/>
      </c>
      <c r="DQ23" s="33" t="str">
        <f t="shared" si="104"/>
        <v/>
      </c>
      <c r="DR23" s="33" t="str">
        <f t="shared" si="105"/>
        <v/>
      </c>
      <c r="DS23" s="13"/>
      <c r="DT23" s="55">
        <f t="shared" si="106"/>
        <v>0</v>
      </c>
      <c r="DU23" s="55">
        <f t="shared" si="107"/>
        <v>0</v>
      </c>
      <c r="DV23" s="56">
        <f t="shared" si="108"/>
        <v>0</v>
      </c>
      <c r="DW23" s="56">
        <f t="shared" si="109"/>
        <v>0</v>
      </c>
      <c r="DX23" s="31">
        <f t="shared" si="44"/>
        <v>20184</v>
      </c>
      <c r="DY23" s="15"/>
      <c r="DZ23" s="16"/>
      <c r="EA23" s="16"/>
      <c r="EB23" s="16"/>
      <c r="EC23" s="16"/>
      <c r="ED23" s="16"/>
      <c r="EE23" s="13"/>
      <c r="EF23" s="33" t="str">
        <f t="shared" si="110"/>
        <v/>
      </c>
      <c r="EG23" s="33" t="str">
        <f t="shared" si="111"/>
        <v/>
      </c>
      <c r="EH23" s="33" t="str">
        <f t="shared" si="112"/>
        <v/>
      </c>
      <c r="EI23" s="33" t="str">
        <f t="shared" si="113"/>
        <v/>
      </c>
      <c r="EJ23" s="33" t="str">
        <f t="shared" si="114"/>
        <v/>
      </c>
      <c r="EK23" s="13"/>
      <c r="EL23" s="55">
        <f t="shared" si="115"/>
        <v>0</v>
      </c>
      <c r="EM23" s="55">
        <f t="shared" si="116"/>
        <v>0</v>
      </c>
      <c r="EN23" s="56">
        <f t="shared" si="117"/>
        <v>0</v>
      </c>
      <c r="EO23" s="56">
        <f t="shared" si="118"/>
        <v>0</v>
      </c>
      <c r="EP23" s="31">
        <f t="shared" si="45"/>
        <v>20184</v>
      </c>
      <c r="EQ23" s="15"/>
      <c r="ER23" s="16"/>
      <c r="ES23" s="16"/>
      <c r="ET23" s="16"/>
      <c r="EU23" s="16"/>
      <c r="EV23" s="16"/>
      <c r="EW23" s="13"/>
      <c r="EX23" s="33" t="str">
        <f t="shared" si="119"/>
        <v/>
      </c>
      <c r="EY23" s="33" t="str">
        <f t="shared" si="120"/>
        <v/>
      </c>
      <c r="EZ23" s="33" t="str">
        <f t="shared" si="121"/>
        <v/>
      </c>
      <c r="FA23" s="33" t="str">
        <f t="shared" si="122"/>
        <v/>
      </c>
      <c r="FB23" s="33" t="str">
        <f t="shared" si="123"/>
        <v/>
      </c>
      <c r="FC23" s="13"/>
      <c r="FD23" s="55">
        <f t="shared" si="124"/>
        <v>0</v>
      </c>
      <c r="FE23" s="55">
        <f t="shared" si="125"/>
        <v>0</v>
      </c>
      <c r="FF23" s="56">
        <f t="shared" si="126"/>
        <v>0</v>
      </c>
      <c r="FG23" s="56">
        <f t="shared" si="127"/>
        <v>0</v>
      </c>
      <c r="FH23" s="31">
        <f t="shared" si="46"/>
        <v>20184</v>
      </c>
      <c r="FI23" s="15"/>
      <c r="FJ23" s="16"/>
      <c r="FK23" s="16"/>
      <c r="FL23" s="16"/>
      <c r="FM23" s="16"/>
      <c r="FN23" s="16"/>
      <c r="FO23" s="13"/>
      <c r="FP23" s="33" t="str">
        <f t="shared" si="128"/>
        <v/>
      </c>
      <c r="FQ23" s="33" t="str">
        <f t="shared" si="129"/>
        <v/>
      </c>
      <c r="FR23" s="33" t="str">
        <f t="shared" si="130"/>
        <v/>
      </c>
      <c r="FS23" s="33" t="str">
        <f t="shared" si="131"/>
        <v/>
      </c>
      <c r="FT23" s="33" t="str">
        <f t="shared" si="132"/>
        <v/>
      </c>
      <c r="FU23" s="13"/>
      <c r="FV23" s="55">
        <f t="shared" si="133"/>
        <v>0</v>
      </c>
      <c r="FW23" s="55">
        <f t="shared" si="134"/>
        <v>0</v>
      </c>
      <c r="FX23" s="56">
        <f t="shared" si="135"/>
        <v>0</v>
      </c>
      <c r="FY23" s="56">
        <f t="shared" si="136"/>
        <v>0</v>
      </c>
    </row>
    <row r="24" spans="1:181" x14ac:dyDescent="0.25">
      <c r="A24" s="25">
        <v>14</v>
      </c>
      <c r="B24" s="31">
        <f t="shared" si="37"/>
        <v>20191</v>
      </c>
      <c r="C24" s="15"/>
      <c r="D24" s="16">
        <v>68286.11</v>
      </c>
      <c r="E24" s="16">
        <v>914</v>
      </c>
      <c r="F24" s="16">
        <v>1522</v>
      </c>
      <c r="G24" s="16">
        <v>20790373.170000002</v>
      </c>
      <c r="H24" s="16">
        <v>21677674.469999999</v>
      </c>
      <c r="I24" s="13"/>
      <c r="J24" s="33">
        <f t="shared" si="47"/>
        <v>272738.97000000003</v>
      </c>
      <c r="K24" s="33">
        <f t="shared" si="48"/>
        <v>3579</v>
      </c>
      <c r="L24" s="33">
        <f t="shared" si="49"/>
        <v>6046</v>
      </c>
      <c r="M24" s="33">
        <f t="shared" si="50"/>
        <v>79959999.74000001</v>
      </c>
      <c r="N24" s="33">
        <f t="shared" si="51"/>
        <v>80085892.109999999</v>
      </c>
      <c r="O24" s="13"/>
      <c r="P24" s="55">
        <f t="shared" si="52"/>
        <v>1.3122437178669404</v>
      </c>
      <c r="Q24" s="55">
        <f t="shared" si="53"/>
        <v>2.2167715893332001</v>
      </c>
      <c r="R24" s="56">
        <f t="shared" si="54"/>
        <v>22341.436082704669</v>
      </c>
      <c r="S24" s="56">
        <f t="shared" si="55"/>
        <v>22376.611374685664</v>
      </c>
      <c r="T24" s="31">
        <f t="shared" si="38"/>
        <v>20191</v>
      </c>
      <c r="U24" s="15"/>
      <c r="V24" s="16"/>
      <c r="W24" s="16"/>
      <c r="X24" s="16"/>
      <c r="Y24" s="16"/>
      <c r="Z24" s="16"/>
      <c r="AA24" s="13"/>
      <c r="AB24" s="33" t="str">
        <f t="shared" si="56"/>
        <v/>
      </c>
      <c r="AC24" s="33" t="str">
        <f t="shared" si="57"/>
        <v/>
      </c>
      <c r="AD24" s="33" t="str">
        <f t="shared" si="58"/>
        <v/>
      </c>
      <c r="AE24" s="33" t="str">
        <f t="shared" si="59"/>
        <v/>
      </c>
      <c r="AF24" s="33" t="str">
        <f t="shared" si="60"/>
        <v/>
      </c>
      <c r="AG24" s="13"/>
      <c r="AH24" s="55">
        <f t="shared" si="61"/>
        <v>0</v>
      </c>
      <c r="AI24" s="55">
        <f t="shared" si="62"/>
        <v>0</v>
      </c>
      <c r="AJ24" s="56">
        <f t="shared" si="63"/>
        <v>0</v>
      </c>
      <c r="AK24" s="56">
        <f t="shared" si="64"/>
        <v>0</v>
      </c>
      <c r="AL24" s="31">
        <f t="shared" si="39"/>
        <v>20191</v>
      </c>
      <c r="AM24" s="15"/>
      <c r="AN24" s="16"/>
      <c r="AO24" s="16"/>
      <c r="AP24" s="16"/>
      <c r="AQ24" s="16"/>
      <c r="AR24" s="16"/>
      <c r="AS24" s="13"/>
      <c r="AT24" s="33" t="str">
        <f t="shared" si="65"/>
        <v/>
      </c>
      <c r="AU24" s="33" t="str">
        <f t="shared" si="66"/>
        <v/>
      </c>
      <c r="AV24" s="33" t="str">
        <f t="shared" si="67"/>
        <v/>
      </c>
      <c r="AW24" s="33" t="str">
        <f t="shared" si="68"/>
        <v/>
      </c>
      <c r="AX24" s="33" t="str">
        <f t="shared" si="69"/>
        <v/>
      </c>
      <c r="AY24" s="13"/>
      <c r="AZ24" s="55">
        <f t="shared" si="70"/>
        <v>0</v>
      </c>
      <c r="BA24" s="55">
        <f t="shared" si="71"/>
        <v>0</v>
      </c>
      <c r="BB24" s="56">
        <f t="shared" si="72"/>
        <v>0</v>
      </c>
      <c r="BC24" s="56">
        <f t="shared" si="73"/>
        <v>0</v>
      </c>
      <c r="BD24" s="31">
        <f t="shared" si="40"/>
        <v>20191</v>
      </c>
      <c r="BE24" s="15"/>
      <c r="BF24" s="16"/>
      <c r="BG24" s="16"/>
      <c r="BH24" s="16"/>
      <c r="BI24" s="16"/>
      <c r="BJ24" s="16"/>
      <c r="BK24" s="13"/>
      <c r="BL24" s="33" t="str">
        <f t="shared" si="74"/>
        <v/>
      </c>
      <c r="BM24" s="33" t="str">
        <f t="shared" si="75"/>
        <v/>
      </c>
      <c r="BN24" s="33" t="str">
        <f t="shared" si="76"/>
        <v/>
      </c>
      <c r="BO24" s="33" t="str">
        <f t="shared" si="77"/>
        <v/>
      </c>
      <c r="BP24" s="33" t="str">
        <f t="shared" si="78"/>
        <v/>
      </c>
      <c r="BQ24" s="13"/>
      <c r="BR24" s="55">
        <f t="shared" si="79"/>
        <v>0</v>
      </c>
      <c r="BS24" s="55">
        <f t="shared" si="80"/>
        <v>0</v>
      </c>
      <c r="BT24" s="56">
        <f t="shared" si="81"/>
        <v>0</v>
      </c>
      <c r="BU24" s="56">
        <f t="shared" si="82"/>
        <v>0</v>
      </c>
      <c r="BV24" s="31">
        <f t="shared" si="41"/>
        <v>20191</v>
      </c>
      <c r="BW24" s="15"/>
      <c r="BX24" s="16"/>
      <c r="BY24" s="16"/>
      <c r="BZ24" s="16"/>
      <c r="CA24" s="16"/>
      <c r="CB24" s="16"/>
      <c r="CC24" s="13"/>
      <c r="CD24" s="33" t="str">
        <f t="shared" si="83"/>
        <v/>
      </c>
      <c r="CE24" s="33" t="str">
        <f t="shared" si="84"/>
        <v/>
      </c>
      <c r="CF24" s="33" t="str">
        <f t="shared" si="85"/>
        <v/>
      </c>
      <c r="CG24" s="33" t="str">
        <f t="shared" si="86"/>
        <v/>
      </c>
      <c r="CH24" s="33" t="str">
        <f t="shared" si="87"/>
        <v/>
      </c>
      <c r="CI24" s="13"/>
      <c r="CJ24" s="55">
        <f t="shared" si="88"/>
        <v>0</v>
      </c>
      <c r="CK24" s="55">
        <f t="shared" si="89"/>
        <v>0</v>
      </c>
      <c r="CL24" s="56">
        <f t="shared" si="90"/>
        <v>0</v>
      </c>
      <c r="CM24" s="56">
        <f t="shared" si="91"/>
        <v>0</v>
      </c>
      <c r="CN24" s="31">
        <f t="shared" si="42"/>
        <v>20191</v>
      </c>
      <c r="CO24" s="15"/>
      <c r="CP24" s="16"/>
      <c r="CQ24" s="16"/>
      <c r="CR24" s="16"/>
      <c r="CS24" s="16"/>
      <c r="CT24" s="16"/>
      <c r="CU24" s="13"/>
      <c r="CV24" s="33" t="str">
        <f t="shared" si="92"/>
        <v/>
      </c>
      <c r="CW24" s="33" t="str">
        <f t="shared" si="93"/>
        <v/>
      </c>
      <c r="CX24" s="33" t="str">
        <f t="shared" si="94"/>
        <v/>
      </c>
      <c r="CY24" s="33" t="str">
        <f t="shared" si="95"/>
        <v/>
      </c>
      <c r="CZ24" s="33" t="str">
        <f t="shared" si="96"/>
        <v/>
      </c>
      <c r="DA24" s="13"/>
      <c r="DB24" s="55">
        <f t="shared" si="97"/>
        <v>0</v>
      </c>
      <c r="DC24" s="55">
        <f t="shared" si="98"/>
        <v>0</v>
      </c>
      <c r="DD24" s="56">
        <f t="shared" si="99"/>
        <v>0</v>
      </c>
      <c r="DE24" s="56">
        <f t="shared" si="100"/>
        <v>0</v>
      </c>
      <c r="DF24" s="31">
        <f t="shared" si="43"/>
        <v>20191</v>
      </c>
      <c r="DG24" s="15"/>
      <c r="DH24" s="16"/>
      <c r="DI24" s="16"/>
      <c r="DJ24" s="16"/>
      <c r="DK24" s="16"/>
      <c r="DL24" s="16"/>
      <c r="DM24" s="13"/>
      <c r="DN24" s="33" t="str">
        <f t="shared" si="101"/>
        <v/>
      </c>
      <c r="DO24" s="33" t="str">
        <f t="shared" si="102"/>
        <v/>
      </c>
      <c r="DP24" s="33" t="str">
        <f t="shared" si="103"/>
        <v/>
      </c>
      <c r="DQ24" s="33" t="str">
        <f t="shared" si="104"/>
        <v/>
      </c>
      <c r="DR24" s="33" t="str">
        <f t="shared" si="105"/>
        <v/>
      </c>
      <c r="DS24" s="13"/>
      <c r="DT24" s="55">
        <f t="shared" si="106"/>
        <v>0</v>
      </c>
      <c r="DU24" s="55">
        <f t="shared" si="107"/>
        <v>0</v>
      </c>
      <c r="DV24" s="56">
        <f t="shared" si="108"/>
        <v>0</v>
      </c>
      <c r="DW24" s="56">
        <f t="shared" si="109"/>
        <v>0</v>
      </c>
      <c r="DX24" s="31">
        <f t="shared" si="44"/>
        <v>20191</v>
      </c>
      <c r="DY24" s="15"/>
      <c r="DZ24" s="16"/>
      <c r="EA24" s="16"/>
      <c r="EB24" s="16"/>
      <c r="EC24" s="16"/>
      <c r="ED24" s="16"/>
      <c r="EE24" s="13"/>
      <c r="EF24" s="33" t="str">
        <f t="shared" si="110"/>
        <v/>
      </c>
      <c r="EG24" s="33" t="str">
        <f t="shared" si="111"/>
        <v/>
      </c>
      <c r="EH24" s="33" t="str">
        <f t="shared" si="112"/>
        <v/>
      </c>
      <c r="EI24" s="33" t="str">
        <f t="shared" si="113"/>
        <v/>
      </c>
      <c r="EJ24" s="33" t="str">
        <f t="shared" si="114"/>
        <v/>
      </c>
      <c r="EK24" s="13"/>
      <c r="EL24" s="55">
        <f t="shared" si="115"/>
        <v>0</v>
      </c>
      <c r="EM24" s="55">
        <f t="shared" si="116"/>
        <v>0</v>
      </c>
      <c r="EN24" s="56">
        <f t="shared" si="117"/>
        <v>0</v>
      </c>
      <c r="EO24" s="56">
        <f t="shared" si="118"/>
        <v>0</v>
      </c>
      <c r="EP24" s="31">
        <f t="shared" si="45"/>
        <v>20191</v>
      </c>
      <c r="EQ24" s="15"/>
      <c r="ER24" s="16"/>
      <c r="ES24" s="16"/>
      <c r="ET24" s="16"/>
      <c r="EU24" s="16"/>
      <c r="EV24" s="16"/>
      <c r="EW24" s="13"/>
      <c r="EX24" s="33" t="str">
        <f t="shared" si="119"/>
        <v/>
      </c>
      <c r="EY24" s="33" t="str">
        <f t="shared" si="120"/>
        <v/>
      </c>
      <c r="EZ24" s="33" t="str">
        <f t="shared" si="121"/>
        <v/>
      </c>
      <c r="FA24" s="33" t="str">
        <f t="shared" si="122"/>
        <v/>
      </c>
      <c r="FB24" s="33" t="str">
        <f t="shared" si="123"/>
        <v/>
      </c>
      <c r="FC24" s="13"/>
      <c r="FD24" s="55">
        <f t="shared" si="124"/>
        <v>0</v>
      </c>
      <c r="FE24" s="55">
        <f t="shared" si="125"/>
        <v>0</v>
      </c>
      <c r="FF24" s="56">
        <f t="shared" si="126"/>
        <v>0</v>
      </c>
      <c r="FG24" s="56">
        <f t="shared" si="127"/>
        <v>0</v>
      </c>
      <c r="FH24" s="31">
        <f t="shared" si="46"/>
        <v>20191</v>
      </c>
      <c r="FI24" s="15"/>
      <c r="FJ24" s="16"/>
      <c r="FK24" s="16"/>
      <c r="FL24" s="16"/>
      <c r="FM24" s="16"/>
      <c r="FN24" s="16"/>
      <c r="FO24" s="13"/>
      <c r="FP24" s="33" t="str">
        <f t="shared" si="128"/>
        <v/>
      </c>
      <c r="FQ24" s="33" t="str">
        <f t="shared" si="129"/>
        <v/>
      </c>
      <c r="FR24" s="33" t="str">
        <f t="shared" si="130"/>
        <v/>
      </c>
      <c r="FS24" s="33" t="str">
        <f t="shared" si="131"/>
        <v/>
      </c>
      <c r="FT24" s="33" t="str">
        <f t="shared" si="132"/>
        <v/>
      </c>
      <c r="FU24" s="13"/>
      <c r="FV24" s="55">
        <f t="shared" si="133"/>
        <v>0</v>
      </c>
      <c r="FW24" s="55">
        <f t="shared" si="134"/>
        <v>0</v>
      </c>
      <c r="FX24" s="56">
        <f t="shared" si="135"/>
        <v>0</v>
      </c>
      <c r="FY24" s="56">
        <f t="shared" si="136"/>
        <v>0</v>
      </c>
    </row>
    <row r="25" spans="1:181" x14ac:dyDescent="0.25">
      <c r="A25" s="25">
        <v>15</v>
      </c>
      <c r="B25" s="31">
        <f t="shared" si="37"/>
        <v>20192</v>
      </c>
      <c r="C25" s="15"/>
      <c r="D25" s="16">
        <v>68462.17</v>
      </c>
      <c r="E25" s="16">
        <v>966</v>
      </c>
      <c r="F25" s="16">
        <v>1442</v>
      </c>
      <c r="G25" s="16">
        <v>18916468.670000002</v>
      </c>
      <c r="H25" s="16">
        <v>18253116.649999999</v>
      </c>
      <c r="I25" s="13"/>
      <c r="J25" s="33">
        <f t="shared" si="47"/>
        <v>272862.94999999995</v>
      </c>
      <c r="K25" s="33">
        <f t="shared" si="48"/>
        <v>3606</v>
      </c>
      <c r="L25" s="33">
        <f t="shared" si="49"/>
        <v>6038</v>
      </c>
      <c r="M25" s="33">
        <f t="shared" si="50"/>
        <v>79555757.430000007</v>
      </c>
      <c r="N25" s="33">
        <f t="shared" si="51"/>
        <v>80818541.960000008</v>
      </c>
      <c r="O25" s="13"/>
      <c r="P25" s="55">
        <f t="shared" si="52"/>
        <v>1.3215425546047936</v>
      </c>
      <c r="Q25" s="55">
        <f t="shared" si="53"/>
        <v>2.2128324860520641</v>
      </c>
      <c r="R25" s="56">
        <f t="shared" si="54"/>
        <v>22062.051422628952</v>
      </c>
      <c r="S25" s="56">
        <f t="shared" si="55"/>
        <v>22412.241253466447</v>
      </c>
      <c r="T25" s="31">
        <f t="shared" si="38"/>
        <v>20192</v>
      </c>
      <c r="U25" s="15"/>
      <c r="V25" s="16"/>
      <c r="W25" s="16"/>
      <c r="X25" s="16"/>
      <c r="Y25" s="16"/>
      <c r="Z25" s="16"/>
      <c r="AA25" s="13"/>
      <c r="AB25" s="33" t="str">
        <f t="shared" si="56"/>
        <v/>
      </c>
      <c r="AC25" s="33" t="str">
        <f t="shared" si="57"/>
        <v/>
      </c>
      <c r="AD25" s="33" t="str">
        <f t="shared" si="58"/>
        <v/>
      </c>
      <c r="AE25" s="33" t="str">
        <f t="shared" si="59"/>
        <v/>
      </c>
      <c r="AF25" s="33" t="str">
        <f t="shared" si="60"/>
        <v/>
      </c>
      <c r="AG25" s="13"/>
      <c r="AH25" s="55">
        <f t="shared" si="61"/>
        <v>0</v>
      </c>
      <c r="AI25" s="55">
        <f t="shared" si="62"/>
        <v>0</v>
      </c>
      <c r="AJ25" s="56">
        <f t="shared" si="63"/>
        <v>0</v>
      </c>
      <c r="AK25" s="56">
        <f t="shared" si="64"/>
        <v>0</v>
      </c>
      <c r="AL25" s="31">
        <f t="shared" si="39"/>
        <v>20192</v>
      </c>
      <c r="AM25" s="15"/>
      <c r="AN25" s="16"/>
      <c r="AO25" s="16"/>
      <c r="AP25" s="16"/>
      <c r="AQ25" s="16"/>
      <c r="AR25" s="16"/>
      <c r="AS25" s="13"/>
      <c r="AT25" s="33" t="str">
        <f t="shared" si="65"/>
        <v/>
      </c>
      <c r="AU25" s="33" t="str">
        <f t="shared" si="66"/>
        <v/>
      </c>
      <c r="AV25" s="33" t="str">
        <f t="shared" si="67"/>
        <v/>
      </c>
      <c r="AW25" s="33" t="str">
        <f t="shared" si="68"/>
        <v/>
      </c>
      <c r="AX25" s="33" t="str">
        <f t="shared" si="69"/>
        <v/>
      </c>
      <c r="AY25" s="13"/>
      <c r="AZ25" s="55">
        <f t="shared" si="70"/>
        <v>0</v>
      </c>
      <c r="BA25" s="55">
        <f t="shared" si="71"/>
        <v>0</v>
      </c>
      <c r="BB25" s="56">
        <f t="shared" si="72"/>
        <v>0</v>
      </c>
      <c r="BC25" s="56">
        <f t="shared" si="73"/>
        <v>0</v>
      </c>
      <c r="BD25" s="31">
        <f t="shared" si="40"/>
        <v>20192</v>
      </c>
      <c r="BE25" s="15"/>
      <c r="BF25" s="16"/>
      <c r="BG25" s="16"/>
      <c r="BH25" s="16"/>
      <c r="BI25" s="16"/>
      <c r="BJ25" s="16"/>
      <c r="BK25" s="13"/>
      <c r="BL25" s="33" t="str">
        <f t="shared" si="74"/>
        <v/>
      </c>
      <c r="BM25" s="33" t="str">
        <f t="shared" si="75"/>
        <v/>
      </c>
      <c r="BN25" s="33" t="str">
        <f t="shared" si="76"/>
        <v/>
      </c>
      <c r="BO25" s="33" t="str">
        <f t="shared" si="77"/>
        <v/>
      </c>
      <c r="BP25" s="33" t="str">
        <f t="shared" si="78"/>
        <v/>
      </c>
      <c r="BQ25" s="13"/>
      <c r="BR25" s="55">
        <f t="shared" si="79"/>
        <v>0</v>
      </c>
      <c r="BS25" s="55">
        <f t="shared" si="80"/>
        <v>0</v>
      </c>
      <c r="BT25" s="56">
        <f t="shared" si="81"/>
        <v>0</v>
      </c>
      <c r="BU25" s="56">
        <f t="shared" si="82"/>
        <v>0</v>
      </c>
      <c r="BV25" s="31">
        <f t="shared" si="41"/>
        <v>20192</v>
      </c>
      <c r="BW25" s="15"/>
      <c r="BX25" s="16"/>
      <c r="BY25" s="16"/>
      <c r="BZ25" s="16"/>
      <c r="CA25" s="16"/>
      <c r="CB25" s="16"/>
      <c r="CC25" s="13"/>
      <c r="CD25" s="33" t="str">
        <f t="shared" si="83"/>
        <v/>
      </c>
      <c r="CE25" s="33" t="str">
        <f t="shared" si="84"/>
        <v/>
      </c>
      <c r="CF25" s="33" t="str">
        <f t="shared" si="85"/>
        <v/>
      </c>
      <c r="CG25" s="33" t="str">
        <f t="shared" si="86"/>
        <v/>
      </c>
      <c r="CH25" s="33" t="str">
        <f t="shared" si="87"/>
        <v/>
      </c>
      <c r="CI25" s="13"/>
      <c r="CJ25" s="55">
        <f t="shared" si="88"/>
        <v>0</v>
      </c>
      <c r="CK25" s="55">
        <f t="shared" si="89"/>
        <v>0</v>
      </c>
      <c r="CL25" s="56">
        <f t="shared" si="90"/>
        <v>0</v>
      </c>
      <c r="CM25" s="56">
        <f t="shared" si="91"/>
        <v>0</v>
      </c>
      <c r="CN25" s="31">
        <f t="shared" si="42"/>
        <v>20192</v>
      </c>
      <c r="CO25" s="15"/>
      <c r="CP25" s="16"/>
      <c r="CQ25" s="16"/>
      <c r="CR25" s="16"/>
      <c r="CS25" s="16"/>
      <c r="CT25" s="16"/>
      <c r="CU25" s="13"/>
      <c r="CV25" s="33" t="str">
        <f t="shared" si="92"/>
        <v/>
      </c>
      <c r="CW25" s="33" t="str">
        <f t="shared" si="93"/>
        <v/>
      </c>
      <c r="CX25" s="33" t="str">
        <f t="shared" si="94"/>
        <v/>
      </c>
      <c r="CY25" s="33" t="str">
        <f t="shared" si="95"/>
        <v/>
      </c>
      <c r="CZ25" s="33" t="str">
        <f t="shared" si="96"/>
        <v/>
      </c>
      <c r="DA25" s="13"/>
      <c r="DB25" s="55">
        <f t="shared" si="97"/>
        <v>0</v>
      </c>
      <c r="DC25" s="55">
        <f t="shared" si="98"/>
        <v>0</v>
      </c>
      <c r="DD25" s="56">
        <f t="shared" si="99"/>
        <v>0</v>
      </c>
      <c r="DE25" s="56">
        <f t="shared" si="100"/>
        <v>0</v>
      </c>
      <c r="DF25" s="31">
        <f t="shared" si="43"/>
        <v>20192</v>
      </c>
      <c r="DG25" s="15"/>
      <c r="DH25" s="16"/>
      <c r="DI25" s="16"/>
      <c r="DJ25" s="16"/>
      <c r="DK25" s="16"/>
      <c r="DL25" s="16"/>
      <c r="DM25" s="13"/>
      <c r="DN25" s="33" t="str">
        <f t="shared" si="101"/>
        <v/>
      </c>
      <c r="DO25" s="33" t="str">
        <f t="shared" si="102"/>
        <v/>
      </c>
      <c r="DP25" s="33" t="str">
        <f t="shared" si="103"/>
        <v/>
      </c>
      <c r="DQ25" s="33" t="str">
        <f t="shared" si="104"/>
        <v/>
      </c>
      <c r="DR25" s="33" t="str">
        <f t="shared" si="105"/>
        <v/>
      </c>
      <c r="DS25" s="13"/>
      <c r="DT25" s="55">
        <f t="shared" si="106"/>
        <v>0</v>
      </c>
      <c r="DU25" s="55">
        <f t="shared" si="107"/>
        <v>0</v>
      </c>
      <c r="DV25" s="56">
        <f t="shared" si="108"/>
        <v>0</v>
      </c>
      <c r="DW25" s="56">
        <f t="shared" si="109"/>
        <v>0</v>
      </c>
      <c r="DX25" s="31">
        <f t="shared" si="44"/>
        <v>20192</v>
      </c>
      <c r="DY25" s="15"/>
      <c r="DZ25" s="16"/>
      <c r="EA25" s="16"/>
      <c r="EB25" s="16"/>
      <c r="EC25" s="16"/>
      <c r="ED25" s="16"/>
      <c r="EE25" s="13"/>
      <c r="EF25" s="33" t="str">
        <f t="shared" si="110"/>
        <v/>
      </c>
      <c r="EG25" s="33" t="str">
        <f t="shared" si="111"/>
        <v/>
      </c>
      <c r="EH25" s="33" t="str">
        <f t="shared" si="112"/>
        <v/>
      </c>
      <c r="EI25" s="33" t="str">
        <f t="shared" si="113"/>
        <v/>
      </c>
      <c r="EJ25" s="33" t="str">
        <f t="shared" si="114"/>
        <v/>
      </c>
      <c r="EK25" s="13"/>
      <c r="EL25" s="55">
        <f t="shared" si="115"/>
        <v>0</v>
      </c>
      <c r="EM25" s="55">
        <f t="shared" si="116"/>
        <v>0</v>
      </c>
      <c r="EN25" s="56">
        <f t="shared" si="117"/>
        <v>0</v>
      </c>
      <c r="EO25" s="56">
        <f t="shared" si="118"/>
        <v>0</v>
      </c>
      <c r="EP25" s="31">
        <f t="shared" si="45"/>
        <v>20192</v>
      </c>
      <c r="EQ25" s="15"/>
      <c r="ER25" s="16"/>
      <c r="ES25" s="16"/>
      <c r="ET25" s="16"/>
      <c r="EU25" s="16"/>
      <c r="EV25" s="16"/>
      <c r="EW25" s="13"/>
      <c r="EX25" s="33" t="str">
        <f t="shared" si="119"/>
        <v/>
      </c>
      <c r="EY25" s="33" t="str">
        <f t="shared" si="120"/>
        <v/>
      </c>
      <c r="EZ25" s="33" t="str">
        <f t="shared" si="121"/>
        <v/>
      </c>
      <c r="FA25" s="33" t="str">
        <f t="shared" si="122"/>
        <v/>
      </c>
      <c r="FB25" s="33" t="str">
        <f t="shared" si="123"/>
        <v/>
      </c>
      <c r="FC25" s="13"/>
      <c r="FD25" s="55">
        <f t="shared" si="124"/>
        <v>0</v>
      </c>
      <c r="FE25" s="55">
        <f t="shared" si="125"/>
        <v>0</v>
      </c>
      <c r="FF25" s="56">
        <f t="shared" si="126"/>
        <v>0</v>
      </c>
      <c r="FG25" s="56">
        <f t="shared" si="127"/>
        <v>0</v>
      </c>
      <c r="FH25" s="31">
        <f t="shared" si="46"/>
        <v>20192</v>
      </c>
      <c r="FI25" s="15"/>
      <c r="FJ25" s="16"/>
      <c r="FK25" s="16"/>
      <c r="FL25" s="16"/>
      <c r="FM25" s="16"/>
      <c r="FN25" s="16"/>
      <c r="FO25" s="13"/>
      <c r="FP25" s="33" t="str">
        <f t="shared" si="128"/>
        <v/>
      </c>
      <c r="FQ25" s="33" t="str">
        <f t="shared" si="129"/>
        <v/>
      </c>
      <c r="FR25" s="33" t="str">
        <f t="shared" si="130"/>
        <v/>
      </c>
      <c r="FS25" s="33" t="str">
        <f t="shared" si="131"/>
        <v/>
      </c>
      <c r="FT25" s="33" t="str">
        <f t="shared" si="132"/>
        <v/>
      </c>
      <c r="FU25" s="13"/>
      <c r="FV25" s="55">
        <f t="shared" si="133"/>
        <v>0</v>
      </c>
      <c r="FW25" s="55">
        <f t="shared" si="134"/>
        <v>0</v>
      </c>
      <c r="FX25" s="56">
        <f t="shared" si="135"/>
        <v>0</v>
      </c>
      <c r="FY25" s="56">
        <f t="shared" si="136"/>
        <v>0</v>
      </c>
    </row>
    <row r="26" spans="1:181" x14ac:dyDescent="0.25">
      <c r="A26" s="25">
        <v>16</v>
      </c>
      <c r="B26" s="31">
        <f t="shared" si="37"/>
        <v>20193</v>
      </c>
      <c r="C26" s="15"/>
      <c r="D26" s="16">
        <v>68504.53</v>
      </c>
      <c r="E26" s="16">
        <v>824</v>
      </c>
      <c r="F26" s="16">
        <v>1478</v>
      </c>
      <c r="G26" s="16">
        <v>18318071.629999999</v>
      </c>
      <c r="H26" s="16">
        <v>17677969.57</v>
      </c>
      <c r="I26" s="13"/>
      <c r="J26" s="33">
        <f t="shared" si="47"/>
        <v>273382.78000000003</v>
      </c>
      <c r="K26" s="33">
        <f t="shared" si="48"/>
        <v>3589</v>
      </c>
      <c r="L26" s="33">
        <f t="shared" si="49"/>
        <v>5951</v>
      </c>
      <c r="M26" s="33">
        <f t="shared" si="50"/>
        <v>76943978.049999997</v>
      </c>
      <c r="N26" s="33">
        <f t="shared" si="51"/>
        <v>78839762.409999996</v>
      </c>
      <c r="O26" s="13"/>
      <c r="P26" s="55">
        <f t="shared" si="52"/>
        <v>1.3128112897235149</v>
      </c>
      <c r="Q26" s="55">
        <f t="shared" si="53"/>
        <v>2.1768013332807574</v>
      </c>
      <c r="R26" s="56">
        <f t="shared" si="54"/>
        <v>21438.834786848704</v>
      </c>
      <c r="S26" s="56">
        <f t="shared" si="55"/>
        <v>21967.055561437726</v>
      </c>
      <c r="T26" s="31">
        <f t="shared" si="38"/>
        <v>20193</v>
      </c>
      <c r="U26" s="15"/>
      <c r="V26" s="16"/>
      <c r="W26" s="16"/>
      <c r="X26" s="16"/>
      <c r="Y26" s="16"/>
      <c r="Z26" s="16"/>
      <c r="AA26" s="13"/>
      <c r="AB26" s="33" t="str">
        <f t="shared" si="56"/>
        <v/>
      </c>
      <c r="AC26" s="33" t="str">
        <f t="shared" si="57"/>
        <v/>
      </c>
      <c r="AD26" s="33" t="str">
        <f t="shared" si="58"/>
        <v/>
      </c>
      <c r="AE26" s="33" t="str">
        <f t="shared" si="59"/>
        <v/>
      </c>
      <c r="AF26" s="33" t="str">
        <f t="shared" si="60"/>
        <v/>
      </c>
      <c r="AG26" s="13"/>
      <c r="AH26" s="55">
        <f t="shared" si="61"/>
        <v>0</v>
      </c>
      <c r="AI26" s="55">
        <f t="shared" si="62"/>
        <v>0</v>
      </c>
      <c r="AJ26" s="56">
        <f t="shared" si="63"/>
        <v>0</v>
      </c>
      <c r="AK26" s="56">
        <f t="shared" si="64"/>
        <v>0</v>
      </c>
      <c r="AL26" s="31">
        <f t="shared" si="39"/>
        <v>20193</v>
      </c>
      <c r="AM26" s="15"/>
      <c r="AN26" s="16"/>
      <c r="AO26" s="16"/>
      <c r="AP26" s="16"/>
      <c r="AQ26" s="16"/>
      <c r="AR26" s="16"/>
      <c r="AS26" s="13"/>
      <c r="AT26" s="33" t="str">
        <f t="shared" si="65"/>
        <v/>
      </c>
      <c r="AU26" s="33" t="str">
        <f t="shared" si="66"/>
        <v/>
      </c>
      <c r="AV26" s="33" t="str">
        <f t="shared" si="67"/>
        <v/>
      </c>
      <c r="AW26" s="33" t="str">
        <f t="shared" si="68"/>
        <v/>
      </c>
      <c r="AX26" s="33" t="str">
        <f t="shared" si="69"/>
        <v/>
      </c>
      <c r="AY26" s="13"/>
      <c r="AZ26" s="55">
        <f t="shared" si="70"/>
        <v>0</v>
      </c>
      <c r="BA26" s="55">
        <f t="shared" si="71"/>
        <v>0</v>
      </c>
      <c r="BB26" s="56">
        <f t="shared" si="72"/>
        <v>0</v>
      </c>
      <c r="BC26" s="56">
        <f t="shared" si="73"/>
        <v>0</v>
      </c>
      <c r="BD26" s="31">
        <f t="shared" si="40"/>
        <v>20193</v>
      </c>
      <c r="BE26" s="15"/>
      <c r="BF26" s="16"/>
      <c r="BG26" s="16"/>
      <c r="BH26" s="16"/>
      <c r="BI26" s="16"/>
      <c r="BJ26" s="16"/>
      <c r="BK26" s="13"/>
      <c r="BL26" s="33" t="str">
        <f t="shared" si="74"/>
        <v/>
      </c>
      <c r="BM26" s="33" t="str">
        <f t="shared" si="75"/>
        <v/>
      </c>
      <c r="BN26" s="33" t="str">
        <f t="shared" si="76"/>
        <v/>
      </c>
      <c r="BO26" s="33" t="str">
        <f t="shared" si="77"/>
        <v/>
      </c>
      <c r="BP26" s="33" t="str">
        <f t="shared" si="78"/>
        <v/>
      </c>
      <c r="BQ26" s="13"/>
      <c r="BR26" s="55">
        <f t="shared" si="79"/>
        <v>0</v>
      </c>
      <c r="BS26" s="55">
        <f t="shared" si="80"/>
        <v>0</v>
      </c>
      <c r="BT26" s="56">
        <f t="shared" si="81"/>
        <v>0</v>
      </c>
      <c r="BU26" s="56">
        <f t="shared" si="82"/>
        <v>0</v>
      </c>
      <c r="BV26" s="31">
        <f t="shared" si="41"/>
        <v>20193</v>
      </c>
      <c r="BW26" s="15"/>
      <c r="BX26" s="16"/>
      <c r="BY26" s="16"/>
      <c r="BZ26" s="16"/>
      <c r="CA26" s="16"/>
      <c r="CB26" s="16"/>
      <c r="CC26" s="13"/>
      <c r="CD26" s="33" t="str">
        <f t="shared" si="83"/>
        <v/>
      </c>
      <c r="CE26" s="33" t="str">
        <f t="shared" si="84"/>
        <v/>
      </c>
      <c r="CF26" s="33" t="str">
        <f t="shared" si="85"/>
        <v/>
      </c>
      <c r="CG26" s="33" t="str">
        <f t="shared" si="86"/>
        <v/>
      </c>
      <c r="CH26" s="33" t="str">
        <f t="shared" si="87"/>
        <v/>
      </c>
      <c r="CI26" s="13"/>
      <c r="CJ26" s="55">
        <f t="shared" si="88"/>
        <v>0</v>
      </c>
      <c r="CK26" s="55">
        <f t="shared" si="89"/>
        <v>0</v>
      </c>
      <c r="CL26" s="56">
        <f t="shared" si="90"/>
        <v>0</v>
      </c>
      <c r="CM26" s="56">
        <f t="shared" si="91"/>
        <v>0</v>
      </c>
      <c r="CN26" s="31">
        <f t="shared" si="42"/>
        <v>20193</v>
      </c>
      <c r="CO26" s="15"/>
      <c r="CP26" s="16"/>
      <c r="CQ26" s="16"/>
      <c r="CR26" s="16"/>
      <c r="CS26" s="16"/>
      <c r="CT26" s="16"/>
      <c r="CU26" s="13"/>
      <c r="CV26" s="33" t="str">
        <f t="shared" si="92"/>
        <v/>
      </c>
      <c r="CW26" s="33" t="str">
        <f t="shared" si="93"/>
        <v/>
      </c>
      <c r="CX26" s="33" t="str">
        <f t="shared" si="94"/>
        <v/>
      </c>
      <c r="CY26" s="33" t="str">
        <f t="shared" si="95"/>
        <v/>
      </c>
      <c r="CZ26" s="33" t="str">
        <f t="shared" si="96"/>
        <v/>
      </c>
      <c r="DA26" s="13"/>
      <c r="DB26" s="55">
        <f t="shared" si="97"/>
        <v>0</v>
      </c>
      <c r="DC26" s="55">
        <f t="shared" si="98"/>
        <v>0</v>
      </c>
      <c r="DD26" s="56">
        <f t="shared" si="99"/>
        <v>0</v>
      </c>
      <c r="DE26" s="56">
        <f t="shared" si="100"/>
        <v>0</v>
      </c>
      <c r="DF26" s="31">
        <f t="shared" si="43"/>
        <v>20193</v>
      </c>
      <c r="DG26" s="15"/>
      <c r="DH26" s="16"/>
      <c r="DI26" s="16"/>
      <c r="DJ26" s="16"/>
      <c r="DK26" s="16"/>
      <c r="DL26" s="16"/>
      <c r="DM26" s="13"/>
      <c r="DN26" s="33" t="str">
        <f t="shared" si="101"/>
        <v/>
      </c>
      <c r="DO26" s="33" t="str">
        <f t="shared" si="102"/>
        <v/>
      </c>
      <c r="DP26" s="33" t="str">
        <f t="shared" si="103"/>
        <v/>
      </c>
      <c r="DQ26" s="33" t="str">
        <f t="shared" si="104"/>
        <v/>
      </c>
      <c r="DR26" s="33" t="str">
        <f t="shared" si="105"/>
        <v/>
      </c>
      <c r="DS26" s="13"/>
      <c r="DT26" s="55">
        <f t="shared" si="106"/>
        <v>0</v>
      </c>
      <c r="DU26" s="55">
        <f t="shared" si="107"/>
        <v>0</v>
      </c>
      <c r="DV26" s="56">
        <f t="shared" si="108"/>
        <v>0</v>
      </c>
      <c r="DW26" s="56">
        <f t="shared" si="109"/>
        <v>0</v>
      </c>
      <c r="DX26" s="31">
        <f t="shared" si="44"/>
        <v>20193</v>
      </c>
      <c r="DY26" s="15"/>
      <c r="DZ26" s="16"/>
      <c r="EA26" s="16"/>
      <c r="EB26" s="16"/>
      <c r="EC26" s="16"/>
      <c r="ED26" s="16"/>
      <c r="EE26" s="13"/>
      <c r="EF26" s="33" t="str">
        <f t="shared" si="110"/>
        <v/>
      </c>
      <c r="EG26" s="33" t="str">
        <f t="shared" si="111"/>
        <v/>
      </c>
      <c r="EH26" s="33" t="str">
        <f t="shared" si="112"/>
        <v/>
      </c>
      <c r="EI26" s="33" t="str">
        <f t="shared" si="113"/>
        <v/>
      </c>
      <c r="EJ26" s="33" t="str">
        <f t="shared" si="114"/>
        <v/>
      </c>
      <c r="EK26" s="13"/>
      <c r="EL26" s="55">
        <f t="shared" si="115"/>
        <v>0</v>
      </c>
      <c r="EM26" s="55">
        <f t="shared" si="116"/>
        <v>0</v>
      </c>
      <c r="EN26" s="56">
        <f t="shared" si="117"/>
        <v>0</v>
      </c>
      <c r="EO26" s="56">
        <f t="shared" si="118"/>
        <v>0</v>
      </c>
      <c r="EP26" s="31">
        <f t="shared" si="45"/>
        <v>20193</v>
      </c>
      <c r="EQ26" s="15"/>
      <c r="ER26" s="16"/>
      <c r="ES26" s="16"/>
      <c r="ET26" s="16"/>
      <c r="EU26" s="16"/>
      <c r="EV26" s="16"/>
      <c r="EW26" s="13"/>
      <c r="EX26" s="33" t="str">
        <f t="shared" si="119"/>
        <v/>
      </c>
      <c r="EY26" s="33" t="str">
        <f t="shared" si="120"/>
        <v/>
      </c>
      <c r="EZ26" s="33" t="str">
        <f t="shared" si="121"/>
        <v/>
      </c>
      <c r="FA26" s="33" t="str">
        <f t="shared" si="122"/>
        <v/>
      </c>
      <c r="FB26" s="33" t="str">
        <f t="shared" si="123"/>
        <v/>
      </c>
      <c r="FC26" s="13"/>
      <c r="FD26" s="55">
        <f t="shared" si="124"/>
        <v>0</v>
      </c>
      <c r="FE26" s="55">
        <f t="shared" si="125"/>
        <v>0</v>
      </c>
      <c r="FF26" s="56">
        <f t="shared" si="126"/>
        <v>0</v>
      </c>
      <c r="FG26" s="56">
        <f t="shared" si="127"/>
        <v>0</v>
      </c>
      <c r="FH26" s="31">
        <f t="shared" si="46"/>
        <v>20193</v>
      </c>
      <c r="FI26" s="15"/>
      <c r="FJ26" s="16"/>
      <c r="FK26" s="16"/>
      <c r="FL26" s="16"/>
      <c r="FM26" s="16"/>
      <c r="FN26" s="16"/>
      <c r="FO26" s="13"/>
      <c r="FP26" s="33" t="str">
        <f t="shared" si="128"/>
        <v/>
      </c>
      <c r="FQ26" s="33" t="str">
        <f t="shared" si="129"/>
        <v/>
      </c>
      <c r="FR26" s="33" t="str">
        <f t="shared" si="130"/>
        <v/>
      </c>
      <c r="FS26" s="33" t="str">
        <f t="shared" si="131"/>
        <v/>
      </c>
      <c r="FT26" s="33" t="str">
        <f t="shared" si="132"/>
        <v/>
      </c>
      <c r="FU26" s="13"/>
      <c r="FV26" s="55">
        <f t="shared" si="133"/>
        <v>0</v>
      </c>
      <c r="FW26" s="55">
        <f t="shared" si="134"/>
        <v>0</v>
      </c>
      <c r="FX26" s="56">
        <f t="shared" si="135"/>
        <v>0</v>
      </c>
      <c r="FY26" s="56">
        <f t="shared" si="136"/>
        <v>0</v>
      </c>
    </row>
    <row r="27" spans="1:181" x14ac:dyDescent="0.25">
      <c r="A27" s="25">
        <v>17</v>
      </c>
      <c r="B27" s="31">
        <f t="shared" si="37"/>
        <v>20194</v>
      </c>
      <c r="C27" s="15"/>
      <c r="D27" s="16">
        <v>68583.149999999994</v>
      </c>
      <c r="E27" s="16">
        <v>778</v>
      </c>
      <c r="F27" s="16">
        <v>1448</v>
      </c>
      <c r="G27" s="16">
        <v>18147958.57</v>
      </c>
      <c r="H27" s="16">
        <v>16085064.08</v>
      </c>
      <c r="I27" s="13"/>
      <c r="J27" s="33">
        <f t="shared" si="47"/>
        <v>273835.95999999996</v>
      </c>
      <c r="K27" s="33">
        <f t="shared" si="48"/>
        <v>3482</v>
      </c>
      <c r="L27" s="33">
        <f t="shared" si="49"/>
        <v>5890</v>
      </c>
      <c r="M27" s="33">
        <f t="shared" si="50"/>
        <v>76172872.039999992</v>
      </c>
      <c r="N27" s="33">
        <f t="shared" si="51"/>
        <v>73693824.769999996</v>
      </c>
      <c r="O27" s="13"/>
      <c r="P27" s="55">
        <f t="shared" si="52"/>
        <v>1.2715641875522852</v>
      </c>
      <c r="Q27" s="55">
        <f t="shared" si="53"/>
        <v>2.1509227641249162</v>
      </c>
      <c r="R27" s="56">
        <f t="shared" si="54"/>
        <v>21876.183813900054</v>
      </c>
      <c r="S27" s="56">
        <f t="shared" si="55"/>
        <v>21164.223081562319</v>
      </c>
      <c r="T27" s="31">
        <f t="shared" si="38"/>
        <v>20194</v>
      </c>
      <c r="U27" s="15"/>
      <c r="V27" s="16"/>
      <c r="W27" s="16"/>
      <c r="X27" s="16"/>
      <c r="Y27" s="16"/>
      <c r="Z27" s="16"/>
      <c r="AA27" s="13"/>
      <c r="AB27" s="33" t="str">
        <f t="shared" si="56"/>
        <v/>
      </c>
      <c r="AC27" s="33" t="str">
        <f t="shared" si="57"/>
        <v/>
      </c>
      <c r="AD27" s="33" t="str">
        <f t="shared" si="58"/>
        <v/>
      </c>
      <c r="AE27" s="33" t="str">
        <f t="shared" si="59"/>
        <v/>
      </c>
      <c r="AF27" s="33" t="str">
        <f t="shared" si="60"/>
        <v/>
      </c>
      <c r="AG27" s="13"/>
      <c r="AH27" s="55">
        <f t="shared" si="61"/>
        <v>0</v>
      </c>
      <c r="AI27" s="55">
        <f t="shared" si="62"/>
        <v>0</v>
      </c>
      <c r="AJ27" s="56">
        <f t="shared" si="63"/>
        <v>0</v>
      </c>
      <c r="AK27" s="56">
        <f t="shared" si="64"/>
        <v>0</v>
      </c>
      <c r="AL27" s="31">
        <f t="shared" si="39"/>
        <v>20194</v>
      </c>
      <c r="AM27" s="15"/>
      <c r="AN27" s="16"/>
      <c r="AO27" s="16"/>
      <c r="AP27" s="16"/>
      <c r="AQ27" s="16"/>
      <c r="AR27" s="16"/>
      <c r="AS27" s="13"/>
      <c r="AT27" s="33" t="str">
        <f t="shared" si="65"/>
        <v/>
      </c>
      <c r="AU27" s="33" t="str">
        <f t="shared" si="66"/>
        <v/>
      </c>
      <c r="AV27" s="33" t="str">
        <f t="shared" si="67"/>
        <v/>
      </c>
      <c r="AW27" s="33" t="str">
        <f t="shared" si="68"/>
        <v/>
      </c>
      <c r="AX27" s="33" t="str">
        <f t="shared" si="69"/>
        <v/>
      </c>
      <c r="AY27" s="13"/>
      <c r="AZ27" s="55">
        <f t="shared" si="70"/>
        <v>0</v>
      </c>
      <c r="BA27" s="55">
        <f t="shared" si="71"/>
        <v>0</v>
      </c>
      <c r="BB27" s="56">
        <f t="shared" si="72"/>
        <v>0</v>
      </c>
      <c r="BC27" s="56">
        <f t="shared" si="73"/>
        <v>0</v>
      </c>
      <c r="BD27" s="31">
        <f t="shared" si="40"/>
        <v>20194</v>
      </c>
      <c r="BE27" s="15"/>
      <c r="BF27" s="16"/>
      <c r="BG27" s="16"/>
      <c r="BH27" s="16"/>
      <c r="BI27" s="16"/>
      <c r="BJ27" s="16"/>
      <c r="BK27" s="13"/>
      <c r="BL27" s="33" t="str">
        <f t="shared" si="74"/>
        <v/>
      </c>
      <c r="BM27" s="33" t="str">
        <f t="shared" si="75"/>
        <v/>
      </c>
      <c r="BN27" s="33" t="str">
        <f t="shared" si="76"/>
        <v/>
      </c>
      <c r="BO27" s="33" t="str">
        <f t="shared" si="77"/>
        <v/>
      </c>
      <c r="BP27" s="33" t="str">
        <f t="shared" si="78"/>
        <v/>
      </c>
      <c r="BQ27" s="13"/>
      <c r="BR27" s="55">
        <f t="shared" si="79"/>
        <v>0</v>
      </c>
      <c r="BS27" s="55">
        <f t="shared" si="80"/>
        <v>0</v>
      </c>
      <c r="BT27" s="56">
        <f t="shared" si="81"/>
        <v>0</v>
      </c>
      <c r="BU27" s="56">
        <f t="shared" si="82"/>
        <v>0</v>
      </c>
      <c r="BV27" s="31">
        <f t="shared" si="41"/>
        <v>20194</v>
      </c>
      <c r="BW27" s="15"/>
      <c r="BX27" s="16"/>
      <c r="BY27" s="16"/>
      <c r="BZ27" s="16"/>
      <c r="CA27" s="16"/>
      <c r="CB27" s="16"/>
      <c r="CC27" s="13"/>
      <c r="CD27" s="33" t="str">
        <f t="shared" si="83"/>
        <v/>
      </c>
      <c r="CE27" s="33" t="str">
        <f t="shared" si="84"/>
        <v/>
      </c>
      <c r="CF27" s="33" t="str">
        <f t="shared" si="85"/>
        <v/>
      </c>
      <c r="CG27" s="33" t="str">
        <f t="shared" si="86"/>
        <v/>
      </c>
      <c r="CH27" s="33" t="str">
        <f t="shared" si="87"/>
        <v/>
      </c>
      <c r="CI27" s="13"/>
      <c r="CJ27" s="55">
        <f t="shared" si="88"/>
        <v>0</v>
      </c>
      <c r="CK27" s="55">
        <f t="shared" si="89"/>
        <v>0</v>
      </c>
      <c r="CL27" s="56">
        <f t="shared" si="90"/>
        <v>0</v>
      </c>
      <c r="CM27" s="56">
        <f t="shared" si="91"/>
        <v>0</v>
      </c>
      <c r="CN27" s="31">
        <f t="shared" si="42"/>
        <v>20194</v>
      </c>
      <c r="CO27" s="15"/>
      <c r="CP27" s="16"/>
      <c r="CQ27" s="16"/>
      <c r="CR27" s="16"/>
      <c r="CS27" s="16"/>
      <c r="CT27" s="16"/>
      <c r="CU27" s="13"/>
      <c r="CV27" s="33" t="str">
        <f t="shared" si="92"/>
        <v/>
      </c>
      <c r="CW27" s="33" t="str">
        <f t="shared" si="93"/>
        <v/>
      </c>
      <c r="CX27" s="33" t="str">
        <f t="shared" si="94"/>
        <v/>
      </c>
      <c r="CY27" s="33" t="str">
        <f t="shared" si="95"/>
        <v/>
      </c>
      <c r="CZ27" s="33" t="str">
        <f t="shared" si="96"/>
        <v/>
      </c>
      <c r="DA27" s="13"/>
      <c r="DB27" s="55">
        <f t="shared" si="97"/>
        <v>0</v>
      </c>
      <c r="DC27" s="55">
        <f t="shared" si="98"/>
        <v>0</v>
      </c>
      <c r="DD27" s="56">
        <f t="shared" si="99"/>
        <v>0</v>
      </c>
      <c r="DE27" s="56">
        <f t="shared" si="100"/>
        <v>0</v>
      </c>
      <c r="DF27" s="31">
        <f t="shared" si="43"/>
        <v>20194</v>
      </c>
      <c r="DG27" s="15"/>
      <c r="DH27" s="16"/>
      <c r="DI27" s="16"/>
      <c r="DJ27" s="16"/>
      <c r="DK27" s="16"/>
      <c r="DL27" s="16"/>
      <c r="DM27" s="13"/>
      <c r="DN27" s="33" t="str">
        <f t="shared" si="101"/>
        <v/>
      </c>
      <c r="DO27" s="33" t="str">
        <f t="shared" si="102"/>
        <v/>
      </c>
      <c r="DP27" s="33" t="str">
        <f t="shared" si="103"/>
        <v/>
      </c>
      <c r="DQ27" s="33" t="str">
        <f t="shared" si="104"/>
        <v/>
      </c>
      <c r="DR27" s="33" t="str">
        <f t="shared" si="105"/>
        <v/>
      </c>
      <c r="DS27" s="13"/>
      <c r="DT27" s="55">
        <f t="shared" si="106"/>
        <v>0</v>
      </c>
      <c r="DU27" s="55">
        <f t="shared" si="107"/>
        <v>0</v>
      </c>
      <c r="DV27" s="56">
        <f t="shared" si="108"/>
        <v>0</v>
      </c>
      <c r="DW27" s="56">
        <f t="shared" si="109"/>
        <v>0</v>
      </c>
      <c r="DX27" s="31">
        <f t="shared" si="44"/>
        <v>20194</v>
      </c>
      <c r="DY27" s="15"/>
      <c r="DZ27" s="16"/>
      <c r="EA27" s="16"/>
      <c r="EB27" s="16"/>
      <c r="EC27" s="16"/>
      <c r="ED27" s="16"/>
      <c r="EE27" s="13"/>
      <c r="EF27" s="33" t="str">
        <f t="shared" si="110"/>
        <v/>
      </c>
      <c r="EG27" s="33" t="str">
        <f t="shared" si="111"/>
        <v/>
      </c>
      <c r="EH27" s="33" t="str">
        <f t="shared" si="112"/>
        <v/>
      </c>
      <c r="EI27" s="33" t="str">
        <f t="shared" si="113"/>
        <v/>
      </c>
      <c r="EJ27" s="33" t="str">
        <f t="shared" si="114"/>
        <v/>
      </c>
      <c r="EK27" s="13"/>
      <c r="EL27" s="55">
        <f t="shared" si="115"/>
        <v>0</v>
      </c>
      <c r="EM27" s="55">
        <f t="shared" si="116"/>
        <v>0</v>
      </c>
      <c r="EN27" s="56">
        <f t="shared" si="117"/>
        <v>0</v>
      </c>
      <c r="EO27" s="56">
        <f t="shared" si="118"/>
        <v>0</v>
      </c>
      <c r="EP27" s="31">
        <f t="shared" si="45"/>
        <v>20194</v>
      </c>
      <c r="EQ27" s="15"/>
      <c r="ER27" s="16"/>
      <c r="ES27" s="16"/>
      <c r="ET27" s="16"/>
      <c r="EU27" s="16"/>
      <c r="EV27" s="16"/>
      <c r="EW27" s="13"/>
      <c r="EX27" s="33" t="str">
        <f t="shared" si="119"/>
        <v/>
      </c>
      <c r="EY27" s="33" t="str">
        <f t="shared" si="120"/>
        <v/>
      </c>
      <c r="EZ27" s="33" t="str">
        <f t="shared" si="121"/>
        <v/>
      </c>
      <c r="FA27" s="33" t="str">
        <f t="shared" si="122"/>
        <v/>
      </c>
      <c r="FB27" s="33" t="str">
        <f t="shared" si="123"/>
        <v/>
      </c>
      <c r="FC27" s="13"/>
      <c r="FD27" s="55">
        <f t="shared" si="124"/>
        <v>0</v>
      </c>
      <c r="FE27" s="55">
        <f t="shared" si="125"/>
        <v>0</v>
      </c>
      <c r="FF27" s="56">
        <f t="shared" si="126"/>
        <v>0</v>
      </c>
      <c r="FG27" s="56">
        <f t="shared" si="127"/>
        <v>0</v>
      </c>
      <c r="FH27" s="31">
        <f t="shared" si="46"/>
        <v>20194</v>
      </c>
      <c r="FI27" s="15"/>
      <c r="FJ27" s="16"/>
      <c r="FK27" s="16"/>
      <c r="FL27" s="16"/>
      <c r="FM27" s="16"/>
      <c r="FN27" s="16"/>
      <c r="FO27" s="13"/>
      <c r="FP27" s="33" t="str">
        <f t="shared" si="128"/>
        <v/>
      </c>
      <c r="FQ27" s="33" t="str">
        <f t="shared" si="129"/>
        <v/>
      </c>
      <c r="FR27" s="33" t="str">
        <f t="shared" si="130"/>
        <v/>
      </c>
      <c r="FS27" s="33" t="str">
        <f t="shared" si="131"/>
        <v/>
      </c>
      <c r="FT27" s="33" t="str">
        <f t="shared" si="132"/>
        <v/>
      </c>
      <c r="FU27" s="13"/>
      <c r="FV27" s="55">
        <f t="shared" si="133"/>
        <v>0</v>
      </c>
      <c r="FW27" s="55">
        <f t="shared" si="134"/>
        <v>0</v>
      </c>
      <c r="FX27" s="56">
        <f t="shared" si="135"/>
        <v>0</v>
      </c>
      <c r="FY27" s="56">
        <f t="shared" si="136"/>
        <v>0</v>
      </c>
    </row>
    <row r="28" spans="1:181" x14ac:dyDescent="0.25">
      <c r="A28" s="25">
        <v>18</v>
      </c>
      <c r="B28" s="31">
        <f t="shared" si="37"/>
        <v>20201</v>
      </c>
      <c r="C28" s="15"/>
      <c r="D28" s="16">
        <v>68655.37000000001</v>
      </c>
      <c r="E28" s="16">
        <v>947</v>
      </c>
      <c r="F28" s="16">
        <v>1507</v>
      </c>
      <c r="G28" s="16">
        <v>21723146.210000001</v>
      </c>
      <c r="H28" s="16">
        <v>18295930.199999999</v>
      </c>
      <c r="I28" s="13"/>
      <c r="J28" s="33">
        <f t="shared" si="47"/>
        <v>274205.22000000003</v>
      </c>
      <c r="K28" s="33">
        <f t="shared" si="48"/>
        <v>3515</v>
      </c>
      <c r="L28" s="33">
        <f t="shared" si="49"/>
        <v>5875</v>
      </c>
      <c r="M28" s="33">
        <f t="shared" si="50"/>
        <v>77105645.079999998</v>
      </c>
      <c r="N28" s="33">
        <f t="shared" si="51"/>
        <v>70312080.5</v>
      </c>
      <c r="O28" s="13"/>
      <c r="P28" s="55">
        <f t="shared" si="52"/>
        <v>1.2818866103278412</v>
      </c>
      <c r="Q28" s="55">
        <f t="shared" si="53"/>
        <v>2.1425558565223519</v>
      </c>
      <c r="R28" s="56">
        <f t="shared" si="54"/>
        <v>21936.172142247509</v>
      </c>
      <c r="S28" s="56">
        <f t="shared" si="55"/>
        <v>20003.436842105264</v>
      </c>
      <c r="T28" s="31">
        <f t="shared" si="38"/>
        <v>20201</v>
      </c>
      <c r="U28" s="15"/>
      <c r="V28" s="16"/>
      <c r="W28" s="16"/>
      <c r="X28" s="16"/>
      <c r="Y28" s="16"/>
      <c r="Z28" s="16"/>
      <c r="AA28" s="13"/>
      <c r="AB28" s="33" t="str">
        <f t="shared" si="56"/>
        <v/>
      </c>
      <c r="AC28" s="33" t="str">
        <f t="shared" si="57"/>
        <v/>
      </c>
      <c r="AD28" s="33" t="str">
        <f t="shared" si="58"/>
        <v/>
      </c>
      <c r="AE28" s="33" t="str">
        <f t="shared" si="59"/>
        <v/>
      </c>
      <c r="AF28" s="33" t="str">
        <f t="shared" si="60"/>
        <v/>
      </c>
      <c r="AG28" s="13"/>
      <c r="AH28" s="55">
        <f t="shared" si="61"/>
        <v>0</v>
      </c>
      <c r="AI28" s="55">
        <f t="shared" si="62"/>
        <v>0</v>
      </c>
      <c r="AJ28" s="56">
        <f t="shared" si="63"/>
        <v>0</v>
      </c>
      <c r="AK28" s="56">
        <f t="shared" si="64"/>
        <v>0</v>
      </c>
      <c r="AL28" s="31">
        <f t="shared" si="39"/>
        <v>20201</v>
      </c>
      <c r="AM28" s="15"/>
      <c r="AN28" s="16"/>
      <c r="AO28" s="16"/>
      <c r="AP28" s="16"/>
      <c r="AQ28" s="16"/>
      <c r="AR28" s="16"/>
      <c r="AS28" s="13"/>
      <c r="AT28" s="33" t="str">
        <f t="shared" si="65"/>
        <v/>
      </c>
      <c r="AU28" s="33" t="str">
        <f t="shared" si="66"/>
        <v/>
      </c>
      <c r="AV28" s="33" t="str">
        <f t="shared" si="67"/>
        <v/>
      </c>
      <c r="AW28" s="33" t="str">
        <f t="shared" si="68"/>
        <v/>
      </c>
      <c r="AX28" s="33" t="str">
        <f t="shared" si="69"/>
        <v/>
      </c>
      <c r="AY28" s="13"/>
      <c r="AZ28" s="55">
        <f t="shared" si="70"/>
        <v>0</v>
      </c>
      <c r="BA28" s="55">
        <f t="shared" si="71"/>
        <v>0</v>
      </c>
      <c r="BB28" s="56">
        <f t="shared" si="72"/>
        <v>0</v>
      </c>
      <c r="BC28" s="56">
        <f t="shared" si="73"/>
        <v>0</v>
      </c>
      <c r="BD28" s="31">
        <f t="shared" si="40"/>
        <v>20201</v>
      </c>
      <c r="BE28" s="15"/>
      <c r="BF28" s="16"/>
      <c r="BG28" s="16"/>
      <c r="BH28" s="16"/>
      <c r="BI28" s="16"/>
      <c r="BJ28" s="16"/>
      <c r="BK28" s="13"/>
      <c r="BL28" s="33" t="str">
        <f t="shared" si="74"/>
        <v/>
      </c>
      <c r="BM28" s="33" t="str">
        <f t="shared" si="75"/>
        <v/>
      </c>
      <c r="BN28" s="33" t="str">
        <f t="shared" si="76"/>
        <v/>
      </c>
      <c r="BO28" s="33" t="str">
        <f t="shared" si="77"/>
        <v/>
      </c>
      <c r="BP28" s="33" t="str">
        <f t="shared" si="78"/>
        <v/>
      </c>
      <c r="BQ28" s="13"/>
      <c r="BR28" s="55">
        <f t="shared" si="79"/>
        <v>0</v>
      </c>
      <c r="BS28" s="55">
        <f t="shared" si="80"/>
        <v>0</v>
      </c>
      <c r="BT28" s="56">
        <f t="shared" si="81"/>
        <v>0</v>
      </c>
      <c r="BU28" s="56">
        <f t="shared" si="82"/>
        <v>0</v>
      </c>
      <c r="BV28" s="31">
        <f t="shared" si="41"/>
        <v>20201</v>
      </c>
      <c r="BW28" s="15"/>
      <c r="BX28" s="16"/>
      <c r="BY28" s="16"/>
      <c r="BZ28" s="16"/>
      <c r="CA28" s="16"/>
      <c r="CB28" s="16"/>
      <c r="CC28" s="13"/>
      <c r="CD28" s="33" t="str">
        <f t="shared" si="83"/>
        <v/>
      </c>
      <c r="CE28" s="33" t="str">
        <f t="shared" si="84"/>
        <v/>
      </c>
      <c r="CF28" s="33" t="str">
        <f t="shared" si="85"/>
        <v/>
      </c>
      <c r="CG28" s="33" t="str">
        <f t="shared" si="86"/>
        <v/>
      </c>
      <c r="CH28" s="33" t="str">
        <f t="shared" si="87"/>
        <v/>
      </c>
      <c r="CI28" s="13"/>
      <c r="CJ28" s="55">
        <f t="shared" si="88"/>
        <v>0</v>
      </c>
      <c r="CK28" s="55">
        <f t="shared" si="89"/>
        <v>0</v>
      </c>
      <c r="CL28" s="56">
        <f t="shared" si="90"/>
        <v>0</v>
      </c>
      <c r="CM28" s="56">
        <f t="shared" si="91"/>
        <v>0</v>
      </c>
      <c r="CN28" s="31">
        <f t="shared" si="42"/>
        <v>20201</v>
      </c>
      <c r="CO28" s="15"/>
      <c r="CP28" s="16"/>
      <c r="CQ28" s="16"/>
      <c r="CR28" s="16"/>
      <c r="CS28" s="16"/>
      <c r="CT28" s="16"/>
      <c r="CU28" s="13"/>
      <c r="CV28" s="33" t="str">
        <f t="shared" si="92"/>
        <v/>
      </c>
      <c r="CW28" s="33" t="str">
        <f t="shared" si="93"/>
        <v/>
      </c>
      <c r="CX28" s="33" t="str">
        <f t="shared" si="94"/>
        <v/>
      </c>
      <c r="CY28" s="33" t="str">
        <f t="shared" si="95"/>
        <v/>
      </c>
      <c r="CZ28" s="33" t="str">
        <f t="shared" si="96"/>
        <v/>
      </c>
      <c r="DA28" s="13"/>
      <c r="DB28" s="55">
        <f t="shared" si="97"/>
        <v>0</v>
      </c>
      <c r="DC28" s="55">
        <f t="shared" si="98"/>
        <v>0</v>
      </c>
      <c r="DD28" s="56">
        <f t="shared" si="99"/>
        <v>0</v>
      </c>
      <c r="DE28" s="56">
        <f t="shared" si="100"/>
        <v>0</v>
      </c>
      <c r="DF28" s="31">
        <f t="shared" si="43"/>
        <v>20201</v>
      </c>
      <c r="DG28" s="15"/>
      <c r="DH28" s="16"/>
      <c r="DI28" s="16"/>
      <c r="DJ28" s="16"/>
      <c r="DK28" s="16"/>
      <c r="DL28" s="16"/>
      <c r="DM28" s="13"/>
      <c r="DN28" s="33" t="str">
        <f t="shared" si="101"/>
        <v/>
      </c>
      <c r="DO28" s="33" t="str">
        <f t="shared" si="102"/>
        <v/>
      </c>
      <c r="DP28" s="33" t="str">
        <f t="shared" si="103"/>
        <v/>
      </c>
      <c r="DQ28" s="33" t="str">
        <f t="shared" si="104"/>
        <v/>
      </c>
      <c r="DR28" s="33" t="str">
        <f t="shared" si="105"/>
        <v/>
      </c>
      <c r="DS28" s="13"/>
      <c r="DT28" s="55">
        <f t="shared" si="106"/>
        <v>0</v>
      </c>
      <c r="DU28" s="55">
        <f t="shared" si="107"/>
        <v>0</v>
      </c>
      <c r="DV28" s="56">
        <f t="shared" si="108"/>
        <v>0</v>
      </c>
      <c r="DW28" s="56">
        <f t="shared" si="109"/>
        <v>0</v>
      </c>
      <c r="DX28" s="31">
        <f t="shared" si="44"/>
        <v>20201</v>
      </c>
      <c r="DY28" s="15"/>
      <c r="DZ28" s="16"/>
      <c r="EA28" s="16"/>
      <c r="EB28" s="16"/>
      <c r="EC28" s="16"/>
      <c r="ED28" s="16"/>
      <c r="EE28" s="13"/>
      <c r="EF28" s="33" t="str">
        <f t="shared" si="110"/>
        <v/>
      </c>
      <c r="EG28" s="33" t="str">
        <f t="shared" si="111"/>
        <v/>
      </c>
      <c r="EH28" s="33" t="str">
        <f t="shared" si="112"/>
        <v/>
      </c>
      <c r="EI28" s="33" t="str">
        <f t="shared" si="113"/>
        <v/>
      </c>
      <c r="EJ28" s="33" t="str">
        <f t="shared" si="114"/>
        <v/>
      </c>
      <c r="EK28" s="13"/>
      <c r="EL28" s="55">
        <f t="shared" si="115"/>
        <v>0</v>
      </c>
      <c r="EM28" s="55">
        <f t="shared" si="116"/>
        <v>0</v>
      </c>
      <c r="EN28" s="56">
        <f t="shared" si="117"/>
        <v>0</v>
      </c>
      <c r="EO28" s="56">
        <f t="shared" si="118"/>
        <v>0</v>
      </c>
      <c r="EP28" s="31">
        <f t="shared" si="45"/>
        <v>20201</v>
      </c>
      <c r="EQ28" s="15"/>
      <c r="ER28" s="16"/>
      <c r="ES28" s="16"/>
      <c r="ET28" s="16"/>
      <c r="EU28" s="16"/>
      <c r="EV28" s="16"/>
      <c r="EW28" s="13"/>
      <c r="EX28" s="33" t="str">
        <f t="shared" si="119"/>
        <v/>
      </c>
      <c r="EY28" s="33" t="str">
        <f t="shared" si="120"/>
        <v/>
      </c>
      <c r="EZ28" s="33" t="str">
        <f t="shared" si="121"/>
        <v/>
      </c>
      <c r="FA28" s="33" t="str">
        <f t="shared" si="122"/>
        <v/>
      </c>
      <c r="FB28" s="33" t="str">
        <f t="shared" si="123"/>
        <v/>
      </c>
      <c r="FC28" s="13"/>
      <c r="FD28" s="55">
        <f t="shared" si="124"/>
        <v>0</v>
      </c>
      <c r="FE28" s="55">
        <f t="shared" si="125"/>
        <v>0</v>
      </c>
      <c r="FF28" s="56">
        <f t="shared" si="126"/>
        <v>0</v>
      </c>
      <c r="FG28" s="56">
        <f t="shared" si="127"/>
        <v>0</v>
      </c>
      <c r="FH28" s="31">
        <f t="shared" si="46"/>
        <v>20201</v>
      </c>
      <c r="FI28" s="15"/>
      <c r="FJ28" s="16"/>
      <c r="FK28" s="16"/>
      <c r="FL28" s="16"/>
      <c r="FM28" s="16"/>
      <c r="FN28" s="16"/>
      <c r="FO28" s="13"/>
      <c r="FP28" s="33" t="str">
        <f t="shared" si="128"/>
        <v/>
      </c>
      <c r="FQ28" s="33" t="str">
        <f t="shared" si="129"/>
        <v/>
      </c>
      <c r="FR28" s="33" t="str">
        <f t="shared" si="130"/>
        <v/>
      </c>
      <c r="FS28" s="33" t="str">
        <f t="shared" si="131"/>
        <v/>
      </c>
      <c r="FT28" s="33" t="str">
        <f t="shared" si="132"/>
        <v/>
      </c>
      <c r="FU28" s="13"/>
      <c r="FV28" s="55">
        <f t="shared" si="133"/>
        <v>0</v>
      </c>
      <c r="FW28" s="55">
        <f t="shared" si="134"/>
        <v>0</v>
      </c>
      <c r="FX28" s="56">
        <f t="shared" si="135"/>
        <v>0</v>
      </c>
      <c r="FY28" s="56">
        <f t="shared" si="136"/>
        <v>0</v>
      </c>
    </row>
    <row r="29" spans="1:181" x14ac:dyDescent="0.25">
      <c r="A29" s="25">
        <v>19</v>
      </c>
      <c r="B29" s="31">
        <f t="shared" si="37"/>
        <v>20202</v>
      </c>
      <c r="C29" s="15"/>
      <c r="D29" s="16">
        <v>69084.61</v>
      </c>
      <c r="E29" s="16">
        <v>784</v>
      </c>
      <c r="F29" s="16">
        <v>1504</v>
      </c>
      <c r="G29" s="16">
        <v>19131779.539999999</v>
      </c>
      <c r="H29" s="16">
        <v>19604752.550000001</v>
      </c>
      <c r="I29" s="13"/>
      <c r="J29" s="33">
        <f t="shared" si="47"/>
        <v>274827.65999999997</v>
      </c>
      <c r="K29" s="33">
        <f t="shared" si="48"/>
        <v>3333</v>
      </c>
      <c r="L29" s="33">
        <f t="shared" si="49"/>
        <v>5937</v>
      </c>
      <c r="M29" s="33">
        <f t="shared" si="50"/>
        <v>77320955.950000003</v>
      </c>
      <c r="N29" s="33">
        <f t="shared" si="51"/>
        <v>71663716.399999991</v>
      </c>
      <c r="O29" s="13"/>
      <c r="P29" s="55">
        <f t="shared" si="52"/>
        <v>1.2127600256830045</v>
      </c>
      <c r="Q29" s="55">
        <f t="shared" si="53"/>
        <v>2.1602629080348028</v>
      </c>
      <c r="R29" s="56">
        <f t="shared" si="54"/>
        <v>23198.606645664568</v>
      </c>
      <c r="S29" s="56">
        <f t="shared" si="55"/>
        <v>21501.265046504646</v>
      </c>
      <c r="T29" s="31">
        <f t="shared" si="38"/>
        <v>20202</v>
      </c>
      <c r="U29" s="15"/>
      <c r="V29" s="16"/>
      <c r="W29" s="16"/>
      <c r="X29" s="16"/>
      <c r="Y29" s="16"/>
      <c r="Z29" s="16"/>
      <c r="AA29" s="13"/>
      <c r="AB29" s="33" t="str">
        <f t="shared" si="56"/>
        <v/>
      </c>
      <c r="AC29" s="33" t="str">
        <f t="shared" si="57"/>
        <v/>
      </c>
      <c r="AD29" s="33" t="str">
        <f t="shared" si="58"/>
        <v/>
      </c>
      <c r="AE29" s="33" t="str">
        <f t="shared" si="59"/>
        <v/>
      </c>
      <c r="AF29" s="33" t="str">
        <f t="shared" si="60"/>
        <v/>
      </c>
      <c r="AG29" s="13"/>
      <c r="AH29" s="55">
        <f t="shared" si="61"/>
        <v>0</v>
      </c>
      <c r="AI29" s="55">
        <f t="shared" si="62"/>
        <v>0</v>
      </c>
      <c r="AJ29" s="56">
        <f t="shared" si="63"/>
        <v>0</v>
      </c>
      <c r="AK29" s="56">
        <f t="shared" si="64"/>
        <v>0</v>
      </c>
      <c r="AL29" s="31">
        <f t="shared" si="39"/>
        <v>20202</v>
      </c>
      <c r="AM29" s="15"/>
      <c r="AN29" s="16"/>
      <c r="AO29" s="16"/>
      <c r="AP29" s="16"/>
      <c r="AQ29" s="16"/>
      <c r="AR29" s="16"/>
      <c r="AS29" s="13"/>
      <c r="AT29" s="33" t="str">
        <f t="shared" si="65"/>
        <v/>
      </c>
      <c r="AU29" s="33" t="str">
        <f t="shared" si="66"/>
        <v/>
      </c>
      <c r="AV29" s="33" t="str">
        <f t="shared" si="67"/>
        <v/>
      </c>
      <c r="AW29" s="33" t="str">
        <f t="shared" si="68"/>
        <v/>
      </c>
      <c r="AX29" s="33" t="str">
        <f t="shared" si="69"/>
        <v/>
      </c>
      <c r="AY29" s="13"/>
      <c r="AZ29" s="55">
        <f t="shared" si="70"/>
        <v>0</v>
      </c>
      <c r="BA29" s="55">
        <f t="shared" si="71"/>
        <v>0</v>
      </c>
      <c r="BB29" s="56">
        <f t="shared" si="72"/>
        <v>0</v>
      </c>
      <c r="BC29" s="56">
        <f t="shared" si="73"/>
        <v>0</v>
      </c>
      <c r="BD29" s="31">
        <f t="shared" si="40"/>
        <v>20202</v>
      </c>
      <c r="BE29" s="15"/>
      <c r="BF29" s="16"/>
      <c r="BG29" s="16"/>
      <c r="BH29" s="16"/>
      <c r="BI29" s="16"/>
      <c r="BJ29" s="16"/>
      <c r="BK29" s="13"/>
      <c r="BL29" s="33" t="str">
        <f t="shared" si="74"/>
        <v/>
      </c>
      <c r="BM29" s="33" t="str">
        <f t="shared" si="75"/>
        <v/>
      </c>
      <c r="BN29" s="33" t="str">
        <f t="shared" si="76"/>
        <v/>
      </c>
      <c r="BO29" s="33" t="str">
        <f t="shared" si="77"/>
        <v/>
      </c>
      <c r="BP29" s="33" t="str">
        <f t="shared" si="78"/>
        <v/>
      </c>
      <c r="BQ29" s="13"/>
      <c r="BR29" s="55">
        <f t="shared" si="79"/>
        <v>0</v>
      </c>
      <c r="BS29" s="55">
        <f t="shared" si="80"/>
        <v>0</v>
      </c>
      <c r="BT29" s="56">
        <f t="shared" si="81"/>
        <v>0</v>
      </c>
      <c r="BU29" s="56">
        <f t="shared" si="82"/>
        <v>0</v>
      </c>
      <c r="BV29" s="31">
        <f t="shared" si="41"/>
        <v>20202</v>
      </c>
      <c r="BW29" s="15"/>
      <c r="BX29" s="16"/>
      <c r="BY29" s="16"/>
      <c r="BZ29" s="16"/>
      <c r="CA29" s="16"/>
      <c r="CB29" s="16"/>
      <c r="CC29" s="13"/>
      <c r="CD29" s="33" t="str">
        <f t="shared" si="83"/>
        <v/>
      </c>
      <c r="CE29" s="33" t="str">
        <f t="shared" si="84"/>
        <v/>
      </c>
      <c r="CF29" s="33" t="str">
        <f t="shared" si="85"/>
        <v/>
      </c>
      <c r="CG29" s="33" t="str">
        <f t="shared" si="86"/>
        <v/>
      </c>
      <c r="CH29" s="33" t="str">
        <f t="shared" si="87"/>
        <v/>
      </c>
      <c r="CI29" s="13"/>
      <c r="CJ29" s="55">
        <f t="shared" si="88"/>
        <v>0</v>
      </c>
      <c r="CK29" s="55">
        <f t="shared" si="89"/>
        <v>0</v>
      </c>
      <c r="CL29" s="56">
        <f t="shared" si="90"/>
        <v>0</v>
      </c>
      <c r="CM29" s="56">
        <f t="shared" si="91"/>
        <v>0</v>
      </c>
      <c r="CN29" s="31">
        <f t="shared" si="42"/>
        <v>20202</v>
      </c>
      <c r="CO29" s="15"/>
      <c r="CP29" s="16"/>
      <c r="CQ29" s="16"/>
      <c r="CR29" s="16"/>
      <c r="CS29" s="16"/>
      <c r="CT29" s="16"/>
      <c r="CU29" s="13"/>
      <c r="CV29" s="33" t="str">
        <f t="shared" si="92"/>
        <v/>
      </c>
      <c r="CW29" s="33" t="str">
        <f t="shared" si="93"/>
        <v/>
      </c>
      <c r="CX29" s="33" t="str">
        <f t="shared" si="94"/>
        <v/>
      </c>
      <c r="CY29" s="33" t="str">
        <f t="shared" si="95"/>
        <v/>
      </c>
      <c r="CZ29" s="33" t="str">
        <f t="shared" si="96"/>
        <v/>
      </c>
      <c r="DA29" s="13"/>
      <c r="DB29" s="55">
        <f t="shared" si="97"/>
        <v>0</v>
      </c>
      <c r="DC29" s="55">
        <f t="shared" si="98"/>
        <v>0</v>
      </c>
      <c r="DD29" s="56">
        <f t="shared" si="99"/>
        <v>0</v>
      </c>
      <c r="DE29" s="56">
        <f t="shared" si="100"/>
        <v>0</v>
      </c>
      <c r="DF29" s="31">
        <f t="shared" si="43"/>
        <v>20202</v>
      </c>
      <c r="DG29" s="15"/>
      <c r="DH29" s="16"/>
      <c r="DI29" s="16"/>
      <c r="DJ29" s="16"/>
      <c r="DK29" s="16"/>
      <c r="DL29" s="16"/>
      <c r="DM29" s="13"/>
      <c r="DN29" s="33" t="str">
        <f t="shared" si="101"/>
        <v/>
      </c>
      <c r="DO29" s="33" t="str">
        <f t="shared" si="102"/>
        <v/>
      </c>
      <c r="DP29" s="33" t="str">
        <f t="shared" si="103"/>
        <v/>
      </c>
      <c r="DQ29" s="33" t="str">
        <f t="shared" si="104"/>
        <v/>
      </c>
      <c r="DR29" s="33" t="str">
        <f t="shared" si="105"/>
        <v/>
      </c>
      <c r="DS29" s="13"/>
      <c r="DT29" s="55">
        <f t="shared" si="106"/>
        <v>0</v>
      </c>
      <c r="DU29" s="55">
        <f t="shared" si="107"/>
        <v>0</v>
      </c>
      <c r="DV29" s="56">
        <f t="shared" si="108"/>
        <v>0</v>
      </c>
      <c r="DW29" s="56">
        <f t="shared" si="109"/>
        <v>0</v>
      </c>
      <c r="DX29" s="31">
        <f t="shared" si="44"/>
        <v>20202</v>
      </c>
      <c r="DY29" s="15"/>
      <c r="DZ29" s="16"/>
      <c r="EA29" s="16"/>
      <c r="EB29" s="16"/>
      <c r="EC29" s="16"/>
      <c r="ED29" s="16"/>
      <c r="EE29" s="13"/>
      <c r="EF29" s="33" t="str">
        <f t="shared" si="110"/>
        <v/>
      </c>
      <c r="EG29" s="33" t="str">
        <f t="shared" si="111"/>
        <v/>
      </c>
      <c r="EH29" s="33" t="str">
        <f t="shared" si="112"/>
        <v/>
      </c>
      <c r="EI29" s="33" t="str">
        <f t="shared" si="113"/>
        <v/>
      </c>
      <c r="EJ29" s="33" t="str">
        <f t="shared" si="114"/>
        <v/>
      </c>
      <c r="EK29" s="13"/>
      <c r="EL29" s="55">
        <f t="shared" si="115"/>
        <v>0</v>
      </c>
      <c r="EM29" s="55">
        <f t="shared" si="116"/>
        <v>0</v>
      </c>
      <c r="EN29" s="56">
        <f t="shared" si="117"/>
        <v>0</v>
      </c>
      <c r="EO29" s="56">
        <f t="shared" si="118"/>
        <v>0</v>
      </c>
      <c r="EP29" s="31">
        <f t="shared" si="45"/>
        <v>20202</v>
      </c>
      <c r="EQ29" s="15"/>
      <c r="ER29" s="16"/>
      <c r="ES29" s="16"/>
      <c r="ET29" s="16"/>
      <c r="EU29" s="16"/>
      <c r="EV29" s="16"/>
      <c r="EW29" s="13"/>
      <c r="EX29" s="33" t="str">
        <f t="shared" si="119"/>
        <v/>
      </c>
      <c r="EY29" s="33" t="str">
        <f t="shared" si="120"/>
        <v/>
      </c>
      <c r="EZ29" s="33" t="str">
        <f t="shared" si="121"/>
        <v/>
      </c>
      <c r="FA29" s="33" t="str">
        <f t="shared" si="122"/>
        <v/>
      </c>
      <c r="FB29" s="33" t="str">
        <f t="shared" si="123"/>
        <v/>
      </c>
      <c r="FC29" s="13"/>
      <c r="FD29" s="55">
        <f t="shared" si="124"/>
        <v>0</v>
      </c>
      <c r="FE29" s="55">
        <f t="shared" si="125"/>
        <v>0</v>
      </c>
      <c r="FF29" s="56">
        <f t="shared" si="126"/>
        <v>0</v>
      </c>
      <c r="FG29" s="56">
        <f t="shared" si="127"/>
        <v>0</v>
      </c>
      <c r="FH29" s="31">
        <f t="shared" si="46"/>
        <v>20202</v>
      </c>
      <c r="FI29" s="15"/>
      <c r="FJ29" s="16"/>
      <c r="FK29" s="16"/>
      <c r="FL29" s="16"/>
      <c r="FM29" s="16"/>
      <c r="FN29" s="16"/>
      <c r="FO29" s="13"/>
      <c r="FP29" s="33" t="str">
        <f t="shared" si="128"/>
        <v/>
      </c>
      <c r="FQ29" s="33" t="str">
        <f t="shared" si="129"/>
        <v/>
      </c>
      <c r="FR29" s="33" t="str">
        <f t="shared" si="130"/>
        <v/>
      </c>
      <c r="FS29" s="33" t="str">
        <f t="shared" si="131"/>
        <v/>
      </c>
      <c r="FT29" s="33" t="str">
        <f t="shared" si="132"/>
        <v/>
      </c>
      <c r="FU29" s="13"/>
      <c r="FV29" s="55">
        <f t="shared" si="133"/>
        <v>0</v>
      </c>
      <c r="FW29" s="55">
        <f t="shared" si="134"/>
        <v>0</v>
      </c>
      <c r="FX29" s="56">
        <f t="shared" si="135"/>
        <v>0</v>
      </c>
      <c r="FY29" s="56">
        <f t="shared" si="136"/>
        <v>0</v>
      </c>
    </row>
    <row r="30" spans="1:181" x14ac:dyDescent="0.25">
      <c r="A30" s="25">
        <v>20</v>
      </c>
      <c r="B30" s="31">
        <f t="shared" si="37"/>
        <v>20203</v>
      </c>
      <c r="C30" s="15"/>
      <c r="D30" s="16">
        <v>68695.34</v>
      </c>
      <c r="E30" s="16">
        <v>754</v>
      </c>
      <c r="F30" s="16">
        <v>1462</v>
      </c>
      <c r="G30" s="16">
        <v>18234348.629999999</v>
      </c>
      <c r="H30" s="16">
        <v>20161480.260000002</v>
      </c>
      <c r="I30" s="13"/>
      <c r="J30" s="33">
        <f t="shared" si="47"/>
        <v>275018.46999999997</v>
      </c>
      <c r="K30" s="33">
        <f t="shared" si="48"/>
        <v>3263</v>
      </c>
      <c r="L30" s="33">
        <f t="shared" si="49"/>
        <v>5921</v>
      </c>
      <c r="M30" s="33">
        <f t="shared" si="50"/>
        <v>77237232.950000003</v>
      </c>
      <c r="N30" s="33">
        <f t="shared" si="51"/>
        <v>74147227.090000004</v>
      </c>
      <c r="O30" s="13"/>
      <c r="P30" s="55">
        <f t="shared" si="52"/>
        <v>1.1864657671901093</v>
      </c>
      <c r="Q30" s="55">
        <f t="shared" si="53"/>
        <v>2.1529463093878749</v>
      </c>
      <c r="R30" s="56">
        <f t="shared" si="54"/>
        <v>23670.619966288694</v>
      </c>
      <c r="S30" s="56">
        <f t="shared" si="55"/>
        <v>22723.6368648483</v>
      </c>
      <c r="T30" s="31">
        <f t="shared" si="38"/>
        <v>20203</v>
      </c>
      <c r="U30" s="15"/>
      <c r="V30" s="16"/>
      <c r="W30" s="16"/>
      <c r="X30" s="16"/>
      <c r="Y30" s="16"/>
      <c r="Z30" s="16"/>
      <c r="AA30" s="13"/>
      <c r="AB30" s="33" t="str">
        <f t="shared" si="56"/>
        <v/>
      </c>
      <c r="AC30" s="33" t="str">
        <f t="shared" si="57"/>
        <v/>
      </c>
      <c r="AD30" s="33" t="str">
        <f t="shared" si="58"/>
        <v/>
      </c>
      <c r="AE30" s="33" t="str">
        <f t="shared" si="59"/>
        <v/>
      </c>
      <c r="AF30" s="33" t="str">
        <f t="shared" si="60"/>
        <v/>
      </c>
      <c r="AG30" s="13"/>
      <c r="AH30" s="55">
        <f t="shared" si="61"/>
        <v>0</v>
      </c>
      <c r="AI30" s="55">
        <f t="shared" si="62"/>
        <v>0</v>
      </c>
      <c r="AJ30" s="56">
        <f t="shared" si="63"/>
        <v>0</v>
      </c>
      <c r="AK30" s="56">
        <f t="shared" si="64"/>
        <v>0</v>
      </c>
      <c r="AL30" s="31">
        <f t="shared" si="39"/>
        <v>20203</v>
      </c>
      <c r="AM30" s="15"/>
      <c r="AN30" s="16"/>
      <c r="AO30" s="16"/>
      <c r="AP30" s="16"/>
      <c r="AQ30" s="16"/>
      <c r="AR30" s="16"/>
      <c r="AS30" s="13"/>
      <c r="AT30" s="33" t="str">
        <f t="shared" si="65"/>
        <v/>
      </c>
      <c r="AU30" s="33" t="str">
        <f t="shared" si="66"/>
        <v/>
      </c>
      <c r="AV30" s="33" t="str">
        <f t="shared" si="67"/>
        <v/>
      </c>
      <c r="AW30" s="33" t="str">
        <f t="shared" si="68"/>
        <v/>
      </c>
      <c r="AX30" s="33" t="str">
        <f t="shared" si="69"/>
        <v/>
      </c>
      <c r="AY30" s="13"/>
      <c r="AZ30" s="55">
        <f t="shared" si="70"/>
        <v>0</v>
      </c>
      <c r="BA30" s="55">
        <f t="shared" si="71"/>
        <v>0</v>
      </c>
      <c r="BB30" s="56">
        <f t="shared" si="72"/>
        <v>0</v>
      </c>
      <c r="BC30" s="56">
        <f t="shared" si="73"/>
        <v>0</v>
      </c>
      <c r="BD30" s="31">
        <f t="shared" si="40"/>
        <v>20203</v>
      </c>
      <c r="BE30" s="15"/>
      <c r="BF30" s="16"/>
      <c r="BG30" s="16"/>
      <c r="BH30" s="16"/>
      <c r="BI30" s="16"/>
      <c r="BJ30" s="16"/>
      <c r="BK30" s="13"/>
      <c r="BL30" s="33" t="str">
        <f t="shared" si="74"/>
        <v/>
      </c>
      <c r="BM30" s="33" t="str">
        <f t="shared" si="75"/>
        <v/>
      </c>
      <c r="BN30" s="33" t="str">
        <f t="shared" si="76"/>
        <v/>
      </c>
      <c r="BO30" s="33" t="str">
        <f t="shared" si="77"/>
        <v/>
      </c>
      <c r="BP30" s="33" t="str">
        <f t="shared" si="78"/>
        <v/>
      </c>
      <c r="BQ30" s="13"/>
      <c r="BR30" s="55">
        <f t="shared" si="79"/>
        <v>0</v>
      </c>
      <c r="BS30" s="55">
        <f t="shared" si="80"/>
        <v>0</v>
      </c>
      <c r="BT30" s="56">
        <f t="shared" si="81"/>
        <v>0</v>
      </c>
      <c r="BU30" s="56">
        <f t="shared" si="82"/>
        <v>0</v>
      </c>
      <c r="BV30" s="31">
        <f t="shared" si="41"/>
        <v>20203</v>
      </c>
      <c r="BW30" s="15"/>
      <c r="BX30" s="16"/>
      <c r="BY30" s="16"/>
      <c r="BZ30" s="16"/>
      <c r="CA30" s="16"/>
      <c r="CB30" s="16"/>
      <c r="CC30" s="13"/>
      <c r="CD30" s="33" t="str">
        <f t="shared" si="83"/>
        <v/>
      </c>
      <c r="CE30" s="33" t="str">
        <f t="shared" si="84"/>
        <v/>
      </c>
      <c r="CF30" s="33" t="str">
        <f t="shared" si="85"/>
        <v/>
      </c>
      <c r="CG30" s="33" t="str">
        <f t="shared" si="86"/>
        <v/>
      </c>
      <c r="CH30" s="33" t="str">
        <f t="shared" si="87"/>
        <v/>
      </c>
      <c r="CI30" s="13"/>
      <c r="CJ30" s="55">
        <f t="shared" si="88"/>
        <v>0</v>
      </c>
      <c r="CK30" s="55">
        <f t="shared" si="89"/>
        <v>0</v>
      </c>
      <c r="CL30" s="56">
        <f t="shared" si="90"/>
        <v>0</v>
      </c>
      <c r="CM30" s="56">
        <f t="shared" si="91"/>
        <v>0</v>
      </c>
      <c r="CN30" s="31">
        <f t="shared" si="42"/>
        <v>20203</v>
      </c>
      <c r="CO30" s="15"/>
      <c r="CP30" s="16"/>
      <c r="CQ30" s="16"/>
      <c r="CR30" s="16"/>
      <c r="CS30" s="16"/>
      <c r="CT30" s="16"/>
      <c r="CU30" s="13"/>
      <c r="CV30" s="33" t="str">
        <f t="shared" si="92"/>
        <v/>
      </c>
      <c r="CW30" s="33" t="str">
        <f t="shared" si="93"/>
        <v/>
      </c>
      <c r="CX30" s="33" t="str">
        <f t="shared" si="94"/>
        <v/>
      </c>
      <c r="CY30" s="33" t="str">
        <f t="shared" si="95"/>
        <v/>
      </c>
      <c r="CZ30" s="33" t="str">
        <f t="shared" si="96"/>
        <v/>
      </c>
      <c r="DA30" s="13"/>
      <c r="DB30" s="55">
        <f t="shared" si="97"/>
        <v>0</v>
      </c>
      <c r="DC30" s="55">
        <f t="shared" si="98"/>
        <v>0</v>
      </c>
      <c r="DD30" s="56">
        <f t="shared" si="99"/>
        <v>0</v>
      </c>
      <c r="DE30" s="56">
        <f t="shared" si="100"/>
        <v>0</v>
      </c>
      <c r="DF30" s="31">
        <f t="shared" si="43"/>
        <v>20203</v>
      </c>
      <c r="DG30" s="15"/>
      <c r="DH30" s="16"/>
      <c r="DI30" s="16"/>
      <c r="DJ30" s="16"/>
      <c r="DK30" s="16"/>
      <c r="DL30" s="16"/>
      <c r="DM30" s="13"/>
      <c r="DN30" s="33" t="str">
        <f t="shared" si="101"/>
        <v/>
      </c>
      <c r="DO30" s="33" t="str">
        <f t="shared" si="102"/>
        <v/>
      </c>
      <c r="DP30" s="33" t="str">
        <f t="shared" si="103"/>
        <v/>
      </c>
      <c r="DQ30" s="33" t="str">
        <f t="shared" si="104"/>
        <v/>
      </c>
      <c r="DR30" s="33" t="str">
        <f t="shared" si="105"/>
        <v/>
      </c>
      <c r="DS30" s="13"/>
      <c r="DT30" s="55">
        <f t="shared" si="106"/>
        <v>0</v>
      </c>
      <c r="DU30" s="55">
        <f t="shared" si="107"/>
        <v>0</v>
      </c>
      <c r="DV30" s="56">
        <f t="shared" si="108"/>
        <v>0</v>
      </c>
      <c r="DW30" s="56">
        <f t="shared" si="109"/>
        <v>0</v>
      </c>
      <c r="DX30" s="31">
        <f t="shared" si="44"/>
        <v>20203</v>
      </c>
      <c r="DY30" s="15"/>
      <c r="DZ30" s="16"/>
      <c r="EA30" s="16"/>
      <c r="EB30" s="16"/>
      <c r="EC30" s="16"/>
      <c r="ED30" s="16"/>
      <c r="EE30" s="13"/>
      <c r="EF30" s="33" t="str">
        <f t="shared" si="110"/>
        <v/>
      </c>
      <c r="EG30" s="33" t="str">
        <f t="shared" si="111"/>
        <v/>
      </c>
      <c r="EH30" s="33" t="str">
        <f t="shared" si="112"/>
        <v/>
      </c>
      <c r="EI30" s="33" t="str">
        <f t="shared" si="113"/>
        <v/>
      </c>
      <c r="EJ30" s="33" t="str">
        <f t="shared" si="114"/>
        <v/>
      </c>
      <c r="EK30" s="13"/>
      <c r="EL30" s="55">
        <f t="shared" si="115"/>
        <v>0</v>
      </c>
      <c r="EM30" s="55">
        <f t="shared" si="116"/>
        <v>0</v>
      </c>
      <c r="EN30" s="56">
        <f t="shared" si="117"/>
        <v>0</v>
      </c>
      <c r="EO30" s="56">
        <f t="shared" si="118"/>
        <v>0</v>
      </c>
      <c r="EP30" s="31">
        <f t="shared" si="45"/>
        <v>20203</v>
      </c>
      <c r="EQ30" s="15"/>
      <c r="ER30" s="16"/>
      <c r="ES30" s="16"/>
      <c r="ET30" s="16"/>
      <c r="EU30" s="16"/>
      <c r="EV30" s="16"/>
      <c r="EW30" s="13"/>
      <c r="EX30" s="33" t="str">
        <f t="shared" si="119"/>
        <v/>
      </c>
      <c r="EY30" s="33" t="str">
        <f t="shared" si="120"/>
        <v/>
      </c>
      <c r="EZ30" s="33" t="str">
        <f t="shared" si="121"/>
        <v/>
      </c>
      <c r="FA30" s="33" t="str">
        <f t="shared" si="122"/>
        <v/>
      </c>
      <c r="FB30" s="33" t="str">
        <f t="shared" si="123"/>
        <v/>
      </c>
      <c r="FC30" s="13"/>
      <c r="FD30" s="55">
        <f t="shared" si="124"/>
        <v>0</v>
      </c>
      <c r="FE30" s="55">
        <f t="shared" si="125"/>
        <v>0</v>
      </c>
      <c r="FF30" s="56">
        <f t="shared" si="126"/>
        <v>0</v>
      </c>
      <c r="FG30" s="56">
        <f t="shared" si="127"/>
        <v>0</v>
      </c>
      <c r="FH30" s="31">
        <f t="shared" si="46"/>
        <v>20203</v>
      </c>
      <c r="FI30" s="15"/>
      <c r="FJ30" s="16"/>
      <c r="FK30" s="16"/>
      <c r="FL30" s="16"/>
      <c r="FM30" s="16"/>
      <c r="FN30" s="16"/>
      <c r="FO30" s="13"/>
      <c r="FP30" s="33" t="str">
        <f t="shared" si="128"/>
        <v/>
      </c>
      <c r="FQ30" s="33" t="str">
        <f t="shared" si="129"/>
        <v/>
      </c>
      <c r="FR30" s="33" t="str">
        <f t="shared" si="130"/>
        <v/>
      </c>
      <c r="FS30" s="33" t="str">
        <f t="shared" si="131"/>
        <v/>
      </c>
      <c r="FT30" s="33" t="str">
        <f t="shared" si="132"/>
        <v/>
      </c>
      <c r="FU30" s="13"/>
      <c r="FV30" s="55">
        <f t="shared" si="133"/>
        <v>0</v>
      </c>
      <c r="FW30" s="55">
        <f t="shared" si="134"/>
        <v>0</v>
      </c>
      <c r="FX30" s="56">
        <f t="shared" si="135"/>
        <v>0</v>
      </c>
      <c r="FY30" s="56">
        <f t="shared" si="136"/>
        <v>0</v>
      </c>
    </row>
    <row r="31" spans="1:181" x14ac:dyDescent="0.25">
      <c r="A31" s="25">
        <v>21</v>
      </c>
      <c r="B31" s="31">
        <f t="shared" si="37"/>
        <v>20204</v>
      </c>
      <c r="C31" s="15"/>
      <c r="D31" s="16">
        <v>68877.820000000007</v>
      </c>
      <c r="E31" s="16">
        <v>774</v>
      </c>
      <c r="F31" s="16">
        <v>1283</v>
      </c>
      <c r="G31" s="16">
        <v>20024589.73</v>
      </c>
      <c r="H31" s="16">
        <v>20183301.059999999</v>
      </c>
      <c r="I31" s="13"/>
      <c r="J31" s="33">
        <f t="shared" si="47"/>
        <v>275313.14</v>
      </c>
      <c r="K31" s="33">
        <f t="shared" si="48"/>
        <v>3259</v>
      </c>
      <c r="L31" s="33">
        <f t="shared" si="49"/>
        <v>5756</v>
      </c>
      <c r="M31" s="33">
        <f t="shared" si="50"/>
        <v>79113864.109999999</v>
      </c>
      <c r="N31" s="33">
        <f t="shared" si="51"/>
        <v>78245464.070000008</v>
      </c>
      <c r="O31" s="13"/>
      <c r="P31" s="55">
        <f t="shared" si="52"/>
        <v>1.1837429917075517</v>
      </c>
      <c r="Q31" s="55">
        <f t="shared" si="53"/>
        <v>2.0907102363512324</v>
      </c>
      <c r="R31" s="56">
        <f t="shared" si="54"/>
        <v>24275.502948757287</v>
      </c>
      <c r="S31" s="56">
        <f t="shared" si="55"/>
        <v>24009.040831543422</v>
      </c>
      <c r="T31" s="31">
        <f t="shared" si="38"/>
        <v>20204</v>
      </c>
      <c r="U31" s="15"/>
      <c r="V31" s="16"/>
      <c r="W31" s="16"/>
      <c r="X31" s="16"/>
      <c r="Y31" s="16"/>
      <c r="Z31" s="16"/>
      <c r="AA31" s="13"/>
      <c r="AB31" s="33" t="str">
        <f t="shared" si="56"/>
        <v/>
      </c>
      <c r="AC31" s="33" t="str">
        <f t="shared" si="57"/>
        <v/>
      </c>
      <c r="AD31" s="33" t="str">
        <f t="shared" si="58"/>
        <v/>
      </c>
      <c r="AE31" s="33" t="str">
        <f t="shared" si="59"/>
        <v/>
      </c>
      <c r="AF31" s="33" t="str">
        <f t="shared" si="60"/>
        <v/>
      </c>
      <c r="AG31" s="13"/>
      <c r="AH31" s="55">
        <f t="shared" si="61"/>
        <v>0</v>
      </c>
      <c r="AI31" s="55">
        <f t="shared" si="62"/>
        <v>0</v>
      </c>
      <c r="AJ31" s="56">
        <f t="shared" si="63"/>
        <v>0</v>
      </c>
      <c r="AK31" s="56">
        <f t="shared" si="64"/>
        <v>0</v>
      </c>
      <c r="AL31" s="31">
        <f t="shared" si="39"/>
        <v>20204</v>
      </c>
      <c r="AM31" s="15"/>
      <c r="AN31" s="16"/>
      <c r="AO31" s="16"/>
      <c r="AP31" s="16"/>
      <c r="AQ31" s="16"/>
      <c r="AR31" s="16"/>
      <c r="AS31" s="13"/>
      <c r="AT31" s="33" t="str">
        <f t="shared" si="65"/>
        <v/>
      </c>
      <c r="AU31" s="33" t="str">
        <f t="shared" si="66"/>
        <v/>
      </c>
      <c r="AV31" s="33" t="str">
        <f t="shared" si="67"/>
        <v/>
      </c>
      <c r="AW31" s="33" t="str">
        <f t="shared" si="68"/>
        <v/>
      </c>
      <c r="AX31" s="33" t="str">
        <f t="shared" si="69"/>
        <v/>
      </c>
      <c r="AY31" s="13"/>
      <c r="AZ31" s="55">
        <f t="shared" si="70"/>
        <v>0</v>
      </c>
      <c r="BA31" s="55">
        <f t="shared" si="71"/>
        <v>0</v>
      </c>
      <c r="BB31" s="56">
        <f t="shared" si="72"/>
        <v>0</v>
      </c>
      <c r="BC31" s="56">
        <f t="shared" si="73"/>
        <v>0</v>
      </c>
      <c r="BD31" s="31">
        <f t="shared" si="40"/>
        <v>20204</v>
      </c>
      <c r="BE31" s="15"/>
      <c r="BF31" s="16"/>
      <c r="BG31" s="16"/>
      <c r="BH31" s="16"/>
      <c r="BI31" s="16"/>
      <c r="BJ31" s="16"/>
      <c r="BK31" s="13"/>
      <c r="BL31" s="33" t="str">
        <f t="shared" si="74"/>
        <v/>
      </c>
      <c r="BM31" s="33" t="str">
        <f t="shared" si="75"/>
        <v/>
      </c>
      <c r="BN31" s="33" t="str">
        <f t="shared" si="76"/>
        <v/>
      </c>
      <c r="BO31" s="33" t="str">
        <f t="shared" si="77"/>
        <v/>
      </c>
      <c r="BP31" s="33" t="str">
        <f t="shared" si="78"/>
        <v/>
      </c>
      <c r="BQ31" s="13"/>
      <c r="BR31" s="55">
        <f t="shared" si="79"/>
        <v>0</v>
      </c>
      <c r="BS31" s="55">
        <f t="shared" si="80"/>
        <v>0</v>
      </c>
      <c r="BT31" s="56">
        <f t="shared" si="81"/>
        <v>0</v>
      </c>
      <c r="BU31" s="56">
        <f t="shared" si="82"/>
        <v>0</v>
      </c>
      <c r="BV31" s="31">
        <f t="shared" si="41"/>
        <v>20204</v>
      </c>
      <c r="BW31" s="15"/>
      <c r="BX31" s="16"/>
      <c r="BY31" s="16"/>
      <c r="BZ31" s="16"/>
      <c r="CA31" s="16"/>
      <c r="CB31" s="16"/>
      <c r="CC31" s="13"/>
      <c r="CD31" s="33" t="str">
        <f t="shared" si="83"/>
        <v/>
      </c>
      <c r="CE31" s="33" t="str">
        <f t="shared" si="84"/>
        <v/>
      </c>
      <c r="CF31" s="33" t="str">
        <f t="shared" si="85"/>
        <v/>
      </c>
      <c r="CG31" s="33" t="str">
        <f t="shared" si="86"/>
        <v/>
      </c>
      <c r="CH31" s="33" t="str">
        <f t="shared" si="87"/>
        <v/>
      </c>
      <c r="CI31" s="13"/>
      <c r="CJ31" s="55">
        <f t="shared" si="88"/>
        <v>0</v>
      </c>
      <c r="CK31" s="55">
        <f t="shared" si="89"/>
        <v>0</v>
      </c>
      <c r="CL31" s="56">
        <f t="shared" si="90"/>
        <v>0</v>
      </c>
      <c r="CM31" s="56">
        <f t="shared" si="91"/>
        <v>0</v>
      </c>
      <c r="CN31" s="31">
        <f t="shared" si="42"/>
        <v>20204</v>
      </c>
      <c r="CO31" s="15"/>
      <c r="CP31" s="16"/>
      <c r="CQ31" s="16"/>
      <c r="CR31" s="16"/>
      <c r="CS31" s="16"/>
      <c r="CT31" s="16"/>
      <c r="CU31" s="13"/>
      <c r="CV31" s="33" t="str">
        <f t="shared" si="92"/>
        <v/>
      </c>
      <c r="CW31" s="33" t="str">
        <f t="shared" si="93"/>
        <v/>
      </c>
      <c r="CX31" s="33" t="str">
        <f t="shared" si="94"/>
        <v/>
      </c>
      <c r="CY31" s="33" t="str">
        <f t="shared" si="95"/>
        <v/>
      </c>
      <c r="CZ31" s="33" t="str">
        <f t="shared" si="96"/>
        <v/>
      </c>
      <c r="DA31" s="13"/>
      <c r="DB31" s="55">
        <f t="shared" si="97"/>
        <v>0</v>
      </c>
      <c r="DC31" s="55">
        <f t="shared" si="98"/>
        <v>0</v>
      </c>
      <c r="DD31" s="56">
        <f t="shared" si="99"/>
        <v>0</v>
      </c>
      <c r="DE31" s="56">
        <f t="shared" si="100"/>
        <v>0</v>
      </c>
      <c r="DF31" s="31">
        <f t="shared" si="43"/>
        <v>20204</v>
      </c>
      <c r="DG31" s="15"/>
      <c r="DH31" s="16"/>
      <c r="DI31" s="16"/>
      <c r="DJ31" s="16"/>
      <c r="DK31" s="16"/>
      <c r="DL31" s="16"/>
      <c r="DM31" s="13"/>
      <c r="DN31" s="33" t="str">
        <f t="shared" si="101"/>
        <v/>
      </c>
      <c r="DO31" s="33" t="str">
        <f t="shared" si="102"/>
        <v/>
      </c>
      <c r="DP31" s="33" t="str">
        <f t="shared" si="103"/>
        <v/>
      </c>
      <c r="DQ31" s="33" t="str">
        <f t="shared" si="104"/>
        <v/>
      </c>
      <c r="DR31" s="33" t="str">
        <f t="shared" si="105"/>
        <v/>
      </c>
      <c r="DS31" s="13"/>
      <c r="DT31" s="55">
        <f t="shared" si="106"/>
        <v>0</v>
      </c>
      <c r="DU31" s="55">
        <f t="shared" si="107"/>
        <v>0</v>
      </c>
      <c r="DV31" s="56">
        <f t="shared" si="108"/>
        <v>0</v>
      </c>
      <c r="DW31" s="56">
        <f t="shared" si="109"/>
        <v>0</v>
      </c>
      <c r="DX31" s="31">
        <f t="shared" si="44"/>
        <v>20204</v>
      </c>
      <c r="DY31" s="15"/>
      <c r="DZ31" s="16"/>
      <c r="EA31" s="16"/>
      <c r="EB31" s="16"/>
      <c r="EC31" s="16"/>
      <c r="ED31" s="16"/>
      <c r="EE31" s="13"/>
      <c r="EF31" s="33" t="str">
        <f t="shared" si="110"/>
        <v/>
      </c>
      <c r="EG31" s="33" t="str">
        <f t="shared" si="111"/>
        <v/>
      </c>
      <c r="EH31" s="33" t="str">
        <f t="shared" si="112"/>
        <v/>
      </c>
      <c r="EI31" s="33" t="str">
        <f t="shared" si="113"/>
        <v/>
      </c>
      <c r="EJ31" s="33" t="str">
        <f t="shared" si="114"/>
        <v/>
      </c>
      <c r="EK31" s="13"/>
      <c r="EL31" s="55">
        <f t="shared" si="115"/>
        <v>0</v>
      </c>
      <c r="EM31" s="55">
        <f t="shared" si="116"/>
        <v>0</v>
      </c>
      <c r="EN31" s="56">
        <f t="shared" si="117"/>
        <v>0</v>
      </c>
      <c r="EO31" s="56">
        <f t="shared" si="118"/>
        <v>0</v>
      </c>
      <c r="EP31" s="31">
        <f t="shared" si="45"/>
        <v>20204</v>
      </c>
      <c r="EQ31" s="15"/>
      <c r="ER31" s="16"/>
      <c r="ES31" s="16"/>
      <c r="ET31" s="16"/>
      <c r="EU31" s="16"/>
      <c r="EV31" s="16"/>
      <c r="EW31" s="13"/>
      <c r="EX31" s="33" t="str">
        <f t="shared" si="119"/>
        <v/>
      </c>
      <c r="EY31" s="33" t="str">
        <f t="shared" si="120"/>
        <v/>
      </c>
      <c r="EZ31" s="33" t="str">
        <f t="shared" si="121"/>
        <v/>
      </c>
      <c r="FA31" s="33" t="str">
        <f t="shared" si="122"/>
        <v/>
      </c>
      <c r="FB31" s="33" t="str">
        <f t="shared" si="123"/>
        <v/>
      </c>
      <c r="FC31" s="13"/>
      <c r="FD31" s="55">
        <f t="shared" si="124"/>
        <v>0</v>
      </c>
      <c r="FE31" s="55">
        <f t="shared" si="125"/>
        <v>0</v>
      </c>
      <c r="FF31" s="56">
        <f t="shared" si="126"/>
        <v>0</v>
      </c>
      <c r="FG31" s="56">
        <f t="shared" si="127"/>
        <v>0</v>
      </c>
      <c r="FH31" s="31">
        <f t="shared" si="46"/>
        <v>20204</v>
      </c>
      <c r="FI31" s="15"/>
      <c r="FJ31" s="16"/>
      <c r="FK31" s="16"/>
      <c r="FL31" s="16"/>
      <c r="FM31" s="16"/>
      <c r="FN31" s="16"/>
      <c r="FO31" s="13"/>
      <c r="FP31" s="33" t="str">
        <f t="shared" si="128"/>
        <v/>
      </c>
      <c r="FQ31" s="33" t="str">
        <f t="shared" si="129"/>
        <v/>
      </c>
      <c r="FR31" s="33" t="str">
        <f t="shared" si="130"/>
        <v/>
      </c>
      <c r="FS31" s="33" t="str">
        <f t="shared" si="131"/>
        <v/>
      </c>
      <c r="FT31" s="33" t="str">
        <f t="shared" si="132"/>
        <v/>
      </c>
      <c r="FU31" s="13"/>
      <c r="FV31" s="55">
        <f t="shared" si="133"/>
        <v>0</v>
      </c>
      <c r="FW31" s="55">
        <f t="shared" si="134"/>
        <v>0</v>
      </c>
      <c r="FX31" s="56">
        <f t="shared" si="135"/>
        <v>0</v>
      </c>
      <c r="FY31" s="56">
        <f t="shared" si="136"/>
        <v>0</v>
      </c>
    </row>
    <row r="32" spans="1:181" x14ac:dyDescent="0.25">
      <c r="A32" s="25">
        <v>22</v>
      </c>
      <c r="B32" s="31">
        <f t="shared" si="37"/>
        <v>20211</v>
      </c>
      <c r="C32" s="15"/>
      <c r="D32" s="16">
        <v>68676.040000000008</v>
      </c>
      <c r="E32" s="16">
        <v>787</v>
      </c>
      <c r="F32" s="16">
        <v>1346</v>
      </c>
      <c r="G32" s="16">
        <v>22016532.73</v>
      </c>
      <c r="H32" s="16">
        <v>22985252.859999999</v>
      </c>
      <c r="I32" s="13"/>
      <c r="J32" s="33">
        <f t="shared" si="47"/>
        <v>275333.81000000006</v>
      </c>
      <c r="K32" s="33">
        <f t="shared" si="48"/>
        <v>3099</v>
      </c>
      <c r="L32" s="33">
        <f t="shared" si="49"/>
        <v>5595</v>
      </c>
      <c r="M32" s="33">
        <f t="shared" si="50"/>
        <v>79407250.63000001</v>
      </c>
      <c r="N32" s="33">
        <f t="shared" si="51"/>
        <v>82934786.730000004</v>
      </c>
      <c r="O32" s="13"/>
      <c r="P32" s="55">
        <f t="shared" si="52"/>
        <v>1.1255428456098433</v>
      </c>
      <c r="Q32" s="55">
        <f t="shared" si="53"/>
        <v>2.0320788064495234</v>
      </c>
      <c r="R32" s="56">
        <f t="shared" si="54"/>
        <v>25623.507786382706</v>
      </c>
      <c r="S32" s="56">
        <f t="shared" si="55"/>
        <v>26761.789845111329</v>
      </c>
      <c r="T32" s="31">
        <f t="shared" si="38"/>
        <v>20211</v>
      </c>
      <c r="U32" s="15"/>
      <c r="V32" s="16"/>
      <c r="W32" s="16"/>
      <c r="X32" s="16"/>
      <c r="Y32" s="16"/>
      <c r="Z32" s="16"/>
      <c r="AA32" s="13"/>
      <c r="AB32" s="33" t="str">
        <f t="shared" si="56"/>
        <v/>
      </c>
      <c r="AC32" s="33" t="str">
        <f t="shared" si="57"/>
        <v/>
      </c>
      <c r="AD32" s="33" t="str">
        <f t="shared" si="58"/>
        <v/>
      </c>
      <c r="AE32" s="33" t="str">
        <f t="shared" si="59"/>
        <v/>
      </c>
      <c r="AF32" s="33" t="str">
        <f t="shared" si="60"/>
        <v/>
      </c>
      <c r="AG32" s="13"/>
      <c r="AH32" s="55">
        <f t="shared" si="61"/>
        <v>0</v>
      </c>
      <c r="AI32" s="55">
        <f t="shared" si="62"/>
        <v>0</v>
      </c>
      <c r="AJ32" s="56">
        <f t="shared" si="63"/>
        <v>0</v>
      </c>
      <c r="AK32" s="56">
        <f t="shared" si="64"/>
        <v>0</v>
      </c>
      <c r="AL32" s="31">
        <f t="shared" si="39"/>
        <v>20211</v>
      </c>
      <c r="AM32" s="15"/>
      <c r="AN32" s="16"/>
      <c r="AO32" s="16"/>
      <c r="AP32" s="16"/>
      <c r="AQ32" s="16"/>
      <c r="AR32" s="16"/>
      <c r="AS32" s="13"/>
      <c r="AT32" s="33" t="str">
        <f t="shared" si="65"/>
        <v/>
      </c>
      <c r="AU32" s="33" t="str">
        <f t="shared" si="66"/>
        <v/>
      </c>
      <c r="AV32" s="33" t="str">
        <f t="shared" si="67"/>
        <v/>
      </c>
      <c r="AW32" s="33" t="str">
        <f t="shared" si="68"/>
        <v/>
      </c>
      <c r="AX32" s="33" t="str">
        <f t="shared" si="69"/>
        <v/>
      </c>
      <c r="AY32" s="13"/>
      <c r="AZ32" s="55">
        <f t="shared" si="70"/>
        <v>0</v>
      </c>
      <c r="BA32" s="55">
        <f t="shared" si="71"/>
        <v>0</v>
      </c>
      <c r="BB32" s="56">
        <f t="shared" si="72"/>
        <v>0</v>
      </c>
      <c r="BC32" s="56">
        <f t="shared" si="73"/>
        <v>0</v>
      </c>
      <c r="BD32" s="31">
        <f t="shared" si="40"/>
        <v>20211</v>
      </c>
      <c r="BE32" s="15"/>
      <c r="BF32" s="16"/>
      <c r="BG32" s="16"/>
      <c r="BH32" s="16"/>
      <c r="BI32" s="16"/>
      <c r="BJ32" s="16"/>
      <c r="BK32" s="13"/>
      <c r="BL32" s="33" t="str">
        <f t="shared" si="74"/>
        <v/>
      </c>
      <c r="BM32" s="33" t="str">
        <f t="shared" si="75"/>
        <v/>
      </c>
      <c r="BN32" s="33" t="str">
        <f t="shared" si="76"/>
        <v/>
      </c>
      <c r="BO32" s="33" t="str">
        <f t="shared" si="77"/>
        <v/>
      </c>
      <c r="BP32" s="33" t="str">
        <f t="shared" si="78"/>
        <v/>
      </c>
      <c r="BQ32" s="13"/>
      <c r="BR32" s="55">
        <f t="shared" si="79"/>
        <v>0</v>
      </c>
      <c r="BS32" s="55">
        <f t="shared" si="80"/>
        <v>0</v>
      </c>
      <c r="BT32" s="56">
        <f t="shared" si="81"/>
        <v>0</v>
      </c>
      <c r="BU32" s="56">
        <f t="shared" si="82"/>
        <v>0</v>
      </c>
      <c r="BV32" s="31">
        <f t="shared" si="41"/>
        <v>20211</v>
      </c>
      <c r="BW32" s="15"/>
      <c r="BX32" s="16"/>
      <c r="BY32" s="16"/>
      <c r="BZ32" s="16"/>
      <c r="CA32" s="16"/>
      <c r="CB32" s="16"/>
      <c r="CC32" s="13"/>
      <c r="CD32" s="33" t="str">
        <f t="shared" si="83"/>
        <v/>
      </c>
      <c r="CE32" s="33" t="str">
        <f t="shared" si="84"/>
        <v/>
      </c>
      <c r="CF32" s="33" t="str">
        <f t="shared" si="85"/>
        <v/>
      </c>
      <c r="CG32" s="33" t="str">
        <f t="shared" si="86"/>
        <v/>
      </c>
      <c r="CH32" s="33" t="str">
        <f t="shared" si="87"/>
        <v/>
      </c>
      <c r="CI32" s="13"/>
      <c r="CJ32" s="55">
        <f t="shared" si="88"/>
        <v>0</v>
      </c>
      <c r="CK32" s="55">
        <f t="shared" si="89"/>
        <v>0</v>
      </c>
      <c r="CL32" s="56">
        <f t="shared" si="90"/>
        <v>0</v>
      </c>
      <c r="CM32" s="56">
        <f t="shared" si="91"/>
        <v>0</v>
      </c>
      <c r="CN32" s="31">
        <f t="shared" si="42"/>
        <v>20211</v>
      </c>
      <c r="CO32" s="15"/>
      <c r="CP32" s="16"/>
      <c r="CQ32" s="16"/>
      <c r="CR32" s="16"/>
      <c r="CS32" s="16"/>
      <c r="CT32" s="16"/>
      <c r="CU32" s="13"/>
      <c r="CV32" s="33" t="str">
        <f t="shared" si="92"/>
        <v/>
      </c>
      <c r="CW32" s="33" t="str">
        <f t="shared" si="93"/>
        <v/>
      </c>
      <c r="CX32" s="33" t="str">
        <f t="shared" si="94"/>
        <v/>
      </c>
      <c r="CY32" s="33" t="str">
        <f t="shared" si="95"/>
        <v/>
      </c>
      <c r="CZ32" s="33" t="str">
        <f t="shared" si="96"/>
        <v/>
      </c>
      <c r="DA32" s="13"/>
      <c r="DB32" s="55">
        <f t="shared" si="97"/>
        <v>0</v>
      </c>
      <c r="DC32" s="55">
        <f t="shared" si="98"/>
        <v>0</v>
      </c>
      <c r="DD32" s="56">
        <f t="shared" si="99"/>
        <v>0</v>
      </c>
      <c r="DE32" s="56">
        <f t="shared" si="100"/>
        <v>0</v>
      </c>
      <c r="DF32" s="31">
        <f t="shared" si="43"/>
        <v>20211</v>
      </c>
      <c r="DG32" s="15"/>
      <c r="DH32" s="16"/>
      <c r="DI32" s="16"/>
      <c r="DJ32" s="16"/>
      <c r="DK32" s="16"/>
      <c r="DL32" s="16"/>
      <c r="DM32" s="13"/>
      <c r="DN32" s="33" t="str">
        <f t="shared" si="101"/>
        <v/>
      </c>
      <c r="DO32" s="33" t="str">
        <f t="shared" si="102"/>
        <v/>
      </c>
      <c r="DP32" s="33" t="str">
        <f t="shared" si="103"/>
        <v/>
      </c>
      <c r="DQ32" s="33" t="str">
        <f t="shared" si="104"/>
        <v/>
      </c>
      <c r="DR32" s="33" t="str">
        <f t="shared" si="105"/>
        <v/>
      </c>
      <c r="DS32" s="13"/>
      <c r="DT32" s="55">
        <f t="shared" si="106"/>
        <v>0</v>
      </c>
      <c r="DU32" s="55">
        <f t="shared" si="107"/>
        <v>0</v>
      </c>
      <c r="DV32" s="56">
        <f t="shared" si="108"/>
        <v>0</v>
      </c>
      <c r="DW32" s="56">
        <f t="shared" si="109"/>
        <v>0</v>
      </c>
      <c r="DX32" s="31">
        <f t="shared" si="44"/>
        <v>20211</v>
      </c>
      <c r="DY32" s="15"/>
      <c r="DZ32" s="16"/>
      <c r="EA32" s="16"/>
      <c r="EB32" s="16"/>
      <c r="EC32" s="16"/>
      <c r="ED32" s="16"/>
      <c r="EE32" s="13"/>
      <c r="EF32" s="33" t="str">
        <f t="shared" si="110"/>
        <v/>
      </c>
      <c r="EG32" s="33" t="str">
        <f t="shared" si="111"/>
        <v/>
      </c>
      <c r="EH32" s="33" t="str">
        <f t="shared" si="112"/>
        <v/>
      </c>
      <c r="EI32" s="33" t="str">
        <f t="shared" si="113"/>
        <v/>
      </c>
      <c r="EJ32" s="33" t="str">
        <f t="shared" si="114"/>
        <v/>
      </c>
      <c r="EK32" s="13"/>
      <c r="EL32" s="55">
        <f t="shared" si="115"/>
        <v>0</v>
      </c>
      <c r="EM32" s="55">
        <f t="shared" si="116"/>
        <v>0</v>
      </c>
      <c r="EN32" s="56">
        <f t="shared" si="117"/>
        <v>0</v>
      </c>
      <c r="EO32" s="56">
        <f t="shared" si="118"/>
        <v>0</v>
      </c>
      <c r="EP32" s="31">
        <f t="shared" si="45"/>
        <v>20211</v>
      </c>
      <c r="EQ32" s="15"/>
      <c r="ER32" s="16"/>
      <c r="ES32" s="16"/>
      <c r="ET32" s="16"/>
      <c r="EU32" s="16"/>
      <c r="EV32" s="16"/>
      <c r="EW32" s="13"/>
      <c r="EX32" s="33" t="str">
        <f t="shared" si="119"/>
        <v/>
      </c>
      <c r="EY32" s="33" t="str">
        <f t="shared" si="120"/>
        <v/>
      </c>
      <c r="EZ32" s="33" t="str">
        <f t="shared" si="121"/>
        <v/>
      </c>
      <c r="FA32" s="33" t="str">
        <f t="shared" si="122"/>
        <v/>
      </c>
      <c r="FB32" s="33" t="str">
        <f t="shared" si="123"/>
        <v/>
      </c>
      <c r="FC32" s="13"/>
      <c r="FD32" s="55">
        <f t="shared" si="124"/>
        <v>0</v>
      </c>
      <c r="FE32" s="55">
        <f t="shared" si="125"/>
        <v>0</v>
      </c>
      <c r="FF32" s="56">
        <f t="shared" si="126"/>
        <v>0</v>
      </c>
      <c r="FG32" s="56">
        <f t="shared" si="127"/>
        <v>0</v>
      </c>
      <c r="FH32" s="31">
        <f t="shared" si="46"/>
        <v>20211</v>
      </c>
      <c r="FI32" s="15"/>
      <c r="FJ32" s="16"/>
      <c r="FK32" s="16"/>
      <c r="FL32" s="16"/>
      <c r="FM32" s="16"/>
      <c r="FN32" s="16"/>
      <c r="FO32" s="13"/>
      <c r="FP32" s="33" t="str">
        <f t="shared" si="128"/>
        <v/>
      </c>
      <c r="FQ32" s="33" t="str">
        <f t="shared" si="129"/>
        <v/>
      </c>
      <c r="FR32" s="33" t="str">
        <f t="shared" si="130"/>
        <v/>
      </c>
      <c r="FS32" s="33" t="str">
        <f t="shared" si="131"/>
        <v/>
      </c>
      <c r="FT32" s="33" t="str">
        <f t="shared" si="132"/>
        <v/>
      </c>
      <c r="FU32" s="13"/>
      <c r="FV32" s="55">
        <f t="shared" si="133"/>
        <v>0</v>
      </c>
      <c r="FW32" s="55">
        <f t="shared" si="134"/>
        <v>0</v>
      </c>
      <c r="FX32" s="56">
        <f t="shared" si="135"/>
        <v>0</v>
      </c>
      <c r="FY32" s="56">
        <f t="shared" si="136"/>
        <v>0</v>
      </c>
    </row>
    <row r="33" spans="1:181" x14ac:dyDescent="0.25">
      <c r="A33" s="25">
        <v>23</v>
      </c>
      <c r="B33" s="31">
        <f t="shared" si="37"/>
        <v>20212</v>
      </c>
      <c r="C33" s="15"/>
      <c r="D33" s="16">
        <v>68443.110000000015</v>
      </c>
      <c r="E33" s="16">
        <v>638</v>
      </c>
      <c r="F33" s="16">
        <v>1286</v>
      </c>
      <c r="G33" s="16">
        <v>23019969.890000001</v>
      </c>
      <c r="H33" s="16">
        <v>22460633.52</v>
      </c>
      <c r="I33" s="13"/>
      <c r="J33" s="33">
        <f t="shared" si="47"/>
        <v>274692.31000000006</v>
      </c>
      <c r="K33" s="33">
        <f t="shared" si="48"/>
        <v>2953</v>
      </c>
      <c r="L33" s="33">
        <f t="shared" si="49"/>
        <v>5377</v>
      </c>
      <c r="M33" s="33">
        <f t="shared" si="50"/>
        <v>83295440.980000004</v>
      </c>
      <c r="N33" s="33">
        <f t="shared" si="51"/>
        <v>85790667.700000003</v>
      </c>
      <c r="O33" s="13"/>
      <c r="P33" s="55">
        <f t="shared" si="52"/>
        <v>1.075020993489042</v>
      </c>
      <c r="Q33" s="55">
        <f t="shared" si="53"/>
        <v>1.9574628791028039</v>
      </c>
      <c r="R33" s="56">
        <f t="shared" si="54"/>
        <v>28207.057561801561</v>
      </c>
      <c r="S33" s="56">
        <f t="shared" si="55"/>
        <v>29052.037825939722</v>
      </c>
      <c r="T33" s="31">
        <f t="shared" si="38"/>
        <v>20212</v>
      </c>
      <c r="U33" s="15"/>
      <c r="V33" s="16"/>
      <c r="W33" s="16"/>
      <c r="X33" s="16"/>
      <c r="Y33" s="16"/>
      <c r="Z33" s="16"/>
      <c r="AA33" s="13"/>
      <c r="AB33" s="33" t="str">
        <f t="shared" si="56"/>
        <v/>
      </c>
      <c r="AC33" s="33" t="str">
        <f t="shared" si="57"/>
        <v/>
      </c>
      <c r="AD33" s="33" t="str">
        <f t="shared" si="58"/>
        <v/>
      </c>
      <c r="AE33" s="33" t="str">
        <f t="shared" si="59"/>
        <v/>
      </c>
      <c r="AF33" s="33" t="str">
        <f t="shared" si="60"/>
        <v/>
      </c>
      <c r="AG33" s="13"/>
      <c r="AH33" s="55">
        <f t="shared" si="61"/>
        <v>0</v>
      </c>
      <c r="AI33" s="55">
        <f t="shared" si="62"/>
        <v>0</v>
      </c>
      <c r="AJ33" s="56">
        <f t="shared" si="63"/>
        <v>0</v>
      </c>
      <c r="AK33" s="56">
        <f t="shared" si="64"/>
        <v>0</v>
      </c>
      <c r="AL33" s="31">
        <f t="shared" si="39"/>
        <v>20212</v>
      </c>
      <c r="AM33" s="15"/>
      <c r="AN33" s="16"/>
      <c r="AO33" s="16"/>
      <c r="AP33" s="16"/>
      <c r="AQ33" s="16"/>
      <c r="AR33" s="16"/>
      <c r="AS33" s="13"/>
      <c r="AT33" s="33" t="str">
        <f t="shared" si="65"/>
        <v/>
      </c>
      <c r="AU33" s="33" t="str">
        <f t="shared" si="66"/>
        <v/>
      </c>
      <c r="AV33" s="33" t="str">
        <f t="shared" si="67"/>
        <v/>
      </c>
      <c r="AW33" s="33" t="str">
        <f t="shared" si="68"/>
        <v/>
      </c>
      <c r="AX33" s="33" t="str">
        <f t="shared" si="69"/>
        <v/>
      </c>
      <c r="AY33" s="13"/>
      <c r="AZ33" s="55">
        <f t="shared" si="70"/>
        <v>0</v>
      </c>
      <c r="BA33" s="55">
        <f t="shared" si="71"/>
        <v>0</v>
      </c>
      <c r="BB33" s="56">
        <f t="shared" si="72"/>
        <v>0</v>
      </c>
      <c r="BC33" s="56">
        <f t="shared" si="73"/>
        <v>0</v>
      </c>
      <c r="BD33" s="31">
        <f t="shared" si="40"/>
        <v>20212</v>
      </c>
      <c r="BE33" s="15"/>
      <c r="BF33" s="16"/>
      <c r="BG33" s="16"/>
      <c r="BH33" s="16"/>
      <c r="BI33" s="16"/>
      <c r="BJ33" s="16"/>
      <c r="BK33" s="13"/>
      <c r="BL33" s="33" t="str">
        <f t="shared" si="74"/>
        <v/>
      </c>
      <c r="BM33" s="33" t="str">
        <f t="shared" si="75"/>
        <v/>
      </c>
      <c r="BN33" s="33" t="str">
        <f t="shared" si="76"/>
        <v/>
      </c>
      <c r="BO33" s="33" t="str">
        <f t="shared" si="77"/>
        <v/>
      </c>
      <c r="BP33" s="33" t="str">
        <f t="shared" si="78"/>
        <v/>
      </c>
      <c r="BQ33" s="13"/>
      <c r="BR33" s="55">
        <f t="shared" si="79"/>
        <v>0</v>
      </c>
      <c r="BS33" s="55">
        <f t="shared" si="80"/>
        <v>0</v>
      </c>
      <c r="BT33" s="56">
        <f t="shared" si="81"/>
        <v>0</v>
      </c>
      <c r="BU33" s="56">
        <f t="shared" si="82"/>
        <v>0</v>
      </c>
      <c r="BV33" s="31">
        <f t="shared" si="41"/>
        <v>20212</v>
      </c>
      <c r="BW33" s="15"/>
      <c r="BX33" s="16"/>
      <c r="BY33" s="16"/>
      <c r="BZ33" s="16"/>
      <c r="CA33" s="16"/>
      <c r="CB33" s="16"/>
      <c r="CC33" s="13"/>
      <c r="CD33" s="33" t="str">
        <f t="shared" si="83"/>
        <v/>
      </c>
      <c r="CE33" s="33" t="str">
        <f t="shared" si="84"/>
        <v/>
      </c>
      <c r="CF33" s="33" t="str">
        <f t="shared" si="85"/>
        <v/>
      </c>
      <c r="CG33" s="33" t="str">
        <f t="shared" si="86"/>
        <v/>
      </c>
      <c r="CH33" s="33" t="str">
        <f t="shared" si="87"/>
        <v/>
      </c>
      <c r="CI33" s="13"/>
      <c r="CJ33" s="55">
        <f t="shared" si="88"/>
        <v>0</v>
      </c>
      <c r="CK33" s="55">
        <f t="shared" si="89"/>
        <v>0</v>
      </c>
      <c r="CL33" s="56">
        <f t="shared" si="90"/>
        <v>0</v>
      </c>
      <c r="CM33" s="56">
        <f t="shared" si="91"/>
        <v>0</v>
      </c>
      <c r="CN33" s="31">
        <f t="shared" si="42"/>
        <v>20212</v>
      </c>
      <c r="CO33" s="15"/>
      <c r="CP33" s="16"/>
      <c r="CQ33" s="16"/>
      <c r="CR33" s="16"/>
      <c r="CS33" s="16"/>
      <c r="CT33" s="16"/>
      <c r="CU33" s="13"/>
      <c r="CV33" s="33" t="str">
        <f t="shared" si="92"/>
        <v/>
      </c>
      <c r="CW33" s="33" t="str">
        <f t="shared" si="93"/>
        <v/>
      </c>
      <c r="CX33" s="33" t="str">
        <f t="shared" si="94"/>
        <v/>
      </c>
      <c r="CY33" s="33" t="str">
        <f t="shared" si="95"/>
        <v/>
      </c>
      <c r="CZ33" s="33" t="str">
        <f t="shared" si="96"/>
        <v/>
      </c>
      <c r="DA33" s="13"/>
      <c r="DB33" s="55">
        <f t="shared" si="97"/>
        <v>0</v>
      </c>
      <c r="DC33" s="55">
        <f t="shared" si="98"/>
        <v>0</v>
      </c>
      <c r="DD33" s="56">
        <f t="shared" si="99"/>
        <v>0</v>
      </c>
      <c r="DE33" s="56">
        <f t="shared" si="100"/>
        <v>0</v>
      </c>
      <c r="DF33" s="31">
        <f t="shared" si="43"/>
        <v>20212</v>
      </c>
      <c r="DG33" s="15"/>
      <c r="DH33" s="16"/>
      <c r="DI33" s="16"/>
      <c r="DJ33" s="16"/>
      <c r="DK33" s="16"/>
      <c r="DL33" s="16"/>
      <c r="DM33" s="13"/>
      <c r="DN33" s="33" t="str">
        <f t="shared" si="101"/>
        <v/>
      </c>
      <c r="DO33" s="33" t="str">
        <f t="shared" si="102"/>
        <v/>
      </c>
      <c r="DP33" s="33" t="str">
        <f t="shared" si="103"/>
        <v/>
      </c>
      <c r="DQ33" s="33" t="str">
        <f t="shared" si="104"/>
        <v/>
      </c>
      <c r="DR33" s="33" t="str">
        <f t="shared" si="105"/>
        <v/>
      </c>
      <c r="DS33" s="13"/>
      <c r="DT33" s="55">
        <f t="shared" si="106"/>
        <v>0</v>
      </c>
      <c r="DU33" s="55">
        <f t="shared" si="107"/>
        <v>0</v>
      </c>
      <c r="DV33" s="56">
        <f t="shared" si="108"/>
        <v>0</v>
      </c>
      <c r="DW33" s="56">
        <f t="shared" si="109"/>
        <v>0</v>
      </c>
      <c r="DX33" s="31">
        <f t="shared" si="44"/>
        <v>20212</v>
      </c>
      <c r="DY33" s="15"/>
      <c r="DZ33" s="16"/>
      <c r="EA33" s="16"/>
      <c r="EB33" s="16"/>
      <c r="EC33" s="16"/>
      <c r="ED33" s="16"/>
      <c r="EE33" s="13"/>
      <c r="EF33" s="33" t="str">
        <f t="shared" si="110"/>
        <v/>
      </c>
      <c r="EG33" s="33" t="str">
        <f t="shared" si="111"/>
        <v/>
      </c>
      <c r="EH33" s="33" t="str">
        <f t="shared" si="112"/>
        <v/>
      </c>
      <c r="EI33" s="33" t="str">
        <f t="shared" si="113"/>
        <v/>
      </c>
      <c r="EJ33" s="33" t="str">
        <f t="shared" si="114"/>
        <v/>
      </c>
      <c r="EK33" s="13"/>
      <c r="EL33" s="55">
        <f t="shared" si="115"/>
        <v>0</v>
      </c>
      <c r="EM33" s="55">
        <f t="shared" si="116"/>
        <v>0</v>
      </c>
      <c r="EN33" s="56">
        <f t="shared" si="117"/>
        <v>0</v>
      </c>
      <c r="EO33" s="56">
        <f t="shared" si="118"/>
        <v>0</v>
      </c>
      <c r="EP33" s="31">
        <f t="shared" si="45"/>
        <v>20212</v>
      </c>
      <c r="EQ33" s="15"/>
      <c r="ER33" s="16"/>
      <c r="ES33" s="16"/>
      <c r="ET33" s="16"/>
      <c r="EU33" s="16"/>
      <c r="EV33" s="16"/>
      <c r="EW33" s="13"/>
      <c r="EX33" s="33" t="str">
        <f t="shared" si="119"/>
        <v/>
      </c>
      <c r="EY33" s="33" t="str">
        <f t="shared" si="120"/>
        <v/>
      </c>
      <c r="EZ33" s="33" t="str">
        <f t="shared" si="121"/>
        <v/>
      </c>
      <c r="FA33" s="33" t="str">
        <f t="shared" si="122"/>
        <v/>
      </c>
      <c r="FB33" s="33" t="str">
        <f t="shared" si="123"/>
        <v/>
      </c>
      <c r="FC33" s="13"/>
      <c r="FD33" s="55">
        <f t="shared" si="124"/>
        <v>0</v>
      </c>
      <c r="FE33" s="55">
        <f t="shared" si="125"/>
        <v>0</v>
      </c>
      <c r="FF33" s="56">
        <f t="shared" si="126"/>
        <v>0</v>
      </c>
      <c r="FG33" s="56">
        <f t="shared" si="127"/>
        <v>0</v>
      </c>
      <c r="FH33" s="31">
        <f t="shared" si="46"/>
        <v>20212</v>
      </c>
      <c r="FI33" s="15"/>
      <c r="FJ33" s="16"/>
      <c r="FK33" s="16"/>
      <c r="FL33" s="16"/>
      <c r="FM33" s="16"/>
      <c r="FN33" s="16"/>
      <c r="FO33" s="13"/>
      <c r="FP33" s="33" t="str">
        <f t="shared" si="128"/>
        <v/>
      </c>
      <c r="FQ33" s="33" t="str">
        <f t="shared" si="129"/>
        <v/>
      </c>
      <c r="FR33" s="33" t="str">
        <f t="shared" si="130"/>
        <v/>
      </c>
      <c r="FS33" s="33" t="str">
        <f t="shared" si="131"/>
        <v/>
      </c>
      <c r="FT33" s="33" t="str">
        <f t="shared" si="132"/>
        <v/>
      </c>
      <c r="FU33" s="13"/>
      <c r="FV33" s="55">
        <f t="shared" si="133"/>
        <v>0</v>
      </c>
      <c r="FW33" s="55">
        <f t="shared" si="134"/>
        <v>0</v>
      </c>
      <c r="FX33" s="56">
        <f t="shared" si="135"/>
        <v>0</v>
      </c>
      <c r="FY33" s="56">
        <f t="shared" si="136"/>
        <v>0</v>
      </c>
    </row>
    <row r="34" spans="1:181" x14ac:dyDescent="0.25">
      <c r="A34" s="25">
        <v>24</v>
      </c>
      <c r="B34" s="31">
        <f t="shared" si="37"/>
        <v>20213</v>
      </c>
      <c r="C34" s="15"/>
      <c r="D34" s="16">
        <v>67959.56</v>
      </c>
      <c r="E34" s="16">
        <v>729</v>
      </c>
      <c r="F34" s="16">
        <v>1426</v>
      </c>
      <c r="G34" s="16">
        <v>24693536.899999999</v>
      </c>
      <c r="H34" s="16">
        <v>22337689.780000001</v>
      </c>
      <c r="I34" s="13"/>
      <c r="J34" s="33">
        <f t="shared" si="47"/>
        <v>273956.53000000003</v>
      </c>
      <c r="K34" s="33">
        <f t="shared" si="48"/>
        <v>2928</v>
      </c>
      <c r="L34" s="33">
        <f t="shared" si="49"/>
        <v>5341</v>
      </c>
      <c r="M34" s="33">
        <f t="shared" si="50"/>
        <v>89754629.25</v>
      </c>
      <c r="N34" s="33">
        <f t="shared" si="51"/>
        <v>87966877.219999999</v>
      </c>
      <c r="O34" s="13"/>
      <c r="P34" s="55">
        <f t="shared" si="52"/>
        <v>1.068782700671526</v>
      </c>
      <c r="Q34" s="55">
        <f t="shared" si="53"/>
        <v>1.9495793730487094</v>
      </c>
      <c r="R34" s="56">
        <f t="shared" si="54"/>
        <v>30653.90343237705</v>
      </c>
      <c r="S34" s="56">
        <f t="shared" si="55"/>
        <v>30043.332383879781</v>
      </c>
      <c r="T34" s="31">
        <f t="shared" si="38"/>
        <v>20213</v>
      </c>
      <c r="U34" s="15"/>
      <c r="V34" s="16"/>
      <c r="W34" s="16"/>
      <c r="X34" s="16"/>
      <c r="Y34" s="16"/>
      <c r="Z34" s="16"/>
      <c r="AA34" s="13"/>
      <c r="AB34" s="33" t="str">
        <f t="shared" si="56"/>
        <v/>
      </c>
      <c r="AC34" s="33" t="str">
        <f t="shared" si="57"/>
        <v/>
      </c>
      <c r="AD34" s="33" t="str">
        <f t="shared" si="58"/>
        <v/>
      </c>
      <c r="AE34" s="33" t="str">
        <f t="shared" si="59"/>
        <v/>
      </c>
      <c r="AF34" s="33" t="str">
        <f t="shared" si="60"/>
        <v/>
      </c>
      <c r="AG34" s="13"/>
      <c r="AH34" s="55">
        <f t="shared" si="61"/>
        <v>0</v>
      </c>
      <c r="AI34" s="55">
        <f t="shared" si="62"/>
        <v>0</v>
      </c>
      <c r="AJ34" s="56">
        <f t="shared" si="63"/>
        <v>0</v>
      </c>
      <c r="AK34" s="56">
        <f t="shared" si="64"/>
        <v>0</v>
      </c>
      <c r="AL34" s="31">
        <f t="shared" si="39"/>
        <v>20213</v>
      </c>
      <c r="AM34" s="15"/>
      <c r="AN34" s="16"/>
      <c r="AO34" s="16"/>
      <c r="AP34" s="16"/>
      <c r="AQ34" s="16"/>
      <c r="AR34" s="16"/>
      <c r="AS34" s="13"/>
      <c r="AT34" s="33" t="str">
        <f t="shared" si="65"/>
        <v/>
      </c>
      <c r="AU34" s="33" t="str">
        <f t="shared" si="66"/>
        <v/>
      </c>
      <c r="AV34" s="33" t="str">
        <f t="shared" si="67"/>
        <v/>
      </c>
      <c r="AW34" s="33" t="str">
        <f t="shared" si="68"/>
        <v/>
      </c>
      <c r="AX34" s="33" t="str">
        <f t="shared" si="69"/>
        <v/>
      </c>
      <c r="AY34" s="13"/>
      <c r="AZ34" s="55">
        <f t="shared" si="70"/>
        <v>0</v>
      </c>
      <c r="BA34" s="55">
        <f t="shared" si="71"/>
        <v>0</v>
      </c>
      <c r="BB34" s="56">
        <f t="shared" si="72"/>
        <v>0</v>
      </c>
      <c r="BC34" s="56">
        <f t="shared" si="73"/>
        <v>0</v>
      </c>
      <c r="BD34" s="31">
        <f t="shared" si="40"/>
        <v>20213</v>
      </c>
      <c r="BE34" s="15"/>
      <c r="BF34" s="16"/>
      <c r="BG34" s="16"/>
      <c r="BH34" s="16"/>
      <c r="BI34" s="16"/>
      <c r="BJ34" s="16"/>
      <c r="BK34" s="13"/>
      <c r="BL34" s="33" t="str">
        <f t="shared" si="74"/>
        <v/>
      </c>
      <c r="BM34" s="33" t="str">
        <f t="shared" si="75"/>
        <v/>
      </c>
      <c r="BN34" s="33" t="str">
        <f t="shared" si="76"/>
        <v/>
      </c>
      <c r="BO34" s="33" t="str">
        <f t="shared" si="77"/>
        <v/>
      </c>
      <c r="BP34" s="33" t="str">
        <f t="shared" si="78"/>
        <v/>
      </c>
      <c r="BQ34" s="13"/>
      <c r="BR34" s="55">
        <f t="shared" si="79"/>
        <v>0</v>
      </c>
      <c r="BS34" s="55">
        <f t="shared" si="80"/>
        <v>0</v>
      </c>
      <c r="BT34" s="56">
        <f t="shared" si="81"/>
        <v>0</v>
      </c>
      <c r="BU34" s="56">
        <f t="shared" si="82"/>
        <v>0</v>
      </c>
      <c r="BV34" s="31">
        <f t="shared" si="41"/>
        <v>20213</v>
      </c>
      <c r="BW34" s="15"/>
      <c r="BX34" s="16"/>
      <c r="BY34" s="16"/>
      <c r="BZ34" s="16"/>
      <c r="CA34" s="16"/>
      <c r="CB34" s="16"/>
      <c r="CC34" s="13"/>
      <c r="CD34" s="33" t="str">
        <f t="shared" si="83"/>
        <v/>
      </c>
      <c r="CE34" s="33" t="str">
        <f t="shared" si="84"/>
        <v/>
      </c>
      <c r="CF34" s="33" t="str">
        <f t="shared" si="85"/>
        <v/>
      </c>
      <c r="CG34" s="33" t="str">
        <f t="shared" si="86"/>
        <v/>
      </c>
      <c r="CH34" s="33" t="str">
        <f t="shared" si="87"/>
        <v/>
      </c>
      <c r="CI34" s="13"/>
      <c r="CJ34" s="55">
        <f t="shared" si="88"/>
        <v>0</v>
      </c>
      <c r="CK34" s="55">
        <f t="shared" si="89"/>
        <v>0</v>
      </c>
      <c r="CL34" s="56">
        <f t="shared" si="90"/>
        <v>0</v>
      </c>
      <c r="CM34" s="56">
        <f t="shared" si="91"/>
        <v>0</v>
      </c>
      <c r="CN34" s="31">
        <f t="shared" si="42"/>
        <v>20213</v>
      </c>
      <c r="CO34" s="15"/>
      <c r="CP34" s="16"/>
      <c r="CQ34" s="16"/>
      <c r="CR34" s="16"/>
      <c r="CS34" s="16"/>
      <c r="CT34" s="16"/>
      <c r="CU34" s="13"/>
      <c r="CV34" s="33" t="str">
        <f t="shared" si="92"/>
        <v/>
      </c>
      <c r="CW34" s="33" t="str">
        <f t="shared" si="93"/>
        <v/>
      </c>
      <c r="CX34" s="33" t="str">
        <f t="shared" si="94"/>
        <v/>
      </c>
      <c r="CY34" s="33" t="str">
        <f t="shared" si="95"/>
        <v/>
      </c>
      <c r="CZ34" s="33" t="str">
        <f t="shared" si="96"/>
        <v/>
      </c>
      <c r="DA34" s="13"/>
      <c r="DB34" s="55">
        <f t="shared" si="97"/>
        <v>0</v>
      </c>
      <c r="DC34" s="55">
        <f t="shared" si="98"/>
        <v>0</v>
      </c>
      <c r="DD34" s="56">
        <f t="shared" si="99"/>
        <v>0</v>
      </c>
      <c r="DE34" s="56">
        <f t="shared" si="100"/>
        <v>0</v>
      </c>
      <c r="DF34" s="31">
        <f t="shared" si="43"/>
        <v>20213</v>
      </c>
      <c r="DG34" s="15"/>
      <c r="DH34" s="16"/>
      <c r="DI34" s="16"/>
      <c r="DJ34" s="16"/>
      <c r="DK34" s="16"/>
      <c r="DL34" s="16"/>
      <c r="DM34" s="13"/>
      <c r="DN34" s="33" t="str">
        <f t="shared" si="101"/>
        <v/>
      </c>
      <c r="DO34" s="33" t="str">
        <f t="shared" si="102"/>
        <v/>
      </c>
      <c r="DP34" s="33" t="str">
        <f t="shared" si="103"/>
        <v/>
      </c>
      <c r="DQ34" s="33" t="str">
        <f t="shared" si="104"/>
        <v/>
      </c>
      <c r="DR34" s="33" t="str">
        <f t="shared" si="105"/>
        <v/>
      </c>
      <c r="DS34" s="13"/>
      <c r="DT34" s="55">
        <f t="shared" si="106"/>
        <v>0</v>
      </c>
      <c r="DU34" s="55">
        <f t="shared" si="107"/>
        <v>0</v>
      </c>
      <c r="DV34" s="56">
        <f t="shared" si="108"/>
        <v>0</v>
      </c>
      <c r="DW34" s="56">
        <f t="shared" si="109"/>
        <v>0</v>
      </c>
      <c r="DX34" s="31">
        <f t="shared" si="44"/>
        <v>20213</v>
      </c>
      <c r="DY34" s="15"/>
      <c r="DZ34" s="16"/>
      <c r="EA34" s="16"/>
      <c r="EB34" s="16"/>
      <c r="EC34" s="16"/>
      <c r="ED34" s="16"/>
      <c r="EE34" s="13"/>
      <c r="EF34" s="33" t="str">
        <f t="shared" si="110"/>
        <v/>
      </c>
      <c r="EG34" s="33" t="str">
        <f t="shared" si="111"/>
        <v/>
      </c>
      <c r="EH34" s="33" t="str">
        <f t="shared" si="112"/>
        <v/>
      </c>
      <c r="EI34" s="33" t="str">
        <f t="shared" si="113"/>
        <v/>
      </c>
      <c r="EJ34" s="33" t="str">
        <f t="shared" si="114"/>
        <v/>
      </c>
      <c r="EK34" s="13"/>
      <c r="EL34" s="55">
        <f t="shared" si="115"/>
        <v>0</v>
      </c>
      <c r="EM34" s="55">
        <f t="shared" si="116"/>
        <v>0</v>
      </c>
      <c r="EN34" s="56">
        <f t="shared" si="117"/>
        <v>0</v>
      </c>
      <c r="EO34" s="56">
        <f t="shared" si="118"/>
        <v>0</v>
      </c>
      <c r="EP34" s="31">
        <f t="shared" si="45"/>
        <v>20213</v>
      </c>
      <c r="EQ34" s="15"/>
      <c r="ER34" s="16"/>
      <c r="ES34" s="16"/>
      <c r="ET34" s="16"/>
      <c r="EU34" s="16"/>
      <c r="EV34" s="16"/>
      <c r="EW34" s="13"/>
      <c r="EX34" s="33" t="str">
        <f t="shared" si="119"/>
        <v/>
      </c>
      <c r="EY34" s="33" t="str">
        <f t="shared" si="120"/>
        <v/>
      </c>
      <c r="EZ34" s="33" t="str">
        <f t="shared" si="121"/>
        <v/>
      </c>
      <c r="FA34" s="33" t="str">
        <f t="shared" si="122"/>
        <v/>
      </c>
      <c r="FB34" s="33" t="str">
        <f t="shared" si="123"/>
        <v/>
      </c>
      <c r="FC34" s="13"/>
      <c r="FD34" s="55">
        <f t="shared" si="124"/>
        <v>0</v>
      </c>
      <c r="FE34" s="55">
        <f t="shared" si="125"/>
        <v>0</v>
      </c>
      <c r="FF34" s="56">
        <f t="shared" si="126"/>
        <v>0</v>
      </c>
      <c r="FG34" s="56">
        <f t="shared" si="127"/>
        <v>0</v>
      </c>
      <c r="FH34" s="31">
        <f t="shared" si="46"/>
        <v>20213</v>
      </c>
      <c r="FI34" s="15"/>
      <c r="FJ34" s="16"/>
      <c r="FK34" s="16"/>
      <c r="FL34" s="16"/>
      <c r="FM34" s="16"/>
      <c r="FN34" s="16"/>
      <c r="FO34" s="13"/>
      <c r="FP34" s="33" t="str">
        <f t="shared" si="128"/>
        <v/>
      </c>
      <c r="FQ34" s="33" t="str">
        <f t="shared" si="129"/>
        <v/>
      </c>
      <c r="FR34" s="33" t="str">
        <f t="shared" si="130"/>
        <v/>
      </c>
      <c r="FS34" s="33" t="str">
        <f t="shared" si="131"/>
        <v/>
      </c>
      <c r="FT34" s="33" t="str">
        <f t="shared" si="132"/>
        <v/>
      </c>
      <c r="FU34" s="13"/>
      <c r="FV34" s="55">
        <f t="shared" si="133"/>
        <v>0</v>
      </c>
      <c r="FW34" s="55">
        <f t="shared" si="134"/>
        <v>0</v>
      </c>
      <c r="FX34" s="56">
        <f t="shared" si="135"/>
        <v>0</v>
      </c>
      <c r="FY34" s="56">
        <f t="shared" si="136"/>
        <v>0</v>
      </c>
    </row>
    <row r="35" spans="1:181" x14ac:dyDescent="0.25">
      <c r="A35" s="25">
        <v>25</v>
      </c>
      <c r="B35" s="31">
        <f t="shared" si="37"/>
        <v>20214</v>
      </c>
      <c r="C35" s="15"/>
      <c r="D35" s="16">
        <v>67694.84</v>
      </c>
      <c r="E35" s="16">
        <v>776</v>
      </c>
      <c r="F35" s="16">
        <v>1384</v>
      </c>
      <c r="G35" s="16">
        <v>33808338.510000013</v>
      </c>
      <c r="H35" s="16">
        <v>29493555.899999999</v>
      </c>
      <c r="I35" s="13"/>
      <c r="J35" s="33">
        <f t="shared" si="47"/>
        <v>272773.55000000005</v>
      </c>
      <c r="K35" s="33">
        <f t="shared" si="48"/>
        <v>2930</v>
      </c>
      <c r="L35" s="33">
        <f t="shared" si="49"/>
        <v>5442</v>
      </c>
      <c r="M35" s="33">
        <f t="shared" si="50"/>
        <v>103538378.03000003</v>
      </c>
      <c r="N35" s="33">
        <f t="shared" si="51"/>
        <v>97277132.060000002</v>
      </c>
      <c r="O35" s="13"/>
      <c r="P35" s="55">
        <f t="shared" si="52"/>
        <v>1.0741510677996453</v>
      </c>
      <c r="Q35" s="55">
        <f t="shared" si="53"/>
        <v>1.9950614713193413</v>
      </c>
      <c r="R35" s="56">
        <f t="shared" si="54"/>
        <v>35337.33038566554</v>
      </c>
      <c r="S35" s="56">
        <f t="shared" si="55"/>
        <v>33200.386368600681</v>
      </c>
      <c r="T35" s="31">
        <f t="shared" si="38"/>
        <v>20214</v>
      </c>
      <c r="U35" s="15"/>
      <c r="V35" s="16"/>
      <c r="W35" s="16"/>
      <c r="X35" s="16"/>
      <c r="Y35" s="16"/>
      <c r="Z35" s="16"/>
      <c r="AA35" s="13"/>
      <c r="AB35" s="33" t="str">
        <f t="shared" si="56"/>
        <v/>
      </c>
      <c r="AC35" s="33" t="str">
        <f t="shared" si="57"/>
        <v/>
      </c>
      <c r="AD35" s="33" t="str">
        <f t="shared" si="58"/>
        <v/>
      </c>
      <c r="AE35" s="33" t="str">
        <f t="shared" si="59"/>
        <v/>
      </c>
      <c r="AF35" s="33" t="str">
        <f t="shared" si="60"/>
        <v/>
      </c>
      <c r="AG35" s="13"/>
      <c r="AH35" s="55">
        <f t="shared" si="61"/>
        <v>0</v>
      </c>
      <c r="AI35" s="55">
        <f t="shared" si="62"/>
        <v>0</v>
      </c>
      <c r="AJ35" s="56">
        <f t="shared" si="63"/>
        <v>0</v>
      </c>
      <c r="AK35" s="56">
        <f t="shared" si="64"/>
        <v>0</v>
      </c>
      <c r="AL35" s="31">
        <f t="shared" si="39"/>
        <v>20214</v>
      </c>
      <c r="AM35" s="15"/>
      <c r="AN35" s="16"/>
      <c r="AO35" s="16"/>
      <c r="AP35" s="16"/>
      <c r="AQ35" s="16"/>
      <c r="AR35" s="16"/>
      <c r="AS35" s="13"/>
      <c r="AT35" s="33" t="str">
        <f t="shared" si="65"/>
        <v/>
      </c>
      <c r="AU35" s="33" t="str">
        <f t="shared" si="66"/>
        <v/>
      </c>
      <c r="AV35" s="33" t="str">
        <f t="shared" si="67"/>
        <v/>
      </c>
      <c r="AW35" s="33" t="str">
        <f t="shared" si="68"/>
        <v/>
      </c>
      <c r="AX35" s="33" t="str">
        <f t="shared" si="69"/>
        <v/>
      </c>
      <c r="AY35" s="13"/>
      <c r="AZ35" s="55">
        <f t="shared" si="70"/>
        <v>0</v>
      </c>
      <c r="BA35" s="55">
        <f t="shared" si="71"/>
        <v>0</v>
      </c>
      <c r="BB35" s="56">
        <f t="shared" si="72"/>
        <v>0</v>
      </c>
      <c r="BC35" s="56">
        <f t="shared" si="73"/>
        <v>0</v>
      </c>
      <c r="BD35" s="31">
        <f t="shared" si="40"/>
        <v>20214</v>
      </c>
      <c r="BE35" s="15"/>
      <c r="BF35" s="16"/>
      <c r="BG35" s="16"/>
      <c r="BH35" s="16"/>
      <c r="BI35" s="16"/>
      <c r="BJ35" s="16"/>
      <c r="BK35" s="13"/>
      <c r="BL35" s="33" t="str">
        <f t="shared" si="74"/>
        <v/>
      </c>
      <c r="BM35" s="33" t="str">
        <f t="shared" si="75"/>
        <v/>
      </c>
      <c r="BN35" s="33" t="str">
        <f t="shared" si="76"/>
        <v/>
      </c>
      <c r="BO35" s="33" t="str">
        <f t="shared" si="77"/>
        <v/>
      </c>
      <c r="BP35" s="33" t="str">
        <f t="shared" si="78"/>
        <v/>
      </c>
      <c r="BQ35" s="13"/>
      <c r="BR35" s="55">
        <f t="shared" si="79"/>
        <v>0</v>
      </c>
      <c r="BS35" s="55">
        <f t="shared" si="80"/>
        <v>0</v>
      </c>
      <c r="BT35" s="56">
        <f t="shared" si="81"/>
        <v>0</v>
      </c>
      <c r="BU35" s="56">
        <f t="shared" si="82"/>
        <v>0</v>
      </c>
      <c r="BV35" s="31">
        <f t="shared" si="41"/>
        <v>20214</v>
      </c>
      <c r="BW35" s="15"/>
      <c r="BX35" s="16"/>
      <c r="BY35" s="16"/>
      <c r="BZ35" s="16"/>
      <c r="CA35" s="16"/>
      <c r="CB35" s="16"/>
      <c r="CC35" s="13"/>
      <c r="CD35" s="33" t="str">
        <f t="shared" si="83"/>
        <v/>
      </c>
      <c r="CE35" s="33" t="str">
        <f t="shared" si="84"/>
        <v/>
      </c>
      <c r="CF35" s="33" t="str">
        <f t="shared" si="85"/>
        <v/>
      </c>
      <c r="CG35" s="33" t="str">
        <f t="shared" si="86"/>
        <v/>
      </c>
      <c r="CH35" s="33" t="str">
        <f t="shared" si="87"/>
        <v/>
      </c>
      <c r="CI35" s="13"/>
      <c r="CJ35" s="55">
        <f t="shared" si="88"/>
        <v>0</v>
      </c>
      <c r="CK35" s="55">
        <f t="shared" si="89"/>
        <v>0</v>
      </c>
      <c r="CL35" s="56">
        <f t="shared" si="90"/>
        <v>0</v>
      </c>
      <c r="CM35" s="56">
        <f t="shared" si="91"/>
        <v>0</v>
      </c>
      <c r="CN35" s="31">
        <f t="shared" si="42"/>
        <v>20214</v>
      </c>
      <c r="CO35" s="15"/>
      <c r="CP35" s="16"/>
      <c r="CQ35" s="16"/>
      <c r="CR35" s="16"/>
      <c r="CS35" s="16"/>
      <c r="CT35" s="16"/>
      <c r="CU35" s="13"/>
      <c r="CV35" s="33" t="str">
        <f t="shared" si="92"/>
        <v/>
      </c>
      <c r="CW35" s="33" t="str">
        <f t="shared" si="93"/>
        <v/>
      </c>
      <c r="CX35" s="33" t="str">
        <f t="shared" si="94"/>
        <v/>
      </c>
      <c r="CY35" s="33" t="str">
        <f t="shared" si="95"/>
        <v/>
      </c>
      <c r="CZ35" s="33" t="str">
        <f t="shared" si="96"/>
        <v/>
      </c>
      <c r="DA35" s="13"/>
      <c r="DB35" s="55">
        <f t="shared" si="97"/>
        <v>0</v>
      </c>
      <c r="DC35" s="55">
        <f t="shared" si="98"/>
        <v>0</v>
      </c>
      <c r="DD35" s="56">
        <f t="shared" si="99"/>
        <v>0</v>
      </c>
      <c r="DE35" s="56">
        <f t="shared" si="100"/>
        <v>0</v>
      </c>
      <c r="DF35" s="31">
        <f t="shared" si="43"/>
        <v>20214</v>
      </c>
      <c r="DG35" s="15"/>
      <c r="DH35" s="16"/>
      <c r="DI35" s="16"/>
      <c r="DJ35" s="16"/>
      <c r="DK35" s="16"/>
      <c r="DL35" s="16"/>
      <c r="DM35" s="13"/>
      <c r="DN35" s="33" t="str">
        <f t="shared" si="101"/>
        <v/>
      </c>
      <c r="DO35" s="33" t="str">
        <f t="shared" si="102"/>
        <v/>
      </c>
      <c r="DP35" s="33" t="str">
        <f t="shared" si="103"/>
        <v/>
      </c>
      <c r="DQ35" s="33" t="str">
        <f t="shared" si="104"/>
        <v/>
      </c>
      <c r="DR35" s="33" t="str">
        <f t="shared" si="105"/>
        <v/>
      </c>
      <c r="DS35" s="13"/>
      <c r="DT35" s="55">
        <f t="shared" si="106"/>
        <v>0</v>
      </c>
      <c r="DU35" s="55">
        <f t="shared" si="107"/>
        <v>0</v>
      </c>
      <c r="DV35" s="56">
        <f t="shared" si="108"/>
        <v>0</v>
      </c>
      <c r="DW35" s="56">
        <f t="shared" si="109"/>
        <v>0</v>
      </c>
      <c r="DX35" s="31">
        <f t="shared" si="44"/>
        <v>20214</v>
      </c>
      <c r="DY35" s="15"/>
      <c r="DZ35" s="16"/>
      <c r="EA35" s="16"/>
      <c r="EB35" s="16"/>
      <c r="EC35" s="16"/>
      <c r="ED35" s="16"/>
      <c r="EE35" s="13"/>
      <c r="EF35" s="33" t="str">
        <f t="shared" si="110"/>
        <v/>
      </c>
      <c r="EG35" s="33" t="str">
        <f t="shared" si="111"/>
        <v/>
      </c>
      <c r="EH35" s="33" t="str">
        <f t="shared" si="112"/>
        <v/>
      </c>
      <c r="EI35" s="33" t="str">
        <f t="shared" si="113"/>
        <v/>
      </c>
      <c r="EJ35" s="33" t="str">
        <f t="shared" si="114"/>
        <v/>
      </c>
      <c r="EK35" s="13"/>
      <c r="EL35" s="55">
        <f t="shared" si="115"/>
        <v>0</v>
      </c>
      <c r="EM35" s="55">
        <f t="shared" si="116"/>
        <v>0</v>
      </c>
      <c r="EN35" s="56">
        <f t="shared" si="117"/>
        <v>0</v>
      </c>
      <c r="EO35" s="56">
        <f t="shared" si="118"/>
        <v>0</v>
      </c>
      <c r="EP35" s="31">
        <f t="shared" si="45"/>
        <v>20214</v>
      </c>
      <c r="EQ35" s="15"/>
      <c r="ER35" s="16"/>
      <c r="ES35" s="16"/>
      <c r="ET35" s="16"/>
      <c r="EU35" s="16"/>
      <c r="EV35" s="16"/>
      <c r="EW35" s="13"/>
      <c r="EX35" s="33" t="str">
        <f t="shared" si="119"/>
        <v/>
      </c>
      <c r="EY35" s="33" t="str">
        <f t="shared" si="120"/>
        <v/>
      </c>
      <c r="EZ35" s="33" t="str">
        <f t="shared" si="121"/>
        <v/>
      </c>
      <c r="FA35" s="33" t="str">
        <f t="shared" si="122"/>
        <v/>
      </c>
      <c r="FB35" s="33" t="str">
        <f t="shared" si="123"/>
        <v/>
      </c>
      <c r="FC35" s="13"/>
      <c r="FD35" s="55">
        <f t="shared" si="124"/>
        <v>0</v>
      </c>
      <c r="FE35" s="55">
        <f t="shared" si="125"/>
        <v>0</v>
      </c>
      <c r="FF35" s="56">
        <f t="shared" si="126"/>
        <v>0</v>
      </c>
      <c r="FG35" s="56">
        <f t="shared" si="127"/>
        <v>0</v>
      </c>
      <c r="FH35" s="31">
        <f t="shared" si="46"/>
        <v>20214</v>
      </c>
      <c r="FI35" s="15"/>
      <c r="FJ35" s="16"/>
      <c r="FK35" s="16"/>
      <c r="FL35" s="16"/>
      <c r="FM35" s="16"/>
      <c r="FN35" s="16"/>
      <c r="FO35" s="13"/>
      <c r="FP35" s="33" t="str">
        <f t="shared" si="128"/>
        <v/>
      </c>
      <c r="FQ35" s="33" t="str">
        <f t="shared" si="129"/>
        <v/>
      </c>
      <c r="FR35" s="33" t="str">
        <f t="shared" si="130"/>
        <v/>
      </c>
      <c r="FS35" s="33" t="str">
        <f t="shared" si="131"/>
        <v/>
      </c>
      <c r="FT35" s="33" t="str">
        <f t="shared" si="132"/>
        <v/>
      </c>
      <c r="FU35" s="13"/>
      <c r="FV35" s="55">
        <f t="shared" si="133"/>
        <v>0</v>
      </c>
      <c r="FW35" s="55">
        <f t="shared" si="134"/>
        <v>0</v>
      </c>
      <c r="FX35" s="56">
        <f t="shared" si="135"/>
        <v>0</v>
      </c>
      <c r="FY35" s="56">
        <f t="shared" si="136"/>
        <v>0</v>
      </c>
    </row>
    <row r="36" spans="1:181" x14ac:dyDescent="0.25">
      <c r="A36" s="25">
        <v>26</v>
      </c>
      <c r="B36" s="31">
        <f>IF(RIGHT(B37,1)="1",B37-7,B37-1)</f>
        <v>20221</v>
      </c>
      <c r="C36" s="15"/>
      <c r="D36" s="16">
        <v>67252.17</v>
      </c>
      <c r="E36" s="16">
        <v>775</v>
      </c>
      <c r="F36" s="16">
        <v>1368</v>
      </c>
      <c r="G36" s="16">
        <v>26100389.359999999</v>
      </c>
      <c r="H36" s="16">
        <v>32903671.760000002</v>
      </c>
      <c r="I36" s="13"/>
      <c r="J36" s="33">
        <f t="shared" si="47"/>
        <v>271349.68</v>
      </c>
      <c r="K36" s="33">
        <f t="shared" si="48"/>
        <v>2918</v>
      </c>
      <c r="L36" s="33">
        <f t="shared" si="49"/>
        <v>5464</v>
      </c>
      <c r="M36" s="33">
        <f t="shared" si="50"/>
        <v>107622234.66000001</v>
      </c>
      <c r="N36" s="33">
        <f t="shared" si="51"/>
        <v>107195550.95999999</v>
      </c>
      <c r="O36" s="13"/>
      <c r="P36" s="55">
        <f t="shared" si="52"/>
        <v>1.0753651893011262</v>
      </c>
      <c r="Q36" s="55">
        <f t="shared" si="53"/>
        <v>2.0136379007338427</v>
      </c>
      <c r="R36" s="56">
        <f t="shared" si="54"/>
        <v>36882.191453050036</v>
      </c>
      <c r="S36" s="56">
        <f t="shared" si="55"/>
        <v>36735.966744345438</v>
      </c>
      <c r="T36" s="31">
        <f>IF(RIGHT(T37,1)="1",T37-7,T37-1)</f>
        <v>20221</v>
      </c>
      <c r="U36" s="15"/>
      <c r="V36" s="16"/>
      <c r="W36" s="16"/>
      <c r="X36" s="16"/>
      <c r="Y36" s="16"/>
      <c r="Z36" s="16"/>
      <c r="AA36" s="13"/>
      <c r="AB36" s="33" t="str">
        <f t="shared" si="56"/>
        <v/>
      </c>
      <c r="AC36" s="33" t="str">
        <f t="shared" si="57"/>
        <v/>
      </c>
      <c r="AD36" s="33" t="str">
        <f t="shared" si="58"/>
        <v/>
      </c>
      <c r="AE36" s="33" t="str">
        <f t="shared" si="59"/>
        <v/>
      </c>
      <c r="AF36" s="33" t="str">
        <f t="shared" si="60"/>
        <v/>
      </c>
      <c r="AG36" s="13"/>
      <c r="AH36" s="55">
        <f t="shared" si="61"/>
        <v>0</v>
      </c>
      <c r="AI36" s="55">
        <f t="shared" si="62"/>
        <v>0</v>
      </c>
      <c r="AJ36" s="56">
        <f t="shared" si="63"/>
        <v>0</v>
      </c>
      <c r="AK36" s="56">
        <f t="shared" si="64"/>
        <v>0</v>
      </c>
      <c r="AL36" s="31">
        <f>IF(RIGHT(AL37,1)="1",AL37-7,AL37-1)</f>
        <v>20221</v>
      </c>
      <c r="AM36" s="15"/>
      <c r="AN36" s="16"/>
      <c r="AO36" s="16"/>
      <c r="AP36" s="16"/>
      <c r="AQ36" s="16"/>
      <c r="AR36" s="16"/>
      <c r="AS36" s="13"/>
      <c r="AT36" s="33" t="str">
        <f t="shared" si="65"/>
        <v/>
      </c>
      <c r="AU36" s="33" t="str">
        <f t="shared" si="66"/>
        <v/>
      </c>
      <c r="AV36" s="33" t="str">
        <f t="shared" si="67"/>
        <v/>
      </c>
      <c r="AW36" s="33" t="str">
        <f t="shared" si="68"/>
        <v/>
      </c>
      <c r="AX36" s="33" t="str">
        <f t="shared" si="69"/>
        <v/>
      </c>
      <c r="AY36" s="13"/>
      <c r="AZ36" s="55">
        <f t="shared" si="70"/>
        <v>0</v>
      </c>
      <c r="BA36" s="55">
        <f t="shared" si="71"/>
        <v>0</v>
      </c>
      <c r="BB36" s="56">
        <f t="shared" si="72"/>
        <v>0</v>
      </c>
      <c r="BC36" s="56">
        <f t="shared" si="73"/>
        <v>0</v>
      </c>
      <c r="BD36" s="31">
        <f>IF(RIGHT(BD37,1)="1",BD37-7,BD37-1)</f>
        <v>20221</v>
      </c>
      <c r="BE36" s="15"/>
      <c r="BF36" s="16"/>
      <c r="BG36" s="16"/>
      <c r="BH36" s="16"/>
      <c r="BI36" s="16"/>
      <c r="BJ36" s="16"/>
      <c r="BK36" s="13"/>
      <c r="BL36" s="33" t="str">
        <f t="shared" si="74"/>
        <v/>
      </c>
      <c r="BM36" s="33" t="str">
        <f t="shared" si="75"/>
        <v/>
      </c>
      <c r="BN36" s="33" t="str">
        <f t="shared" si="76"/>
        <v/>
      </c>
      <c r="BO36" s="33" t="str">
        <f t="shared" si="77"/>
        <v/>
      </c>
      <c r="BP36" s="33" t="str">
        <f t="shared" si="78"/>
        <v/>
      </c>
      <c r="BQ36" s="13"/>
      <c r="BR36" s="55">
        <f t="shared" si="79"/>
        <v>0</v>
      </c>
      <c r="BS36" s="55">
        <f t="shared" si="80"/>
        <v>0</v>
      </c>
      <c r="BT36" s="56">
        <f t="shared" si="81"/>
        <v>0</v>
      </c>
      <c r="BU36" s="56">
        <f t="shared" si="82"/>
        <v>0</v>
      </c>
      <c r="BV36" s="31">
        <f>IF(RIGHT(BV37,1)="1",BV37-7,BV37-1)</f>
        <v>20221</v>
      </c>
      <c r="BW36" s="15"/>
      <c r="BX36" s="16"/>
      <c r="BY36" s="16"/>
      <c r="BZ36" s="16"/>
      <c r="CA36" s="16"/>
      <c r="CB36" s="16"/>
      <c r="CC36" s="13"/>
      <c r="CD36" s="33" t="str">
        <f t="shared" si="83"/>
        <v/>
      </c>
      <c r="CE36" s="33" t="str">
        <f t="shared" si="84"/>
        <v/>
      </c>
      <c r="CF36" s="33" t="str">
        <f t="shared" si="85"/>
        <v/>
      </c>
      <c r="CG36" s="33" t="str">
        <f t="shared" si="86"/>
        <v/>
      </c>
      <c r="CH36" s="33" t="str">
        <f t="shared" si="87"/>
        <v/>
      </c>
      <c r="CI36" s="13"/>
      <c r="CJ36" s="55">
        <f t="shared" si="88"/>
        <v>0</v>
      </c>
      <c r="CK36" s="55">
        <f t="shared" si="89"/>
        <v>0</v>
      </c>
      <c r="CL36" s="56">
        <f t="shared" si="90"/>
        <v>0</v>
      </c>
      <c r="CM36" s="56">
        <f t="shared" si="91"/>
        <v>0</v>
      </c>
      <c r="CN36" s="31">
        <f>IF(RIGHT(CN37,1)="1",CN37-7,CN37-1)</f>
        <v>20221</v>
      </c>
      <c r="CO36" s="15"/>
      <c r="CP36" s="16"/>
      <c r="CQ36" s="16"/>
      <c r="CR36" s="16"/>
      <c r="CS36" s="16"/>
      <c r="CT36" s="16"/>
      <c r="CU36" s="13"/>
      <c r="CV36" s="33" t="str">
        <f t="shared" si="92"/>
        <v/>
      </c>
      <c r="CW36" s="33" t="str">
        <f t="shared" si="93"/>
        <v/>
      </c>
      <c r="CX36" s="33" t="str">
        <f t="shared" si="94"/>
        <v/>
      </c>
      <c r="CY36" s="33" t="str">
        <f t="shared" si="95"/>
        <v/>
      </c>
      <c r="CZ36" s="33" t="str">
        <f t="shared" si="96"/>
        <v/>
      </c>
      <c r="DA36" s="13"/>
      <c r="DB36" s="55">
        <f t="shared" si="97"/>
        <v>0</v>
      </c>
      <c r="DC36" s="55">
        <f t="shared" si="98"/>
        <v>0</v>
      </c>
      <c r="DD36" s="56">
        <f t="shared" si="99"/>
        <v>0</v>
      </c>
      <c r="DE36" s="56">
        <f t="shared" si="100"/>
        <v>0</v>
      </c>
      <c r="DF36" s="31">
        <f>IF(RIGHT(DF37,1)="1",DF37-7,DF37-1)</f>
        <v>20221</v>
      </c>
      <c r="DG36" s="15"/>
      <c r="DH36" s="16"/>
      <c r="DI36" s="16"/>
      <c r="DJ36" s="16"/>
      <c r="DK36" s="16"/>
      <c r="DL36" s="16"/>
      <c r="DM36" s="13"/>
      <c r="DN36" s="33" t="str">
        <f t="shared" si="101"/>
        <v/>
      </c>
      <c r="DO36" s="33" t="str">
        <f t="shared" si="102"/>
        <v/>
      </c>
      <c r="DP36" s="33" t="str">
        <f t="shared" si="103"/>
        <v/>
      </c>
      <c r="DQ36" s="33" t="str">
        <f t="shared" si="104"/>
        <v/>
      </c>
      <c r="DR36" s="33" t="str">
        <f t="shared" si="105"/>
        <v/>
      </c>
      <c r="DS36" s="13"/>
      <c r="DT36" s="55">
        <f t="shared" si="106"/>
        <v>0</v>
      </c>
      <c r="DU36" s="55">
        <f t="shared" si="107"/>
        <v>0</v>
      </c>
      <c r="DV36" s="56">
        <f t="shared" si="108"/>
        <v>0</v>
      </c>
      <c r="DW36" s="56">
        <f t="shared" si="109"/>
        <v>0</v>
      </c>
      <c r="DX36" s="31">
        <f>IF(RIGHT(DX37,1)="1",DX37-7,DX37-1)</f>
        <v>20221</v>
      </c>
      <c r="DY36" s="15"/>
      <c r="DZ36" s="16"/>
      <c r="EA36" s="16"/>
      <c r="EB36" s="16"/>
      <c r="EC36" s="16"/>
      <c r="ED36" s="16"/>
      <c r="EE36" s="13"/>
      <c r="EF36" s="33" t="str">
        <f t="shared" si="110"/>
        <v/>
      </c>
      <c r="EG36" s="33" t="str">
        <f t="shared" si="111"/>
        <v/>
      </c>
      <c r="EH36" s="33" t="str">
        <f t="shared" si="112"/>
        <v/>
      </c>
      <c r="EI36" s="33" t="str">
        <f t="shared" si="113"/>
        <v/>
      </c>
      <c r="EJ36" s="33" t="str">
        <f t="shared" si="114"/>
        <v/>
      </c>
      <c r="EK36" s="13"/>
      <c r="EL36" s="55">
        <f t="shared" si="115"/>
        <v>0</v>
      </c>
      <c r="EM36" s="55">
        <f t="shared" si="116"/>
        <v>0</v>
      </c>
      <c r="EN36" s="56">
        <f t="shared" si="117"/>
        <v>0</v>
      </c>
      <c r="EO36" s="56">
        <f t="shared" si="118"/>
        <v>0</v>
      </c>
      <c r="EP36" s="31">
        <f>IF(RIGHT(EP37,1)="1",EP37-7,EP37-1)</f>
        <v>20221</v>
      </c>
      <c r="EQ36" s="15"/>
      <c r="ER36" s="16"/>
      <c r="ES36" s="16"/>
      <c r="ET36" s="16"/>
      <c r="EU36" s="16"/>
      <c r="EV36" s="16"/>
      <c r="EW36" s="13"/>
      <c r="EX36" s="33" t="str">
        <f t="shared" si="119"/>
        <v/>
      </c>
      <c r="EY36" s="33" t="str">
        <f t="shared" si="120"/>
        <v/>
      </c>
      <c r="EZ36" s="33" t="str">
        <f t="shared" si="121"/>
        <v/>
      </c>
      <c r="FA36" s="33" t="str">
        <f t="shared" si="122"/>
        <v/>
      </c>
      <c r="FB36" s="33" t="str">
        <f t="shared" si="123"/>
        <v/>
      </c>
      <c r="FC36" s="13"/>
      <c r="FD36" s="55">
        <f t="shared" si="124"/>
        <v>0</v>
      </c>
      <c r="FE36" s="55">
        <f t="shared" si="125"/>
        <v>0</v>
      </c>
      <c r="FF36" s="56">
        <f t="shared" si="126"/>
        <v>0</v>
      </c>
      <c r="FG36" s="56">
        <f t="shared" si="127"/>
        <v>0</v>
      </c>
      <c r="FH36" s="31">
        <f>IF(RIGHT(FH37,1)="1",FH37-7,FH37-1)</f>
        <v>20221</v>
      </c>
      <c r="FI36" s="15"/>
      <c r="FJ36" s="16"/>
      <c r="FK36" s="16"/>
      <c r="FL36" s="16"/>
      <c r="FM36" s="16"/>
      <c r="FN36" s="16"/>
      <c r="FO36" s="13"/>
      <c r="FP36" s="33" t="str">
        <f t="shared" si="128"/>
        <v/>
      </c>
      <c r="FQ36" s="33" t="str">
        <f t="shared" si="129"/>
        <v/>
      </c>
      <c r="FR36" s="33" t="str">
        <f t="shared" si="130"/>
        <v/>
      </c>
      <c r="FS36" s="33" t="str">
        <f t="shared" si="131"/>
        <v/>
      </c>
      <c r="FT36" s="33" t="str">
        <f t="shared" si="132"/>
        <v/>
      </c>
      <c r="FU36" s="13"/>
      <c r="FV36" s="55">
        <f t="shared" si="133"/>
        <v>0</v>
      </c>
      <c r="FW36" s="55">
        <f t="shared" si="134"/>
        <v>0</v>
      </c>
      <c r="FX36" s="56">
        <f t="shared" si="135"/>
        <v>0</v>
      </c>
      <c r="FY36" s="56">
        <f t="shared" si="136"/>
        <v>0</v>
      </c>
    </row>
    <row r="37" spans="1:181" x14ac:dyDescent="0.25">
      <c r="A37" s="25">
        <v>27</v>
      </c>
      <c r="B37" s="31">
        <f>FYQtr</f>
        <v>20222</v>
      </c>
      <c r="C37" s="6"/>
      <c r="D37" s="16">
        <v>67078.44</v>
      </c>
      <c r="E37" s="16">
        <v>644</v>
      </c>
      <c r="F37" s="16">
        <v>1331</v>
      </c>
      <c r="G37" s="16">
        <v>24630221.5</v>
      </c>
      <c r="H37" s="16">
        <v>37211999.459999993</v>
      </c>
      <c r="I37" s="13"/>
      <c r="J37" s="33">
        <f t="shared" si="47"/>
        <v>269985.01</v>
      </c>
      <c r="K37" s="33">
        <f t="shared" si="48"/>
        <v>2924</v>
      </c>
      <c r="L37" s="33">
        <f t="shared" si="49"/>
        <v>5509</v>
      </c>
      <c r="M37" s="33">
        <f t="shared" si="50"/>
        <v>109232486.27000001</v>
      </c>
      <c r="N37" s="33">
        <f t="shared" si="51"/>
        <v>121946916.89999999</v>
      </c>
      <c r="O37" s="13"/>
      <c r="P37" s="55">
        <f t="shared" si="52"/>
        <v>1.0830230908004854</v>
      </c>
      <c r="Q37" s="55">
        <f t="shared" si="53"/>
        <v>2.0404836549999574</v>
      </c>
      <c r="R37" s="56">
        <f t="shared" si="54"/>
        <v>37357.211446648427</v>
      </c>
      <c r="S37" s="56">
        <f t="shared" si="55"/>
        <v>41705.511935704511</v>
      </c>
      <c r="T37" s="31">
        <f>$B$37</f>
        <v>20222</v>
      </c>
      <c r="U37" s="6"/>
      <c r="V37" s="16"/>
      <c r="W37" s="16"/>
      <c r="X37" s="16"/>
      <c r="Y37" s="16"/>
      <c r="Z37" s="16"/>
      <c r="AA37" s="13"/>
      <c r="AB37" s="33" t="str">
        <f t="shared" si="56"/>
        <v/>
      </c>
      <c r="AC37" s="33" t="str">
        <f t="shared" si="57"/>
        <v/>
      </c>
      <c r="AD37" s="33" t="str">
        <f t="shared" si="58"/>
        <v/>
      </c>
      <c r="AE37" s="33" t="str">
        <f t="shared" si="59"/>
        <v/>
      </c>
      <c r="AF37" s="33" t="str">
        <f t="shared" si="60"/>
        <v/>
      </c>
      <c r="AG37" s="13"/>
      <c r="AH37" s="55">
        <f t="shared" si="61"/>
        <v>0</v>
      </c>
      <c r="AI37" s="55">
        <f t="shared" si="62"/>
        <v>0</v>
      </c>
      <c r="AJ37" s="56">
        <f t="shared" si="63"/>
        <v>0</v>
      </c>
      <c r="AK37" s="56">
        <f t="shared" si="64"/>
        <v>0</v>
      </c>
      <c r="AL37" s="31">
        <f>$B$37</f>
        <v>20222</v>
      </c>
      <c r="AM37" s="6"/>
      <c r="AN37" s="16"/>
      <c r="AO37" s="16"/>
      <c r="AP37" s="16"/>
      <c r="AQ37" s="16"/>
      <c r="AR37" s="16"/>
      <c r="AS37" s="13"/>
      <c r="AT37" s="33" t="str">
        <f t="shared" si="65"/>
        <v/>
      </c>
      <c r="AU37" s="33" t="str">
        <f t="shared" si="66"/>
        <v/>
      </c>
      <c r="AV37" s="33" t="str">
        <f t="shared" si="67"/>
        <v/>
      </c>
      <c r="AW37" s="33" t="str">
        <f t="shared" si="68"/>
        <v/>
      </c>
      <c r="AX37" s="33" t="str">
        <f t="shared" si="69"/>
        <v/>
      </c>
      <c r="AY37" s="13"/>
      <c r="AZ37" s="55">
        <f t="shared" si="70"/>
        <v>0</v>
      </c>
      <c r="BA37" s="55">
        <f t="shared" si="71"/>
        <v>0</v>
      </c>
      <c r="BB37" s="56">
        <f t="shared" si="72"/>
        <v>0</v>
      </c>
      <c r="BC37" s="56">
        <f t="shared" si="73"/>
        <v>0</v>
      </c>
      <c r="BD37" s="31">
        <f>$B$37</f>
        <v>20222</v>
      </c>
      <c r="BE37" s="6"/>
      <c r="BF37" s="16"/>
      <c r="BG37" s="16"/>
      <c r="BH37" s="16"/>
      <c r="BI37" s="16"/>
      <c r="BJ37" s="16"/>
      <c r="BK37" s="13"/>
      <c r="BL37" s="33" t="str">
        <f t="shared" si="74"/>
        <v/>
      </c>
      <c r="BM37" s="33" t="str">
        <f t="shared" si="75"/>
        <v/>
      </c>
      <c r="BN37" s="33" t="str">
        <f t="shared" si="76"/>
        <v/>
      </c>
      <c r="BO37" s="33" t="str">
        <f t="shared" si="77"/>
        <v/>
      </c>
      <c r="BP37" s="33" t="str">
        <f t="shared" si="78"/>
        <v/>
      </c>
      <c r="BQ37" s="13"/>
      <c r="BR37" s="55">
        <f t="shared" si="79"/>
        <v>0</v>
      </c>
      <c r="BS37" s="55">
        <f t="shared" si="80"/>
        <v>0</v>
      </c>
      <c r="BT37" s="56">
        <f t="shared" si="81"/>
        <v>0</v>
      </c>
      <c r="BU37" s="56">
        <f t="shared" si="82"/>
        <v>0</v>
      </c>
      <c r="BV37" s="31">
        <f>$B$37</f>
        <v>20222</v>
      </c>
      <c r="BW37" s="6"/>
      <c r="BX37" s="16"/>
      <c r="BY37" s="16"/>
      <c r="BZ37" s="16"/>
      <c r="CA37" s="16"/>
      <c r="CB37" s="16"/>
      <c r="CC37" s="13"/>
      <c r="CD37" s="33" t="str">
        <f t="shared" si="83"/>
        <v/>
      </c>
      <c r="CE37" s="33" t="str">
        <f t="shared" si="84"/>
        <v/>
      </c>
      <c r="CF37" s="33" t="str">
        <f t="shared" si="85"/>
        <v/>
      </c>
      <c r="CG37" s="33" t="str">
        <f t="shared" si="86"/>
        <v/>
      </c>
      <c r="CH37" s="33" t="str">
        <f t="shared" si="87"/>
        <v/>
      </c>
      <c r="CI37" s="13"/>
      <c r="CJ37" s="55">
        <f t="shared" si="88"/>
        <v>0</v>
      </c>
      <c r="CK37" s="55">
        <f t="shared" si="89"/>
        <v>0</v>
      </c>
      <c r="CL37" s="56">
        <f t="shared" si="90"/>
        <v>0</v>
      </c>
      <c r="CM37" s="56">
        <f t="shared" si="91"/>
        <v>0</v>
      </c>
      <c r="CN37" s="31">
        <f>$B$37</f>
        <v>20222</v>
      </c>
      <c r="CO37" s="6"/>
      <c r="CP37" s="16"/>
      <c r="CQ37" s="16"/>
      <c r="CR37" s="16"/>
      <c r="CS37" s="16"/>
      <c r="CT37" s="16"/>
      <c r="CU37" s="13"/>
      <c r="CV37" s="33" t="str">
        <f t="shared" si="92"/>
        <v/>
      </c>
      <c r="CW37" s="33" t="str">
        <f t="shared" si="93"/>
        <v/>
      </c>
      <c r="CX37" s="33" t="str">
        <f t="shared" si="94"/>
        <v/>
      </c>
      <c r="CY37" s="33" t="str">
        <f t="shared" si="95"/>
        <v/>
      </c>
      <c r="CZ37" s="33" t="str">
        <f t="shared" si="96"/>
        <v/>
      </c>
      <c r="DA37" s="13"/>
      <c r="DB37" s="55">
        <f t="shared" si="97"/>
        <v>0</v>
      </c>
      <c r="DC37" s="55">
        <f t="shared" si="98"/>
        <v>0</v>
      </c>
      <c r="DD37" s="56">
        <f t="shared" si="99"/>
        <v>0</v>
      </c>
      <c r="DE37" s="56">
        <f t="shared" si="100"/>
        <v>0</v>
      </c>
      <c r="DF37" s="31">
        <f>$B$37</f>
        <v>20222</v>
      </c>
      <c r="DG37" s="6"/>
      <c r="DH37" s="16"/>
      <c r="DI37" s="16"/>
      <c r="DJ37" s="16"/>
      <c r="DK37" s="16"/>
      <c r="DL37" s="16"/>
      <c r="DM37" s="13"/>
      <c r="DN37" s="33" t="str">
        <f t="shared" si="101"/>
        <v/>
      </c>
      <c r="DO37" s="33" t="str">
        <f t="shared" si="102"/>
        <v/>
      </c>
      <c r="DP37" s="33" t="str">
        <f t="shared" si="103"/>
        <v/>
      </c>
      <c r="DQ37" s="33" t="str">
        <f t="shared" si="104"/>
        <v/>
      </c>
      <c r="DR37" s="33" t="str">
        <f t="shared" si="105"/>
        <v/>
      </c>
      <c r="DS37" s="13"/>
      <c r="DT37" s="55">
        <f t="shared" si="106"/>
        <v>0</v>
      </c>
      <c r="DU37" s="55">
        <f t="shared" si="107"/>
        <v>0</v>
      </c>
      <c r="DV37" s="56">
        <f t="shared" si="108"/>
        <v>0</v>
      </c>
      <c r="DW37" s="56">
        <f t="shared" si="109"/>
        <v>0</v>
      </c>
      <c r="DX37" s="31">
        <f>$B$37</f>
        <v>20222</v>
      </c>
      <c r="DY37" s="6"/>
      <c r="DZ37" s="16"/>
      <c r="EA37" s="16"/>
      <c r="EB37" s="16"/>
      <c r="EC37" s="16"/>
      <c r="ED37" s="16"/>
      <c r="EE37" s="13"/>
      <c r="EF37" s="33" t="str">
        <f t="shared" si="110"/>
        <v/>
      </c>
      <c r="EG37" s="33" t="str">
        <f t="shared" si="111"/>
        <v/>
      </c>
      <c r="EH37" s="33" t="str">
        <f t="shared" si="112"/>
        <v/>
      </c>
      <c r="EI37" s="33" t="str">
        <f t="shared" si="113"/>
        <v/>
      </c>
      <c r="EJ37" s="33" t="str">
        <f t="shared" si="114"/>
        <v/>
      </c>
      <c r="EK37" s="13"/>
      <c r="EL37" s="55">
        <f t="shared" si="115"/>
        <v>0</v>
      </c>
      <c r="EM37" s="55">
        <f t="shared" si="116"/>
        <v>0</v>
      </c>
      <c r="EN37" s="56">
        <f t="shared" si="117"/>
        <v>0</v>
      </c>
      <c r="EO37" s="56">
        <f t="shared" si="118"/>
        <v>0</v>
      </c>
      <c r="EP37" s="31">
        <f>$B$37</f>
        <v>20222</v>
      </c>
      <c r="EQ37" s="6"/>
      <c r="ER37" s="16"/>
      <c r="ES37" s="16"/>
      <c r="ET37" s="16"/>
      <c r="EU37" s="16"/>
      <c r="EV37" s="16"/>
      <c r="EW37" s="13"/>
      <c r="EX37" s="33" t="str">
        <f t="shared" si="119"/>
        <v/>
      </c>
      <c r="EY37" s="33" t="str">
        <f t="shared" si="120"/>
        <v/>
      </c>
      <c r="EZ37" s="33" t="str">
        <f t="shared" si="121"/>
        <v/>
      </c>
      <c r="FA37" s="33" t="str">
        <f t="shared" si="122"/>
        <v/>
      </c>
      <c r="FB37" s="33" t="str">
        <f t="shared" si="123"/>
        <v/>
      </c>
      <c r="FC37" s="13"/>
      <c r="FD37" s="55">
        <f t="shared" si="124"/>
        <v>0</v>
      </c>
      <c r="FE37" s="55">
        <f t="shared" si="125"/>
        <v>0</v>
      </c>
      <c r="FF37" s="56">
        <f t="shared" si="126"/>
        <v>0</v>
      </c>
      <c r="FG37" s="56">
        <f t="shared" si="127"/>
        <v>0</v>
      </c>
      <c r="FH37" s="31">
        <f>$B$37</f>
        <v>20222</v>
      </c>
      <c r="FI37" s="6"/>
      <c r="FJ37" s="16"/>
      <c r="FK37" s="16"/>
      <c r="FL37" s="16"/>
      <c r="FM37" s="16"/>
      <c r="FN37" s="16"/>
      <c r="FO37" s="13"/>
      <c r="FP37" s="33" t="str">
        <f t="shared" si="128"/>
        <v/>
      </c>
      <c r="FQ37" s="33" t="str">
        <f t="shared" si="129"/>
        <v/>
      </c>
      <c r="FR37" s="33" t="str">
        <f t="shared" si="130"/>
        <v/>
      </c>
      <c r="FS37" s="33" t="str">
        <f t="shared" si="131"/>
        <v/>
      </c>
      <c r="FT37" s="33" t="str">
        <f t="shared" si="132"/>
        <v/>
      </c>
      <c r="FU37" s="13"/>
      <c r="FV37" s="55">
        <f t="shared" si="133"/>
        <v>0</v>
      </c>
      <c r="FW37" s="55">
        <f t="shared" si="134"/>
        <v>0</v>
      </c>
      <c r="FX37" s="56">
        <f t="shared" si="135"/>
        <v>0</v>
      </c>
      <c r="FY37" s="56">
        <f t="shared" si="136"/>
        <v>0</v>
      </c>
    </row>
    <row r="38" spans="1:181" ht="15.75" thickBot="1" x14ac:dyDescent="0.3">
      <c r="D38" t="s">
        <v>190</v>
      </c>
      <c r="V38" t="s">
        <v>190</v>
      </c>
      <c r="AN38" t="s">
        <v>190</v>
      </c>
      <c r="BF38" t="s">
        <v>190</v>
      </c>
      <c r="BX38" t="s">
        <v>190</v>
      </c>
      <c r="CP38" t="s">
        <v>190</v>
      </c>
      <c r="DH38" t="s">
        <v>190</v>
      </c>
      <c r="DZ38" t="s">
        <v>190</v>
      </c>
      <c r="ER38" t="s">
        <v>190</v>
      </c>
      <c r="FJ38" t="s">
        <v>190</v>
      </c>
    </row>
    <row r="39" spans="1:181" ht="15.75" thickBot="1" x14ac:dyDescent="0.3">
      <c r="B39" s="135" t="str">
        <f>_xlfn.IFNA(_xlfn.IFS($D$40&lt;&gt;'2.Exhibit 5'!$D$40,"ERROR! The number of data points selected must be the same for premium trend and loss trend.",(AND(ISNUMBER(SEARCH("Private Passenger Auto",B2)),D40&lt;&gt;D95)),"ERROR! Selected trend periods for company data and complement data are different. They must be the same.",(AND(ISERROR(SEARCH("Private Passenger Auto",B2)),D40&lt;&gt;D95)),"WARNING! Selected trend periods for company data and complement data are different. Justify the difference in Filing Memorandum or make them the same."),"")</f>
        <v>WARNING! Selected trend periods for company data and complement data are different. Justify the difference in Filing Memorandum or make them the same.</v>
      </c>
      <c r="J39" s="54"/>
      <c r="K39" s="54"/>
      <c r="L39" s="54"/>
      <c r="M39" s="54"/>
      <c r="N39" s="216" t="s">
        <v>168</v>
      </c>
      <c r="O39" s="214"/>
      <c r="P39" s="215"/>
      <c r="Q39" s="73"/>
      <c r="R39" s="73"/>
      <c r="S39" s="74"/>
      <c r="T39" s="135" t="str">
        <f>_xlfn.IFNA(_xlfn.IFS($V$40&lt;&gt;'2.Exhibit 5'!$O$40,"ERROR! The number of data points selected must be the same for premium trend and loss trend.",(AND(ISNUMBER(SEARCH("Private Passenger Auto",T2)),V40&lt;&gt;V95)),"ERROR! Selected trend periods for company data and complement data are different. They must be the same.",(AND(ISERROR(SEARCH("Private Passenger Auto",T2)),V40&lt;&gt;V95)),"WARNING! Selected trend periods for company data and complement data are different. Justify the difference in Filing Memorandum or make them the same."),"")</f>
        <v/>
      </c>
      <c r="AB39" s="54"/>
      <c r="AC39" s="54"/>
      <c r="AD39" s="54"/>
      <c r="AE39" s="54"/>
      <c r="AF39" s="216" t="s">
        <v>168</v>
      </c>
      <c r="AG39" s="214"/>
      <c r="AH39" s="215"/>
      <c r="AI39" s="73"/>
      <c r="AJ39" s="73"/>
      <c r="AK39" s="74"/>
      <c r="AL39" s="135" t="str">
        <f>_xlfn.IFNA(_xlfn.IFS($AN$40&lt;&gt;'2.Exhibit 5'!$Z$40,"ERROR! The number of data points selected must be the same for premium trend and loss trend.",(AND(ISNUMBER(SEARCH("Private Passenger Auto",AL2)),AN40&lt;&gt;AN95)),"ERROR! Selected trend periods for company data and complement data are different. They must be the same.",(AND(ISERROR(SEARCH("Private Passenger Auto",AL2)),AN40&lt;&gt;AN95)),"WARNING! Selected trend periods for company data and complement data are different. Justify the difference in Filing Memorandum or make them the same."),"")</f>
        <v/>
      </c>
      <c r="AT39" s="60"/>
      <c r="AU39" s="60"/>
      <c r="AV39" s="60"/>
      <c r="AW39" s="60"/>
      <c r="AX39" s="216" t="s">
        <v>168</v>
      </c>
      <c r="AY39" s="214"/>
      <c r="AZ39" s="215"/>
      <c r="BA39" s="73"/>
      <c r="BB39" s="73"/>
      <c r="BC39" s="74"/>
      <c r="BD39" s="135" t="str">
        <f>_xlfn.IFNA(_xlfn.IFS($BF$40&lt;&gt;'2.Exhibit 5'!$AK$40,"ERROR! The number of data points selected must be the same for premium trend and loss trend.",(AND(ISNUMBER(SEARCH("Private Passenger Auto",BD2)),BF40&lt;&gt;BF95)),"ERROR! Selected trend periods for company data and complement data are different. They must be the same.",(AND(ISERROR(SEARCH("Private Passenger Auto",BD2)),BF40&lt;&gt;BF95)),"WARNING! Selected trend periods for company data and complement data are different. Justify the difference in Filing Memorandum or make them the same."),"")</f>
        <v/>
      </c>
      <c r="BL39" s="60"/>
      <c r="BM39" s="60"/>
      <c r="BN39" s="60"/>
      <c r="BO39" s="60"/>
      <c r="BP39" s="216" t="s">
        <v>168</v>
      </c>
      <c r="BQ39" s="214"/>
      <c r="BR39" s="215"/>
      <c r="BS39" s="73"/>
      <c r="BT39" s="73"/>
      <c r="BU39" s="74"/>
      <c r="BV39" s="135" t="str">
        <f>_xlfn.IFNA(_xlfn.IFS($BX$40&lt;&gt;'2.Exhibit 5'!$AV$40,"ERROR! The number of data points selected must be the same for premium trend and loss trend.",(AND(ISNUMBER(SEARCH("Private Passenger Auto",BV2)),BX40&lt;&gt;BX95)),"ERROR! Selected trend periods for company data and complement data are different. They must be the same.",(AND(ISERROR(SEARCH("Private Passenger Auto",BV2)),BX40&lt;&gt;BX95)),"WARNING! Selected trend periods for company data and complement data are different. Justify the difference in Filing Memorandum or make them the same."),"")</f>
        <v/>
      </c>
      <c r="CD39" s="54"/>
      <c r="CE39" s="54"/>
      <c r="CF39" s="54"/>
      <c r="CG39" s="54"/>
      <c r="CH39" s="216" t="s">
        <v>168</v>
      </c>
      <c r="CI39" s="214"/>
      <c r="CJ39" s="215"/>
      <c r="CK39" s="73"/>
      <c r="CL39" s="73"/>
      <c r="CM39" s="74"/>
      <c r="CN39" s="135" t="str">
        <f>_xlfn.IFNA(_xlfn.IFS($CP$40&lt;&gt;'2.Exhibit 5'!$BG$40,"ERROR! The number of data points selected must be the same for premium trend and loss trend.",(AND(ISNUMBER(SEARCH("Private Passenger Auto",CN2)),CP40&lt;&gt;CP95)),"ERROR! Selected trend periods for company data and complement data are different. They must be the same.",(AND(ISERROR(SEARCH("Private Passenger Auto",CN2)),CP40&lt;&gt;CP95)),"WARNING! Selected trend periods for company data and complement data are different. Justify the difference in Filing Memorandum or make them the same."),"")</f>
        <v/>
      </c>
      <c r="CV39" s="54"/>
      <c r="CW39" s="54"/>
      <c r="CX39" s="54"/>
      <c r="CY39" s="54"/>
      <c r="CZ39" s="216" t="s">
        <v>168</v>
      </c>
      <c r="DA39" s="214"/>
      <c r="DB39" s="215"/>
      <c r="DC39" s="73"/>
      <c r="DD39" s="73"/>
      <c r="DE39" s="74"/>
      <c r="DF39" s="135" t="str">
        <f>_xlfn.IFNA(_xlfn.IFS($DH$40&lt;&gt;'2.Exhibit 5'!$BR$40,"ERROR! The number of data points selected must be the same for premium trend and loss trend.",(AND(ISNUMBER(SEARCH("Private Passenger Auto",DF2)),DH40&lt;&gt;DH95)),"ERROR! Selected trend periods for company data and complement data are different. They must be the same.",(AND(ISERROR(SEARCH("Private Passenger Auto",DF2)),DH40&lt;&gt;DH95)),"WARNING! Selected trend periods for company data and complement data are different. Justify the difference in Filing Memorandum or make them the same."),"")</f>
        <v/>
      </c>
      <c r="DN39" s="60"/>
      <c r="DO39" s="60"/>
      <c r="DP39" s="60"/>
      <c r="DQ39" s="60"/>
      <c r="DR39" s="216" t="s">
        <v>168</v>
      </c>
      <c r="DS39" s="214"/>
      <c r="DT39" s="215"/>
      <c r="DU39" s="73"/>
      <c r="DV39" s="73"/>
      <c r="DW39" s="74"/>
      <c r="DX39" s="135" t="str">
        <f>_xlfn.IFNA(_xlfn.IFS($DZ$40&lt;&gt;'2.Exhibit 5'!$CC$40,"ERROR! The number of data points selected must be the same for premium trend and loss trend.",(AND(ISNUMBER(SEARCH("Private Passenger Auto",DX2)),DZ40&lt;&gt;DZ95)),"ERROR! Selected trend periods for company data and complement data are different. They must be the same.",(AND(ISERROR(SEARCH("Private Passenger Auto",DX2)),DZ40&lt;&gt;DZ95)),"WARNING! Selected trend periods for company data and complement data are different. Justify the difference in Filing Memorandum or make them the same."),"")</f>
        <v/>
      </c>
      <c r="EF39" s="79"/>
      <c r="EG39" s="79"/>
      <c r="EH39" s="79"/>
      <c r="EI39" s="79"/>
      <c r="EJ39" s="216" t="s">
        <v>168</v>
      </c>
      <c r="EK39" s="214"/>
      <c r="EL39" s="215"/>
      <c r="EM39" s="73"/>
      <c r="EN39" s="73"/>
      <c r="EO39" s="74"/>
      <c r="EP39" s="135" t="str">
        <f>_xlfn.IFNA(_xlfn.IFS($ER$40&lt;&gt;'2.Exhibit 5'!$CN$40,"ERROR! The number of data points selected must be the same for premium trend and loss trend.",(AND(ISNUMBER(SEARCH("Private Passenger Auto",EP2)),ER40&lt;&gt;ER95)),"ERROR! Selected trend periods for company data and complement data are different. They must be the same.",(AND(ISERROR(SEARCH("Private Passenger Auto",EP2)),ER40&lt;&gt;ER95)),"WARNING! Selected trend periods for company data and complement data are different. Justify the difference in Filing Memorandum or make them the same."),"")</f>
        <v/>
      </c>
      <c r="EX39" s="78"/>
      <c r="EY39" s="78"/>
      <c r="EZ39" s="78"/>
      <c r="FA39" s="78"/>
      <c r="FB39" s="216" t="s">
        <v>168</v>
      </c>
      <c r="FC39" s="214"/>
      <c r="FD39" s="215"/>
      <c r="FE39" s="73"/>
      <c r="FF39" s="73"/>
      <c r="FG39" s="74"/>
      <c r="FH39" s="135" t="str">
        <f>_xlfn.IFNA(_xlfn.IFS($FJ$40&lt;&gt;'2.Exhibit 5'!$CY$40,"ERROR! The number of data points selected must be the same for premium trend and loss trend.",(AND(ISNUMBER(SEARCH("Private Passenger Auto",FH2)),FJ40&lt;&gt;FJ95)),"ERROR! Selected trend periods for company data and complement data are different. They must be the same.",(AND(ISERROR(SEARCH("Private Passenger Auto",FH2)),FJ40&lt;&gt;FJ95)),"WARNING! Selected trend periods for company data and complement data are different. Justify the difference in Filing Memorandum or make them the same."),"")</f>
        <v/>
      </c>
      <c r="FP39" s="54"/>
      <c r="FQ39" s="54"/>
      <c r="FR39" s="54"/>
      <c r="FS39" s="54"/>
      <c r="FT39" s="216" t="s">
        <v>168</v>
      </c>
      <c r="FU39" s="214"/>
      <c r="FV39" s="215"/>
      <c r="FW39" s="73"/>
      <c r="FX39" s="73"/>
      <c r="FY39" s="74"/>
    </row>
    <row r="40" spans="1:181" ht="45" x14ac:dyDescent="0.25">
      <c r="B40" s="61" t="s">
        <v>12</v>
      </c>
      <c r="C40" s="25"/>
      <c r="D40" s="23" t="s">
        <v>9</v>
      </c>
      <c r="E40" s="62" t="s">
        <v>31</v>
      </c>
      <c r="F40" s="65" t="s">
        <v>170</v>
      </c>
      <c r="G40" s="64" t="s">
        <v>32</v>
      </c>
      <c r="H40" s="66" t="s">
        <v>34</v>
      </c>
      <c r="J40" s="54"/>
      <c r="K40" s="54"/>
      <c r="L40" s="54"/>
      <c r="M40" s="54"/>
      <c r="N40" s="213"/>
      <c r="O40" s="4"/>
      <c r="P40" s="57" t="s">
        <v>24</v>
      </c>
      <c r="Q40" s="57" t="s">
        <v>25</v>
      </c>
      <c r="R40" s="57" t="s">
        <v>26</v>
      </c>
      <c r="S40" s="76" t="s">
        <v>169</v>
      </c>
      <c r="T40" s="61" t="s">
        <v>12</v>
      </c>
      <c r="U40" s="25"/>
      <c r="V40" s="23"/>
      <c r="W40" s="62" t="s">
        <v>31</v>
      </c>
      <c r="X40" s="65" t="s">
        <v>170</v>
      </c>
      <c r="Y40" s="64" t="s">
        <v>32</v>
      </c>
      <c r="Z40" s="66" t="s">
        <v>34</v>
      </c>
      <c r="AB40" s="54"/>
      <c r="AC40" s="54"/>
      <c r="AD40" s="54"/>
      <c r="AE40" s="54"/>
      <c r="AF40" s="213"/>
      <c r="AG40" s="4"/>
      <c r="AH40" s="57" t="s">
        <v>24</v>
      </c>
      <c r="AI40" s="57" t="s">
        <v>25</v>
      </c>
      <c r="AJ40" s="57" t="s">
        <v>26</v>
      </c>
      <c r="AK40" s="76" t="s">
        <v>169</v>
      </c>
      <c r="AL40" s="61" t="s">
        <v>12</v>
      </c>
      <c r="AM40" s="25"/>
      <c r="AN40" s="23"/>
      <c r="AO40" s="62" t="s">
        <v>31</v>
      </c>
      <c r="AP40" s="65" t="s">
        <v>170</v>
      </c>
      <c r="AQ40" s="64" t="s">
        <v>32</v>
      </c>
      <c r="AR40" s="66" t="s">
        <v>34</v>
      </c>
      <c r="AT40" s="60"/>
      <c r="AU40" s="60"/>
      <c r="AV40" s="60"/>
      <c r="AW40" s="60"/>
      <c r="AX40" s="213"/>
      <c r="AY40" s="4"/>
      <c r="AZ40" s="57" t="s">
        <v>24</v>
      </c>
      <c r="BA40" s="57" t="s">
        <v>25</v>
      </c>
      <c r="BB40" s="57" t="s">
        <v>26</v>
      </c>
      <c r="BC40" s="76" t="s">
        <v>169</v>
      </c>
      <c r="BD40" s="61" t="s">
        <v>12</v>
      </c>
      <c r="BE40" s="25"/>
      <c r="BF40" s="23"/>
      <c r="BG40" s="62" t="s">
        <v>31</v>
      </c>
      <c r="BH40" s="65" t="s">
        <v>170</v>
      </c>
      <c r="BI40" s="64" t="s">
        <v>32</v>
      </c>
      <c r="BJ40" s="66" t="s">
        <v>34</v>
      </c>
      <c r="BL40" s="60"/>
      <c r="BM40" s="60"/>
      <c r="BN40" s="60"/>
      <c r="BO40" s="60"/>
      <c r="BP40" s="213"/>
      <c r="BQ40" s="4"/>
      <c r="BR40" s="57" t="s">
        <v>24</v>
      </c>
      <c r="BS40" s="57" t="s">
        <v>25</v>
      </c>
      <c r="BT40" s="57" t="s">
        <v>26</v>
      </c>
      <c r="BU40" s="76" t="s">
        <v>169</v>
      </c>
      <c r="BV40" s="61" t="s">
        <v>12</v>
      </c>
      <c r="BW40" s="25"/>
      <c r="BX40" s="23"/>
      <c r="BY40" s="62" t="s">
        <v>31</v>
      </c>
      <c r="BZ40" s="65" t="s">
        <v>170</v>
      </c>
      <c r="CA40" s="64" t="s">
        <v>32</v>
      </c>
      <c r="CB40" s="66" t="s">
        <v>34</v>
      </c>
      <c r="CD40" s="54"/>
      <c r="CE40" s="54"/>
      <c r="CF40" s="54"/>
      <c r="CG40" s="54"/>
      <c r="CH40" s="213"/>
      <c r="CI40" s="4"/>
      <c r="CJ40" s="57" t="s">
        <v>24</v>
      </c>
      <c r="CK40" s="57" t="s">
        <v>25</v>
      </c>
      <c r="CL40" s="57" t="s">
        <v>26</v>
      </c>
      <c r="CM40" s="76" t="s">
        <v>169</v>
      </c>
      <c r="CN40" s="61" t="s">
        <v>12</v>
      </c>
      <c r="CO40" s="25"/>
      <c r="CP40" s="23"/>
      <c r="CQ40" s="62" t="s">
        <v>31</v>
      </c>
      <c r="CR40" s="65" t="s">
        <v>170</v>
      </c>
      <c r="CS40" s="64" t="s">
        <v>32</v>
      </c>
      <c r="CT40" s="66" t="s">
        <v>34</v>
      </c>
      <c r="CV40" s="54"/>
      <c r="CW40" s="54"/>
      <c r="CX40" s="54"/>
      <c r="CY40" s="54"/>
      <c r="CZ40" s="213"/>
      <c r="DA40" s="4"/>
      <c r="DB40" s="57" t="s">
        <v>24</v>
      </c>
      <c r="DC40" s="57" t="s">
        <v>25</v>
      </c>
      <c r="DD40" s="57" t="s">
        <v>26</v>
      </c>
      <c r="DE40" s="76" t="s">
        <v>169</v>
      </c>
      <c r="DF40" s="61" t="s">
        <v>12</v>
      </c>
      <c r="DG40" s="25"/>
      <c r="DH40" s="23"/>
      <c r="DI40" s="62" t="s">
        <v>31</v>
      </c>
      <c r="DJ40" s="65" t="s">
        <v>170</v>
      </c>
      <c r="DK40" s="64" t="s">
        <v>32</v>
      </c>
      <c r="DL40" s="66" t="s">
        <v>34</v>
      </c>
      <c r="DN40" s="60"/>
      <c r="DO40" s="60"/>
      <c r="DP40" s="60"/>
      <c r="DQ40" s="60"/>
      <c r="DR40" s="213"/>
      <c r="DS40" s="4"/>
      <c r="DT40" s="57" t="s">
        <v>24</v>
      </c>
      <c r="DU40" s="57" t="s">
        <v>25</v>
      </c>
      <c r="DV40" s="57" t="s">
        <v>26</v>
      </c>
      <c r="DW40" s="76" t="s">
        <v>169</v>
      </c>
      <c r="DX40" s="61" t="s">
        <v>12</v>
      </c>
      <c r="DY40" s="25"/>
      <c r="DZ40" s="23"/>
      <c r="EA40" s="62" t="s">
        <v>31</v>
      </c>
      <c r="EB40" s="65" t="s">
        <v>170</v>
      </c>
      <c r="EC40" s="64" t="s">
        <v>32</v>
      </c>
      <c r="ED40" s="66" t="s">
        <v>34</v>
      </c>
      <c r="EF40" s="79"/>
      <c r="EG40" s="79"/>
      <c r="EH40" s="79"/>
      <c r="EI40" s="79"/>
      <c r="EJ40" s="213"/>
      <c r="EK40" s="4"/>
      <c r="EL40" s="57" t="s">
        <v>24</v>
      </c>
      <c r="EM40" s="57" t="s">
        <v>25</v>
      </c>
      <c r="EN40" s="57" t="s">
        <v>26</v>
      </c>
      <c r="EO40" s="76" t="s">
        <v>169</v>
      </c>
      <c r="EP40" s="61" t="s">
        <v>12</v>
      </c>
      <c r="EQ40" s="25"/>
      <c r="ER40" s="23"/>
      <c r="ES40" s="62" t="s">
        <v>31</v>
      </c>
      <c r="ET40" s="65" t="s">
        <v>170</v>
      </c>
      <c r="EU40" s="64" t="s">
        <v>32</v>
      </c>
      <c r="EV40" s="66" t="s">
        <v>34</v>
      </c>
      <c r="EX40" s="78"/>
      <c r="EY40" s="78"/>
      <c r="EZ40" s="78"/>
      <c r="FA40" s="78"/>
      <c r="FB40" s="213"/>
      <c r="FC40" s="4"/>
      <c r="FD40" s="57" t="s">
        <v>24</v>
      </c>
      <c r="FE40" s="57" t="s">
        <v>25</v>
      </c>
      <c r="FF40" s="57" t="s">
        <v>26</v>
      </c>
      <c r="FG40" s="76" t="s">
        <v>169</v>
      </c>
      <c r="FH40" s="61" t="s">
        <v>12</v>
      </c>
      <c r="FI40" s="25"/>
      <c r="FJ40" s="23"/>
      <c r="FK40" s="62" t="s">
        <v>31</v>
      </c>
      <c r="FL40" s="65" t="s">
        <v>170</v>
      </c>
      <c r="FM40" s="64" t="s">
        <v>32</v>
      </c>
      <c r="FN40" s="66" t="s">
        <v>34</v>
      </c>
      <c r="FP40" s="54"/>
      <c r="FQ40" s="54"/>
      <c r="FR40" s="54"/>
      <c r="FS40" s="54"/>
      <c r="FT40" s="213"/>
      <c r="FU40" s="4"/>
      <c r="FV40" s="57" t="s">
        <v>24</v>
      </c>
      <c r="FW40" s="57" t="s">
        <v>25</v>
      </c>
      <c r="FX40" s="57" t="s">
        <v>26</v>
      </c>
      <c r="FY40" s="76" t="s">
        <v>169</v>
      </c>
    </row>
    <row r="41" spans="1:181" x14ac:dyDescent="0.25">
      <c r="B41" s="17" t="s">
        <v>29</v>
      </c>
      <c r="D41" s="23" t="s">
        <v>240</v>
      </c>
      <c r="E41" s="36">
        <f>IF(D$41="Closed",VLOOKUP(D$40,$N$41:$S$45,3,FALSE),VLOOKUP(D$40,$N$41:$S$45,4,FALSE))</f>
        <v>-3.0130977880283183E-2</v>
      </c>
      <c r="F41" s="126"/>
      <c r="G41" s="126"/>
      <c r="H41" s="126"/>
      <c r="J41" s="54"/>
      <c r="K41" s="54"/>
      <c r="L41" s="54"/>
      <c r="M41" s="54"/>
      <c r="N41" s="77" t="s">
        <v>7</v>
      </c>
      <c r="O41" s="4"/>
      <c r="P41" s="78">
        <f>LOGEST(P30:P$37)^4-1</f>
        <v>-5.8445703229515145E-2</v>
      </c>
      <c r="Q41" s="78">
        <f>LOGEST(Q30:Q$37)^4-1</f>
        <v>-2.9209944752173089E-2</v>
      </c>
      <c r="R41" s="78">
        <f>LOGEST(R30:R$37)^4-1</f>
        <v>0.35197021372879611</v>
      </c>
      <c r="S41" s="211">
        <f>LOGEST(S30:S$37)^4-1</f>
        <v>0.39944124741905473</v>
      </c>
      <c r="T41" s="17" t="s">
        <v>29</v>
      </c>
      <c r="V41" s="23"/>
      <c r="W41" s="36" t="e">
        <f>IF(V$41="Closed",VLOOKUP(V$40,$AF$41:$AK$45,3,FALSE),VLOOKUP(V$40,$AF$41:$AK$45,4,FALSE))</f>
        <v>#N/A</v>
      </c>
      <c r="X41" s="126"/>
      <c r="Y41" s="126"/>
      <c r="Z41" s="126"/>
      <c r="AB41" s="54"/>
      <c r="AC41" s="54"/>
      <c r="AD41" s="54"/>
      <c r="AE41" s="54"/>
      <c r="AF41" s="77" t="s">
        <v>7</v>
      </c>
      <c r="AG41" s="4"/>
      <c r="AH41" s="78" t="e">
        <f>LOGEST(AH30:AH$37)^4-1</f>
        <v>#NUM!</v>
      </c>
      <c r="AI41" s="78" t="e">
        <f>LOGEST(AI30:AI$37)^4-1</f>
        <v>#NUM!</v>
      </c>
      <c r="AJ41" s="78" t="e">
        <f>LOGEST(AJ30:AJ$37)^4-1</f>
        <v>#NUM!</v>
      </c>
      <c r="AK41" s="211" t="e">
        <f>LOGEST(AK30:AK$37)^4-1</f>
        <v>#NUM!</v>
      </c>
      <c r="AL41" s="17" t="s">
        <v>29</v>
      </c>
      <c r="AN41" s="23"/>
      <c r="AO41" s="36" t="e">
        <f>IF(AN$41="Closed",VLOOKUP(AN$40,$AX$41:$BC$45,3,FALSE),VLOOKUP(AN$40,$AX$41:$BC$45,4,FALSE))</f>
        <v>#N/A</v>
      </c>
      <c r="AP41" s="126"/>
      <c r="AQ41" s="126"/>
      <c r="AR41" s="126"/>
      <c r="AT41" s="60"/>
      <c r="AU41" s="60"/>
      <c r="AV41" s="60"/>
      <c r="AW41" s="60"/>
      <c r="AX41" s="77" t="s">
        <v>7</v>
      </c>
      <c r="AY41" s="4"/>
      <c r="AZ41" s="78" t="e">
        <f>LOGEST(AZ30:AZ$37)^4-1</f>
        <v>#NUM!</v>
      </c>
      <c r="BA41" s="78" t="e">
        <f>LOGEST(BA30:BA$37)^4-1</f>
        <v>#NUM!</v>
      </c>
      <c r="BB41" s="78" t="e">
        <f>LOGEST(BB30:BB$37)^4-1</f>
        <v>#NUM!</v>
      </c>
      <c r="BC41" s="211" t="e">
        <f>LOGEST(BC30:BC$37)^4-1</f>
        <v>#NUM!</v>
      </c>
      <c r="BD41" s="17" t="s">
        <v>29</v>
      </c>
      <c r="BF41" s="23"/>
      <c r="BG41" s="36" t="e">
        <f>IF(BF$41="Closed",VLOOKUP(BF$40,$BP$41:$BU$45,3,FALSE),VLOOKUP(BF$40,$BP$41:$BU$45,4,FALSE))</f>
        <v>#N/A</v>
      </c>
      <c r="BH41" s="126"/>
      <c r="BI41" s="126"/>
      <c r="BJ41" s="126"/>
      <c r="BL41" s="60"/>
      <c r="BM41" s="60"/>
      <c r="BN41" s="60"/>
      <c r="BO41" s="60"/>
      <c r="BP41" s="77" t="s">
        <v>7</v>
      </c>
      <c r="BQ41" s="4"/>
      <c r="BR41" s="78" t="e">
        <f>LOGEST(BR30:BR$37)^4-1</f>
        <v>#NUM!</v>
      </c>
      <c r="BS41" s="78" t="e">
        <f>LOGEST(BS30:BS$37)^4-1</f>
        <v>#NUM!</v>
      </c>
      <c r="BT41" s="78" t="e">
        <f>LOGEST(BT30:BT$37)^4-1</f>
        <v>#NUM!</v>
      </c>
      <c r="BU41" s="211" t="e">
        <f>LOGEST(BU30:BU$37)^4-1</f>
        <v>#NUM!</v>
      </c>
      <c r="BV41" s="17" t="s">
        <v>29</v>
      </c>
      <c r="BX41" s="23"/>
      <c r="BY41" s="36" t="e">
        <f>IF(BX$41="Closed",VLOOKUP(BX$40,$CH$41:$CM$45,3,FALSE),VLOOKUP(BX$40,$CH$41:$CM$45,4,FALSE))</f>
        <v>#N/A</v>
      </c>
      <c r="BZ41" s="126"/>
      <c r="CA41" s="126"/>
      <c r="CB41" s="126"/>
      <c r="CD41" s="54"/>
      <c r="CE41" s="54"/>
      <c r="CF41" s="54"/>
      <c r="CG41" s="54"/>
      <c r="CH41" s="77" t="s">
        <v>7</v>
      </c>
      <c r="CI41" s="4"/>
      <c r="CJ41" s="78" t="e">
        <f>LOGEST(CJ30:CJ$37)^4-1</f>
        <v>#NUM!</v>
      </c>
      <c r="CK41" s="78" t="e">
        <f>LOGEST(CK30:CK$37)^4-1</f>
        <v>#NUM!</v>
      </c>
      <c r="CL41" s="78" t="e">
        <f>LOGEST(CL30:CL$37)^4-1</f>
        <v>#NUM!</v>
      </c>
      <c r="CM41" s="211" t="e">
        <f>LOGEST(CM30:CM$37)^4-1</f>
        <v>#NUM!</v>
      </c>
      <c r="CN41" s="17" t="s">
        <v>29</v>
      </c>
      <c r="CP41" s="23"/>
      <c r="CQ41" s="36" t="e">
        <f>IF(CP$41="Closed",VLOOKUP(CP$40,$CZ$41:$DE$45,3,FALSE),VLOOKUP(CP$40,$CZ$41:$DE$45,4,FALSE))</f>
        <v>#N/A</v>
      </c>
      <c r="CR41" s="126"/>
      <c r="CS41" s="126"/>
      <c r="CT41" s="126"/>
      <c r="CV41" s="54"/>
      <c r="CW41" s="54"/>
      <c r="CX41" s="54"/>
      <c r="CY41" s="54"/>
      <c r="CZ41" s="77" t="s">
        <v>7</v>
      </c>
      <c r="DA41" s="4"/>
      <c r="DB41" s="78" t="e">
        <f>LOGEST(DB30:DB$37)^4-1</f>
        <v>#NUM!</v>
      </c>
      <c r="DC41" s="78" t="e">
        <f>LOGEST(DC30:DC$37)^4-1</f>
        <v>#NUM!</v>
      </c>
      <c r="DD41" s="78" t="e">
        <f>LOGEST(DD30:DD$37)^4-1</f>
        <v>#NUM!</v>
      </c>
      <c r="DE41" s="211" t="e">
        <f>LOGEST(DE30:DE$37)^4-1</f>
        <v>#NUM!</v>
      </c>
      <c r="DF41" s="17" t="s">
        <v>29</v>
      </c>
      <c r="DH41" s="23"/>
      <c r="DI41" s="36" t="e">
        <f>IF(DH$41="Closed",VLOOKUP(DH$40,$DR$41:$DW$45,3,FALSE),VLOOKUP(DH$40,$DR$41:$DW$45,4,FALSE))</f>
        <v>#N/A</v>
      </c>
      <c r="DJ41" s="126"/>
      <c r="DK41" s="126"/>
      <c r="DL41" s="126"/>
      <c r="DN41" s="60"/>
      <c r="DO41" s="60"/>
      <c r="DP41" s="60"/>
      <c r="DQ41" s="60"/>
      <c r="DR41" s="77" t="s">
        <v>7</v>
      </c>
      <c r="DS41" s="4"/>
      <c r="DT41" s="78" t="e">
        <f>LOGEST(DT30:DT$37)^4-1</f>
        <v>#NUM!</v>
      </c>
      <c r="DU41" s="78" t="e">
        <f>LOGEST(DU30:DU$37)^4-1</f>
        <v>#NUM!</v>
      </c>
      <c r="DV41" s="78" t="e">
        <f>LOGEST(DV30:DV$37)^4-1</f>
        <v>#NUM!</v>
      </c>
      <c r="DW41" s="211" t="e">
        <f>LOGEST(DW30:DW$37)^4-1</f>
        <v>#NUM!</v>
      </c>
      <c r="DX41" s="17" t="s">
        <v>29</v>
      </c>
      <c r="DZ41" s="23"/>
      <c r="EA41" s="36" t="e">
        <f>IF(DZ$41="Closed",VLOOKUP(DZ$40,$EJ$41:$EO$45,3,FALSE),VLOOKUP(DZ$40,$EJ$41:$EO$45,4,FALSE))</f>
        <v>#N/A</v>
      </c>
      <c r="EB41" s="126"/>
      <c r="EC41" s="126"/>
      <c r="ED41" s="126"/>
      <c r="EF41" s="79"/>
      <c r="EG41" s="79"/>
      <c r="EH41" s="79"/>
      <c r="EI41" s="79"/>
      <c r="EJ41" s="77" t="s">
        <v>7</v>
      </c>
      <c r="EK41" s="4"/>
      <c r="EL41" s="78" t="e">
        <f>LOGEST(EL30:EL$37)^4-1</f>
        <v>#NUM!</v>
      </c>
      <c r="EM41" s="78" t="e">
        <f>LOGEST(EM30:EM$37)^4-1</f>
        <v>#NUM!</v>
      </c>
      <c r="EN41" s="78" t="e">
        <f>LOGEST(EN30:EN$37)^4-1</f>
        <v>#NUM!</v>
      </c>
      <c r="EO41" s="211" t="e">
        <f>LOGEST(EO30:EO$37)^4-1</f>
        <v>#NUM!</v>
      </c>
      <c r="EP41" s="17" t="s">
        <v>29</v>
      </c>
      <c r="ER41" s="23"/>
      <c r="ES41" s="36" t="e">
        <f>IF(ER$41="Closed",VLOOKUP(ER$40,$FB$41:$FG$45,3,FALSE),VLOOKUP(ER$40,$FB$41:$FG$45,4,FALSE))</f>
        <v>#N/A</v>
      </c>
      <c r="ET41" s="126"/>
      <c r="EU41" s="126"/>
      <c r="EV41" s="126"/>
      <c r="EX41" s="78"/>
      <c r="EY41" s="78"/>
      <c r="EZ41" s="78"/>
      <c r="FA41" s="78"/>
      <c r="FB41" s="77" t="s">
        <v>7</v>
      </c>
      <c r="FC41" s="4"/>
      <c r="FD41" s="78" t="e">
        <f>LOGEST(FD30:FD$37)^4-1</f>
        <v>#NUM!</v>
      </c>
      <c r="FE41" s="78" t="e">
        <f>LOGEST(FE30:FE$37)^4-1</f>
        <v>#NUM!</v>
      </c>
      <c r="FF41" s="78" t="e">
        <f>LOGEST(FF30:FF$37)^4-1</f>
        <v>#NUM!</v>
      </c>
      <c r="FG41" s="211" t="e">
        <f>LOGEST(FG30:FG$37)^4-1</f>
        <v>#NUM!</v>
      </c>
      <c r="FH41" s="17" t="s">
        <v>29</v>
      </c>
      <c r="FJ41" s="23"/>
      <c r="FK41" s="36" t="e">
        <f>IF(FJ$41="Closed",VLOOKUP(FJ$40,$FT$41:$FY$45,3,FALSE),VLOOKUP(FJ$40,$FT$41:$FY$45,4,FALSE))</f>
        <v>#N/A</v>
      </c>
      <c r="FL41" s="126"/>
      <c r="FM41" s="126"/>
      <c r="FN41" s="126"/>
      <c r="FP41" s="54"/>
      <c r="FQ41" s="54"/>
      <c r="FR41" s="54"/>
      <c r="FS41" s="54"/>
      <c r="FT41" s="77" t="s">
        <v>7</v>
      </c>
      <c r="FU41" s="4"/>
      <c r="FV41" s="78" t="e">
        <f>LOGEST(FV30:FV$37)^4-1</f>
        <v>#NUM!</v>
      </c>
      <c r="FW41" s="78" t="e">
        <f>LOGEST(FW30:FW$37)^4-1</f>
        <v>#NUM!</v>
      </c>
      <c r="FX41" s="78" t="e">
        <f>LOGEST(FX30:FX$37)^4-1</f>
        <v>#NUM!</v>
      </c>
      <c r="FY41" s="211" t="e">
        <f>LOGEST(FY30:FY$37)^4-1</f>
        <v>#NUM!</v>
      </c>
    </row>
    <row r="42" spans="1:181" ht="15.75" thickBot="1" x14ac:dyDescent="0.3">
      <c r="B42" s="17" t="s">
        <v>30</v>
      </c>
      <c r="D42" s="59" t="s">
        <v>165</v>
      </c>
      <c r="E42" s="36">
        <f>IF(D$42="Paid",VLOOKUP(D$40,$N$41:$S$45,5,FALSE),VLOOKUP(D$40,$N$41:$S$45,6,FALSE))</f>
        <v>0.16732232555888937</v>
      </c>
      <c r="F42" s="126"/>
      <c r="G42" s="126"/>
      <c r="H42" s="126"/>
      <c r="J42" s="54"/>
      <c r="K42" s="54"/>
      <c r="L42" s="54"/>
      <c r="M42" s="54"/>
      <c r="N42" s="77" t="s">
        <v>8</v>
      </c>
      <c r="O42" s="4"/>
      <c r="P42" s="78">
        <f>LOGEST(P26:P$37)^4-1</f>
        <v>-7.8440505582957676E-2</v>
      </c>
      <c r="Q42" s="78">
        <f>LOGEST(Q26:Q$37)^4-1</f>
        <v>-3.6132648469426321E-2</v>
      </c>
      <c r="R42" s="78">
        <f>LOGEST(R26:R$37)^4-1</f>
        <v>0.25290135534962066</v>
      </c>
      <c r="S42" s="211">
        <f>LOGEST(S26:S$37)^4-1</f>
        <v>0.2877089547084295</v>
      </c>
      <c r="T42" s="17" t="s">
        <v>30</v>
      </c>
      <c r="V42" s="59"/>
      <c r="W42" s="36" t="e">
        <f>IF(V$42="Paid",VLOOKUP(V$40,$AF$41:$AK$45,5,FALSE),VLOOKUP(V$40,$AF$41:$AK$45,6,FALSE))</f>
        <v>#N/A</v>
      </c>
      <c r="X42" s="126"/>
      <c r="Y42" s="126"/>
      <c r="Z42" s="126"/>
      <c r="AB42" s="54"/>
      <c r="AC42" s="54"/>
      <c r="AD42" s="54"/>
      <c r="AE42" s="54"/>
      <c r="AF42" s="77" t="s">
        <v>8</v>
      </c>
      <c r="AG42" s="4"/>
      <c r="AH42" s="78" t="e">
        <f>LOGEST(AH26:AH$37)^4-1</f>
        <v>#NUM!</v>
      </c>
      <c r="AI42" s="78" t="e">
        <f>LOGEST(AI26:AI$37)^4-1</f>
        <v>#NUM!</v>
      </c>
      <c r="AJ42" s="78" t="e">
        <f>LOGEST(AJ26:AJ$37)^4-1</f>
        <v>#NUM!</v>
      </c>
      <c r="AK42" s="211" t="e">
        <f>LOGEST(AK26:AK$37)^4-1</f>
        <v>#NUM!</v>
      </c>
      <c r="AL42" s="17" t="s">
        <v>30</v>
      </c>
      <c r="AN42" s="59"/>
      <c r="AO42" s="36" t="e">
        <f>IF(AN$42="Paid",VLOOKUP(AN$40,$AX$41:$BC$45,5,FALSE),VLOOKUP(AN$40,$AX$41:$BC$45,6,FALSE))</f>
        <v>#N/A</v>
      </c>
      <c r="AP42" s="126"/>
      <c r="AQ42" s="126"/>
      <c r="AR42" s="126"/>
      <c r="AT42" s="60"/>
      <c r="AU42" s="60"/>
      <c r="AV42" s="60"/>
      <c r="AW42" s="60"/>
      <c r="AX42" s="77" t="s">
        <v>8</v>
      </c>
      <c r="AY42" s="4"/>
      <c r="AZ42" s="78" t="e">
        <f>LOGEST(AZ26:AZ$37)^4-1</f>
        <v>#NUM!</v>
      </c>
      <c r="BA42" s="78" t="e">
        <f>LOGEST(BA26:BA$37)^4-1</f>
        <v>#NUM!</v>
      </c>
      <c r="BB42" s="78" t="e">
        <f>LOGEST(BB26:BB$37)^4-1</f>
        <v>#NUM!</v>
      </c>
      <c r="BC42" s="211" t="e">
        <f>LOGEST(BC26:BC$37)^4-1</f>
        <v>#NUM!</v>
      </c>
      <c r="BD42" s="17" t="s">
        <v>30</v>
      </c>
      <c r="BF42" s="59"/>
      <c r="BG42" s="36" t="e">
        <f>IF(BF$42="Paid",VLOOKUP(BF$40,$BP$41:$BU$45,5,FALSE),VLOOKUP(BF$40,$BP$41:$BU$45,6,FALSE))</f>
        <v>#N/A</v>
      </c>
      <c r="BH42" s="126"/>
      <c r="BI42" s="126"/>
      <c r="BJ42" s="126"/>
      <c r="BL42" s="60"/>
      <c r="BM42" s="60"/>
      <c r="BN42" s="60"/>
      <c r="BO42" s="60"/>
      <c r="BP42" s="77" t="s">
        <v>8</v>
      </c>
      <c r="BQ42" s="4"/>
      <c r="BR42" s="78" t="e">
        <f>LOGEST(BR26:BR$37)^4-1</f>
        <v>#NUM!</v>
      </c>
      <c r="BS42" s="78" t="e">
        <f>LOGEST(BS26:BS$37)^4-1</f>
        <v>#NUM!</v>
      </c>
      <c r="BT42" s="78" t="e">
        <f>LOGEST(BT26:BT$37)^4-1</f>
        <v>#NUM!</v>
      </c>
      <c r="BU42" s="211" t="e">
        <f>LOGEST(BU26:BU$37)^4-1</f>
        <v>#NUM!</v>
      </c>
      <c r="BV42" s="17" t="s">
        <v>30</v>
      </c>
      <c r="BX42" s="59"/>
      <c r="BY42" s="36" t="e">
        <f>IF(BX$42="Paid",VLOOKUP(BX$40,$CH$41:$CM$45,5,FALSE),VLOOKUP(BX$40,$CH$41:$CM$45,6,FALSE))</f>
        <v>#N/A</v>
      </c>
      <c r="BZ42" s="126"/>
      <c r="CA42" s="126"/>
      <c r="CB42" s="126"/>
      <c r="CD42" s="54"/>
      <c r="CE42" s="54"/>
      <c r="CF42" s="54"/>
      <c r="CG42" s="54"/>
      <c r="CH42" s="77" t="s">
        <v>8</v>
      </c>
      <c r="CI42" s="4"/>
      <c r="CJ42" s="78" t="e">
        <f>LOGEST(CJ26:CJ$37)^4-1</f>
        <v>#NUM!</v>
      </c>
      <c r="CK42" s="78" t="e">
        <f>LOGEST(CK26:CK$37)^4-1</f>
        <v>#NUM!</v>
      </c>
      <c r="CL42" s="78" t="e">
        <f>LOGEST(CL26:CL$37)^4-1</f>
        <v>#NUM!</v>
      </c>
      <c r="CM42" s="211" t="e">
        <f>LOGEST(CM26:CM$37)^4-1</f>
        <v>#NUM!</v>
      </c>
      <c r="CN42" s="17" t="s">
        <v>30</v>
      </c>
      <c r="CP42" s="59"/>
      <c r="CQ42" s="36" t="e">
        <f>IF(CP$42="Paid",VLOOKUP(CP$40,$CZ$41:$DE$45,5,FALSE),VLOOKUP(CP$40,$CZ$41:$DE$45,6,FALSE))</f>
        <v>#N/A</v>
      </c>
      <c r="CR42" s="126"/>
      <c r="CS42" s="126"/>
      <c r="CT42" s="126"/>
      <c r="CV42" s="54"/>
      <c r="CW42" s="54"/>
      <c r="CX42" s="54"/>
      <c r="CY42" s="54"/>
      <c r="CZ42" s="77" t="s">
        <v>8</v>
      </c>
      <c r="DA42" s="4"/>
      <c r="DB42" s="78" t="e">
        <f>LOGEST(DB26:DB$37)^4-1</f>
        <v>#NUM!</v>
      </c>
      <c r="DC42" s="78" t="e">
        <f>LOGEST(DC26:DC$37)^4-1</f>
        <v>#NUM!</v>
      </c>
      <c r="DD42" s="78" t="e">
        <f>LOGEST(DD26:DD$37)^4-1</f>
        <v>#NUM!</v>
      </c>
      <c r="DE42" s="211" t="e">
        <f>LOGEST(DE26:DE$37)^4-1</f>
        <v>#NUM!</v>
      </c>
      <c r="DF42" s="17" t="s">
        <v>30</v>
      </c>
      <c r="DH42" s="59"/>
      <c r="DI42" s="36" t="e">
        <f>IF(DH$42="Paid",VLOOKUP(DH$40,$DR$41:$DW$45,5,FALSE),VLOOKUP(DH$40,$DR$41:$DW$45,6,FALSE))</f>
        <v>#N/A</v>
      </c>
      <c r="DJ42" s="126"/>
      <c r="DK42" s="126"/>
      <c r="DL42" s="126"/>
      <c r="DN42" s="60"/>
      <c r="DO42" s="60"/>
      <c r="DP42" s="60"/>
      <c r="DQ42" s="60"/>
      <c r="DR42" s="77" t="s">
        <v>8</v>
      </c>
      <c r="DS42" s="4"/>
      <c r="DT42" s="78" t="e">
        <f>LOGEST(DT26:DT$37)^4-1</f>
        <v>#NUM!</v>
      </c>
      <c r="DU42" s="78" t="e">
        <f>LOGEST(DU26:DU$37)^4-1</f>
        <v>#NUM!</v>
      </c>
      <c r="DV42" s="78" t="e">
        <f>LOGEST(DV26:DV$37)^4-1</f>
        <v>#NUM!</v>
      </c>
      <c r="DW42" s="211" t="e">
        <f>LOGEST(DW26:DW$37)^4-1</f>
        <v>#NUM!</v>
      </c>
      <c r="DX42" s="17" t="s">
        <v>30</v>
      </c>
      <c r="DZ42" s="59"/>
      <c r="EA42" s="36" t="e">
        <f>IF(DZ$42="Paid",VLOOKUP(DZ$40,$EJ$41:$EO$45,5,FALSE),VLOOKUP(DZ$40,$EJ$41:$EO$45,6,FALSE))</f>
        <v>#N/A</v>
      </c>
      <c r="EB42" s="126"/>
      <c r="EC42" s="126"/>
      <c r="ED42" s="126"/>
      <c r="EF42" s="79"/>
      <c r="EG42" s="79"/>
      <c r="EH42" s="79"/>
      <c r="EI42" s="79"/>
      <c r="EJ42" s="77" t="s">
        <v>8</v>
      </c>
      <c r="EK42" s="4"/>
      <c r="EL42" s="78" t="e">
        <f>LOGEST(EL26:EL$37)^4-1</f>
        <v>#NUM!</v>
      </c>
      <c r="EM42" s="78" t="e">
        <f>LOGEST(EM26:EM$37)^4-1</f>
        <v>#NUM!</v>
      </c>
      <c r="EN42" s="78" t="e">
        <f>LOGEST(EN26:EN$37)^4-1</f>
        <v>#NUM!</v>
      </c>
      <c r="EO42" s="211" t="e">
        <f>LOGEST(EO26:EO$37)^4-1</f>
        <v>#NUM!</v>
      </c>
      <c r="EP42" s="17" t="s">
        <v>30</v>
      </c>
      <c r="ER42" s="59"/>
      <c r="ES42" s="36" t="e">
        <f>IF(ER$42="Paid",VLOOKUP(ER$40,$FB$41:$FG$45,5,FALSE),VLOOKUP(ER$40,$FB$41:$FG$45,6,FALSE))</f>
        <v>#N/A</v>
      </c>
      <c r="ET42" s="126"/>
      <c r="EU42" s="126"/>
      <c r="EV42" s="126"/>
      <c r="EX42" s="78"/>
      <c r="EY42" s="78"/>
      <c r="EZ42" s="78"/>
      <c r="FA42" s="78"/>
      <c r="FB42" s="77" t="s">
        <v>8</v>
      </c>
      <c r="FC42" s="4"/>
      <c r="FD42" s="78" t="e">
        <f>LOGEST(FD26:FD$37)^4-1</f>
        <v>#NUM!</v>
      </c>
      <c r="FE42" s="78" t="e">
        <f>LOGEST(FE26:FE$37)^4-1</f>
        <v>#NUM!</v>
      </c>
      <c r="FF42" s="78" t="e">
        <f>LOGEST(FF26:FF$37)^4-1</f>
        <v>#NUM!</v>
      </c>
      <c r="FG42" s="211" t="e">
        <f>LOGEST(FG26:FG$37)^4-1</f>
        <v>#NUM!</v>
      </c>
      <c r="FH42" s="17" t="s">
        <v>30</v>
      </c>
      <c r="FJ42" s="59"/>
      <c r="FK42" s="36" t="e">
        <f>IF(FJ$42="Paid",VLOOKUP(FJ$40,$FT$41:$FY$45,5,FALSE),VLOOKUP(FJ$40,$FT$41:$FY$45,6,FALSE))</f>
        <v>#N/A</v>
      </c>
      <c r="FL42" s="126"/>
      <c r="FM42" s="126"/>
      <c r="FN42" s="126"/>
      <c r="FP42" s="54"/>
      <c r="FQ42" s="54"/>
      <c r="FR42" s="54"/>
      <c r="FS42" s="54"/>
      <c r="FT42" s="77" t="s">
        <v>8</v>
      </c>
      <c r="FU42" s="4"/>
      <c r="FV42" s="78" t="e">
        <f>LOGEST(FV26:FV$37)^4-1</f>
        <v>#NUM!</v>
      </c>
      <c r="FW42" s="78" t="e">
        <f>LOGEST(FW26:FW$37)^4-1</f>
        <v>#NUM!</v>
      </c>
      <c r="FX42" s="78" t="e">
        <f>LOGEST(FX26:FX$37)^4-1</f>
        <v>#NUM!</v>
      </c>
      <c r="FY42" s="211" t="e">
        <f>LOGEST(FY26:FY$37)^4-1</f>
        <v>#NUM!</v>
      </c>
    </row>
    <row r="43" spans="1:181" ht="15.75" thickBot="1" x14ac:dyDescent="0.3">
      <c r="B43" s="17" t="s">
        <v>33</v>
      </c>
      <c r="E43" s="63">
        <f>(1+E41)*(1+E42)-1</f>
        <v>0.13214976238831366</v>
      </c>
      <c r="F43" s="219">
        <v>1</v>
      </c>
      <c r="G43" s="127" t="str">
        <f>IF(F43=1,"N/A",E98)</f>
        <v>N/A</v>
      </c>
      <c r="H43" s="128">
        <f>IF(F43=1,E43,IF(F43=0,G43,E43*F43+(G43*(1-F43))))</f>
        <v>0.13214976238831366</v>
      </c>
      <c r="J43" s="54"/>
      <c r="K43" s="54"/>
      <c r="L43" s="54"/>
      <c r="M43" s="54"/>
      <c r="N43" s="77" t="s">
        <v>9</v>
      </c>
      <c r="O43" s="4"/>
      <c r="P43" s="78">
        <f>LOGEST(P22:P$37)^4-1</f>
        <v>-6.5246905485963236E-2</v>
      </c>
      <c r="Q43" s="78">
        <f>LOGEST(Q22:Q$37)^4-1</f>
        <v>-3.0130977880283183E-2</v>
      </c>
      <c r="R43" s="78">
        <f>LOGEST(R22:R$37)^4-1</f>
        <v>0.16732232555888937</v>
      </c>
      <c r="S43" s="211">
        <f>LOGEST(S22:S$37)^4-1</f>
        <v>0.1734162595440909</v>
      </c>
      <c r="T43" s="17" t="s">
        <v>33</v>
      </c>
      <c r="W43" s="63" t="e">
        <f>(1+W41)*(1+W42)-1</f>
        <v>#N/A</v>
      </c>
      <c r="X43" s="97"/>
      <c r="Y43" s="127" t="e">
        <f>IF(X43=1,"N/A",W98)</f>
        <v>#N/A</v>
      </c>
      <c r="Z43" s="128" t="e">
        <f>IF(X43=1,W43,IF(X43=0,Y43,W43*X43+(Y43*(1-X43))))</f>
        <v>#N/A</v>
      </c>
      <c r="AB43" s="54"/>
      <c r="AC43" s="54"/>
      <c r="AD43" s="54"/>
      <c r="AE43" s="54"/>
      <c r="AF43" s="77" t="s">
        <v>9</v>
      </c>
      <c r="AG43" s="4"/>
      <c r="AH43" s="78" t="e">
        <f>LOGEST(AH22:AH$37)^4-1</f>
        <v>#NUM!</v>
      </c>
      <c r="AI43" s="78" t="e">
        <f>LOGEST(AI22:AI$37)^4-1</f>
        <v>#NUM!</v>
      </c>
      <c r="AJ43" s="78" t="e">
        <f>LOGEST(AJ22:AJ$37)^4-1</f>
        <v>#NUM!</v>
      </c>
      <c r="AK43" s="211" t="e">
        <f>LOGEST(AK22:AK$37)^4-1</f>
        <v>#NUM!</v>
      </c>
      <c r="AL43" s="17" t="s">
        <v>33</v>
      </c>
      <c r="AO43" s="63" t="e">
        <f>(1+AO41)*(1+AO42)-1</f>
        <v>#N/A</v>
      </c>
      <c r="AP43" s="97"/>
      <c r="AQ43" s="127" t="e">
        <f>IF(AP43=1,"N/A",AO98)</f>
        <v>#N/A</v>
      </c>
      <c r="AR43" s="128" t="e">
        <f>IF(AP43=1,AO43,IF(AP43=0,AQ43,AO43*AP43+(AQ43*(1-AP43))))</f>
        <v>#N/A</v>
      </c>
      <c r="AT43" s="60"/>
      <c r="AU43" s="60"/>
      <c r="AV43" s="60"/>
      <c r="AW43" s="60"/>
      <c r="AX43" s="77" t="s">
        <v>9</v>
      </c>
      <c r="AY43" s="4"/>
      <c r="AZ43" s="78" t="e">
        <f>LOGEST(AZ22:AZ$37)^4-1</f>
        <v>#NUM!</v>
      </c>
      <c r="BA43" s="78" t="e">
        <f>LOGEST(BA22:BA$37)^4-1</f>
        <v>#NUM!</v>
      </c>
      <c r="BB43" s="78" t="e">
        <f>LOGEST(BB22:BB$37)^4-1</f>
        <v>#NUM!</v>
      </c>
      <c r="BC43" s="211" t="e">
        <f>LOGEST(BC22:BC$37)^4-1</f>
        <v>#NUM!</v>
      </c>
      <c r="BD43" s="17" t="s">
        <v>33</v>
      </c>
      <c r="BG43" s="63" t="e">
        <f>(1+BG41)*(1+BG42)-1</f>
        <v>#N/A</v>
      </c>
      <c r="BH43" s="97"/>
      <c r="BI43" s="127" t="e">
        <f>IF(BH43=1,"N/A",BG98)</f>
        <v>#N/A</v>
      </c>
      <c r="BJ43" s="128" t="e">
        <f>IF(BH43=1,BG43,IF(BH43=0,BI43,BG43*BH43+(BI43*(1-BH43))))</f>
        <v>#N/A</v>
      </c>
      <c r="BL43" s="60"/>
      <c r="BM43" s="60"/>
      <c r="BN43" s="60"/>
      <c r="BO43" s="60"/>
      <c r="BP43" s="77" t="s">
        <v>9</v>
      </c>
      <c r="BQ43" s="4"/>
      <c r="BR43" s="78" t="e">
        <f>LOGEST(BR22:BR$37)^4-1</f>
        <v>#NUM!</v>
      </c>
      <c r="BS43" s="78" t="e">
        <f>LOGEST(BS22:BS$37)^4-1</f>
        <v>#NUM!</v>
      </c>
      <c r="BT43" s="78" t="e">
        <f>LOGEST(BT22:BT$37)^4-1</f>
        <v>#NUM!</v>
      </c>
      <c r="BU43" s="211" t="e">
        <f>LOGEST(BU22:BU$37)^4-1</f>
        <v>#NUM!</v>
      </c>
      <c r="BV43" s="17" t="s">
        <v>33</v>
      </c>
      <c r="BY43" s="63" t="e">
        <f>(1+BY41)*(1+BY42)-1</f>
        <v>#N/A</v>
      </c>
      <c r="BZ43" s="97"/>
      <c r="CA43" s="127" t="e">
        <f>IF(BZ43=1,"N/A",BY98)</f>
        <v>#N/A</v>
      </c>
      <c r="CB43" s="128" t="e">
        <f>IF(BZ43=1,BY43,IF(BZ43=0,CA43,BY43*BZ43+(CA43*(1-BZ43))))</f>
        <v>#N/A</v>
      </c>
      <c r="CD43" s="54"/>
      <c r="CE43" s="54"/>
      <c r="CF43" s="54"/>
      <c r="CG43" s="54"/>
      <c r="CH43" s="77" t="s">
        <v>9</v>
      </c>
      <c r="CI43" s="4"/>
      <c r="CJ43" s="78" t="e">
        <f>LOGEST(CJ22:CJ$37)^4-1</f>
        <v>#NUM!</v>
      </c>
      <c r="CK43" s="78" t="e">
        <f>LOGEST(CK22:CK$37)^4-1</f>
        <v>#NUM!</v>
      </c>
      <c r="CL43" s="78" t="e">
        <f>LOGEST(CL22:CL$37)^4-1</f>
        <v>#NUM!</v>
      </c>
      <c r="CM43" s="211" t="e">
        <f>LOGEST(CM22:CM$37)^4-1</f>
        <v>#NUM!</v>
      </c>
      <c r="CN43" s="17" t="s">
        <v>33</v>
      </c>
      <c r="CQ43" s="63" t="e">
        <f>(1+CQ41)*(1+CQ42)-1</f>
        <v>#N/A</v>
      </c>
      <c r="CR43" s="97"/>
      <c r="CS43" s="127" t="e">
        <f>IF(CR43=1,"N/A",CQ98)</f>
        <v>#N/A</v>
      </c>
      <c r="CT43" s="128" t="e">
        <f>IF(CR43=1,CQ43,IF(CR43=0,CS43,CQ43*CR43+(CS43*(1-CR43))))</f>
        <v>#N/A</v>
      </c>
      <c r="CV43" s="54"/>
      <c r="CW43" s="54"/>
      <c r="CX43" s="54"/>
      <c r="CY43" s="54"/>
      <c r="CZ43" s="77" t="s">
        <v>9</v>
      </c>
      <c r="DA43" s="4"/>
      <c r="DB43" s="78" t="e">
        <f>LOGEST(DB22:DB$37)^4-1</f>
        <v>#NUM!</v>
      </c>
      <c r="DC43" s="78" t="e">
        <f>LOGEST(DC22:DC$37)^4-1</f>
        <v>#NUM!</v>
      </c>
      <c r="DD43" s="78" t="e">
        <f>LOGEST(DD22:DD$37)^4-1</f>
        <v>#NUM!</v>
      </c>
      <c r="DE43" s="211" t="e">
        <f>LOGEST(DE22:DE$37)^4-1</f>
        <v>#NUM!</v>
      </c>
      <c r="DF43" s="17" t="s">
        <v>33</v>
      </c>
      <c r="DI43" s="63" t="e">
        <f>(1+DI41)*(1+DI42)-1</f>
        <v>#N/A</v>
      </c>
      <c r="DJ43" s="97"/>
      <c r="DK43" s="127" t="e">
        <f>IF(DJ43=1,"N/A",DI98)</f>
        <v>#N/A</v>
      </c>
      <c r="DL43" s="128" t="e">
        <f>IF(DJ43=1,DI43,IF(DJ43=0,DK43,DI43*DJ43+(DK43*(1-DJ43))))</f>
        <v>#N/A</v>
      </c>
      <c r="DN43" s="60"/>
      <c r="DO43" s="60"/>
      <c r="DP43" s="60"/>
      <c r="DQ43" s="60"/>
      <c r="DR43" s="77" t="s">
        <v>9</v>
      </c>
      <c r="DS43" s="4"/>
      <c r="DT43" s="78" t="e">
        <f>LOGEST(DT22:DT$37)^4-1</f>
        <v>#NUM!</v>
      </c>
      <c r="DU43" s="78" t="e">
        <f>LOGEST(DU22:DU$37)^4-1</f>
        <v>#NUM!</v>
      </c>
      <c r="DV43" s="78" t="e">
        <f>LOGEST(DV22:DV$37)^4-1</f>
        <v>#NUM!</v>
      </c>
      <c r="DW43" s="211" t="e">
        <f>LOGEST(DW22:DW$37)^4-1</f>
        <v>#NUM!</v>
      </c>
      <c r="DX43" s="17" t="s">
        <v>33</v>
      </c>
      <c r="EA43" s="63" t="e">
        <f>(1+EA41)*(1+EA42)-1</f>
        <v>#N/A</v>
      </c>
      <c r="EB43" s="97"/>
      <c r="EC43" s="127" t="e">
        <f>IF(EB43=1,"N/A",EA98)</f>
        <v>#N/A</v>
      </c>
      <c r="ED43" s="128" t="e">
        <f>IF(EB43=1,EA43,IF(EB43=0,EC43,EA43*EB43+(EC43*(1-EB43))))</f>
        <v>#N/A</v>
      </c>
      <c r="EF43" s="79"/>
      <c r="EG43" s="79"/>
      <c r="EH43" s="79"/>
      <c r="EI43" s="79"/>
      <c r="EJ43" s="77" t="s">
        <v>9</v>
      </c>
      <c r="EK43" s="4"/>
      <c r="EL43" s="78" t="e">
        <f>LOGEST(EL22:EL$37)^4-1</f>
        <v>#NUM!</v>
      </c>
      <c r="EM43" s="78" t="e">
        <f>LOGEST(EM22:EM$37)^4-1</f>
        <v>#NUM!</v>
      </c>
      <c r="EN43" s="78" t="e">
        <f>LOGEST(EN22:EN$37)^4-1</f>
        <v>#NUM!</v>
      </c>
      <c r="EO43" s="211" t="e">
        <f>LOGEST(EO22:EO$37)^4-1</f>
        <v>#NUM!</v>
      </c>
      <c r="EP43" s="17" t="s">
        <v>33</v>
      </c>
      <c r="ES43" s="63" t="e">
        <f>(1+ES41)*(1+ES42)-1</f>
        <v>#N/A</v>
      </c>
      <c r="ET43" s="97"/>
      <c r="EU43" s="127" t="e">
        <f>IF(ET43=1,"N/A",ES98)</f>
        <v>#N/A</v>
      </c>
      <c r="EV43" s="128" t="e">
        <f>IF(ET43=1,ES43,IF(ET43=0,EU43,ES43*ET43+(EU43*(1-ET43))))</f>
        <v>#N/A</v>
      </c>
      <c r="EX43" s="78"/>
      <c r="EY43" s="78"/>
      <c r="EZ43" s="78"/>
      <c r="FA43" s="78"/>
      <c r="FB43" s="77" t="s">
        <v>9</v>
      </c>
      <c r="FC43" s="4"/>
      <c r="FD43" s="78" t="e">
        <f>LOGEST(FD22:FD$37)^4-1</f>
        <v>#NUM!</v>
      </c>
      <c r="FE43" s="78" t="e">
        <f>LOGEST(FE22:FE$37)^4-1</f>
        <v>#NUM!</v>
      </c>
      <c r="FF43" s="78" t="e">
        <f>LOGEST(FF22:FF$37)^4-1</f>
        <v>#NUM!</v>
      </c>
      <c r="FG43" s="211" t="e">
        <f>LOGEST(FG22:FG$37)^4-1</f>
        <v>#NUM!</v>
      </c>
      <c r="FH43" s="17" t="s">
        <v>33</v>
      </c>
      <c r="FK43" s="63" t="e">
        <f>(1+FK41)*(1+FK42)-1</f>
        <v>#N/A</v>
      </c>
      <c r="FL43" s="97"/>
      <c r="FM43" s="127" t="e">
        <f>IF(FL43=1,"N/A",FK98)</f>
        <v>#N/A</v>
      </c>
      <c r="FN43" s="128" t="e">
        <f>IF(FL43=1,FK43,IF(FL43=0,FM43,FK43*FL43+(FM43*(1-FL43))))</f>
        <v>#N/A</v>
      </c>
      <c r="FP43" s="54"/>
      <c r="FQ43" s="54"/>
      <c r="FR43" s="54"/>
      <c r="FS43" s="54"/>
      <c r="FT43" s="77" t="s">
        <v>9</v>
      </c>
      <c r="FU43" s="4"/>
      <c r="FV43" s="78" t="e">
        <f>LOGEST(FV22:FV$37)^4-1</f>
        <v>#NUM!</v>
      </c>
      <c r="FW43" s="78" t="e">
        <f>LOGEST(FW22:FW$37)^4-1</f>
        <v>#NUM!</v>
      </c>
      <c r="FX43" s="78" t="e">
        <f>LOGEST(FX22:FX$37)^4-1</f>
        <v>#NUM!</v>
      </c>
      <c r="FY43" s="211" t="e">
        <f>LOGEST(FY22:FY$37)^4-1</f>
        <v>#NUM!</v>
      </c>
    </row>
    <row r="44" spans="1:181" x14ac:dyDescent="0.25">
      <c r="B44" s="135"/>
      <c r="J44" s="54"/>
      <c r="K44" s="54"/>
      <c r="L44" s="54"/>
      <c r="M44" s="54"/>
      <c r="N44" s="77" t="s">
        <v>10</v>
      </c>
      <c r="O44" s="4"/>
      <c r="P44" s="78">
        <f>LOGEST(P18:P$37)^4-1</f>
        <v>-7.9269985779117813E-2</v>
      </c>
      <c r="Q44" s="78">
        <f>LOGEST(Q18:Q$37)^4-1</f>
        <v>-4.0109757804748791E-2</v>
      </c>
      <c r="R44" s="78">
        <f>LOGEST(R18:R$37)^4-1</f>
        <v>0.15208338696771717</v>
      </c>
      <c r="S44" s="211">
        <f>LOGEST(S18:S$37)^4-1</f>
        <v>0.14075518883475846</v>
      </c>
      <c r="T44" s="135"/>
      <c r="AB44" s="54"/>
      <c r="AC44" s="54"/>
      <c r="AD44" s="54"/>
      <c r="AE44" s="54"/>
      <c r="AF44" s="77" t="s">
        <v>10</v>
      </c>
      <c r="AG44" s="4"/>
      <c r="AH44" s="78" t="e">
        <f>LOGEST(AH18:AH$37)^4-1</f>
        <v>#NUM!</v>
      </c>
      <c r="AI44" s="78" t="e">
        <f>LOGEST(AI18:AI$37)^4-1</f>
        <v>#NUM!</v>
      </c>
      <c r="AJ44" s="78" t="e">
        <f>LOGEST(AJ18:AJ$37)^4-1</f>
        <v>#NUM!</v>
      </c>
      <c r="AK44" s="211" t="e">
        <f>LOGEST(AK18:AK$37)^4-1</f>
        <v>#NUM!</v>
      </c>
      <c r="AL44" s="135"/>
      <c r="AT44" s="60"/>
      <c r="AU44" s="60"/>
      <c r="AV44" s="60"/>
      <c r="AW44" s="60"/>
      <c r="AX44" s="77" t="s">
        <v>10</v>
      </c>
      <c r="AY44" s="4"/>
      <c r="AZ44" s="78" t="e">
        <f>LOGEST(AZ18:AZ$37)^4-1</f>
        <v>#NUM!</v>
      </c>
      <c r="BA44" s="78" t="e">
        <f>LOGEST(BA18:BA$37)^4-1</f>
        <v>#NUM!</v>
      </c>
      <c r="BB44" s="78" t="e">
        <f>LOGEST(BB18:BB$37)^4-1</f>
        <v>#NUM!</v>
      </c>
      <c r="BC44" s="211" t="e">
        <f>LOGEST(BC18:BC$37)^4-1</f>
        <v>#NUM!</v>
      </c>
      <c r="BD44" s="135"/>
      <c r="BL44" s="60"/>
      <c r="BM44" s="60"/>
      <c r="BN44" s="60"/>
      <c r="BO44" s="60"/>
      <c r="BP44" s="77" t="s">
        <v>10</v>
      </c>
      <c r="BQ44" s="4"/>
      <c r="BR44" s="78" t="e">
        <f>LOGEST(BR18:BR$37)^4-1</f>
        <v>#NUM!</v>
      </c>
      <c r="BS44" s="78" t="e">
        <f>LOGEST(BS18:BS$37)^4-1</f>
        <v>#NUM!</v>
      </c>
      <c r="BT44" s="78" t="e">
        <f>LOGEST(BT18:BT$37)^4-1</f>
        <v>#NUM!</v>
      </c>
      <c r="BU44" s="211" t="e">
        <f>LOGEST(BU18:BU$37)^4-1</f>
        <v>#NUM!</v>
      </c>
      <c r="BV44" s="135"/>
      <c r="CD44" s="54"/>
      <c r="CE44" s="54"/>
      <c r="CF44" s="54"/>
      <c r="CG44" s="54"/>
      <c r="CH44" s="77" t="s">
        <v>10</v>
      </c>
      <c r="CI44" s="4"/>
      <c r="CJ44" s="78" t="e">
        <f>LOGEST(CJ18:CJ$37)^4-1</f>
        <v>#NUM!</v>
      </c>
      <c r="CK44" s="78" t="e">
        <f>LOGEST(CK18:CK$37)^4-1</f>
        <v>#NUM!</v>
      </c>
      <c r="CL44" s="78" t="e">
        <f>LOGEST(CL18:CL$37)^4-1</f>
        <v>#NUM!</v>
      </c>
      <c r="CM44" s="211" t="e">
        <f>LOGEST(CM18:CM$37)^4-1</f>
        <v>#NUM!</v>
      </c>
      <c r="CN44" s="135"/>
      <c r="CV44" s="54"/>
      <c r="CW44" s="54"/>
      <c r="CX44" s="54"/>
      <c r="CY44" s="54"/>
      <c r="CZ44" s="77" t="s">
        <v>10</v>
      </c>
      <c r="DA44" s="4"/>
      <c r="DB44" s="78" t="e">
        <f>LOGEST(DB18:DB$37)^4-1</f>
        <v>#NUM!</v>
      </c>
      <c r="DC44" s="78" t="e">
        <f>LOGEST(DC18:DC$37)^4-1</f>
        <v>#NUM!</v>
      </c>
      <c r="DD44" s="78" t="e">
        <f>LOGEST(DD18:DD$37)^4-1</f>
        <v>#NUM!</v>
      </c>
      <c r="DE44" s="211" t="e">
        <f>LOGEST(DE18:DE$37)^4-1</f>
        <v>#NUM!</v>
      </c>
      <c r="DF44" s="135"/>
      <c r="DN44" s="60"/>
      <c r="DO44" s="60"/>
      <c r="DP44" s="60"/>
      <c r="DQ44" s="60"/>
      <c r="DR44" s="77" t="s">
        <v>10</v>
      </c>
      <c r="DS44" s="4"/>
      <c r="DT44" s="78" t="e">
        <f>LOGEST(DT18:DT$37)^4-1</f>
        <v>#NUM!</v>
      </c>
      <c r="DU44" s="78" t="e">
        <f>LOGEST(DU18:DU$37)^4-1</f>
        <v>#NUM!</v>
      </c>
      <c r="DV44" s="78" t="e">
        <f>LOGEST(DV18:DV$37)^4-1</f>
        <v>#NUM!</v>
      </c>
      <c r="DW44" s="211" t="e">
        <f>LOGEST(DW18:DW$37)^4-1</f>
        <v>#NUM!</v>
      </c>
      <c r="DX44" s="135"/>
      <c r="EF44" s="79"/>
      <c r="EG44" s="79"/>
      <c r="EH44" s="79"/>
      <c r="EI44" s="79"/>
      <c r="EJ44" s="77" t="s">
        <v>10</v>
      </c>
      <c r="EK44" s="4"/>
      <c r="EL44" s="78" t="e">
        <f>LOGEST(EL18:EL$37)^4-1</f>
        <v>#NUM!</v>
      </c>
      <c r="EM44" s="78" t="e">
        <f>LOGEST(EM18:EM$37)^4-1</f>
        <v>#NUM!</v>
      </c>
      <c r="EN44" s="78" t="e">
        <f>LOGEST(EN18:EN$37)^4-1</f>
        <v>#NUM!</v>
      </c>
      <c r="EO44" s="211" t="e">
        <f>LOGEST(EO18:EO$37)^4-1</f>
        <v>#NUM!</v>
      </c>
      <c r="EP44" s="135"/>
      <c r="EX44" s="78"/>
      <c r="EY44" s="78"/>
      <c r="EZ44" s="78"/>
      <c r="FA44" s="78"/>
      <c r="FB44" s="77" t="s">
        <v>10</v>
      </c>
      <c r="FC44" s="4"/>
      <c r="FD44" s="78" t="e">
        <f>LOGEST(FD18:FD$37)^4-1</f>
        <v>#NUM!</v>
      </c>
      <c r="FE44" s="78" t="e">
        <f>LOGEST(FE18:FE$37)^4-1</f>
        <v>#NUM!</v>
      </c>
      <c r="FF44" s="78" t="e">
        <f>LOGEST(FF18:FF$37)^4-1</f>
        <v>#NUM!</v>
      </c>
      <c r="FG44" s="211" t="e">
        <f>LOGEST(FG18:FG$37)^4-1</f>
        <v>#NUM!</v>
      </c>
      <c r="FH44" s="135"/>
      <c r="FP44" s="54"/>
      <c r="FQ44" s="54"/>
      <c r="FR44" s="54"/>
      <c r="FS44" s="54"/>
      <c r="FT44" s="77" t="s">
        <v>10</v>
      </c>
      <c r="FU44" s="4"/>
      <c r="FV44" s="78" t="e">
        <f>LOGEST(FV18:FV$37)^4-1</f>
        <v>#NUM!</v>
      </c>
      <c r="FW44" s="78" t="e">
        <f>LOGEST(FW18:FW$37)^4-1</f>
        <v>#NUM!</v>
      </c>
      <c r="FX44" s="78" t="e">
        <f>LOGEST(FX18:FX$37)^4-1</f>
        <v>#NUM!</v>
      </c>
      <c r="FY44" s="211" t="e">
        <f>LOGEST(FY18:FY$37)^4-1</f>
        <v>#NUM!</v>
      </c>
    </row>
    <row r="45" spans="1:181" ht="15.75" thickBot="1" x14ac:dyDescent="0.3">
      <c r="B45" s="25" t="s">
        <v>13</v>
      </c>
      <c r="C45" s="25"/>
      <c r="D45" s="25"/>
      <c r="E45" s="25"/>
      <c r="J45" s="54"/>
      <c r="K45" s="54"/>
      <c r="L45" s="54"/>
      <c r="M45" s="54"/>
      <c r="N45" s="80" t="s">
        <v>11</v>
      </c>
      <c r="O45" s="82"/>
      <c r="P45" s="81">
        <f>LOGEST(P14:P$37)^4-1</f>
        <v>-8.4864487488614415E-2</v>
      </c>
      <c r="Q45" s="81">
        <f>LOGEST(Q14:Q$37)^4-1</f>
        <v>-4.1744360091166333E-2</v>
      </c>
      <c r="R45" s="81">
        <f>LOGEST(R14:R$37)^4-1</f>
        <v>0.12990073105326694</v>
      </c>
      <c r="S45" s="212">
        <f>LOGEST(S14:S$37)^4-1</f>
        <v>0.12516159112237335</v>
      </c>
      <c r="T45" s="25" t="s">
        <v>13</v>
      </c>
      <c r="U45" s="25"/>
      <c r="V45" s="25"/>
      <c r="W45" s="25"/>
      <c r="AB45" s="54"/>
      <c r="AC45" s="54"/>
      <c r="AD45" s="54"/>
      <c r="AE45" s="54"/>
      <c r="AF45" s="80" t="s">
        <v>11</v>
      </c>
      <c r="AG45" s="82"/>
      <c r="AH45" s="81" t="e">
        <f>LOGEST(AH14:AH$37)^4-1</f>
        <v>#NUM!</v>
      </c>
      <c r="AI45" s="81" t="e">
        <f>LOGEST(AI14:AI$37)^4-1</f>
        <v>#NUM!</v>
      </c>
      <c r="AJ45" s="81" t="e">
        <f>LOGEST(AJ14:AJ$37)^4-1</f>
        <v>#NUM!</v>
      </c>
      <c r="AK45" s="212" t="e">
        <f>LOGEST(AK14:AK$37)^4-1</f>
        <v>#NUM!</v>
      </c>
      <c r="AL45" s="25" t="s">
        <v>13</v>
      </c>
      <c r="AM45" s="25"/>
      <c r="AN45" s="25"/>
      <c r="AO45" s="25"/>
      <c r="AT45" s="60"/>
      <c r="AU45" s="60"/>
      <c r="AV45" s="60"/>
      <c r="AW45" s="60"/>
      <c r="AX45" s="80" t="s">
        <v>11</v>
      </c>
      <c r="AY45" s="82"/>
      <c r="AZ45" s="81" t="e">
        <f>LOGEST(AZ14:AZ$37)^4-1</f>
        <v>#NUM!</v>
      </c>
      <c r="BA45" s="81" t="e">
        <f>LOGEST(BA14:BA$37)^4-1</f>
        <v>#NUM!</v>
      </c>
      <c r="BB45" s="81" t="e">
        <f>LOGEST(BB14:BB$37)^4-1</f>
        <v>#NUM!</v>
      </c>
      <c r="BC45" s="212" t="e">
        <f>LOGEST(BC14:BC$37)^4-1</f>
        <v>#NUM!</v>
      </c>
      <c r="BD45" s="25" t="s">
        <v>13</v>
      </c>
      <c r="BE45" s="25"/>
      <c r="BF45" s="25"/>
      <c r="BG45" s="25"/>
      <c r="BL45" s="60"/>
      <c r="BM45" s="60"/>
      <c r="BN45" s="60"/>
      <c r="BO45" s="60"/>
      <c r="BP45" s="80" t="s">
        <v>11</v>
      </c>
      <c r="BQ45" s="82"/>
      <c r="BR45" s="81" t="e">
        <f>LOGEST(BR14:BR$37)^4-1</f>
        <v>#NUM!</v>
      </c>
      <c r="BS45" s="81" t="e">
        <f>LOGEST(BS14:BS$37)^4-1</f>
        <v>#NUM!</v>
      </c>
      <c r="BT45" s="81" t="e">
        <f>LOGEST(BT14:BT$37)^4-1</f>
        <v>#NUM!</v>
      </c>
      <c r="BU45" s="212" t="e">
        <f>LOGEST(BU14:BU$37)^4-1</f>
        <v>#NUM!</v>
      </c>
      <c r="BV45" s="25" t="s">
        <v>13</v>
      </c>
      <c r="BW45" s="25"/>
      <c r="BX45" s="25"/>
      <c r="BY45" s="25"/>
      <c r="CD45" s="54"/>
      <c r="CE45" s="54"/>
      <c r="CF45" s="54"/>
      <c r="CG45" s="54"/>
      <c r="CH45" s="80" t="s">
        <v>11</v>
      </c>
      <c r="CI45" s="82"/>
      <c r="CJ45" s="81" t="e">
        <f>LOGEST(CJ14:CJ$37)^4-1</f>
        <v>#NUM!</v>
      </c>
      <c r="CK45" s="81" t="e">
        <f>LOGEST(CK14:CK$37)^4-1</f>
        <v>#NUM!</v>
      </c>
      <c r="CL45" s="81" t="e">
        <f>LOGEST(CL14:CL$37)^4-1</f>
        <v>#NUM!</v>
      </c>
      <c r="CM45" s="212" t="e">
        <f>LOGEST(CM14:CM$37)^4-1</f>
        <v>#NUM!</v>
      </c>
      <c r="CN45" s="25" t="s">
        <v>13</v>
      </c>
      <c r="CO45" s="25"/>
      <c r="CP45" s="25"/>
      <c r="CQ45" s="25"/>
      <c r="CV45" s="54"/>
      <c r="CW45" s="54"/>
      <c r="CX45" s="54"/>
      <c r="CY45" s="54"/>
      <c r="CZ45" s="80" t="s">
        <v>11</v>
      </c>
      <c r="DA45" s="82"/>
      <c r="DB45" s="81" t="e">
        <f>LOGEST(DB14:DB$37)^4-1</f>
        <v>#NUM!</v>
      </c>
      <c r="DC45" s="81" t="e">
        <f>LOGEST(DC14:DC$37)^4-1</f>
        <v>#NUM!</v>
      </c>
      <c r="DD45" s="81" t="e">
        <f>LOGEST(DD14:DD$37)^4-1</f>
        <v>#NUM!</v>
      </c>
      <c r="DE45" s="212" t="e">
        <f>LOGEST(DE14:DE$37)^4-1</f>
        <v>#NUM!</v>
      </c>
      <c r="DF45" s="25" t="s">
        <v>13</v>
      </c>
      <c r="DG45" s="25"/>
      <c r="DH45" s="25"/>
      <c r="DI45" s="25"/>
      <c r="DN45" s="60"/>
      <c r="DO45" s="60"/>
      <c r="DP45" s="60"/>
      <c r="DQ45" s="60"/>
      <c r="DR45" s="80" t="s">
        <v>11</v>
      </c>
      <c r="DS45" s="82"/>
      <c r="DT45" s="81" t="e">
        <f>LOGEST(DT14:DT$37)^4-1</f>
        <v>#NUM!</v>
      </c>
      <c r="DU45" s="81" t="e">
        <f>LOGEST(DU14:DU$37)^4-1</f>
        <v>#NUM!</v>
      </c>
      <c r="DV45" s="81" t="e">
        <f>LOGEST(DV14:DV$37)^4-1</f>
        <v>#NUM!</v>
      </c>
      <c r="DW45" s="212" t="e">
        <f>LOGEST(DW14:DW$37)^4-1</f>
        <v>#NUM!</v>
      </c>
      <c r="DX45" s="25" t="s">
        <v>13</v>
      </c>
      <c r="DY45" s="25"/>
      <c r="DZ45" s="25"/>
      <c r="EA45" s="25"/>
      <c r="EF45" s="79"/>
      <c r="EG45" s="79"/>
      <c r="EH45" s="79"/>
      <c r="EI45" s="79"/>
      <c r="EJ45" s="80" t="s">
        <v>11</v>
      </c>
      <c r="EK45" s="82"/>
      <c r="EL45" s="81" t="e">
        <f>LOGEST(EL14:EL$37)^4-1</f>
        <v>#NUM!</v>
      </c>
      <c r="EM45" s="81" t="e">
        <f>LOGEST(EM14:EM$37)^4-1</f>
        <v>#NUM!</v>
      </c>
      <c r="EN45" s="81" t="e">
        <f>LOGEST(EN14:EN$37)^4-1</f>
        <v>#NUM!</v>
      </c>
      <c r="EO45" s="212" t="e">
        <f>LOGEST(EO14:EO$37)^4-1</f>
        <v>#NUM!</v>
      </c>
      <c r="EP45" s="25" t="s">
        <v>13</v>
      </c>
      <c r="EQ45" s="25"/>
      <c r="ER45" s="25"/>
      <c r="ES45" s="25"/>
      <c r="EX45" s="78"/>
      <c r="EY45" s="78"/>
      <c r="EZ45" s="78"/>
      <c r="FA45" s="78"/>
      <c r="FB45" s="80" t="s">
        <v>11</v>
      </c>
      <c r="FC45" s="82"/>
      <c r="FD45" s="81" t="e">
        <f>LOGEST(FD14:FD$37)^4-1</f>
        <v>#NUM!</v>
      </c>
      <c r="FE45" s="81" t="e">
        <f>LOGEST(FE14:FE$37)^4-1</f>
        <v>#NUM!</v>
      </c>
      <c r="FF45" s="81" t="e">
        <f>LOGEST(FF14:FF$37)^4-1</f>
        <v>#NUM!</v>
      </c>
      <c r="FG45" s="212" t="e">
        <f>LOGEST(FG14:FG$37)^4-1</f>
        <v>#NUM!</v>
      </c>
      <c r="FH45" s="25" t="s">
        <v>13</v>
      </c>
      <c r="FI45" s="25"/>
      <c r="FJ45" s="25"/>
      <c r="FK45" s="25"/>
      <c r="FP45" s="54"/>
      <c r="FQ45" s="54"/>
      <c r="FR45" s="54"/>
      <c r="FS45" s="54"/>
      <c r="FT45" s="80" t="s">
        <v>11</v>
      </c>
      <c r="FU45" s="82"/>
      <c r="FV45" s="81" t="e">
        <f>LOGEST(FV14:FV$37)^4-1</f>
        <v>#NUM!</v>
      </c>
      <c r="FW45" s="81" t="e">
        <f>LOGEST(FW14:FW$37)^4-1</f>
        <v>#NUM!</v>
      </c>
      <c r="FX45" s="81" t="e">
        <f>LOGEST(FX14:FX$37)^4-1</f>
        <v>#NUM!</v>
      </c>
      <c r="FY45" s="212" t="e">
        <f>LOGEST(FY14:FY$37)^4-1</f>
        <v>#NUM!</v>
      </c>
    </row>
    <row r="46" spans="1:181" x14ac:dyDescent="0.25">
      <c r="B46" s="37" t="s">
        <v>54</v>
      </c>
      <c r="C46" s="25"/>
      <c r="D46" s="25"/>
      <c r="F46" s="24">
        <f>IFERROR(((12+PolicyTermAvgAnn)/24)+((EffDate_Proposed-(DATE(LEFT(FYQtr,4),(RIGHT(FYQtr,1)*3)-6+1,1)-1))/365.25),"")</f>
        <v>2.6673511293634498</v>
      </c>
      <c r="J46" s="124"/>
      <c r="K46" s="78"/>
      <c r="L46" s="79"/>
      <c r="M46" s="78"/>
      <c r="N46" s="79"/>
      <c r="O46" s="4"/>
      <c r="P46" s="78"/>
      <c r="Q46" s="79"/>
      <c r="R46" s="78"/>
      <c r="S46" s="79"/>
      <c r="T46" s="37" t="s">
        <v>54</v>
      </c>
      <c r="U46" s="25"/>
      <c r="V46" s="25"/>
      <c r="X46" s="261">
        <f>$F$46</f>
        <v>2.6673511293634498</v>
      </c>
      <c r="AB46" s="54"/>
      <c r="AC46" s="54"/>
      <c r="AD46" s="54"/>
      <c r="AE46" s="54"/>
      <c r="AF46" s="79"/>
      <c r="AG46" s="4"/>
      <c r="AH46" s="78"/>
      <c r="AI46" s="79"/>
      <c r="AJ46" s="78"/>
      <c r="AK46" s="79"/>
      <c r="AL46" s="37" t="s">
        <v>54</v>
      </c>
      <c r="AM46" s="25"/>
      <c r="AN46" s="25"/>
      <c r="AP46" s="261">
        <f>$F$46</f>
        <v>2.6673511293634498</v>
      </c>
      <c r="AT46" s="60"/>
      <c r="AU46" s="60"/>
      <c r="AV46" s="60"/>
      <c r="AW46" s="60"/>
      <c r="AX46" s="79"/>
      <c r="AY46" s="4"/>
      <c r="AZ46" s="78"/>
      <c r="BA46" s="79"/>
      <c r="BB46" s="78"/>
      <c r="BC46" s="79"/>
      <c r="BD46" s="37" t="s">
        <v>54</v>
      </c>
      <c r="BE46" s="25"/>
      <c r="BF46" s="25"/>
      <c r="BH46" s="261">
        <f>$F$46</f>
        <v>2.6673511293634498</v>
      </c>
      <c r="BL46" s="124"/>
      <c r="BM46" s="78"/>
      <c r="BN46" s="79"/>
      <c r="BO46" s="78"/>
      <c r="BP46" s="79"/>
      <c r="BQ46" s="4"/>
      <c r="BR46" s="78"/>
      <c r="BS46" s="79"/>
      <c r="BT46" s="78"/>
      <c r="BU46" s="79"/>
      <c r="BV46" s="37" t="s">
        <v>54</v>
      </c>
      <c r="BW46" s="25"/>
      <c r="BX46" s="25"/>
      <c r="BZ46" s="261">
        <f>$F$46</f>
        <v>2.6673511293634498</v>
      </c>
      <c r="CD46" s="54"/>
      <c r="CE46" s="54"/>
      <c r="CF46" s="54"/>
      <c r="CG46" s="54"/>
      <c r="CH46" s="79"/>
      <c r="CI46" s="4"/>
      <c r="CJ46" s="78"/>
      <c r="CK46" s="79"/>
      <c r="CL46" s="78"/>
      <c r="CM46" s="79"/>
      <c r="CN46" s="37" t="s">
        <v>54</v>
      </c>
      <c r="CO46" s="25"/>
      <c r="CP46" s="25"/>
      <c r="CR46" s="261">
        <f>$F$46</f>
        <v>2.6673511293634498</v>
      </c>
      <c r="CV46" s="124"/>
      <c r="CW46" s="78"/>
      <c r="CX46" s="79"/>
      <c r="CY46" s="78"/>
      <c r="CZ46" s="79"/>
      <c r="DA46" s="4"/>
      <c r="DB46" s="78"/>
      <c r="DC46" s="79"/>
      <c r="DD46" s="78"/>
      <c r="DE46" s="79"/>
      <c r="DF46" s="37" t="s">
        <v>54</v>
      </c>
      <c r="DG46" s="25"/>
      <c r="DH46" s="25"/>
      <c r="DJ46" s="261">
        <f>$F$46</f>
        <v>2.6673511293634498</v>
      </c>
      <c r="DN46" s="124"/>
      <c r="DO46" s="78"/>
      <c r="DP46" s="79"/>
      <c r="DQ46" s="78"/>
      <c r="DR46" s="79"/>
      <c r="DS46" s="4"/>
      <c r="DT46" s="78"/>
      <c r="DU46" s="79"/>
      <c r="DV46" s="78"/>
      <c r="DW46" s="79"/>
      <c r="DX46" s="37" t="s">
        <v>54</v>
      </c>
      <c r="DY46" s="25"/>
      <c r="DZ46" s="25"/>
      <c r="EB46" s="261">
        <f>$F$46</f>
        <v>2.6673511293634498</v>
      </c>
      <c r="EF46" s="79"/>
      <c r="EG46" s="79"/>
      <c r="EH46" s="79"/>
      <c r="EI46" s="79"/>
      <c r="EJ46" s="79"/>
      <c r="EK46" s="4"/>
      <c r="EL46" s="78"/>
      <c r="EM46" s="79"/>
      <c r="EN46" s="78"/>
      <c r="EO46" s="79"/>
      <c r="EP46" s="37" t="s">
        <v>54</v>
      </c>
      <c r="EQ46" s="25"/>
      <c r="ER46" s="25"/>
      <c r="ET46" s="261">
        <f>$F$46</f>
        <v>2.6673511293634498</v>
      </c>
      <c r="EX46" s="78"/>
      <c r="EY46" s="78"/>
      <c r="EZ46" s="78"/>
      <c r="FA46" s="78"/>
      <c r="FB46" s="79"/>
      <c r="FC46" s="4"/>
      <c r="FD46" s="78"/>
      <c r="FE46" s="79"/>
      <c r="FF46" s="78"/>
      <c r="FG46" s="79"/>
      <c r="FH46" s="37" t="s">
        <v>54</v>
      </c>
      <c r="FI46" s="25"/>
      <c r="FJ46" s="25"/>
      <c r="FL46" s="261">
        <f>$F$46</f>
        <v>2.6673511293634498</v>
      </c>
      <c r="FP46" s="54"/>
      <c r="FQ46" s="54"/>
      <c r="FR46" s="54"/>
      <c r="FS46" s="54"/>
      <c r="FT46" s="79"/>
      <c r="FU46" s="4"/>
      <c r="FV46" s="78"/>
      <c r="FW46" s="79"/>
      <c r="FX46" s="78"/>
      <c r="FY46" s="79"/>
    </row>
    <row r="47" spans="1:181" x14ac:dyDescent="0.25">
      <c r="B47" s="37"/>
      <c r="F47" s="135" t="str">
        <f>IF($F$46&lt;&gt;'2.Exhibit 5'!$G$42,"ERROR!  The trend period must be identical for","")</f>
        <v/>
      </c>
      <c r="J47" s="54"/>
      <c r="K47" s="60"/>
      <c r="L47" s="58"/>
      <c r="M47" s="60"/>
      <c r="N47" s="58"/>
      <c r="P47" s="60"/>
      <c r="Q47" s="58"/>
      <c r="R47" s="60"/>
      <c r="S47" s="58"/>
      <c r="T47" s="37"/>
      <c r="X47" s="135"/>
      <c r="AB47" s="54"/>
      <c r="AC47" s="60"/>
      <c r="AD47" s="58"/>
      <c r="AE47" s="60"/>
      <c r="AF47" s="58"/>
      <c r="AH47" s="60"/>
      <c r="AI47" s="58"/>
      <c r="AJ47" s="60"/>
      <c r="AK47" s="58"/>
      <c r="AL47" s="37"/>
      <c r="AP47" s="135"/>
      <c r="AT47" s="54"/>
      <c r="AU47" s="60"/>
      <c r="AV47" s="58"/>
      <c r="AW47" s="60"/>
      <c r="AX47" s="58"/>
      <c r="AZ47" s="60"/>
      <c r="BA47" s="58"/>
      <c r="BB47" s="60"/>
      <c r="BC47" s="58"/>
      <c r="BD47" s="37"/>
      <c r="BH47" s="135"/>
      <c r="BL47" s="54"/>
      <c r="BM47" s="60"/>
      <c r="BN47" s="58"/>
      <c r="BO47" s="60"/>
      <c r="BP47" s="58"/>
      <c r="BR47" s="60"/>
      <c r="BS47" s="58"/>
      <c r="BT47" s="60"/>
      <c r="BU47" s="58"/>
      <c r="BV47" s="37"/>
      <c r="BZ47" s="135"/>
      <c r="CD47" s="54"/>
      <c r="CE47" s="54"/>
      <c r="CF47" s="54"/>
      <c r="CG47" s="54"/>
      <c r="CH47" s="58"/>
      <c r="CJ47" s="60"/>
      <c r="CK47" s="58"/>
      <c r="CL47" s="60"/>
      <c r="CM47" s="58"/>
      <c r="CN47" s="37"/>
      <c r="CR47" s="135"/>
      <c r="CV47" s="54"/>
      <c r="CW47" s="60"/>
      <c r="CX47" s="58"/>
      <c r="CY47" s="60"/>
      <c r="CZ47" s="58"/>
      <c r="DB47" s="60"/>
      <c r="DC47" s="58"/>
      <c r="DD47" s="60"/>
      <c r="DE47" s="58"/>
      <c r="DF47" s="37"/>
      <c r="DJ47" s="135"/>
      <c r="DN47" s="54"/>
      <c r="DO47" s="60"/>
      <c r="DP47" s="58"/>
      <c r="DQ47" s="60"/>
      <c r="DR47" s="58"/>
      <c r="DT47" s="60"/>
      <c r="DU47" s="58"/>
      <c r="DV47" s="60"/>
      <c r="DW47" s="58"/>
      <c r="DX47" s="37"/>
      <c r="EB47" s="135"/>
      <c r="EF47" s="54"/>
      <c r="EG47" s="60"/>
      <c r="EH47" s="58"/>
      <c r="EI47" s="60"/>
      <c r="EJ47" s="58"/>
      <c r="EL47" s="60"/>
      <c r="EM47" s="58"/>
      <c r="EN47" s="60"/>
      <c r="EO47" s="58"/>
      <c r="EP47" s="37"/>
      <c r="ET47" s="135"/>
      <c r="EX47" s="54"/>
      <c r="EY47" s="60"/>
      <c r="EZ47" s="58"/>
      <c r="FA47" s="60"/>
      <c r="FB47" s="58"/>
      <c r="FD47" s="60"/>
      <c r="FE47" s="58"/>
      <c r="FF47" s="60"/>
      <c r="FG47" s="58"/>
      <c r="FH47" s="37"/>
      <c r="FL47" s="135"/>
      <c r="FP47" s="54"/>
      <c r="FQ47" s="54"/>
      <c r="FR47" s="54"/>
      <c r="FS47" s="54"/>
      <c r="FT47" s="58"/>
      <c r="FV47" s="60"/>
      <c r="FW47" s="58"/>
      <c r="FX47" s="60"/>
      <c r="FY47" s="58"/>
    </row>
    <row r="48" spans="1:181" x14ac:dyDescent="0.25">
      <c r="B48" s="37"/>
      <c r="F48" s="135" t="str">
        <f>IF($F$46&lt;&gt;'2.Exhibit 5'!$G$42,"premium and loss trends.","")</f>
        <v/>
      </c>
      <c r="J48" s="54"/>
      <c r="K48" s="60"/>
      <c r="L48" s="58"/>
      <c r="M48" s="60"/>
      <c r="N48" s="58"/>
      <c r="P48" s="60"/>
      <c r="Q48" s="58"/>
      <c r="R48" s="60"/>
      <c r="S48" s="58"/>
      <c r="T48" s="37"/>
      <c r="X48" s="135"/>
      <c r="AB48" s="54"/>
      <c r="AC48" s="60"/>
      <c r="AD48" s="58"/>
      <c r="AE48" s="60"/>
      <c r="AF48" s="58"/>
      <c r="AH48" s="60"/>
      <c r="AI48" s="58"/>
      <c r="AJ48" s="60"/>
      <c r="AK48" s="58"/>
      <c r="AL48" s="37"/>
      <c r="AP48" s="135"/>
      <c r="AT48" s="54"/>
      <c r="AU48" s="60"/>
      <c r="AV48" s="58"/>
      <c r="AW48" s="60"/>
      <c r="AX48" s="58"/>
      <c r="AZ48" s="60"/>
      <c r="BA48" s="58"/>
      <c r="BB48" s="60"/>
      <c r="BC48" s="58"/>
      <c r="BD48" s="37"/>
      <c r="BH48" s="135"/>
      <c r="BL48" s="54"/>
      <c r="BM48" s="60"/>
      <c r="BN48" s="58"/>
      <c r="BO48" s="60"/>
      <c r="BP48" s="58"/>
      <c r="BR48" s="60"/>
      <c r="BS48" s="58"/>
      <c r="BT48" s="60"/>
      <c r="BU48" s="58"/>
      <c r="BV48" s="37"/>
      <c r="BZ48" s="135"/>
      <c r="CD48" s="54"/>
      <c r="CE48" s="60"/>
      <c r="CF48" s="58"/>
      <c r="CG48" s="60"/>
      <c r="CH48" s="58"/>
      <c r="CJ48" s="60"/>
      <c r="CK48" s="58"/>
      <c r="CL48" s="60"/>
      <c r="CM48" s="58"/>
      <c r="CN48" s="37"/>
      <c r="CR48" s="135"/>
      <c r="CV48" s="54"/>
      <c r="CW48" s="60"/>
      <c r="CX48" s="58"/>
      <c r="CY48" s="60"/>
      <c r="CZ48" s="58"/>
      <c r="DB48" s="60"/>
      <c r="DC48" s="58"/>
      <c r="DD48" s="60"/>
      <c r="DE48" s="58"/>
      <c r="DF48" s="37"/>
      <c r="DJ48" s="135"/>
      <c r="DN48" s="54"/>
      <c r="DO48" s="60"/>
      <c r="DP48" s="58"/>
      <c r="DQ48" s="60"/>
      <c r="DR48" s="58"/>
      <c r="DT48" s="60"/>
      <c r="DU48" s="58"/>
      <c r="DV48" s="60"/>
      <c r="DW48" s="58"/>
      <c r="DX48" s="37"/>
      <c r="EB48" s="135"/>
      <c r="EF48" s="54"/>
      <c r="EG48" s="60"/>
      <c r="EH48" s="58"/>
      <c r="EI48" s="60"/>
      <c r="EJ48" s="58"/>
      <c r="EL48" s="60"/>
      <c r="EM48" s="58"/>
      <c r="EN48" s="60"/>
      <c r="EO48" s="58"/>
      <c r="EP48" s="37"/>
      <c r="ET48" s="135"/>
      <c r="EX48" s="54"/>
      <c r="EY48" s="60"/>
      <c r="EZ48" s="58"/>
      <c r="FA48" s="60"/>
      <c r="FB48" s="58"/>
      <c r="FD48" s="60"/>
      <c r="FE48" s="58"/>
      <c r="FF48" s="60"/>
      <c r="FG48" s="58"/>
      <c r="FH48" s="37"/>
      <c r="FL48" s="135"/>
      <c r="FP48" s="54"/>
      <c r="FQ48" s="60"/>
      <c r="FR48" s="58"/>
      <c r="FS48" s="60"/>
      <c r="FT48" s="58"/>
      <c r="FV48" s="60"/>
      <c r="FW48" s="58"/>
      <c r="FX48" s="60"/>
      <c r="FY48" s="58"/>
    </row>
    <row r="49" spans="2:181" x14ac:dyDescent="0.25">
      <c r="B49" s="37" t="s">
        <v>14</v>
      </c>
      <c r="C49" s="25"/>
      <c r="D49" s="25"/>
      <c r="E49" s="25"/>
      <c r="J49" s="54"/>
      <c r="K49" s="60"/>
      <c r="L49" s="58"/>
      <c r="M49" s="60"/>
      <c r="N49" s="58"/>
      <c r="P49" s="60"/>
      <c r="Q49" s="58"/>
      <c r="R49" s="60"/>
      <c r="S49" s="58"/>
      <c r="T49" s="37" t="s">
        <v>14</v>
      </c>
      <c r="U49" s="25"/>
      <c r="V49" s="25"/>
      <c r="W49" s="25"/>
      <c r="AB49" s="54"/>
      <c r="AC49" s="60"/>
      <c r="AD49" s="58"/>
      <c r="AE49" s="60"/>
      <c r="AF49" s="58"/>
      <c r="AH49" s="60"/>
      <c r="AI49" s="58"/>
      <c r="AJ49" s="60"/>
      <c r="AK49" s="58"/>
      <c r="AL49" s="37" t="s">
        <v>14</v>
      </c>
      <c r="AM49" s="25"/>
      <c r="AN49" s="25"/>
      <c r="AO49" s="25"/>
      <c r="AT49" s="54"/>
      <c r="AU49" s="60"/>
      <c r="AV49" s="58"/>
      <c r="AW49" s="60"/>
      <c r="AX49" s="58"/>
      <c r="AZ49" s="60"/>
      <c r="BA49" s="58"/>
      <c r="BB49" s="60"/>
      <c r="BC49" s="58"/>
      <c r="BD49" s="37" t="s">
        <v>14</v>
      </c>
      <c r="BE49" s="25"/>
      <c r="BF49" s="25"/>
      <c r="BG49" s="25"/>
      <c r="BL49" s="54"/>
      <c r="BM49" s="60"/>
      <c r="BN49" s="58"/>
      <c r="BO49" s="60"/>
      <c r="BP49" s="58"/>
      <c r="BR49" s="60"/>
      <c r="BS49" s="58"/>
      <c r="BT49" s="60"/>
      <c r="BU49" s="58"/>
      <c r="BV49" s="37" t="s">
        <v>14</v>
      </c>
      <c r="BW49" s="25"/>
      <c r="BX49" s="25"/>
      <c r="BY49" s="25"/>
      <c r="CD49" s="54"/>
      <c r="CE49" s="60"/>
      <c r="CF49" s="58"/>
      <c r="CG49" s="60"/>
      <c r="CH49" s="58"/>
      <c r="CJ49" s="60"/>
      <c r="CK49" s="58"/>
      <c r="CL49" s="60"/>
      <c r="CM49" s="58"/>
      <c r="CN49" s="37" t="s">
        <v>14</v>
      </c>
      <c r="CO49" s="25"/>
      <c r="CP49" s="25"/>
      <c r="CQ49" s="25"/>
      <c r="CV49" s="54"/>
      <c r="CW49" s="60"/>
      <c r="CX49" s="58"/>
      <c r="CY49" s="60"/>
      <c r="CZ49" s="58"/>
      <c r="DB49" s="60"/>
      <c r="DC49" s="58"/>
      <c r="DD49" s="60"/>
      <c r="DE49" s="58"/>
      <c r="DF49" s="37" t="s">
        <v>14</v>
      </c>
      <c r="DG49" s="25"/>
      <c r="DH49" s="25"/>
      <c r="DI49" s="25"/>
      <c r="DN49" s="54"/>
      <c r="DO49" s="60"/>
      <c r="DP49" s="58"/>
      <c r="DQ49" s="60"/>
      <c r="DR49" s="58"/>
      <c r="DT49" s="60"/>
      <c r="DU49" s="58"/>
      <c r="DV49" s="60"/>
      <c r="DW49" s="58"/>
      <c r="DX49" s="37" t="s">
        <v>14</v>
      </c>
      <c r="DY49" s="25"/>
      <c r="DZ49" s="25"/>
      <c r="EA49" s="25"/>
      <c r="EF49" s="54"/>
      <c r="EG49" s="60"/>
      <c r="EH49" s="58"/>
      <c r="EI49" s="60"/>
      <c r="EJ49" s="58"/>
      <c r="EL49" s="60"/>
      <c r="EM49" s="58"/>
      <c r="EN49" s="60"/>
      <c r="EO49" s="58"/>
      <c r="EP49" s="37" t="s">
        <v>14</v>
      </c>
      <c r="EQ49" s="25"/>
      <c r="ER49" s="25"/>
      <c r="ES49" s="25"/>
      <c r="EX49" s="54"/>
      <c r="EY49" s="60"/>
      <c r="EZ49" s="58"/>
      <c r="FA49" s="60"/>
      <c r="FB49" s="58"/>
      <c r="FD49" s="60"/>
      <c r="FE49" s="58"/>
      <c r="FF49" s="60"/>
      <c r="FG49" s="58"/>
      <c r="FH49" s="37" t="s">
        <v>14</v>
      </c>
      <c r="FI49" s="25"/>
      <c r="FJ49" s="25"/>
      <c r="FK49" s="25"/>
      <c r="FP49" s="54"/>
      <c r="FQ49" s="60"/>
      <c r="FR49" s="58"/>
      <c r="FS49" s="60"/>
      <c r="FT49" s="58"/>
      <c r="FV49" s="60"/>
      <c r="FW49" s="58"/>
      <c r="FX49" s="60"/>
      <c r="FY49" s="58"/>
    </row>
    <row r="50" spans="2:181" ht="17.25" x14ac:dyDescent="0.25">
      <c r="B50" s="38" t="s">
        <v>20</v>
      </c>
      <c r="E50" s="123">
        <f>(1+LTrnd_Cov1)^(F$46+5)</f>
        <v>2.5900012474478085</v>
      </c>
      <c r="F50" s="38"/>
      <c r="J50" s="54"/>
      <c r="K50" s="60"/>
      <c r="L50" s="58"/>
      <c r="M50" s="60"/>
      <c r="N50" s="58"/>
      <c r="P50" s="60"/>
      <c r="Q50" s="58"/>
      <c r="R50" s="60"/>
      <c r="S50" s="58"/>
      <c r="T50" s="38" t="s">
        <v>20</v>
      </c>
      <c r="W50" s="123" t="e">
        <f>(1+LTrnd_Cov2)^(X$46+5)</f>
        <v>#N/A</v>
      </c>
      <c r="AB50" s="54"/>
      <c r="AC50" s="60"/>
      <c r="AD50" s="58"/>
      <c r="AE50" s="60"/>
      <c r="AF50" s="58"/>
      <c r="AH50" s="60"/>
      <c r="AI50" s="58"/>
      <c r="AJ50" s="60"/>
      <c r="AK50" s="58"/>
      <c r="AL50" s="38" t="s">
        <v>20</v>
      </c>
      <c r="AO50" s="123" t="e">
        <f>(1+LTrnd_Cov3)^(AP$46+5)</f>
        <v>#N/A</v>
      </c>
      <c r="AT50" s="54"/>
      <c r="AU50" s="60"/>
      <c r="AV50" s="58"/>
      <c r="AW50" s="60"/>
      <c r="AX50" s="58"/>
      <c r="AZ50" s="60"/>
      <c r="BA50" s="58"/>
      <c r="BB50" s="60"/>
      <c r="BC50" s="58"/>
      <c r="BD50" s="38" t="s">
        <v>20</v>
      </c>
      <c r="BG50" s="123" t="e">
        <f>(1+LTrnd_Cov4)^(BH$46+5)</f>
        <v>#N/A</v>
      </c>
      <c r="BL50" s="54"/>
      <c r="BM50" s="60"/>
      <c r="BN50" s="58"/>
      <c r="BO50" s="60"/>
      <c r="BP50" s="58"/>
      <c r="BR50" s="60"/>
      <c r="BS50" s="58"/>
      <c r="BT50" s="60"/>
      <c r="BU50" s="58"/>
      <c r="BV50" s="38" t="s">
        <v>20</v>
      </c>
      <c r="BY50" s="123" t="e">
        <f>(1+LTrnd_Cov5)^(BZ$46+5)</f>
        <v>#N/A</v>
      </c>
      <c r="CD50" s="54"/>
      <c r="CE50" s="60"/>
      <c r="CF50" s="58"/>
      <c r="CG50" s="60"/>
      <c r="CH50" s="58"/>
      <c r="CJ50" s="60"/>
      <c r="CK50" s="58"/>
      <c r="CL50" s="60"/>
      <c r="CM50" s="58"/>
      <c r="CN50" s="38" t="s">
        <v>20</v>
      </c>
      <c r="CQ50" s="123" t="e">
        <f>(1+LTrnd_Cov6)^(CR$46+5)</f>
        <v>#N/A</v>
      </c>
      <c r="CV50" s="54"/>
      <c r="CW50" s="60"/>
      <c r="CX50" s="58"/>
      <c r="CY50" s="60"/>
      <c r="CZ50" s="58"/>
      <c r="DB50" s="60"/>
      <c r="DC50" s="58"/>
      <c r="DD50" s="60"/>
      <c r="DE50" s="58"/>
      <c r="DF50" s="38" t="s">
        <v>20</v>
      </c>
      <c r="DI50" s="123" t="e">
        <f>(1+LTrnd_Cov7)^(DJ$46+5)</f>
        <v>#N/A</v>
      </c>
      <c r="DN50" s="54"/>
      <c r="DO50" s="60"/>
      <c r="DP50" s="58"/>
      <c r="DQ50" s="60"/>
      <c r="DR50" s="58"/>
      <c r="DT50" s="60"/>
      <c r="DU50" s="58"/>
      <c r="DV50" s="60"/>
      <c r="DW50" s="58"/>
      <c r="DX50" s="38" t="s">
        <v>20</v>
      </c>
      <c r="EA50" s="123" t="e">
        <f>(1+LTrnd_Cov8)^(EB$46+5)</f>
        <v>#N/A</v>
      </c>
      <c r="EF50" s="54"/>
      <c r="EG50" s="60"/>
      <c r="EH50" s="58"/>
      <c r="EI50" s="60"/>
      <c r="EJ50" s="58"/>
      <c r="EL50" s="60"/>
      <c r="EM50" s="58"/>
      <c r="EN50" s="60"/>
      <c r="EO50" s="58"/>
      <c r="EP50" s="38" t="s">
        <v>20</v>
      </c>
      <c r="ES50" s="123" t="e">
        <f>(1+LTrnd_Cov9)^(ET$46+5)</f>
        <v>#N/A</v>
      </c>
      <c r="EX50" s="54"/>
      <c r="EY50" s="60"/>
      <c r="EZ50" s="58"/>
      <c r="FA50" s="60"/>
      <c r="FB50" s="58"/>
      <c r="FD50" s="60"/>
      <c r="FE50" s="58"/>
      <c r="FF50" s="60"/>
      <c r="FG50" s="58"/>
      <c r="FH50" s="38" t="s">
        <v>20</v>
      </c>
      <c r="FK50" s="123" t="e">
        <f>(1+LTrnd_Cov10)^(FL$46+5)</f>
        <v>#N/A</v>
      </c>
      <c r="FP50" s="54"/>
      <c r="FQ50" s="60"/>
      <c r="FR50" s="58"/>
      <c r="FS50" s="60"/>
      <c r="FT50" s="58"/>
      <c r="FV50" s="60"/>
      <c r="FW50" s="58"/>
      <c r="FX50" s="60"/>
      <c r="FY50" s="58"/>
    </row>
    <row r="51" spans="2:181" ht="17.25" x14ac:dyDescent="0.25">
      <c r="B51" s="38" t="s">
        <v>19</v>
      </c>
      <c r="E51" s="46">
        <f>(1+LTrnd_Cov1)^(F$46+4)</f>
        <v>2.2876843095246522</v>
      </c>
      <c r="F51" s="38"/>
      <c r="J51" s="54"/>
      <c r="K51" s="60"/>
      <c r="L51" s="58"/>
      <c r="M51" s="60"/>
      <c r="N51" s="58"/>
      <c r="P51" s="60"/>
      <c r="Q51" s="58"/>
      <c r="R51" s="60"/>
      <c r="S51" s="58"/>
      <c r="T51" s="38" t="s">
        <v>19</v>
      </c>
      <c r="W51" s="46" t="e">
        <f>(1+LTrnd_Cov2)^(X$46+4)</f>
        <v>#N/A</v>
      </c>
      <c r="AB51" s="54"/>
      <c r="AC51" s="60"/>
      <c r="AD51" s="58"/>
      <c r="AE51" s="60"/>
      <c r="AF51" s="58"/>
      <c r="AH51" s="60"/>
      <c r="AI51" s="58"/>
      <c r="AJ51" s="60"/>
      <c r="AK51" s="58"/>
      <c r="AL51" s="38" t="s">
        <v>19</v>
      </c>
      <c r="AO51" s="46" t="e">
        <f>(1+LTrnd_Cov3)^(AP$46+4)</f>
        <v>#N/A</v>
      </c>
      <c r="AT51" s="54"/>
      <c r="AU51" s="60"/>
      <c r="AV51" s="58"/>
      <c r="AW51" s="60"/>
      <c r="AX51" s="58"/>
      <c r="AZ51" s="60"/>
      <c r="BA51" s="58"/>
      <c r="BB51" s="60"/>
      <c r="BC51" s="58"/>
      <c r="BD51" s="38" t="s">
        <v>19</v>
      </c>
      <c r="BG51" s="46" t="e">
        <f>(1+LTrnd_Cov4)^(BH$46+4)</f>
        <v>#N/A</v>
      </c>
      <c r="BL51" s="54"/>
      <c r="BM51" s="60"/>
      <c r="BN51" s="58"/>
      <c r="BO51" s="60"/>
      <c r="BP51" s="58"/>
      <c r="BR51" s="60"/>
      <c r="BS51" s="58"/>
      <c r="BT51" s="60"/>
      <c r="BU51" s="58"/>
      <c r="BV51" s="38" t="s">
        <v>19</v>
      </c>
      <c r="BY51" s="46" t="e">
        <f>(1+LTrnd_Cov5)^(BZ$46+4)</f>
        <v>#N/A</v>
      </c>
      <c r="CD51" s="54"/>
      <c r="CE51" s="60"/>
      <c r="CF51" s="58"/>
      <c r="CG51" s="60"/>
      <c r="CH51" s="58"/>
      <c r="CJ51" s="60"/>
      <c r="CK51" s="58"/>
      <c r="CL51" s="60"/>
      <c r="CM51" s="58"/>
      <c r="CN51" s="38" t="s">
        <v>19</v>
      </c>
      <c r="CQ51" s="46" t="e">
        <f>(1+LTrnd_Cov6)^(CR$46+4)</f>
        <v>#N/A</v>
      </c>
      <c r="CV51" s="54"/>
      <c r="CW51" s="60"/>
      <c r="CX51" s="58"/>
      <c r="CY51" s="60"/>
      <c r="CZ51" s="58"/>
      <c r="DB51" s="60"/>
      <c r="DC51" s="58"/>
      <c r="DD51" s="60"/>
      <c r="DE51" s="58"/>
      <c r="DF51" s="38" t="s">
        <v>19</v>
      </c>
      <c r="DI51" s="46" t="e">
        <f>(1+LTrnd_Cov7)^(DJ$46+4)</f>
        <v>#N/A</v>
      </c>
      <c r="DN51" s="54"/>
      <c r="DO51" s="60"/>
      <c r="DP51" s="58"/>
      <c r="DQ51" s="60"/>
      <c r="DR51" s="58"/>
      <c r="DT51" s="60"/>
      <c r="DU51" s="58"/>
      <c r="DV51" s="60"/>
      <c r="DW51" s="58"/>
      <c r="DX51" s="38" t="s">
        <v>19</v>
      </c>
      <c r="EA51" s="46" t="e">
        <f>(1+LTrnd_Cov8)^(EB$46+4)</f>
        <v>#N/A</v>
      </c>
      <c r="EF51" s="54"/>
      <c r="EG51" s="60"/>
      <c r="EH51" s="58"/>
      <c r="EI51" s="60"/>
      <c r="EJ51" s="58"/>
      <c r="EL51" s="60"/>
      <c r="EM51" s="58"/>
      <c r="EN51" s="60"/>
      <c r="EO51" s="58"/>
      <c r="EP51" s="38" t="s">
        <v>19</v>
      </c>
      <c r="ES51" s="46" t="e">
        <f>(1+LTrnd_Cov9)^(ET$46+4)</f>
        <v>#N/A</v>
      </c>
      <c r="EX51" s="54"/>
      <c r="EY51" s="60"/>
      <c r="EZ51" s="58"/>
      <c r="FA51" s="60"/>
      <c r="FB51" s="58"/>
      <c r="FD51" s="60"/>
      <c r="FE51" s="58"/>
      <c r="FF51" s="60"/>
      <c r="FG51" s="58"/>
      <c r="FH51" s="38" t="s">
        <v>19</v>
      </c>
      <c r="FK51" s="46" t="e">
        <f>(1+LTrnd_Cov10)^(FL$46+4)</f>
        <v>#N/A</v>
      </c>
      <c r="FP51" s="54"/>
      <c r="FQ51" s="60"/>
      <c r="FR51" s="58"/>
      <c r="FS51" s="60"/>
      <c r="FT51" s="58"/>
      <c r="FV51" s="60"/>
      <c r="FW51" s="58"/>
      <c r="FX51" s="60"/>
      <c r="FY51" s="58"/>
    </row>
    <row r="52" spans="2:181" ht="17.25" x14ac:dyDescent="0.25">
      <c r="B52" s="38" t="s">
        <v>18</v>
      </c>
      <c r="E52" s="46">
        <f>(1+LTrnd_Cov1)^(F$46+3)</f>
        <v>2.0206552043951267</v>
      </c>
      <c r="F52" s="38"/>
      <c r="J52" s="54"/>
      <c r="K52" s="60"/>
      <c r="L52" s="58"/>
      <c r="M52" s="60"/>
      <c r="N52" s="58"/>
      <c r="P52" s="60"/>
      <c r="Q52" s="58"/>
      <c r="R52" s="60"/>
      <c r="S52" s="58"/>
      <c r="T52" s="38" t="s">
        <v>18</v>
      </c>
      <c r="W52" s="46" t="e">
        <f>(1+LTrnd_Cov2)^(X$46+3)</f>
        <v>#N/A</v>
      </c>
      <c r="AB52" s="54"/>
      <c r="AC52" s="60"/>
      <c r="AD52" s="58"/>
      <c r="AE52" s="60"/>
      <c r="AF52" s="58"/>
      <c r="AH52" s="60"/>
      <c r="AI52" s="58"/>
      <c r="AJ52" s="60"/>
      <c r="AK52" s="58"/>
      <c r="AL52" s="38" t="s">
        <v>18</v>
      </c>
      <c r="AO52" s="46" t="e">
        <f>(1+LTrnd_Cov3)^(AP$46+3)</f>
        <v>#N/A</v>
      </c>
      <c r="AT52" s="54"/>
      <c r="AU52" s="60"/>
      <c r="AV52" s="58"/>
      <c r="AW52" s="60"/>
      <c r="AX52" s="58"/>
      <c r="AZ52" s="60"/>
      <c r="BA52" s="58"/>
      <c r="BB52" s="60"/>
      <c r="BC52" s="58"/>
      <c r="BD52" s="38" t="s">
        <v>18</v>
      </c>
      <c r="BG52" s="46" t="e">
        <f>(1+LTrnd_Cov4)^(BH$46+3)</f>
        <v>#N/A</v>
      </c>
      <c r="BL52" s="54"/>
      <c r="BM52" s="60"/>
      <c r="BN52" s="58"/>
      <c r="BO52" s="60"/>
      <c r="BP52" s="58"/>
      <c r="BR52" s="60"/>
      <c r="BS52" s="58"/>
      <c r="BT52" s="60"/>
      <c r="BU52" s="58"/>
      <c r="BV52" s="38" t="s">
        <v>18</v>
      </c>
      <c r="BY52" s="46" t="e">
        <f>(1+LTrnd_Cov5)^(BZ$46+3)</f>
        <v>#N/A</v>
      </c>
      <c r="CD52" s="54"/>
      <c r="CE52" s="60"/>
      <c r="CF52" s="58"/>
      <c r="CG52" s="60"/>
      <c r="CH52" s="58"/>
      <c r="CJ52" s="60"/>
      <c r="CK52" s="58"/>
      <c r="CL52" s="60"/>
      <c r="CM52" s="58"/>
      <c r="CN52" s="38" t="s">
        <v>18</v>
      </c>
      <c r="CQ52" s="46" t="e">
        <f>(1+LTrnd_Cov6)^(CR$46+3)</f>
        <v>#N/A</v>
      </c>
      <c r="CV52" s="54"/>
      <c r="CW52" s="60"/>
      <c r="CX52" s="58"/>
      <c r="CY52" s="60"/>
      <c r="CZ52" s="58"/>
      <c r="DB52" s="60"/>
      <c r="DC52" s="58"/>
      <c r="DD52" s="60"/>
      <c r="DE52" s="58"/>
      <c r="DF52" s="38" t="s">
        <v>18</v>
      </c>
      <c r="DI52" s="46" t="e">
        <f>(1+LTrnd_Cov7)^(DJ$46+3)</f>
        <v>#N/A</v>
      </c>
      <c r="DN52" s="54"/>
      <c r="DO52" s="60"/>
      <c r="DP52" s="58"/>
      <c r="DQ52" s="60"/>
      <c r="DR52" s="58"/>
      <c r="DT52" s="60"/>
      <c r="DU52" s="58"/>
      <c r="DV52" s="60"/>
      <c r="DW52" s="58"/>
      <c r="DX52" s="38" t="s">
        <v>18</v>
      </c>
      <c r="EA52" s="46" t="e">
        <f>(1+LTrnd_Cov8)^(EB$46+3)</f>
        <v>#N/A</v>
      </c>
      <c r="EF52" s="54"/>
      <c r="EG52" s="60"/>
      <c r="EH52" s="58"/>
      <c r="EI52" s="60"/>
      <c r="EJ52" s="58"/>
      <c r="EL52" s="60"/>
      <c r="EM52" s="58"/>
      <c r="EN52" s="60"/>
      <c r="EO52" s="58"/>
      <c r="EP52" s="38" t="s">
        <v>18</v>
      </c>
      <c r="ES52" s="46" t="e">
        <f>(1+LTrnd_Cov9)^(ET$46+3)</f>
        <v>#N/A</v>
      </c>
      <c r="EX52" s="54"/>
      <c r="EY52" s="60"/>
      <c r="EZ52" s="58"/>
      <c r="FA52" s="60"/>
      <c r="FB52" s="58"/>
      <c r="FD52" s="60"/>
      <c r="FE52" s="58"/>
      <c r="FF52" s="60"/>
      <c r="FG52" s="58"/>
      <c r="FH52" s="38" t="s">
        <v>18</v>
      </c>
      <c r="FK52" s="46" t="e">
        <f>(1+LTrnd_Cov10)^(FL$46+3)</f>
        <v>#N/A</v>
      </c>
      <c r="FP52" s="54"/>
      <c r="FQ52" s="60"/>
      <c r="FR52" s="58"/>
      <c r="FS52" s="60"/>
      <c r="FT52" s="58"/>
      <c r="FV52" s="60"/>
      <c r="FW52" s="58"/>
      <c r="FX52" s="60"/>
      <c r="FY52" s="58"/>
    </row>
    <row r="53" spans="2:181" ht="17.25" x14ac:dyDescent="0.25">
      <c r="B53" s="38" t="s">
        <v>17</v>
      </c>
      <c r="E53" s="46">
        <f>(1+LTrnd_Cov1)^(F$46+2)</f>
        <v>1.7847949728245109</v>
      </c>
      <c r="J53" s="54"/>
      <c r="K53" s="60"/>
      <c r="L53" s="58"/>
      <c r="M53" s="60"/>
      <c r="N53" s="58"/>
      <c r="P53" s="60"/>
      <c r="Q53" s="58"/>
      <c r="R53" s="60"/>
      <c r="S53" s="58"/>
      <c r="T53" s="38" t="s">
        <v>17</v>
      </c>
      <c r="W53" s="46" t="e">
        <f>(1+LTrnd_Cov2)^(X$46+2)</f>
        <v>#N/A</v>
      </c>
      <c r="AB53" s="54"/>
      <c r="AC53" s="60"/>
      <c r="AD53" s="58"/>
      <c r="AE53" s="60"/>
      <c r="AF53" s="58"/>
      <c r="AH53" s="60"/>
      <c r="AI53" s="58"/>
      <c r="AJ53" s="60"/>
      <c r="AK53" s="58"/>
      <c r="AL53" s="38" t="s">
        <v>17</v>
      </c>
      <c r="AO53" s="46" t="e">
        <f>(1+LTrnd_Cov3)^(AP$46+2)</f>
        <v>#N/A</v>
      </c>
      <c r="AT53" s="54"/>
      <c r="AU53" s="60"/>
      <c r="AV53" s="58"/>
      <c r="AW53" s="60"/>
      <c r="AX53" s="58"/>
      <c r="AZ53" s="60"/>
      <c r="BA53" s="58"/>
      <c r="BB53" s="60"/>
      <c r="BC53" s="58"/>
      <c r="BD53" s="38" t="s">
        <v>17</v>
      </c>
      <c r="BG53" s="46" t="e">
        <f>(1+LTrnd_Cov4)^(BH$46+2)</f>
        <v>#N/A</v>
      </c>
      <c r="BL53" s="54"/>
      <c r="BM53" s="60"/>
      <c r="BN53" s="58"/>
      <c r="BO53" s="60"/>
      <c r="BP53" s="58"/>
      <c r="BR53" s="60"/>
      <c r="BS53" s="58"/>
      <c r="BT53" s="60"/>
      <c r="BU53" s="58"/>
      <c r="BV53" s="38" t="s">
        <v>17</v>
      </c>
      <c r="BY53" s="46" t="e">
        <f>(1+LTrnd_Cov5)^(BZ$46+2)</f>
        <v>#N/A</v>
      </c>
      <c r="CD53" s="54"/>
      <c r="CE53" s="60"/>
      <c r="CF53" s="58"/>
      <c r="CG53" s="60"/>
      <c r="CH53" s="58"/>
      <c r="CJ53" s="60"/>
      <c r="CK53" s="58"/>
      <c r="CL53" s="60"/>
      <c r="CM53" s="58"/>
      <c r="CN53" s="38" t="s">
        <v>17</v>
      </c>
      <c r="CQ53" s="46" t="e">
        <f>(1+LTrnd_Cov6)^(CR$46+2)</f>
        <v>#N/A</v>
      </c>
      <c r="CV53" s="54"/>
      <c r="CW53" s="60"/>
      <c r="CX53" s="58"/>
      <c r="CY53" s="60"/>
      <c r="CZ53" s="58"/>
      <c r="DB53" s="60"/>
      <c r="DC53" s="58"/>
      <c r="DD53" s="60"/>
      <c r="DE53" s="58"/>
      <c r="DF53" s="38" t="s">
        <v>17</v>
      </c>
      <c r="DI53" s="46" t="e">
        <f>(1+LTrnd_Cov7)^(DJ$46+2)</f>
        <v>#N/A</v>
      </c>
      <c r="DN53" s="54"/>
      <c r="DO53" s="60"/>
      <c r="DP53" s="58"/>
      <c r="DQ53" s="60"/>
      <c r="DR53" s="58"/>
      <c r="DT53" s="60"/>
      <c r="DU53" s="58"/>
      <c r="DV53" s="60"/>
      <c r="DW53" s="58"/>
      <c r="DX53" s="38" t="s">
        <v>17</v>
      </c>
      <c r="EA53" s="46" t="e">
        <f>(1+LTrnd_Cov8)^(EB$46+2)</f>
        <v>#N/A</v>
      </c>
      <c r="EF53" s="54"/>
      <c r="EG53" s="60"/>
      <c r="EH53" s="58"/>
      <c r="EI53" s="60"/>
      <c r="EJ53" s="58"/>
      <c r="EL53" s="60"/>
      <c r="EM53" s="58"/>
      <c r="EN53" s="60"/>
      <c r="EO53" s="58"/>
      <c r="EP53" s="38" t="s">
        <v>17</v>
      </c>
      <c r="ES53" s="46" t="e">
        <f>(1+LTrnd_Cov9)^(ET$46+2)</f>
        <v>#N/A</v>
      </c>
      <c r="EX53" s="54"/>
      <c r="EY53" s="60"/>
      <c r="EZ53" s="58"/>
      <c r="FA53" s="60"/>
      <c r="FB53" s="58"/>
      <c r="FD53" s="60"/>
      <c r="FE53" s="58"/>
      <c r="FF53" s="60"/>
      <c r="FG53" s="58"/>
      <c r="FH53" s="38" t="s">
        <v>17</v>
      </c>
      <c r="FK53" s="46" t="e">
        <f>(1+LTrnd_Cov10)^(FL$46+2)</f>
        <v>#N/A</v>
      </c>
      <c r="FP53" s="54"/>
      <c r="FQ53" s="60"/>
      <c r="FR53" s="58"/>
      <c r="FS53" s="60"/>
      <c r="FT53" s="58"/>
      <c r="FV53" s="60"/>
      <c r="FW53" s="58"/>
      <c r="FX53" s="60"/>
      <c r="FY53" s="58"/>
    </row>
    <row r="54" spans="2:181" ht="17.25" x14ac:dyDescent="0.25">
      <c r="B54" s="38" t="s">
        <v>16</v>
      </c>
      <c r="E54" s="46">
        <f>(1+LTrnd_Cov1)^(F$46+1)</f>
        <v>1.5764654395717197</v>
      </c>
      <c r="J54" s="54"/>
      <c r="K54" s="60"/>
      <c r="L54" s="58"/>
      <c r="M54" s="60"/>
      <c r="N54" s="58"/>
      <c r="P54" s="60"/>
      <c r="Q54" s="58"/>
      <c r="R54" s="60"/>
      <c r="S54" s="58"/>
      <c r="T54" s="38" t="s">
        <v>16</v>
      </c>
      <c r="W54" s="46" t="e">
        <f>(1+LTrnd_Cov2)^(X$46+1)</f>
        <v>#N/A</v>
      </c>
      <c r="AB54" s="54"/>
      <c r="AC54" s="60"/>
      <c r="AD54" s="58"/>
      <c r="AE54" s="60"/>
      <c r="AF54" s="58"/>
      <c r="AH54" s="60"/>
      <c r="AI54" s="58"/>
      <c r="AJ54" s="60"/>
      <c r="AK54" s="58"/>
      <c r="AL54" s="38" t="s">
        <v>16</v>
      </c>
      <c r="AO54" s="46" t="e">
        <f>(1+LTrnd_Cov3)^(AP$46+1)</f>
        <v>#N/A</v>
      </c>
      <c r="AT54" s="54"/>
      <c r="AU54" s="60"/>
      <c r="AV54" s="58"/>
      <c r="AW54" s="60"/>
      <c r="AX54" s="58"/>
      <c r="AZ54" s="60"/>
      <c r="BA54" s="58"/>
      <c r="BB54" s="60"/>
      <c r="BC54" s="58"/>
      <c r="BD54" s="38" t="s">
        <v>16</v>
      </c>
      <c r="BG54" s="46" t="e">
        <f>(1+LTrnd_Cov4)^(BH$46+1)</f>
        <v>#N/A</v>
      </c>
      <c r="BL54" s="54"/>
      <c r="BM54" s="60"/>
      <c r="BN54" s="58"/>
      <c r="BO54" s="60"/>
      <c r="BP54" s="58"/>
      <c r="BR54" s="60"/>
      <c r="BS54" s="58"/>
      <c r="BT54" s="60"/>
      <c r="BU54" s="58"/>
      <c r="BV54" s="38" t="s">
        <v>16</v>
      </c>
      <c r="BY54" s="46" t="e">
        <f>(1+LTrnd_Cov5)^(BZ$46+1)</f>
        <v>#N/A</v>
      </c>
      <c r="CD54" s="54"/>
      <c r="CE54" s="60"/>
      <c r="CF54" s="58"/>
      <c r="CG54" s="60"/>
      <c r="CH54" s="58"/>
      <c r="CJ54" s="60"/>
      <c r="CK54" s="58"/>
      <c r="CL54" s="60"/>
      <c r="CM54" s="58"/>
      <c r="CN54" s="38" t="s">
        <v>16</v>
      </c>
      <c r="CQ54" s="46" t="e">
        <f>(1+LTrnd_Cov6)^(CR$46+1)</f>
        <v>#N/A</v>
      </c>
      <c r="CV54" s="54"/>
      <c r="CW54" s="60"/>
      <c r="CX54" s="58"/>
      <c r="CY54" s="60"/>
      <c r="CZ54" s="58"/>
      <c r="DB54" s="60"/>
      <c r="DC54" s="58"/>
      <c r="DD54" s="60"/>
      <c r="DE54" s="58"/>
      <c r="DF54" s="38" t="s">
        <v>16</v>
      </c>
      <c r="DI54" s="46" t="e">
        <f>(1+LTrnd_Cov7)^(DJ$46+1)</f>
        <v>#N/A</v>
      </c>
      <c r="DN54" s="54"/>
      <c r="DO54" s="60"/>
      <c r="DP54" s="58"/>
      <c r="DQ54" s="60"/>
      <c r="DR54" s="58"/>
      <c r="DT54" s="60"/>
      <c r="DU54" s="58"/>
      <c r="DV54" s="60"/>
      <c r="DW54" s="58"/>
      <c r="DX54" s="38" t="s">
        <v>16</v>
      </c>
      <c r="EA54" s="46" t="e">
        <f>(1+LTrnd_Cov8)^(EB$46+1)</f>
        <v>#N/A</v>
      </c>
      <c r="EF54" s="54"/>
      <c r="EG54" s="60"/>
      <c r="EH54" s="58"/>
      <c r="EI54" s="60"/>
      <c r="EJ54" s="58"/>
      <c r="EL54" s="60"/>
      <c r="EM54" s="58"/>
      <c r="EN54" s="60"/>
      <c r="EO54" s="58"/>
      <c r="EP54" s="38" t="s">
        <v>16</v>
      </c>
      <c r="ES54" s="46" t="e">
        <f>(1+LTrnd_Cov9)^(ET$46+1)</f>
        <v>#N/A</v>
      </c>
      <c r="EX54" s="54"/>
      <c r="EY54" s="60"/>
      <c r="EZ54" s="58"/>
      <c r="FA54" s="60"/>
      <c r="FB54" s="58"/>
      <c r="FD54" s="60"/>
      <c r="FE54" s="58"/>
      <c r="FF54" s="60"/>
      <c r="FG54" s="58"/>
      <c r="FH54" s="38" t="s">
        <v>16</v>
      </c>
      <c r="FK54" s="46" t="e">
        <f>(1+LTrnd_Cov10)^(FL$46+1)</f>
        <v>#N/A</v>
      </c>
      <c r="FP54" s="54"/>
      <c r="FQ54" s="60"/>
      <c r="FR54" s="58"/>
      <c r="FS54" s="60"/>
      <c r="FT54" s="58"/>
      <c r="FV54" s="60"/>
      <c r="FW54" s="58"/>
      <c r="FX54" s="60"/>
      <c r="FY54" s="58"/>
    </row>
    <row r="55" spans="2:181" x14ac:dyDescent="0.25">
      <c r="B55" s="38" t="s">
        <v>15</v>
      </c>
      <c r="E55" s="46">
        <f>(1+LTrnd_Cov1)^(F$46+0)</f>
        <v>1.3924530940554234</v>
      </c>
      <c r="J55" s="54"/>
      <c r="K55" s="60"/>
      <c r="L55" s="58"/>
      <c r="M55" s="60"/>
      <c r="N55" s="58"/>
      <c r="P55" s="60"/>
      <c r="Q55" s="58"/>
      <c r="R55" s="60"/>
      <c r="S55" s="58"/>
      <c r="T55" s="38" t="s">
        <v>15</v>
      </c>
      <c r="W55" s="46" t="e">
        <f>(1+LTrnd_Cov2)^(X$46+0)</f>
        <v>#N/A</v>
      </c>
      <c r="AB55" s="54"/>
      <c r="AC55" s="60"/>
      <c r="AD55" s="58"/>
      <c r="AE55" s="60"/>
      <c r="AF55" s="58"/>
      <c r="AH55" s="60"/>
      <c r="AI55" s="58"/>
      <c r="AJ55" s="60"/>
      <c r="AK55" s="58"/>
      <c r="AL55" s="38" t="s">
        <v>15</v>
      </c>
      <c r="AO55" s="46" t="e">
        <f>(1+LTrnd_Cov3)^(AP$46+0)</f>
        <v>#N/A</v>
      </c>
      <c r="AT55" s="54"/>
      <c r="AU55" s="60"/>
      <c r="AV55" s="58"/>
      <c r="AW55" s="60"/>
      <c r="AX55" s="58"/>
      <c r="AZ55" s="60"/>
      <c r="BA55" s="58"/>
      <c r="BB55" s="60"/>
      <c r="BC55" s="58"/>
      <c r="BD55" s="38" t="s">
        <v>15</v>
      </c>
      <c r="BG55" s="46" t="e">
        <f>(1+LTrnd_Cov4)^(BH$46+0)</f>
        <v>#N/A</v>
      </c>
      <c r="BL55" s="54"/>
      <c r="BM55" s="60"/>
      <c r="BN55" s="58"/>
      <c r="BO55" s="60"/>
      <c r="BP55" s="58"/>
      <c r="BR55" s="60"/>
      <c r="BS55" s="58"/>
      <c r="BT55" s="60"/>
      <c r="BU55" s="58"/>
      <c r="BV55" s="38" t="s">
        <v>15</v>
      </c>
      <c r="BY55" s="46" t="e">
        <f>(1+LTrnd_Cov5)^(BZ$46+0)</f>
        <v>#N/A</v>
      </c>
      <c r="CD55" s="54"/>
      <c r="CE55" s="60"/>
      <c r="CF55" s="58"/>
      <c r="CG55" s="60"/>
      <c r="CH55" s="58"/>
      <c r="CJ55" s="60"/>
      <c r="CK55" s="58"/>
      <c r="CL55" s="60"/>
      <c r="CM55" s="58"/>
      <c r="CN55" s="38" t="s">
        <v>15</v>
      </c>
      <c r="CQ55" s="46" t="e">
        <f>(1+LTrnd_Cov6)^(CR$46+0)</f>
        <v>#N/A</v>
      </c>
      <c r="CV55" s="54"/>
      <c r="CW55" s="60"/>
      <c r="CX55" s="58"/>
      <c r="CY55" s="60"/>
      <c r="CZ55" s="58"/>
      <c r="DB55" s="60"/>
      <c r="DC55" s="58"/>
      <c r="DD55" s="60"/>
      <c r="DE55" s="58"/>
      <c r="DF55" s="38" t="s">
        <v>15</v>
      </c>
      <c r="DI55" s="46" t="e">
        <f>(1+LTrnd_Cov7)^(DJ$46+0)</f>
        <v>#N/A</v>
      </c>
      <c r="DN55" s="54"/>
      <c r="DO55" s="60"/>
      <c r="DP55" s="58"/>
      <c r="DQ55" s="60"/>
      <c r="DR55" s="58"/>
      <c r="DT55" s="60"/>
      <c r="DU55" s="58"/>
      <c r="DV55" s="60"/>
      <c r="DW55" s="58"/>
      <c r="DX55" s="38" t="s">
        <v>15</v>
      </c>
      <c r="EA55" s="46" t="e">
        <f>(1+LTrnd_Cov8)^(EB$46+0)</f>
        <v>#N/A</v>
      </c>
      <c r="EF55" s="54"/>
      <c r="EG55" s="60"/>
      <c r="EH55" s="58"/>
      <c r="EI55" s="60"/>
      <c r="EJ55" s="58"/>
      <c r="EL55" s="60"/>
      <c r="EM55" s="58"/>
      <c r="EN55" s="60"/>
      <c r="EO55" s="58"/>
      <c r="EP55" s="38" t="s">
        <v>15</v>
      </c>
      <c r="ES55" s="46" t="e">
        <f>(1+LTrnd_Cov9)^(ET$46+0)</f>
        <v>#N/A</v>
      </c>
      <c r="EX55" s="54"/>
      <c r="EY55" s="60"/>
      <c r="EZ55" s="58"/>
      <c r="FA55" s="60"/>
      <c r="FB55" s="58"/>
      <c r="FD55" s="60"/>
      <c r="FE55" s="58"/>
      <c r="FF55" s="60"/>
      <c r="FG55" s="58"/>
      <c r="FH55" s="38" t="s">
        <v>15</v>
      </c>
      <c r="FK55" s="46" t="e">
        <f>(1+LTrnd_Cov10)^(FL$46+0)</f>
        <v>#N/A</v>
      </c>
      <c r="FP55" s="54"/>
      <c r="FQ55" s="60"/>
      <c r="FR55" s="58"/>
      <c r="FS55" s="60"/>
      <c r="FT55" s="58"/>
      <c r="FV55" s="60"/>
      <c r="FW55" s="58"/>
      <c r="FX55" s="60"/>
      <c r="FY55" s="58"/>
    </row>
    <row r="56" spans="2:181" ht="21" x14ac:dyDescent="0.35">
      <c r="B56" s="67" t="str">
        <f>B1</f>
        <v>State Farm General Insurance Company</v>
      </c>
      <c r="C56" s="47"/>
      <c r="D56" s="47"/>
      <c r="E56" s="47"/>
      <c r="F56" s="47"/>
      <c r="G56" s="47"/>
      <c r="H56" s="47"/>
      <c r="I56" s="47"/>
      <c r="J56" s="47"/>
      <c r="K56" s="47"/>
      <c r="L56" s="47"/>
      <c r="M56" s="47"/>
      <c r="N56" s="47"/>
      <c r="O56" s="47"/>
      <c r="P56" s="47"/>
      <c r="Q56" s="45"/>
      <c r="R56" s="45"/>
      <c r="S56" s="2"/>
      <c r="T56" s="67" t="str">
        <f>T1</f>
        <v>State Farm General Insurance Company</v>
      </c>
      <c r="U56" s="47"/>
      <c r="V56" s="47"/>
      <c r="W56" s="47"/>
      <c r="X56" s="47"/>
      <c r="Y56" s="47"/>
      <c r="Z56" s="47"/>
      <c r="AA56" s="47"/>
      <c r="AB56" s="47"/>
      <c r="AC56" s="47"/>
      <c r="AD56" s="47"/>
      <c r="AE56" s="47"/>
      <c r="AF56" s="47"/>
      <c r="AG56" s="47"/>
      <c r="AH56" s="47"/>
      <c r="AI56" s="45"/>
      <c r="AJ56" s="45"/>
      <c r="AK56" s="2"/>
      <c r="AL56" s="67" t="str">
        <f>AL1</f>
        <v>State Farm General Insurance Company</v>
      </c>
      <c r="AM56" s="47"/>
      <c r="AN56" s="47"/>
      <c r="AO56" s="47"/>
      <c r="AP56" s="47"/>
      <c r="AQ56" s="47"/>
      <c r="AR56" s="47"/>
      <c r="AS56" s="47"/>
      <c r="AT56" s="47"/>
      <c r="AU56" s="47"/>
      <c r="AV56" s="47"/>
      <c r="AW56" s="47"/>
      <c r="AX56" s="47"/>
      <c r="AY56" s="47"/>
      <c r="AZ56" s="47"/>
      <c r="BA56" s="45"/>
      <c r="BB56" s="45"/>
      <c r="BC56" s="2"/>
      <c r="BD56" s="67" t="str">
        <f>BD1</f>
        <v>State Farm General Insurance Company</v>
      </c>
      <c r="BE56" s="47"/>
      <c r="BF56" s="47"/>
      <c r="BG56" s="47"/>
      <c r="BH56" s="47"/>
      <c r="BI56" s="47"/>
      <c r="BJ56" s="47"/>
      <c r="BK56" s="47"/>
      <c r="BL56" s="47"/>
      <c r="BM56" s="47"/>
      <c r="BN56" s="47"/>
      <c r="BO56" s="47"/>
      <c r="BP56" s="47"/>
      <c r="BQ56" s="47"/>
      <c r="BR56" s="47"/>
      <c r="BS56" s="45"/>
      <c r="BT56" s="45"/>
      <c r="BU56" s="2"/>
      <c r="BV56" s="67" t="str">
        <f>BV1</f>
        <v>State Farm General Insurance Company</v>
      </c>
      <c r="BW56" s="47"/>
      <c r="BX56" s="47"/>
      <c r="BY56" s="47"/>
      <c r="BZ56" s="47"/>
      <c r="CA56" s="47"/>
      <c r="CB56" s="47"/>
      <c r="CC56" s="47"/>
      <c r="CD56" s="47"/>
      <c r="CE56" s="47"/>
      <c r="CF56" s="47"/>
      <c r="CG56" s="47"/>
      <c r="CH56" s="47"/>
      <c r="CI56" s="47"/>
      <c r="CJ56" s="47"/>
      <c r="CK56" s="45"/>
      <c r="CL56" s="45"/>
      <c r="CM56" s="2"/>
      <c r="CN56" s="67" t="str">
        <f>CN1</f>
        <v>State Farm General Insurance Company</v>
      </c>
      <c r="CO56" s="47"/>
      <c r="CP56" s="47"/>
      <c r="CQ56" s="47"/>
      <c r="CR56" s="47"/>
      <c r="CS56" s="47"/>
      <c r="CT56" s="47"/>
      <c r="CU56" s="47"/>
      <c r="CV56" s="47"/>
      <c r="CW56" s="47"/>
      <c r="CX56" s="47"/>
      <c r="CY56" s="47"/>
      <c r="CZ56" s="47"/>
      <c r="DA56" s="47"/>
      <c r="DB56" s="47"/>
      <c r="DC56" s="45"/>
      <c r="DD56" s="45"/>
      <c r="DE56" s="2"/>
      <c r="DF56" s="67" t="str">
        <f>DF1</f>
        <v>State Farm General Insurance Company</v>
      </c>
      <c r="DG56" s="47"/>
      <c r="DH56" s="47"/>
      <c r="DI56" s="47"/>
      <c r="DJ56" s="47"/>
      <c r="DK56" s="47"/>
      <c r="DL56" s="47"/>
      <c r="DM56" s="47"/>
      <c r="DN56" s="47"/>
      <c r="DO56" s="47"/>
      <c r="DP56" s="47"/>
      <c r="DQ56" s="47"/>
      <c r="DR56" s="47"/>
      <c r="DS56" s="47"/>
      <c r="DT56" s="47"/>
      <c r="DU56" s="45"/>
      <c r="DV56" s="45"/>
      <c r="DW56" s="2"/>
      <c r="DX56" s="67" t="str">
        <f>DX1</f>
        <v>State Farm General Insurance Company</v>
      </c>
      <c r="DY56" s="47"/>
      <c r="DZ56" s="47"/>
      <c r="EA56" s="47"/>
      <c r="EB56" s="47"/>
      <c r="EC56" s="47"/>
      <c r="ED56" s="47"/>
      <c r="EE56" s="47"/>
      <c r="EF56" s="47"/>
      <c r="EG56" s="47"/>
      <c r="EH56" s="47"/>
      <c r="EI56" s="47"/>
      <c r="EJ56" s="47"/>
      <c r="EK56" s="47"/>
      <c r="EL56" s="47"/>
      <c r="EM56" s="45"/>
      <c r="EN56" s="45"/>
      <c r="EO56" s="2"/>
      <c r="EP56" s="67" t="str">
        <f>EP1</f>
        <v>State Farm General Insurance Company</v>
      </c>
      <c r="EQ56" s="47"/>
      <c r="ER56" s="47"/>
      <c r="ES56" s="47"/>
      <c r="ET56" s="47"/>
      <c r="EU56" s="47"/>
      <c r="EV56" s="47"/>
      <c r="EW56" s="47"/>
      <c r="EX56" s="47"/>
      <c r="EY56" s="47"/>
      <c r="EZ56" s="47"/>
      <c r="FA56" s="47"/>
      <c r="FB56" s="47"/>
      <c r="FC56" s="47"/>
      <c r="FD56" s="47"/>
      <c r="FE56" s="45"/>
      <c r="FF56" s="45"/>
      <c r="FG56" s="2"/>
      <c r="FH56" s="67" t="str">
        <f>FH1</f>
        <v>State Farm General Insurance Company</v>
      </c>
      <c r="FI56" s="47"/>
      <c r="FJ56" s="47"/>
      <c r="FK56" s="47"/>
      <c r="FL56" s="47"/>
      <c r="FM56" s="47"/>
      <c r="FN56" s="47"/>
      <c r="FO56" s="47"/>
      <c r="FP56" s="47"/>
      <c r="FQ56" s="47"/>
      <c r="FR56" s="47"/>
      <c r="FS56" s="47"/>
      <c r="FT56" s="47"/>
      <c r="FU56" s="47"/>
      <c r="FV56" s="47"/>
      <c r="FW56" s="45"/>
      <c r="FX56" s="45"/>
      <c r="FY56" s="2"/>
    </row>
    <row r="57" spans="2:181" ht="21" x14ac:dyDescent="0.35">
      <c r="B57" s="67" t="str">
        <f>B2</f>
        <v>Homeowners Multiple Peril</v>
      </c>
      <c r="C57" s="47"/>
      <c r="D57" s="47"/>
      <c r="E57" s="47"/>
      <c r="F57" s="47"/>
      <c r="G57" s="47"/>
      <c r="H57" s="47"/>
      <c r="I57" s="47"/>
      <c r="J57" s="47"/>
      <c r="K57" s="47"/>
      <c r="L57" s="47"/>
      <c r="M57" s="47"/>
      <c r="N57" s="47"/>
      <c r="O57" s="47"/>
      <c r="P57" s="47"/>
      <c r="Q57" s="45"/>
      <c r="R57" s="45"/>
      <c r="S57" s="2"/>
      <c r="T57" s="67" t="str">
        <f>T2</f>
        <v/>
      </c>
      <c r="U57" s="47"/>
      <c r="V57" s="47"/>
      <c r="W57" s="47"/>
      <c r="X57" s="47"/>
      <c r="Y57" s="47"/>
      <c r="Z57" s="47"/>
      <c r="AA57" s="47"/>
      <c r="AB57" s="47"/>
      <c r="AC57" s="47"/>
      <c r="AD57" s="47"/>
      <c r="AE57" s="47"/>
      <c r="AF57" s="47"/>
      <c r="AG57" s="47"/>
      <c r="AH57" s="47"/>
      <c r="AI57" s="45"/>
      <c r="AJ57" s="45"/>
      <c r="AK57" s="2"/>
      <c r="AL57" s="67" t="str">
        <f>AL2</f>
        <v/>
      </c>
      <c r="AM57" s="47"/>
      <c r="AN57" s="47"/>
      <c r="AO57" s="47"/>
      <c r="AP57" s="47"/>
      <c r="AQ57" s="47"/>
      <c r="AR57" s="47"/>
      <c r="AS57" s="47"/>
      <c r="AT57" s="47"/>
      <c r="AU57" s="47"/>
      <c r="AV57" s="47"/>
      <c r="AW57" s="47"/>
      <c r="AX57" s="47"/>
      <c r="AY57" s="47"/>
      <c r="AZ57" s="47"/>
      <c r="BA57" s="45"/>
      <c r="BB57" s="45"/>
      <c r="BC57" s="2"/>
      <c r="BD57" s="67" t="str">
        <f>BD2</f>
        <v/>
      </c>
      <c r="BE57" s="47"/>
      <c r="BF57" s="47"/>
      <c r="BG57" s="47"/>
      <c r="BH57" s="47"/>
      <c r="BI57" s="47"/>
      <c r="BJ57" s="47"/>
      <c r="BK57" s="47"/>
      <c r="BL57" s="47"/>
      <c r="BM57" s="47"/>
      <c r="BN57" s="47"/>
      <c r="BO57" s="47"/>
      <c r="BP57" s="47"/>
      <c r="BQ57" s="47"/>
      <c r="BR57" s="47"/>
      <c r="BS57" s="45"/>
      <c r="BT57" s="45"/>
      <c r="BU57" s="2"/>
      <c r="BV57" s="67" t="str">
        <f>BV2</f>
        <v/>
      </c>
      <c r="BW57" s="47"/>
      <c r="BX57" s="47"/>
      <c r="BY57" s="47"/>
      <c r="BZ57" s="47"/>
      <c r="CA57" s="47"/>
      <c r="CB57" s="47"/>
      <c r="CC57" s="47"/>
      <c r="CD57" s="47"/>
      <c r="CE57" s="47"/>
      <c r="CF57" s="47"/>
      <c r="CG57" s="47"/>
      <c r="CH57" s="47"/>
      <c r="CI57" s="47"/>
      <c r="CJ57" s="47"/>
      <c r="CK57" s="45"/>
      <c r="CL57" s="45"/>
      <c r="CM57" s="2"/>
      <c r="CN57" s="67" t="str">
        <f>CN2</f>
        <v/>
      </c>
      <c r="CO57" s="47"/>
      <c r="CP57" s="47"/>
      <c r="CQ57" s="47"/>
      <c r="CR57" s="47"/>
      <c r="CS57" s="47"/>
      <c r="CT57" s="47"/>
      <c r="CU57" s="47"/>
      <c r="CV57" s="47"/>
      <c r="CW57" s="47"/>
      <c r="CX57" s="47"/>
      <c r="CY57" s="47"/>
      <c r="CZ57" s="47"/>
      <c r="DA57" s="47"/>
      <c r="DB57" s="47"/>
      <c r="DC57" s="45"/>
      <c r="DD57" s="45"/>
      <c r="DE57" s="2"/>
      <c r="DF57" s="67" t="str">
        <f>DF2</f>
        <v/>
      </c>
      <c r="DG57" s="47"/>
      <c r="DH57" s="47"/>
      <c r="DI57" s="47"/>
      <c r="DJ57" s="47"/>
      <c r="DK57" s="47"/>
      <c r="DL57" s="47"/>
      <c r="DM57" s="47"/>
      <c r="DN57" s="47"/>
      <c r="DO57" s="47"/>
      <c r="DP57" s="47"/>
      <c r="DQ57" s="47"/>
      <c r="DR57" s="47"/>
      <c r="DS57" s="47"/>
      <c r="DT57" s="47"/>
      <c r="DU57" s="45"/>
      <c r="DV57" s="45"/>
      <c r="DW57" s="2"/>
      <c r="DX57" s="67" t="str">
        <f>DX2</f>
        <v/>
      </c>
      <c r="DY57" s="47"/>
      <c r="DZ57" s="47"/>
      <c r="EA57" s="47"/>
      <c r="EB57" s="47"/>
      <c r="EC57" s="47"/>
      <c r="ED57" s="47"/>
      <c r="EE57" s="47"/>
      <c r="EF57" s="47"/>
      <c r="EG57" s="47"/>
      <c r="EH57" s="47"/>
      <c r="EI57" s="47"/>
      <c r="EJ57" s="47"/>
      <c r="EK57" s="47"/>
      <c r="EL57" s="47"/>
      <c r="EM57" s="45"/>
      <c r="EN57" s="45"/>
      <c r="EO57" s="2"/>
      <c r="EP57" s="67" t="str">
        <f>EP2</f>
        <v/>
      </c>
      <c r="EQ57" s="47"/>
      <c r="ER57" s="47"/>
      <c r="ES57" s="47"/>
      <c r="ET57" s="47"/>
      <c r="EU57" s="47"/>
      <c r="EV57" s="47"/>
      <c r="EW57" s="47"/>
      <c r="EX57" s="47"/>
      <c r="EY57" s="47"/>
      <c r="EZ57" s="47"/>
      <c r="FA57" s="47"/>
      <c r="FB57" s="47"/>
      <c r="FC57" s="47"/>
      <c r="FD57" s="47"/>
      <c r="FE57" s="45"/>
      <c r="FF57" s="45"/>
      <c r="FG57" s="2"/>
      <c r="FH57" s="67" t="str">
        <f>FH2</f>
        <v/>
      </c>
      <c r="FI57" s="47"/>
      <c r="FJ57" s="47"/>
      <c r="FK57" s="47"/>
      <c r="FL57" s="47"/>
      <c r="FM57" s="47"/>
      <c r="FN57" s="47"/>
      <c r="FO57" s="47"/>
      <c r="FP57" s="47"/>
      <c r="FQ57" s="47"/>
      <c r="FR57" s="47"/>
      <c r="FS57" s="47"/>
      <c r="FT57" s="47"/>
      <c r="FU57" s="47"/>
      <c r="FV57" s="47"/>
      <c r="FW57" s="45"/>
      <c r="FX57" s="45"/>
      <c r="FY57" s="2"/>
    </row>
    <row r="58" spans="2:181" x14ac:dyDescent="0.25">
      <c r="B58" s="41"/>
      <c r="C58" s="41"/>
      <c r="D58" s="41"/>
      <c r="E58" s="41"/>
      <c r="F58" s="41"/>
      <c r="G58" s="41"/>
      <c r="H58" s="41"/>
      <c r="I58" s="41"/>
      <c r="J58" s="41"/>
      <c r="K58" s="41"/>
      <c r="L58" s="41"/>
      <c r="M58" s="41"/>
      <c r="N58" s="41"/>
      <c r="O58" s="41"/>
      <c r="P58" s="45"/>
      <c r="Q58" s="2"/>
      <c r="R58" s="2"/>
      <c r="S58" s="2"/>
      <c r="T58" s="41"/>
      <c r="U58" s="41"/>
      <c r="V58" s="41"/>
      <c r="W58" s="41"/>
      <c r="X58" s="41"/>
      <c r="Y58" s="41"/>
      <c r="Z58" s="41"/>
      <c r="AA58" s="41"/>
      <c r="AB58" s="41"/>
      <c r="AC58" s="41"/>
      <c r="AD58" s="41"/>
      <c r="AE58" s="41"/>
      <c r="AF58" s="41"/>
      <c r="AG58" s="41"/>
      <c r="AH58" s="45"/>
      <c r="AI58" s="2"/>
      <c r="AJ58" s="2"/>
      <c r="AK58" s="2"/>
      <c r="AL58" s="41"/>
      <c r="AM58" s="41"/>
      <c r="AN58" s="41"/>
      <c r="AO58" s="41"/>
      <c r="AP58" s="41"/>
      <c r="AQ58" s="41"/>
      <c r="AR58" s="41"/>
      <c r="AS58" s="41"/>
      <c r="AT58" s="41"/>
      <c r="AU58" s="41"/>
      <c r="AV58" s="41"/>
      <c r="AW58" s="41"/>
      <c r="AX58" s="41"/>
      <c r="AY58" s="41"/>
      <c r="AZ58" s="45"/>
      <c r="BA58" s="2"/>
      <c r="BB58" s="2"/>
      <c r="BC58" s="2"/>
      <c r="BD58" s="41"/>
      <c r="BE58" s="41"/>
      <c r="BF58" s="41"/>
      <c r="BG58" s="41"/>
      <c r="BH58" s="41"/>
      <c r="BI58" s="41"/>
      <c r="BJ58" s="41"/>
      <c r="BK58" s="41"/>
      <c r="BL58" s="41"/>
      <c r="BM58" s="41"/>
      <c r="BN58" s="41"/>
      <c r="BO58" s="41"/>
      <c r="BP58" s="41"/>
      <c r="BQ58" s="41"/>
      <c r="BR58" s="45"/>
      <c r="BS58" s="2"/>
      <c r="BT58" s="2"/>
      <c r="BU58" s="2"/>
      <c r="BV58" s="41"/>
      <c r="BW58" s="41"/>
      <c r="BX58" s="41"/>
      <c r="BY58" s="41"/>
      <c r="BZ58" s="41"/>
      <c r="CA58" s="41"/>
      <c r="CB58" s="41"/>
      <c r="CC58" s="41"/>
      <c r="CD58" s="41"/>
      <c r="CE58" s="41"/>
      <c r="CF58" s="41"/>
      <c r="CG58" s="41"/>
      <c r="CH58" s="41"/>
      <c r="CI58" s="41"/>
      <c r="CJ58" s="45"/>
      <c r="CK58" s="2"/>
      <c r="CL58" s="2"/>
      <c r="CM58" s="2"/>
      <c r="CN58" s="41"/>
      <c r="CO58" s="41"/>
      <c r="CP58" s="41"/>
      <c r="CQ58" s="41"/>
      <c r="CR58" s="41"/>
      <c r="CS58" s="41"/>
      <c r="CT58" s="41"/>
      <c r="CU58" s="41"/>
      <c r="CV58" s="41"/>
      <c r="CW58" s="41"/>
      <c r="CX58" s="41"/>
      <c r="CY58" s="41"/>
      <c r="CZ58" s="41"/>
      <c r="DA58" s="41"/>
      <c r="DB58" s="45"/>
      <c r="DC58" s="2"/>
      <c r="DD58" s="2"/>
      <c r="DE58" s="2"/>
      <c r="DF58" s="41"/>
      <c r="DG58" s="41"/>
      <c r="DH58" s="41"/>
      <c r="DI58" s="41"/>
      <c r="DJ58" s="41"/>
      <c r="DK58" s="41"/>
      <c r="DL58" s="41"/>
      <c r="DM58" s="41"/>
      <c r="DN58" s="41"/>
      <c r="DO58" s="41"/>
      <c r="DP58" s="41"/>
      <c r="DQ58" s="41"/>
      <c r="DR58" s="41"/>
      <c r="DS58" s="41"/>
      <c r="DT58" s="45"/>
      <c r="DU58" s="2"/>
      <c r="DV58" s="2"/>
      <c r="DW58" s="2"/>
      <c r="DX58" s="41"/>
      <c r="DY58" s="41"/>
      <c r="DZ58" s="41"/>
      <c r="EA58" s="41"/>
      <c r="EB58" s="41"/>
      <c r="EC58" s="41"/>
      <c r="ED58" s="41"/>
      <c r="EE58" s="41"/>
      <c r="EF58" s="41"/>
      <c r="EG58" s="41"/>
      <c r="EH58" s="41"/>
      <c r="EI58" s="41"/>
      <c r="EJ58" s="41"/>
      <c r="EK58" s="41"/>
      <c r="EL58" s="45"/>
      <c r="EM58" s="2"/>
      <c r="EN58" s="2"/>
      <c r="EO58" s="2"/>
      <c r="EP58" s="41"/>
      <c r="EQ58" s="41"/>
      <c r="ER58" s="41"/>
      <c r="ES58" s="41"/>
      <c r="ET58" s="41"/>
      <c r="EU58" s="41"/>
      <c r="EV58" s="41"/>
      <c r="EW58" s="41"/>
      <c r="EX58" s="41"/>
      <c r="EY58" s="41"/>
      <c r="EZ58" s="41"/>
      <c r="FA58" s="41"/>
      <c r="FB58" s="41"/>
      <c r="FC58" s="41"/>
      <c r="FD58" s="45"/>
      <c r="FE58" s="2"/>
      <c r="FF58" s="2"/>
      <c r="FG58" s="2"/>
      <c r="FH58" s="41"/>
      <c r="FI58" s="41"/>
      <c r="FJ58" s="41"/>
      <c r="FK58" s="41"/>
      <c r="FL58" s="41"/>
      <c r="FM58" s="41"/>
      <c r="FN58" s="41"/>
      <c r="FO58" s="41"/>
      <c r="FP58" s="41"/>
      <c r="FQ58" s="41"/>
      <c r="FR58" s="41"/>
      <c r="FS58" s="41"/>
      <c r="FT58" s="41"/>
      <c r="FU58" s="41"/>
      <c r="FV58" s="45"/>
      <c r="FW58" s="2"/>
      <c r="FX58" s="2"/>
      <c r="FY58" s="2"/>
    </row>
    <row r="59" spans="2:181" ht="21" x14ac:dyDescent="0.35">
      <c r="B59" s="67" t="s">
        <v>35</v>
      </c>
      <c r="C59" s="48"/>
      <c r="D59" s="47"/>
      <c r="E59" s="47"/>
      <c r="F59" s="47"/>
      <c r="G59" s="47"/>
      <c r="H59" s="47"/>
      <c r="I59" s="47"/>
      <c r="J59" s="47"/>
      <c r="K59" s="47"/>
      <c r="L59" s="47"/>
      <c r="M59" s="47"/>
      <c r="N59" s="47"/>
      <c r="O59" s="47"/>
      <c r="P59" s="47"/>
      <c r="Q59" s="2"/>
      <c r="R59" s="2"/>
      <c r="S59" s="2"/>
      <c r="T59" s="67" t="s">
        <v>35</v>
      </c>
      <c r="U59" s="48"/>
      <c r="V59" s="47"/>
      <c r="W59" s="47"/>
      <c r="X59" s="47"/>
      <c r="Y59" s="47"/>
      <c r="Z59" s="47"/>
      <c r="AA59" s="47"/>
      <c r="AB59" s="47"/>
      <c r="AC59" s="47"/>
      <c r="AD59" s="47"/>
      <c r="AE59" s="47"/>
      <c r="AF59" s="47"/>
      <c r="AG59" s="47"/>
      <c r="AH59" s="47"/>
      <c r="AI59" s="2"/>
      <c r="AJ59" s="2"/>
      <c r="AK59" s="2"/>
      <c r="AL59" s="67" t="s">
        <v>35</v>
      </c>
      <c r="AM59" s="48"/>
      <c r="AN59" s="47"/>
      <c r="AO59" s="47"/>
      <c r="AP59" s="47"/>
      <c r="AQ59" s="47"/>
      <c r="AR59" s="47"/>
      <c r="AS59" s="47"/>
      <c r="AT59" s="47"/>
      <c r="AU59" s="47"/>
      <c r="AV59" s="47"/>
      <c r="AW59" s="47"/>
      <c r="AX59" s="47"/>
      <c r="AY59" s="47"/>
      <c r="AZ59" s="47"/>
      <c r="BA59" s="2"/>
      <c r="BB59" s="2"/>
      <c r="BC59" s="2"/>
      <c r="BD59" s="67" t="s">
        <v>35</v>
      </c>
      <c r="BE59" s="48"/>
      <c r="BF59" s="47"/>
      <c r="BG59" s="47"/>
      <c r="BH59" s="47"/>
      <c r="BI59" s="47"/>
      <c r="BJ59" s="47"/>
      <c r="BK59" s="47"/>
      <c r="BL59" s="47"/>
      <c r="BM59" s="47"/>
      <c r="BN59" s="47"/>
      <c r="BO59" s="47"/>
      <c r="BP59" s="47"/>
      <c r="BQ59" s="47"/>
      <c r="BR59" s="47"/>
      <c r="BS59" s="2"/>
      <c r="BT59" s="2"/>
      <c r="BU59" s="2"/>
      <c r="BV59" s="67" t="s">
        <v>35</v>
      </c>
      <c r="BW59" s="48"/>
      <c r="BX59" s="47"/>
      <c r="BY59" s="47"/>
      <c r="BZ59" s="47"/>
      <c r="CA59" s="47"/>
      <c r="CB59" s="47"/>
      <c r="CC59" s="47"/>
      <c r="CD59" s="47"/>
      <c r="CE59" s="47"/>
      <c r="CF59" s="47"/>
      <c r="CG59" s="47"/>
      <c r="CH59" s="47"/>
      <c r="CI59" s="47"/>
      <c r="CJ59" s="47"/>
      <c r="CK59" s="2"/>
      <c r="CL59" s="2"/>
      <c r="CM59" s="2"/>
      <c r="CN59" s="67" t="s">
        <v>35</v>
      </c>
      <c r="CO59" s="48"/>
      <c r="CP59" s="47"/>
      <c r="CQ59" s="47"/>
      <c r="CR59" s="47"/>
      <c r="CS59" s="47"/>
      <c r="CT59" s="47"/>
      <c r="CU59" s="47"/>
      <c r="CV59" s="47"/>
      <c r="CW59" s="47"/>
      <c r="CX59" s="47"/>
      <c r="CY59" s="47"/>
      <c r="CZ59" s="47"/>
      <c r="DA59" s="47"/>
      <c r="DB59" s="47"/>
      <c r="DC59" s="2"/>
      <c r="DD59" s="2"/>
      <c r="DE59" s="2"/>
      <c r="DF59" s="67" t="s">
        <v>35</v>
      </c>
      <c r="DG59" s="48"/>
      <c r="DH59" s="47"/>
      <c r="DI59" s="47"/>
      <c r="DJ59" s="47"/>
      <c r="DK59" s="47"/>
      <c r="DL59" s="47"/>
      <c r="DM59" s="47"/>
      <c r="DN59" s="47"/>
      <c r="DO59" s="47"/>
      <c r="DP59" s="47"/>
      <c r="DQ59" s="47"/>
      <c r="DR59" s="47"/>
      <c r="DS59" s="47"/>
      <c r="DT59" s="47"/>
      <c r="DU59" s="2"/>
      <c r="DV59" s="2"/>
      <c r="DW59" s="2"/>
      <c r="DX59" s="67" t="s">
        <v>35</v>
      </c>
      <c r="DY59" s="48"/>
      <c r="DZ59" s="47"/>
      <c r="EA59" s="47"/>
      <c r="EB59" s="47"/>
      <c r="EC59" s="47"/>
      <c r="ED59" s="47"/>
      <c r="EE59" s="47"/>
      <c r="EF59" s="47"/>
      <c r="EG59" s="47"/>
      <c r="EH59" s="47"/>
      <c r="EI59" s="47"/>
      <c r="EJ59" s="47"/>
      <c r="EK59" s="47"/>
      <c r="EL59" s="47"/>
      <c r="EM59" s="2"/>
      <c r="EN59" s="2"/>
      <c r="EO59" s="2"/>
      <c r="EP59" s="67" t="s">
        <v>35</v>
      </c>
      <c r="EQ59" s="48"/>
      <c r="ER59" s="47"/>
      <c r="ES59" s="47"/>
      <c r="ET59" s="47"/>
      <c r="EU59" s="47"/>
      <c r="EV59" s="47"/>
      <c r="EW59" s="47"/>
      <c r="EX59" s="47"/>
      <c r="EY59" s="47"/>
      <c r="EZ59" s="47"/>
      <c r="FA59" s="47"/>
      <c r="FB59" s="47"/>
      <c r="FC59" s="47"/>
      <c r="FD59" s="47"/>
      <c r="FE59" s="2"/>
      <c r="FF59" s="2"/>
      <c r="FG59" s="2"/>
      <c r="FH59" s="67" t="s">
        <v>35</v>
      </c>
      <c r="FI59" s="48"/>
      <c r="FJ59" s="47"/>
      <c r="FK59" s="47"/>
      <c r="FL59" s="47"/>
      <c r="FM59" s="47"/>
      <c r="FN59" s="47"/>
      <c r="FO59" s="47"/>
      <c r="FP59" s="47"/>
      <c r="FQ59" s="47"/>
      <c r="FR59" s="47"/>
      <c r="FS59" s="47"/>
      <c r="FT59" s="47"/>
      <c r="FU59" s="47"/>
      <c r="FV59" s="47"/>
      <c r="FW59" s="2"/>
      <c r="FX59" s="2"/>
      <c r="FY59" s="2"/>
    </row>
    <row r="60" spans="2:181" s="152" customFormat="1" ht="21" x14ac:dyDescent="0.35">
      <c r="B60" s="266" t="str">
        <f>IF(NOT(ISBLANK(CompSrc1)), Covg01 &amp; ", Source: " &amp; CompSrc1, "")</f>
        <v/>
      </c>
      <c r="C60" s="267"/>
      <c r="D60" s="268"/>
      <c r="E60" s="268"/>
      <c r="F60" s="268"/>
      <c r="G60" s="268"/>
      <c r="H60" s="268"/>
      <c r="I60" s="268"/>
      <c r="J60" s="268"/>
      <c r="K60" s="268"/>
      <c r="L60" s="268"/>
      <c r="M60" s="268"/>
      <c r="N60" s="268"/>
      <c r="O60" s="268"/>
      <c r="P60" s="268"/>
      <c r="Q60" s="269"/>
      <c r="R60" s="269"/>
      <c r="S60" s="269"/>
      <c r="T60" s="266" t="str">
        <f>IF(NOT(ISBLANK(CompSrc2)), Covg02 &amp; ", Source: " &amp; CompSrc2, "")</f>
        <v/>
      </c>
      <c r="U60" s="267"/>
      <c r="V60" s="268"/>
      <c r="W60" s="268"/>
      <c r="X60" s="268"/>
      <c r="Y60" s="268"/>
      <c r="Z60" s="268"/>
      <c r="AA60" s="268"/>
      <c r="AB60" s="268"/>
      <c r="AC60" s="268"/>
      <c r="AD60" s="268"/>
      <c r="AE60" s="268"/>
      <c r="AF60" s="268"/>
      <c r="AG60" s="268"/>
      <c r="AH60" s="268"/>
      <c r="AI60" s="269"/>
      <c r="AJ60" s="269"/>
      <c r="AK60" s="269"/>
      <c r="AL60" s="266" t="str">
        <f>IF(NOT(ISBLANK(CompSrc3)), Covg03 &amp; ", Source: " &amp; CompSrc3, "")</f>
        <v/>
      </c>
      <c r="AM60" s="267"/>
      <c r="AN60" s="268"/>
      <c r="AO60" s="268"/>
      <c r="AP60" s="268"/>
      <c r="AQ60" s="268"/>
      <c r="AR60" s="268"/>
      <c r="AS60" s="268"/>
      <c r="AT60" s="268"/>
      <c r="AU60" s="268"/>
      <c r="AV60" s="268"/>
      <c r="AW60" s="268"/>
      <c r="AX60" s="268"/>
      <c r="AY60" s="268"/>
      <c r="AZ60" s="268"/>
      <c r="BA60" s="269"/>
      <c r="BB60" s="269"/>
      <c r="BC60" s="269"/>
      <c r="BD60" s="266" t="str">
        <f>IF(NOT(ISBLANK(CompSrc4)), Covg04 &amp; ", Source: " &amp; CompSrc4, "")</f>
        <v/>
      </c>
      <c r="BE60" s="267"/>
      <c r="BF60" s="268"/>
      <c r="BG60" s="268"/>
      <c r="BH60" s="268"/>
      <c r="BI60" s="268"/>
      <c r="BJ60" s="268"/>
      <c r="BK60" s="268"/>
      <c r="BL60" s="268"/>
      <c r="BM60" s="268"/>
      <c r="BN60" s="268"/>
      <c r="BO60" s="268"/>
      <c r="BP60" s="268"/>
      <c r="BQ60" s="268"/>
      <c r="BR60" s="268"/>
      <c r="BS60" s="269"/>
      <c r="BT60" s="269"/>
      <c r="BU60" s="269"/>
      <c r="BV60" s="266" t="str">
        <f>IF(NOT(ISBLANK(CompSrc5)), Covg05 &amp; ", Source: " &amp; CompSrc5, "")</f>
        <v/>
      </c>
      <c r="BW60" s="267"/>
      <c r="BX60" s="268"/>
      <c r="BY60" s="268"/>
      <c r="BZ60" s="268"/>
      <c r="CA60" s="268"/>
      <c r="CB60" s="268"/>
      <c r="CC60" s="268"/>
      <c r="CD60" s="268"/>
      <c r="CE60" s="268"/>
      <c r="CF60" s="268"/>
      <c r="CG60" s="268"/>
      <c r="CH60" s="268"/>
      <c r="CI60" s="268"/>
      <c r="CJ60" s="268"/>
      <c r="CK60" s="269"/>
      <c r="CL60" s="269"/>
      <c r="CM60" s="269"/>
      <c r="CN60" s="266" t="str">
        <f>IF(NOT(ISBLANK(CompSrc6)), Covg06 &amp; ", Source: " &amp; CompSrc6, "")</f>
        <v/>
      </c>
      <c r="CO60" s="267"/>
      <c r="CP60" s="268"/>
      <c r="CQ60" s="268"/>
      <c r="CR60" s="268"/>
      <c r="CS60" s="268"/>
      <c r="CT60" s="268"/>
      <c r="CU60" s="268"/>
      <c r="CV60" s="268"/>
      <c r="CW60" s="268"/>
      <c r="CX60" s="268"/>
      <c r="CY60" s="268"/>
      <c r="CZ60" s="268"/>
      <c r="DA60" s="268"/>
      <c r="DB60" s="268"/>
      <c r="DC60" s="269"/>
      <c r="DD60" s="269"/>
      <c r="DE60" s="269"/>
      <c r="DF60" s="266" t="str">
        <f>IF(NOT(ISBLANK(CompSrc7)), Covg07 &amp; ", Source: " &amp; CompSrc7, "")</f>
        <v/>
      </c>
      <c r="DG60" s="267"/>
      <c r="DH60" s="268"/>
      <c r="DI60" s="268"/>
      <c r="DJ60" s="268"/>
      <c r="DK60" s="268"/>
      <c r="DL60" s="268"/>
      <c r="DM60" s="268"/>
      <c r="DN60" s="268"/>
      <c r="DO60" s="268"/>
      <c r="DP60" s="268"/>
      <c r="DQ60" s="268"/>
      <c r="DR60" s="268"/>
      <c r="DS60" s="268"/>
      <c r="DT60" s="268"/>
      <c r="DU60" s="269"/>
      <c r="DV60" s="269"/>
      <c r="DW60" s="269"/>
      <c r="DX60" s="266" t="str">
        <f>IF(NOT(ISBLANK(CompSrc8)), Covg08 &amp; ", Source: " &amp; CompSrc8, "")</f>
        <v/>
      </c>
      <c r="DY60" s="267"/>
      <c r="DZ60" s="268"/>
      <c r="EA60" s="268"/>
      <c r="EB60" s="268"/>
      <c r="EC60" s="268"/>
      <c r="ED60" s="268"/>
      <c r="EE60" s="268"/>
      <c r="EF60" s="268"/>
      <c r="EG60" s="268"/>
      <c r="EH60" s="268"/>
      <c r="EI60" s="268"/>
      <c r="EJ60" s="268"/>
      <c r="EK60" s="268"/>
      <c r="EL60" s="268"/>
      <c r="EM60" s="269"/>
      <c r="EN60" s="269"/>
      <c r="EO60" s="269"/>
      <c r="EP60" s="266" t="str">
        <f>IF(NOT(ISBLANK(CompSrc9)), Covg09 &amp; ", Source: " &amp; CompSrc9, "")</f>
        <v/>
      </c>
      <c r="EQ60" s="267"/>
      <c r="ER60" s="268"/>
      <c r="ES60" s="268"/>
      <c r="ET60" s="268"/>
      <c r="EU60" s="268"/>
      <c r="EV60" s="268"/>
      <c r="EW60" s="268"/>
      <c r="EX60" s="268"/>
      <c r="EY60" s="268"/>
      <c r="EZ60" s="268"/>
      <c r="FA60" s="268"/>
      <c r="FB60" s="268"/>
      <c r="FC60" s="268"/>
      <c r="FD60" s="268"/>
      <c r="FE60" s="269"/>
      <c r="FF60" s="269"/>
      <c r="FG60" s="269"/>
      <c r="FH60" s="266" t="str">
        <f>IF(NOT(ISBLANK(CompSrc10)), Covg10 &amp; ", Source: " &amp; CompSrc10, "")</f>
        <v/>
      </c>
      <c r="FI60" s="267"/>
      <c r="FJ60" s="268"/>
      <c r="FK60" s="268"/>
      <c r="FL60" s="268"/>
      <c r="FM60" s="268"/>
      <c r="FN60" s="268"/>
      <c r="FO60" s="268"/>
      <c r="FP60" s="268"/>
      <c r="FQ60" s="268"/>
      <c r="FR60" s="268"/>
      <c r="FS60" s="268"/>
      <c r="FT60" s="268"/>
      <c r="FU60" s="268"/>
      <c r="FV60" s="268"/>
      <c r="FW60" s="269"/>
      <c r="FX60" s="269"/>
      <c r="FY60" s="269"/>
    </row>
    <row r="61" spans="2:181" s="275" customFormat="1" ht="21" x14ac:dyDescent="0.35">
      <c r="B61" s="276" t="str">
        <f>IF(AND(ISBLANK(CompSrc1),OR(COUNTBLANK(D66:H92)&lt;&gt;135,NOT(ISBLANK(E100)))), "ERROR! Enter the source of your loss trend complement data in cell G21 on Page 1 (General).", "")</f>
        <v/>
      </c>
      <c r="C61" s="272"/>
      <c r="D61" s="273"/>
      <c r="E61" s="273"/>
      <c r="F61" s="273"/>
      <c r="G61" s="273"/>
      <c r="H61" s="273"/>
      <c r="I61" s="273"/>
      <c r="J61" s="273"/>
      <c r="K61" s="273"/>
      <c r="L61" s="273"/>
      <c r="M61" s="273"/>
      <c r="N61" s="273"/>
      <c r="O61" s="273"/>
      <c r="P61" s="273"/>
      <c r="Q61" s="274"/>
      <c r="R61" s="274"/>
      <c r="S61" s="274"/>
      <c r="T61" s="276" t="str">
        <f>IF(AND(ISBLANK(CompSrc2),OR(COUNTBLANK(V66:Z92)&lt;&gt;135,NOT(ISBLANK(W100)))), "ERROR! Enter the source of your loss trend complement data in cell G22 on Page 1 (General).", "")</f>
        <v/>
      </c>
      <c r="U61" s="272"/>
      <c r="V61" s="273"/>
      <c r="W61" s="273"/>
      <c r="X61" s="273"/>
      <c r="Y61" s="273"/>
      <c r="Z61" s="273"/>
      <c r="AA61" s="273"/>
      <c r="AB61" s="273"/>
      <c r="AC61" s="273"/>
      <c r="AD61" s="273"/>
      <c r="AE61" s="273"/>
      <c r="AF61" s="273"/>
      <c r="AG61" s="273"/>
      <c r="AH61" s="273"/>
      <c r="AI61" s="274"/>
      <c r="AJ61" s="274"/>
      <c r="AK61" s="274"/>
      <c r="AL61" s="276" t="str">
        <f>IF(AND(ISBLANK(CompSrc3),OR(COUNTBLANK(AN66:AR92)&lt;&gt;135,NOT(ISBLANK(AO100)))), "ERROR! Enter the source of your loss trend complement data in cell G23 on Page 1 (General).", "")</f>
        <v/>
      </c>
      <c r="AM61" s="272"/>
      <c r="AN61" s="273"/>
      <c r="AO61" s="273"/>
      <c r="AP61" s="273"/>
      <c r="AQ61" s="273"/>
      <c r="AR61" s="273"/>
      <c r="AS61" s="273"/>
      <c r="AT61" s="273"/>
      <c r="AU61" s="273"/>
      <c r="AV61" s="273"/>
      <c r="AW61" s="273"/>
      <c r="AX61" s="273"/>
      <c r="AY61" s="273"/>
      <c r="AZ61" s="273"/>
      <c r="BA61" s="274"/>
      <c r="BB61" s="274"/>
      <c r="BC61" s="274"/>
      <c r="BD61" s="276" t="str">
        <f>IF(AND(ISBLANK(CompSrc4),OR(COUNTBLANK(BF66:BJ92)&lt;&gt;135,NOT(ISBLANK(BG100)))), "ERROR! Enter the source of your loss trend complement data in cell G24 on Page 1 (General).", "")</f>
        <v/>
      </c>
      <c r="BE61" s="272"/>
      <c r="BF61" s="273"/>
      <c r="BG61" s="273"/>
      <c r="BH61" s="273"/>
      <c r="BI61" s="273"/>
      <c r="BJ61" s="273"/>
      <c r="BK61" s="273"/>
      <c r="BL61" s="273"/>
      <c r="BM61" s="273"/>
      <c r="BN61" s="273"/>
      <c r="BO61" s="273"/>
      <c r="BP61" s="273"/>
      <c r="BQ61" s="273"/>
      <c r="BR61" s="273"/>
      <c r="BS61" s="274"/>
      <c r="BT61" s="274"/>
      <c r="BU61" s="274"/>
      <c r="BV61" s="276" t="str">
        <f>IF(AND(ISBLANK(CompSrc5),OR(COUNTBLANK(BX66:CB92)&lt;&gt;135,NOT(ISBLANK(BY100)))), "ERROR! Enter the source of your loss trend complement data in cell G25 on Page 1 (General).", "")</f>
        <v/>
      </c>
      <c r="BW61" s="272"/>
      <c r="BX61" s="273"/>
      <c r="BY61" s="273"/>
      <c r="BZ61" s="273"/>
      <c r="CA61" s="273"/>
      <c r="CB61" s="273"/>
      <c r="CC61" s="273"/>
      <c r="CD61" s="273"/>
      <c r="CE61" s="273"/>
      <c r="CF61" s="273"/>
      <c r="CG61" s="273"/>
      <c r="CH61" s="273"/>
      <c r="CI61" s="273"/>
      <c r="CJ61" s="273"/>
      <c r="CK61" s="274"/>
      <c r="CL61" s="274"/>
      <c r="CM61" s="274"/>
      <c r="CN61" s="276" t="str">
        <f>IF(AND(ISBLANK(CompSrc6),OR(COUNTBLANK(CP66:CT92)&lt;&gt;135,NOT(ISBLANK(CQ100)))), "ERROR! Enter the source of your loss trend complement data in cell G26 on Page 1 (General).", "")</f>
        <v/>
      </c>
      <c r="CO61" s="272"/>
      <c r="CP61" s="273"/>
      <c r="CQ61" s="273"/>
      <c r="CR61" s="273"/>
      <c r="CS61" s="273"/>
      <c r="CT61" s="273"/>
      <c r="CU61" s="273"/>
      <c r="CV61" s="273"/>
      <c r="CW61" s="273"/>
      <c r="CX61" s="273"/>
      <c r="CY61" s="273"/>
      <c r="CZ61" s="273"/>
      <c r="DA61" s="273"/>
      <c r="DB61" s="273"/>
      <c r="DC61" s="274"/>
      <c r="DD61" s="274"/>
      <c r="DE61" s="274"/>
      <c r="DF61" s="276" t="str">
        <f>IF(AND(ISBLANK(CompSrc7),OR(COUNTBLANK(DH66:DL92)&lt;&gt;135,NOT(ISBLANK(DI100)))), "ERROR! Enter the source of your loss trend complement data in cell G27 on Page 1 (General).", "")</f>
        <v/>
      </c>
      <c r="DG61" s="272"/>
      <c r="DH61" s="273"/>
      <c r="DI61" s="273"/>
      <c r="DJ61" s="273"/>
      <c r="DK61" s="273"/>
      <c r="DL61" s="273"/>
      <c r="DM61" s="273"/>
      <c r="DN61" s="273"/>
      <c r="DO61" s="273"/>
      <c r="DP61" s="273"/>
      <c r="DQ61" s="273"/>
      <c r="DR61" s="273"/>
      <c r="DS61" s="273"/>
      <c r="DT61" s="273"/>
      <c r="DU61" s="274"/>
      <c r="DV61" s="274"/>
      <c r="DW61" s="274"/>
      <c r="DX61" s="276" t="str">
        <f>IF(AND(ISBLANK(CompSrc8),OR(COUNTBLANK(DZ66:ED92)&lt;&gt;135,NOT(ISBLANK(EA100)))), "ERROR! Enter the source of your loss trend complement data in cell G28 on Page 1 (General).", "")</f>
        <v/>
      </c>
      <c r="DY61" s="272"/>
      <c r="DZ61" s="273"/>
      <c r="EA61" s="273"/>
      <c r="EB61" s="273"/>
      <c r="EC61" s="273"/>
      <c r="ED61" s="273"/>
      <c r="EE61" s="273"/>
      <c r="EF61" s="273"/>
      <c r="EG61" s="273"/>
      <c r="EH61" s="273"/>
      <c r="EI61" s="273"/>
      <c r="EJ61" s="273"/>
      <c r="EK61" s="273"/>
      <c r="EL61" s="273"/>
      <c r="EM61" s="274"/>
      <c r="EN61" s="274"/>
      <c r="EO61" s="274"/>
      <c r="EP61" s="276" t="str">
        <f>IF(AND(ISBLANK(CompSrc9),OR(COUNTBLANK(ER66:EV92)&lt;&gt;135,NOT(ISBLANK(ES100)))), "ERROR! Enter the source of your loss trend complement data in cell G29 on Page 1 (General).", "")</f>
        <v/>
      </c>
      <c r="EQ61" s="272"/>
      <c r="ER61" s="273"/>
      <c r="ES61" s="273"/>
      <c r="ET61" s="273"/>
      <c r="EU61" s="273"/>
      <c r="EV61" s="273"/>
      <c r="EW61" s="273"/>
      <c r="EX61" s="273"/>
      <c r="EY61" s="273"/>
      <c r="EZ61" s="273"/>
      <c r="FA61" s="273"/>
      <c r="FB61" s="273"/>
      <c r="FC61" s="273"/>
      <c r="FD61" s="273"/>
      <c r="FE61" s="274"/>
      <c r="FF61" s="274"/>
      <c r="FG61" s="274"/>
      <c r="FH61" s="276" t="str">
        <f>IF(AND(ISBLANK(CompSrc10),OR(COUNTBLANK(FJ66:FN92)&lt;&gt;135,NOT(ISBLANK(FK100)))), "ERROR! Enter the source of your loss trend complement data in cell G30 on Page 1 (General).", "")</f>
        <v/>
      </c>
      <c r="FI61" s="272"/>
      <c r="FJ61" s="273"/>
      <c r="FK61" s="273"/>
      <c r="FL61" s="273"/>
      <c r="FM61" s="273"/>
      <c r="FN61" s="273"/>
      <c r="FO61" s="273"/>
      <c r="FP61" s="273"/>
      <c r="FQ61" s="273"/>
      <c r="FR61" s="273"/>
      <c r="FS61" s="273"/>
      <c r="FT61" s="273"/>
      <c r="FU61" s="273"/>
      <c r="FV61" s="273"/>
      <c r="FW61" s="274"/>
      <c r="FX61" s="274"/>
      <c r="FY61" s="274"/>
    </row>
    <row r="62" spans="2:181" x14ac:dyDescent="0.25">
      <c r="B62" s="38"/>
      <c r="C62" s="25"/>
      <c r="D62" s="25"/>
      <c r="E62" s="46"/>
      <c r="J62" s="54"/>
      <c r="K62" s="60"/>
      <c r="L62" s="58"/>
      <c r="M62" s="60"/>
      <c r="N62" s="58"/>
      <c r="P62" s="60"/>
      <c r="Q62" s="58"/>
      <c r="R62" s="60"/>
      <c r="S62" s="58"/>
      <c r="T62" s="38"/>
      <c r="U62" s="25"/>
      <c r="V62" s="25"/>
      <c r="W62" s="46"/>
      <c r="AB62" s="54"/>
      <c r="AC62" s="60"/>
      <c r="AD62" s="58"/>
      <c r="AE62" s="60"/>
      <c r="AF62" s="58"/>
      <c r="AH62" s="60"/>
      <c r="AI62" s="58"/>
      <c r="AJ62" s="60"/>
      <c r="AK62" s="58"/>
      <c r="AL62" s="38"/>
      <c r="AM62" s="25"/>
      <c r="AN62" s="25"/>
      <c r="AO62" s="46"/>
      <c r="AT62" s="54"/>
      <c r="AU62" s="60"/>
      <c r="AV62" s="58"/>
      <c r="AW62" s="60"/>
      <c r="AX62" s="58"/>
      <c r="AZ62" s="60"/>
      <c r="BA62" s="58"/>
      <c r="BB62" s="60"/>
      <c r="BC62" s="58"/>
      <c r="BD62" s="38"/>
      <c r="BE62" s="25"/>
      <c r="BF62" s="25"/>
      <c r="BG62" s="46"/>
      <c r="BL62" s="54"/>
      <c r="BM62" s="60"/>
      <c r="BN62" s="58"/>
      <c r="BO62" s="60"/>
      <c r="BP62" s="58"/>
      <c r="BR62" s="60"/>
      <c r="BS62" s="58"/>
      <c r="BT62" s="60"/>
      <c r="BU62" s="58"/>
      <c r="BV62" s="38"/>
      <c r="BW62" s="25"/>
      <c r="BX62" s="25"/>
      <c r="BY62" s="46"/>
      <c r="CD62" s="54"/>
      <c r="CE62" s="60"/>
      <c r="CF62" s="58"/>
      <c r="CG62" s="60"/>
      <c r="CH62" s="58"/>
      <c r="CJ62" s="60"/>
      <c r="CK62" s="58"/>
      <c r="CL62" s="60"/>
      <c r="CM62" s="58"/>
      <c r="CN62" s="38"/>
      <c r="CO62" s="25"/>
      <c r="CP62" s="25"/>
      <c r="CQ62" s="46"/>
      <c r="CV62" s="54"/>
      <c r="CW62" s="60"/>
      <c r="CX62" s="58"/>
      <c r="CY62" s="60"/>
      <c r="CZ62" s="58"/>
      <c r="DB62" s="60"/>
      <c r="DC62" s="58"/>
      <c r="DD62" s="60"/>
      <c r="DE62" s="58"/>
      <c r="DF62" s="38"/>
      <c r="DG62" s="25"/>
      <c r="DH62" s="25"/>
      <c r="DI62" s="46"/>
      <c r="DN62" s="54"/>
      <c r="DO62" s="60"/>
      <c r="DP62" s="58"/>
      <c r="DQ62" s="60"/>
      <c r="DR62" s="58"/>
      <c r="DT62" s="60"/>
      <c r="DU62" s="58"/>
      <c r="DV62" s="60"/>
      <c r="DW62" s="58"/>
      <c r="DX62" s="38"/>
      <c r="DY62" s="25"/>
      <c r="DZ62" s="25"/>
      <c r="EA62" s="46"/>
      <c r="EF62" s="54"/>
      <c r="EG62" s="60"/>
      <c r="EH62" s="58"/>
      <c r="EI62" s="60"/>
      <c r="EJ62" s="58"/>
      <c r="EL62" s="60"/>
      <c r="EM62" s="58"/>
      <c r="EN62" s="60"/>
      <c r="EO62" s="58"/>
      <c r="EP62" s="38"/>
      <c r="EQ62" s="25"/>
      <c r="ER62" s="25"/>
      <c r="ES62" s="46"/>
      <c r="EX62" s="54"/>
      <c r="EY62" s="60"/>
      <c r="EZ62" s="58"/>
      <c r="FA62" s="60"/>
      <c r="FB62" s="58"/>
      <c r="FD62" s="60"/>
      <c r="FE62" s="58"/>
      <c r="FF62" s="60"/>
      <c r="FG62" s="58"/>
      <c r="FH62" s="38"/>
      <c r="FI62" s="25"/>
      <c r="FJ62" s="25"/>
      <c r="FK62" s="46"/>
      <c r="FP62" s="54"/>
      <c r="FQ62" s="60"/>
      <c r="FR62" s="58"/>
      <c r="FS62" s="60"/>
      <c r="FT62" s="58"/>
      <c r="FV62" s="60"/>
      <c r="FW62" s="58"/>
      <c r="FX62" s="60"/>
      <c r="FY62" s="58"/>
    </row>
    <row r="63" spans="2:181" ht="15.75" customHeight="1" x14ac:dyDescent="0.25">
      <c r="B63" s="50"/>
      <c r="D63" s="52" t="str">
        <f>"Complement Loss "&amp;IF(DCCE_LTrndComp="Includes DCCE","and DCCE ","")&amp;"Trend Data"</f>
        <v>Complement Loss Trend Data</v>
      </c>
      <c r="E63" s="2"/>
      <c r="F63" s="52"/>
      <c r="G63" s="52"/>
      <c r="H63" s="52"/>
      <c r="I63" s="53"/>
      <c r="T63" s="50"/>
      <c r="V63" s="52" t="str">
        <f>"Complement Loss "&amp;IF(DCCE_LTrndComp="Includes DCCE","and DCCE ","")&amp;"Trend Data"</f>
        <v>Complement Loss Trend Data</v>
      </c>
      <c r="W63" s="2"/>
      <c r="X63" s="52"/>
      <c r="Y63" s="52"/>
      <c r="Z63" s="52"/>
      <c r="AA63" s="53"/>
      <c r="AL63" s="50"/>
      <c r="AN63" s="52" t="str">
        <f>"Complement Loss "&amp;IF(DCCE_LTrndComp="Includes DCCE","and DCCE ","")&amp;"Trend Data"</f>
        <v>Complement Loss Trend Data</v>
      </c>
      <c r="AO63" s="2"/>
      <c r="AP63" s="52"/>
      <c r="AQ63" s="52"/>
      <c r="AR63" s="52"/>
      <c r="AS63" s="53"/>
      <c r="BD63" s="50"/>
      <c r="BF63" s="52" t="str">
        <f>"Complement Loss "&amp;IF(DCCE_LTrndComp="Includes DCCE","and DCCE ","")&amp;"Trend Data"</f>
        <v>Complement Loss Trend Data</v>
      </c>
      <c r="BG63" s="2"/>
      <c r="BH63" s="52"/>
      <c r="BI63" s="52"/>
      <c r="BJ63" s="52"/>
      <c r="BK63" s="53"/>
      <c r="BV63" s="50"/>
      <c r="BX63" s="52" t="str">
        <f>"Complement Loss "&amp;IF(DCCE_LTrndComp="Includes DCCE","and DCCE ","")&amp;"Trend Data"</f>
        <v>Complement Loss Trend Data</v>
      </c>
      <c r="BY63" s="2"/>
      <c r="BZ63" s="52"/>
      <c r="CA63" s="52"/>
      <c r="CB63" s="52"/>
      <c r="CC63" s="53"/>
      <c r="CN63" s="50"/>
      <c r="CP63" s="52" t="str">
        <f>"Complement Loss "&amp;IF(DCCE_LTrndComp="Includes DCCE","and DCCE ","")&amp;"Trend Data"</f>
        <v>Complement Loss Trend Data</v>
      </c>
      <c r="CQ63" s="2"/>
      <c r="CR63" s="52"/>
      <c r="CS63" s="52"/>
      <c r="CT63" s="52"/>
      <c r="CU63" s="53"/>
      <c r="DF63" s="50"/>
      <c r="DH63" s="52" t="str">
        <f>"Complement Loss "&amp;IF(DCCE_LTrndComp="Includes DCCE","and DCCE ","")&amp;"Trend Data"</f>
        <v>Complement Loss Trend Data</v>
      </c>
      <c r="DI63" s="2"/>
      <c r="DJ63" s="52"/>
      <c r="DK63" s="52"/>
      <c r="DL63" s="52"/>
      <c r="DM63" s="53"/>
      <c r="DX63" s="50"/>
      <c r="DZ63" s="52" t="str">
        <f>"Complement Loss "&amp;IF(DCCE_LTrndComp="Includes DCCE","and DCCE ","")&amp;"Trend Data"</f>
        <v>Complement Loss Trend Data</v>
      </c>
      <c r="EA63" s="2"/>
      <c r="EB63" s="52"/>
      <c r="EC63" s="52"/>
      <c r="ED63" s="52"/>
      <c r="EE63" s="53"/>
      <c r="EP63" s="50"/>
      <c r="ER63" s="52" t="str">
        <f>"Complement Loss "&amp;IF(DCCE_LTrndComp="Includes DCCE","and DCCE ","")&amp;"Trend Data"</f>
        <v>Complement Loss Trend Data</v>
      </c>
      <c r="ES63" s="2"/>
      <c r="ET63" s="52"/>
      <c r="EU63" s="52"/>
      <c r="EV63" s="52"/>
      <c r="EW63" s="53"/>
      <c r="FH63" s="50"/>
      <c r="FJ63" s="52" t="str">
        <f>"Complement Loss "&amp;IF(DCCE_LTrndComp="Includes DCCE","and DCCE ","")&amp;"Trend Data"</f>
        <v>Complement Loss Trend Data</v>
      </c>
      <c r="FK63" s="2"/>
      <c r="FL63" s="52"/>
      <c r="FM63" s="52"/>
      <c r="FN63" s="52"/>
      <c r="FO63" s="53"/>
    </row>
    <row r="64" spans="2:181" ht="15.75" customHeight="1" thickBot="1" x14ac:dyDescent="0.3">
      <c r="B64" s="50"/>
      <c r="D64" s="43" t="s">
        <v>21</v>
      </c>
      <c r="E64" s="9"/>
      <c r="F64" s="51"/>
      <c r="G64" s="9"/>
      <c r="H64" s="9"/>
      <c r="J64" s="45" t="s">
        <v>22</v>
      </c>
      <c r="K64" s="26"/>
      <c r="L64" s="26"/>
      <c r="M64" s="26"/>
      <c r="N64" s="26"/>
      <c r="P64" s="45" t="s">
        <v>22</v>
      </c>
      <c r="Q64" s="26"/>
      <c r="R64" s="26"/>
      <c r="S64" s="26"/>
      <c r="T64" s="50"/>
      <c r="V64" s="43" t="s">
        <v>21</v>
      </c>
      <c r="W64" s="9"/>
      <c r="X64" s="51"/>
      <c r="Y64" s="9"/>
      <c r="Z64" s="9"/>
      <c r="AB64" s="45" t="s">
        <v>22</v>
      </c>
      <c r="AC64" s="26"/>
      <c r="AD64" s="26"/>
      <c r="AE64" s="26"/>
      <c r="AF64" s="26"/>
      <c r="AH64" s="45" t="s">
        <v>22</v>
      </c>
      <c r="AI64" s="26"/>
      <c r="AJ64" s="26"/>
      <c r="AK64" s="26"/>
      <c r="AL64" s="50"/>
      <c r="AN64" s="43" t="s">
        <v>21</v>
      </c>
      <c r="AO64" s="9"/>
      <c r="AP64" s="51"/>
      <c r="AQ64" s="9"/>
      <c r="AR64" s="9"/>
      <c r="AT64" s="45" t="s">
        <v>22</v>
      </c>
      <c r="AU64" s="26"/>
      <c r="AV64" s="26"/>
      <c r="AW64" s="26"/>
      <c r="AX64" s="26"/>
      <c r="AZ64" s="45" t="s">
        <v>22</v>
      </c>
      <c r="BA64" s="26"/>
      <c r="BB64" s="26"/>
      <c r="BC64" s="26"/>
      <c r="BD64" s="50"/>
      <c r="BF64" s="43" t="s">
        <v>21</v>
      </c>
      <c r="BG64" s="9"/>
      <c r="BH64" s="51"/>
      <c r="BI64" s="9"/>
      <c r="BJ64" s="9"/>
      <c r="BL64" s="45" t="s">
        <v>22</v>
      </c>
      <c r="BM64" s="26"/>
      <c r="BN64" s="26"/>
      <c r="BO64" s="26"/>
      <c r="BP64" s="26"/>
      <c r="BR64" s="45" t="s">
        <v>22</v>
      </c>
      <c r="BS64" s="26"/>
      <c r="BT64" s="26"/>
      <c r="BU64" s="26"/>
      <c r="BV64" s="50"/>
      <c r="BX64" s="43" t="s">
        <v>21</v>
      </c>
      <c r="BY64" s="9"/>
      <c r="BZ64" s="51"/>
      <c r="CA64" s="9"/>
      <c r="CB64" s="9"/>
      <c r="CD64" s="45" t="s">
        <v>22</v>
      </c>
      <c r="CE64" s="26"/>
      <c r="CF64" s="26"/>
      <c r="CG64" s="26"/>
      <c r="CH64" s="26"/>
      <c r="CJ64" s="45" t="s">
        <v>22</v>
      </c>
      <c r="CK64" s="26"/>
      <c r="CL64" s="26"/>
      <c r="CM64" s="26"/>
      <c r="CN64" s="50"/>
      <c r="CP64" s="43" t="s">
        <v>21</v>
      </c>
      <c r="CQ64" s="9"/>
      <c r="CR64" s="51"/>
      <c r="CS64" s="9"/>
      <c r="CT64" s="9"/>
      <c r="CV64" s="45" t="s">
        <v>22</v>
      </c>
      <c r="CW64" s="26"/>
      <c r="CX64" s="26"/>
      <c r="CY64" s="26"/>
      <c r="CZ64" s="26"/>
      <c r="DB64" s="45" t="s">
        <v>22</v>
      </c>
      <c r="DC64" s="26"/>
      <c r="DD64" s="26"/>
      <c r="DE64" s="26"/>
      <c r="DF64" s="50"/>
      <c r="DH64" s="43" t="s">
        <v>21</v>
      </c>
      <c r="DI64" s="9"/>
      <c r="DJ64" s="51"/>
      <c r="DK64" s="9"/>
      <c r="DL64" s="9"/>
      <c r="DN64" s="45" t="s">
        <v>22</v>
      </c>
      <c r="DO64" s="26"/>
      <c r="DP64" s="26"/>
      <c r="DQ64" s="26"/>
      <c r="DR64" s="26"/>
      <c r="DT64" s="45" t="s">
        <v>22</v>
      </c>
      <c r="DU64" s="26"/>
      <c r="DV64" s="26"/>
      <c r="DW64" s="26"/>
      <c r="DX64" s="50"/>
      <c r="DZ64" s="43" t="s">
        <v>21</v>
      </c>
      <c r="EA64" s="9"/>
      <c r="EB64" s="51"/>
      <c r="EC64" s="9"/>
      <c r="ED64" s="9"/>
      <c r="EF64" s="45" t="s">
        <v>22</v>
      </c>
      <c r="EG64" s="26"/>
      <c r="EH64" s="26"/>
      <c r="EI64" s="26"/>
      <c r="EJ64" s="26"/>
      <c r="EL64" s="45" t="s">
        <v>22</v>
      </c>
      <c r="EM64" s="26"/>
      <c r="EN64" s="26"/>
      <c r="EO64" s="26"/>
      <c r="EP64" s="50"/>
      <c r="ER64" s="43" t="s">
        <v>21</v>
      </c>
      <c r="ES64" s="9"/>
      <c r="ET64" s="51"/>
      <c r="EU64" s="9"/>
      <c r="EV64" s="9"/>
      <c r="EX64" s="45" t="s">
        <v>22</v>
      </c>
      <c r="EY64" s="26"/>
      <c r="EZ64" s="26"/>
      <c r="FA64" s="26"/>
      <c r="FB64" s="26"/>
      <c r="FD64" s="45" t="s">
        <v>22</v>
      </c>
      <c r="FE64" s="26"/>
      <c r="FF64" s="26"/>
      <c r="FG64" s="26"/>
      <c r="FH64" s="50"/>
      <c r="FJ64" s="43" t="s">
        <v>21</v>
      </c>
      <c r="FK64" s="9"/>
      <c r="FL64" s="51"/>
      <c r="FM64" s="9"/>
      <c r="FN64" s="9"/>
      <c r="FP64" s="45" t="s">
        <v>22</v>
      </c>
      <c r="FQ64" s="26"/>
      <c r="FR64" s="26"/>
      <c r="FS64" s="26"/>
      <c r="FT64" s="26"/>
      <c r="FV64" s="45" t="s">
        <v>22</v>
      </c>
      <c r="FW64" s="26"/>
      <c r="FX64" s="26"/>
      <c r="FY64" s="26"/>
    </row>
    <row r="65" spans="1:181" ht="105.75" thickBot="1" x14ac:dyDescent="0.3">
      <c r="B65" s="10" t="s">
        <v>0</v>
      </c>
      <c r="D65" s="10" t="s">
        <v>3</v>
      </c>
      <c r="E65" s="10" t="s">
        <v>1</v>
      </c>
      <c r="F65" s="10" t="s">
        <v>2</v>
      </c>
      <c r="G65" s="10" t="str">
        <f>IF(DCCE_LTrndComp="Excludes DCCE","Paid Losses","Paid Losses &amp; DCCE")</f>
        <v>Paid Losses</v>
      </c>
      <c r="H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J65" s="10" t="str">
        <f>D65</f>
        <v>Earned Exposures</v>
      </c>
      <c r="K65" s="10" t="str">
        <f t="shared" ref="K65" si="137">E65</f>
        <v>Closed Claims</v>
      </c>
      <c r="L65" s="10" t="str">
        <f t="shared" ref="L65" si="138">F65</f>
        <v>Reported Claims</v>
      </c>
      <c r="M65" s="10" t="str">
        <f t="shared" ref="M65" si="139">G65</f>
        <v>Paid Losses</v>
      </c>
      <c r="N65" s="10" t="str">
        <f t="shared" ref="N65" si="140">H65</f>
        <v>Total Paid Losses including Partial Payments on Prior Calendar Years, on Closed Claims</v>
      </c>
      <c r="O65" s="4"/>
      <c r="P65" s="10" t="s">
        <v>27</v>
      </c>
      <c r="Q65" s="10" t="s">
        <v>28</v>
      </c>
      <c r="R65" s="10" t="str">
        <f>IF(DCCE_LTrndComp="Excludes DCCE","Paid Loss Severity","Paid Loss &amp; DCCE Severity")</f>
        <v>Paid Loss Severity</v>
      </c>
      <c r="S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T65" s="10" t="s">
        <v>0</v>
      </c>
      <c r="V65" s="10" t="s">
        <v>3</v>
      </c>
      <c r="W65" s="10" t="s">
        <v>1</v>
      </c>
      <c r="X65" s="10" t="s">
        <v>2</v>
      </c>
      <c r="Y65" s="10" t="str">
        <f>IF(DCCE_LTrndComp="Excludes DCCE","Paid Losses","Paid Losses &amp; DCCE")</f>
        <v>Paid Losses</v>
      </c>
      <c r="Z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B65" s="10" t="str">
        <f>V65</f>
        <v>Earned Exposures</v>
      </c>
      <c r="AC65" s="10" t="str">
        <f t="shared" ref="AC65" si="141">W65</f>
        <v>Closed Claims</v>
      </c>
      <c r="AD65" s="10" t="str">
        <f t="shared" ref="AD65" si="142">X65</f>
        <v>Reported Claims</v>
      </c>
      <c r="AE65" s="10" t="str">
        <f t="shared" ref="AE65" si="143">Y65</f>
        <v>Paid Losses</v>
      </c>
      <c r="AF65" s="10" t="str">
        <f t="shared" ref="AF65" si="144">Z65</f>
        <v>Total Paid Losses including Partial Payments on Prior Calendar Years, on Closed Claims</v>
      </c>
      <c r="AG65" s="4"/>
      <c r="AH65" s="10" t="s">
        <v>27</v>
      </c>
      <c r="AI65" s="10" t="s">
        <v>28</v>
      </c>
      <c r="AJ65" s="10" t="str">
        <f>IF(DCCE_LTrndComp="Excludes DCCE","Paid Loss Severity","Paid Loss &amp; DCCE Severity")</f>
        <v>Paid Loss Severity</v>
      </c>
      <c r="AK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AL65" s="10" t="s">
        <v>0</v>
      </c>
      <c r="AN65" s="10" t="s">
        <v>3</v>
      </c>
      <c r="AO65" s="10" t="s">
        <v>1</v>
      </c>
      <c r="AP65" s="10" t="s">
        <v>2</v>
      </c>
      <c r="AQ65" s="10" t="str">
        <f>IF(DCCE_LTrndComp="Excludes DCCE","Paid Losses","Paid Losses &amp; DCCE")</f>
        <v>Paid Losses</v>
      </c>
      <c r="AR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T65" s="10" t="str">
        <f>AN65</f>
        <v>Earned Exposures</v>
      </c>
      <c r="AU65" s="10" t="str">
        <f t="shared" ref="AU65" si="145">AO65</f>
        <v>Closed Claims</v>
      </c>
      <c r="AV65" s="10" t="str">
        <f t="shared" ref="AV65" si="146">AP65</f>
        <v>Reported Claims</v>
      </c>
      <c r="AW65" s="10" t="str">
        <f t="shared" ref="AW65" si="147">AQ65</f>
        <v>Paid Losses</v>
      </c>
      <c r="AX65" s="10" t="str">
        <f t="shared" ref="AX65" si="148">AR65</f>
        <v>Total Paid Losses including Partial Payments on Prior Calendar Years, on Closed Claims</v>
      </c>
      <c r="AY65" s="4"/>
      <c r="AZ65" s="10" t="s">
        <v>27</v>
      </c>
      <c r="BA65" s="10" t="s">
        <v>28</v>
      </c>
      <c r="BB65" s="10" t="str">
        <f>IF(DCCE_LTrndComp="Excludes DCCE","Paid Loss Severity","Paid Loss &amp; DCCE Severity")</f>
        <v>Paid Loss Severity</v>
      </c>
      <c r="BC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D65" s="10" t="s">
        <v>0</v>
      </c>
      <c r="BF65" s="10" t="s">
        <v>3</v>
      </c>
      <c r="BG65" s="10" t="s">
        <v>1</v>
      </c>
      <c r="BH65" s="10" t="s">
        <v>2</v>
      </c>
      <c r="BI65" s="10" t="str">
        <f>IF(DCCE_LTrndComp="Excludes DCCE","Paid Losses","Paid Losses &amp; DCCE")</f>
        <v>Paid Losses</v>
      </c>
      <c r="BJ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BL65" s="10" t="str">
        <f>BF65</f>
        <v>Earned Exposures</v>
      </c>
      <c r="BM65" s="10" t="str">
        <f t="shared" ref="BM65" si="149">BG65</f>
        <v>Closed Claims</v>
      </c>
      <c r="BN65" s="10" t="str">
        <f t="shared" ref="BN65" si="150">BH65</f>
        <v>Reported Claims</v>
      </c>
      <c r="BO65" s="10" t="str">
        <f t="shared" ref="BO65" si="151">BI65</f>
        <v>Paid Losses</v>
      </c>
      <c r="BP65" s="10" t="str">
        <f t="shared" ref="BP65" si="152">BJ65</f>
        <v>Total Paid Losses including Partial Payments on Prior Calendar Years, on Closed Claims</v>
      </c>
      <c r="BQ65" s="4"/>
      <c r="BR65" s="10" t="s">
        <v>27</v>
      </c>
      <c r="BS65" s="10" t="s">
        <v>28</v>
      </c>
      <c r="BT65" s="10" t="str">
        <f>IF(DCCE_LTrndComp="Excludes DCCE","Paid Loss Severity","Paid Loss &amp; DCCE Severity")</f>
        <v>Paid Loss Severity</v>
      </c>
      <c r="BU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V65" s="10" t="s">
        <v>0</v>
      </c>
      <c r="BX65" s="10" t="s">
        <v>3</v>
      </c>
      <c r="BY65" s="10" t="s">
        <v>1</v>
      </c>
      <c r="BZ65" s="10" t="s">
        <v>2</v>
      </c>
      <c r="CA65" s="10" t="str">
        <f>IF(DCCE_LTrndComp="Excludes DCCE","Paid Losses","Paid Losses &amp; DCCE")</f>
        <v>Paid Losses</v>
      </c>
      <c r="CB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D65" s="10" t="str">
        <f>BX65</f>
        <v>Earned Exposures</v>
      </c>
      <c r="CE65" s="10" t="str">
        <f t="shared" ref="CE65" si="153">BY65</f>
        <v>Closed Claims</v>
      </c>
      <c r="CF65" s="10" t="str">
        <f t="shared" ref="CF65" si="154">BZ65</f>
        <v>Reported Claims</v>
      </c>
      <c r="CG65" s="10" t="str">
        <f t="shared" ref="CG65" si="155">CA65</f>
        <v>Paid Losses</v>
      </c>
      <c r="CH65" s="10" t="str">
        <f t="shared" ref="CH65" si="156">CB65</f>
        <v>Total Paid Losses including Partial Payments on Prior Calendar Years, on Closed Claims</v>
      </c>
      <c r="CI65" s="4"/>
      <c r="CJ65" s="10" t="s">
        <v>27</v>
      </c>
      <c r="CK65" s="10" t="s">
        <v>28</v>
      </c>
      <c r="CL65" s="10" t="str">
        <f>IF(DCCE_LTrndComp="Excludes DCCE","Paid Loss Severity","Paid Loss &amp; DCCE Severity")</f>
        <v>Paid Loss Severity</v>
      </c>
      <c r="CM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CN65" s="10" t="s">
        <v>0</v>
      </c>
      <c r="CP65" s="10" t="s">
        <v>3</v>
      </c>
      <c r="CQ65" s="10" t="s">
        <v>1</v>
      </c>
      <c r="CR65" s="10" t="s">
        <v>2</v>
      </c>
      <c r="CS65" s="10" t="str">
        <f>IF(DCCE_LTrndComp="Excludes DCCE","Paid Losses","Paid Losses &amp; DCCE")</f>
        <v>Paid Losses</v>
      </c>
      <c r="CT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V65" s="10" t="str">
        <f>CP65</f>
        <v>Earned Exposures</v>
      </c>
      <c r="CW65" s="10" t="str">
        <f t="shared" ref="CW65" si="157">CQ65</f>
        <v>Closed Claims</v>
      </c>
      <c r="CX65" s="10" t="str">
        <f t="shared" ref="CX65" si="158">CR65</f>
        <v>Reported Claims</v>
      </c>
      <c r="CY65" s="10" t="str">
        <f t="shared" ref="CY65" si="159">CS65</f>
        <v>Paid Losses</v>
      </c>
      <c r="CZ65" s="10" t="str">
        <f t="shared" ref="CZ65" si="160">CT65</f>
        <v>Total Paid Losses including Partial Payments on Prior Calendar Years, on Closed Claims</v>
      </c>
      <c r="DA65" s="4"/>
      <c r="DB65" s="10" t="s">
        <v>27</v>
      </c>
      <c r="DC65" s="10" t="s">
        <v>28</v>
      </c>
      <c r="DD65" s="10" t="str">
        <f>IF(DCCE_LTrndComp="Excludes DCCE","Paid Loss Severity","Paid Loss &amp; DCCE Severity")</f>
        <v>Paid Loss Severity</v>
      </c>
      <c r="DE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F65" s="10" t="s">
        <v>0</v>
      </c>
      <c r="DH65" s="10" t="s">
        <v>3</v>
      </c>
      <c r="DI65" s="10" t="s">
        <v>1</v>
      </c>
      <c r="DJ65" s="10" t="s">
        <v>2</v>
      </c>
      <c r="DK65" s="10" t="str">
        <f>IF(DCCE_LTrndComp="Excludes DCCE","Paid Losses","Paid Losses &amp; DCCE")</f>
        <v>Paid Losses</v>
      </c>
      <c r="DL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DN65" s="10" t="str">
        <f>DH65</f>
        <v>Earned Exposures</v>
      </c>
      <c r="DO65" s="10" t="str">
        <f t="shared" ref="DO65" si="161">DI65</f>
        <v>Closed Claims</v>
      </c>
      <c r="DP65" s="10" t="str">
        <f t="shared" ref="DP65" si="162">DJ65</f>
        <v>Reported Claims</v>
      </c>
      <c r="DQ65" s="10" t="str">
        <f t="shared" ref="DQ65" si="163">DK65</f>
        <v>Paid Losses</v>
      </c>
      <c r="DR65" s="10" t="str">
        <f t="shared" ref="DR65" si="164">DL65</f>
        <v>Total Paid Losses including Partial Payments on Prior Calendar Years, on Closed Claims</v>
      </c>
      <c r="DS65" s="4"/>
      <c r="DT65" s="10" t="s">
        <v>27</v>
      </c>
      <c r="DU65" s="10" t="s">
        <v>28</v>
      </c>
      <c r="DV65" s="10" t="str">
        <f>IF(DCCE_LTrndComp="Excludes DCCE","Paid Loss Severity","Paid Loss &amp; DCCE Severity")</f>
        <v>Paid Loss Severity</v>
      </c>
      <c r="DW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X65" s="10" t="s">
        <v>0</v>
      </c>
      <c r="DZ65" s="10" t="s">
        <v>3</v>
      </c>
      <c r="EA65" s="10" t="s">
        <v>1</v>
      </c>
      <c r="EB65" s="10" t="s">
        <v>2</v>
      </c>
      <c r="EC65" s="10" t="str">
        <f>IF(DCCE_LTrndComp="Excludes DCCE","Paid Losses","Paid Losses &amp; DCCE")</f>
        <v>Paid Losses</v>
      </c>
      <c r="ED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F65" s="10" t="str">
        <f>DZ65</f>
        <v>Earned Exposures</v>
      </c>
      <c r="EG65" s="10" t="str">
        <f t="shared" ref="EG65" si="165">EA65</f>
        <v>Closed Claims</v>
      </c>
      <c r="EH65" s="10" t="str">
        <f t="shared" ref="EH65" si="166">EB65</f>
        <v>Reported Claims</v>
      </c>
      <c r="EI65" s="10" t="str">
        <f t="shared" ref="EI65" si="167">EC65</f>
        <v>Paid Losses</v>
      </c>
      <c r="EJ65" s="10" t="str">
        <f t="shared" ref="EJ65" si="168">ED65</f>
        <v>Total Paid Losses including Partial Payments on Prior Calendar Years, on Closed Claims</v>
      </c>
      <c r="EK65" s="4"/>
      <c r="EL65" s="10" t="s">
        <v>27</v>
      </c>
      <c r="EM65" s="10" t="s">
        <v>28</v>
      </c>
      <c r="EN65" s="10" t="str">
        <f>IF(DCCE_LTrndComp="Excludes DCCE","Paid Loss Severity","Paid Loss &amp; DCCE Severity")</f>
        <v>Paid Loss Severity</v>
      </c>
      <c r="EO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EP65" s="10" t="s">
        <v>0</v>
      </c>
      <c r="ER65" s="10" t="s">
        <v>3</v>
      </c>
      <c r="ES65" s="10" t="s">
        <v>1</v>
      </c>
      <c r="ET65" s="10" t="s">
        <v>2</v>
      </c>
      <c r="EU65" s="10" t="str">
        <f>IF(DCCE_LTrndComp="Excludes DCCE","Paid Losses","Paid Losses &amp; DCCE")</f>
        <v>Paid Losses</v>
      </c>
      <c r="EV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X65" s="10" t="str">
        <f>ER65</f>
        <v>Earned Exposures</v>
      </c>
      <c r="EY65" s="10" t="str">
        <f t="shared" ref="EY65" si="169">ES65</f>
        <v>Closed Claims</v>
      </c>
      <c r="EZ65" s="10" t="str">
        <f t="shared" ref="EZ65" si="170">ET65</f>
        <v>Reported Claims</v>
      </c>
      <c r="FA65" s="10" t="str">
        <f t="shared" ref="FA65" si="171">EU65</f>
        <v>Paid Losses</v>
      </c>
      <c r="FB65" s="10" t="str">
        <f t="shared" ref="FB65" si="172">EV65</f>
        <v>Total Paid Losses including Partial Payments on Prior Calendar Years, on Closed Claims</v>
      </c>
      <c r="FC65" s="4"/>
      <c r="FD65" s="10" t="s">
        <v>27</v>
      </c>
      <c r="FE65" s="10" t="s">
        <v>28</v>
      </c>
      <c r="FF65" s="10" t="str">
        <f>IF(DCCE_LTrndComp="Excludes DCCE","Paid Loss Severity","Paid Loss &amp; DCCE Severity")</f>
        <v>Paid Loss Severity</v>
      </c>
      <c r="FG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FH65" s="10" t="s">
        <v>0</v>
      </c>
      <c r="FJ65" s="10" t="s">
        <v>3</v>
      </c>
      <c r="FK65" s="10" t="s">
        <v>1</v>
      </c>
      <c r="FL65" s="10" t="s">
        <v>2</v>
      </c>
      <c r="FM65" s="10" t="str">
        <f>IF(DCCE_LTrndComp="Excludes DCCE","Paid Losses","Paid Losses &amp; DCCE")</f>
        <v>Paid Losses</v>
      </c>
      <c r="FN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FP65" s="10" t="str">
        <f>FJ65</f>
        <v>Earned Exposures</v>
      </c>
      <c r="FQ65" s="10" t="str">
        <f t="shared" ref="FQ65" si="173">FK65</f>
        <v>Closed Claims</v>
      </c>
      <c r="FR65" s="10" t="str">
        <f t="shared" ref="FR65" si="174">FL65</f>
        <v>Reported Claims</v>
      </c>
      <c r="FS65" s="10" t="str">
        <f t="shared" ref="FS65" si="175">FM65</f>
        <v>Paid Losses</v>
      </c>
      <c r="FT65" s="10" t="str">
        <f t="shared" ref="FT65" si="176">FN65</f>
        <v>Total Paid Losses including Partial Payments on Prior Calendar Years, on Closed Claims</v>
      </c>
      <c r="FU65" s="4"/>
      <c r="FV65" s="10" t="s">
        <v>27</v>
      </c>
      <c r="FW65" s="10" t="s">
        <v>28</v>
      </c>
      <c r="FX65" s="10" t="str">
        <f>IF(DCCE_LTrndComp="Excludes DCCE","Paid Loss Severity","Paid Loss &amp; DCCE Severity")</f>
        <v>Paid Loss Severity</v>
      </c>
      <c r="FY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row>
    <row r="66" spans="1:181" x14ac:dyDescent="0.25">
      <c r="A66" s="25">
        <v>1</v>
      </c>
      <c r="B66" s="12">
        <f t="shared" ref="B66:B90" si="177">IF(RIGHT(B67,1)="1",B67-7,B67-1)</f>
        <v>20154</v>
      </c>
      <c r="D66" s="84"/>
      <c r="E66" s="84"/>
      <c r="F66" s="84"/>
      <c r="G66" s="84"/>
      <c r="H66" s="84"/>
      <c r="J66" s="34"/>
      <c r="K66" s="34"/>
      <c r="L66" s="34"/>
      <c r="M66" s="34"/>
      <c r="N66" s="34"/>
      <c r="O66" s="4"/>
      <c r="P66" s="34"/>
      <c r="Q66" s="34"/>
      <c r="R66" s="34"/>
      <c r="S66" s="34"/>
      <c r="T66" s="31">
        <f t="shared" ref="T66:T90" si="178">IF(RIGHT(T67,1)="1",T67-7,T67-1)</f>
        <v>20154</v>
      </c>
      <c r="V66" s="84"/>
      <c r="W66" s="84"/>
      <c r="X66" s="84"/>
      <c r="Y66" s="84"/>
      <c r="Z66" s="84"/>
      <c r="AB66" s="34"/>
      <c r="AC66" s="34"/>
      <c r="AD66" s="34"/>
      <c r="AE66" s="34"/>
      <c r="AF66" s="34"/>
      <c r="AG66" s="4"/>
      <c r="AH66" s="34"/>
      <c r="AI66" s="34"/>
      <c r="AJ66" s="34"/>
      <c r="AK66" s="34"/>
      <c r="AL66" s="31">
        <f t="shared" ref="AL66:AL90" si="179">IF(RIGHT(AL67,1)="1",AL67-7,AL67-1)</f>
        <v>20154</v>
      </c>
      <c r="AN66" s="84"/>
      <c r="AO66" s="84"/>
      <c r="AP66" s="84"/>
      <c r="AQ66" s="84"/>
      <c r="AR66" s="84"/>
      <c r="AT66" s="34"/>
      <c r="AU66" s="34"/>
      <c r="AV66" s="34"/>
      <c r="AW66" s="34"/>
      <c r="AX66" s="34"/>
      <c r="AY66" s="4"/>
      <c r="AZ66" s="34"/>
      <c r="BA66" s="34"/>
      <c r="BB66" s="34"/>
      <c r="BC66" s="34"/>
      <c r="BD66" s="31">
        <f t="shared" ref="BD66:BD90" si="180">IF(RIGHT(BD67,1)="1",BD67-7,BD67-1)</f>
        <v>20154</v>
      </c>
      <c r="BF66" s="84"/>
      <c r="BG66" s="84"/>
      <c r="BH66" s="84"/>
      <c r="BI66" s="84"/>
      <c r="BJ66" s="84"/>
      <c r="BL66" s="34"/>
      <c r="BM66" s="34"/>
      <c r="BN66" s="34"/>
      <c r="BO66" s="34"/>
      <c r="BP66" s="34"/>
      <c r="BQ66" s="4"/>
      <c r="BR66" s="34"/>
      <c r="BS66" s="34"/>
      <c r="BT66" s="34"/>
      <c r="BU66" s="34"/>
      <c r="BV66" s="31">
        <f t="shared" ref="BV66:BV90" si="181">IF(RIGHT(BV67,1)="1",BV67-7,BV67-1)</f>
        <v>20154</v>
      </c>
      <c r="BX66" s="84"/>
      <c r="BY66" s="84"/>
      <c r="BZ66" s="84"/>
      <c r="CA66" s="84"/>
      <c r="CB66" s="84"/>
      <c r="CD66" s="34"/>
      <c r="CE66" s="34"/>
      <c r="CF66" s="34"/>
      <c r="CG66" s="34"/>
      <c r="CH66" s="34"/>
      <c r="CI66" s="4"/>
      <c r="CJ66" s="34"/>
      <c r="CK66" s="34"/>
      <c r="CL66" s="34"/>
      <c r="CM66" s="34"/>
      <c r="CN66" s="31">
        <f t="shared" ref="CN66:CN90" si="182">IF(RIGHT(CN67,1)="1",CN67-7,CN67-1)</f>
        <v>20154</v>
      </c>
      <c r="CP66" s="84"/>
      <c r="CQ66" s="84"/>
      <c r="CR66" s="84"/>
      <c r="CS66" s="84"/>
      <c r="CT66" s="84"/>
      <c r="CV66" s="34"/>
      <c r="CW66" s="34"/>
      <c r="CX66" s="34"/>
      <c r="CY66" s="34"/>
      <c r="CZ66" s="34"/>
      <c r="DA66" s="4"/>
      <c r="DB66" s="34"/>
      <c r="DC66" s="34"/>
      <c r="DD66" s="34"/>
      <c r="DE66" s="34"/>
      <c r="DF66" s="31">
        <f t="shared" ref="DF66:DF90" si="183">IF(RIGHT(DF67,1)="1",DF67-7,DF67-1)</f>
        <v>20154</v>
      </c>
      <c r="DH66" s="84"/>
      <c r="DI66" s="84"/>
      <c r="DJ66" s="84"/>
      <c r="DK66" s="84"/>
      <c r="DL66" s="84"/>
      <c r="DN66" s="34"/>
      <c r="DO66" s="34"/>
      <c r="DP66" s="34"/>
      <c r="DQ66" s="34"/>
      <c r="DR66" s="34"/>
      <c r="DS66" s="4"/>
      <c r="DT66" s="34"/>
      <c r="DU66" s="34"/>
      <c r="DV66" s="34"/>
      <c r="DW66" s="34"/>
      <c r="DX66" s="31">
        <f t="shared" ref="DX66:DX90" si="184">IF(RIGHT(DX67,1)="1",DX67-7,DX67-1)</f>
        <v>20154</v>
      </c>
      <c r="DZ66" s="84"/>
      <c r="EA66" s="84"/>
      <c r="EB66" s="84"/>
      <c r="EC66" s="84"/>
      <c r="ED66" s="84"/>
      <c r="EF66" s="34"/>
      <c r="EG66" s="34"/>
      <c r="EH66" s="34"/>
      <c r="EI66" s="34"/>
      <c r="EJ66" s="34"/>
      <c r="EK66" s="4"/>
      <c r="EL66" s="34"/>
      <c r="EM66" s="34"/>
      <c r="EN66" s="34"/>
      <c r="EO66" s="34"/>
      <c r="EP66" s="31">
        <f t="shared" ref="EP66:EP90" si="185">IF(RIGHT(EP67,1)="1",EP67-7,EP67-1)</f>
        <v>20154</v>
      </c>
      <c r="ER66" s="84"/>
      <c r="ES66" s="84"/>
      <c r="ET66" s="84"/>
      <c r="EU66" s="84"/>
      <c r="EV66" s="84"/>
      <c r="EX66" s="34"/>
      <c r="EY66" s="34"/>
      <c r="EZ66" s="34"/>
      <c r="FA66" s="34"/>
      <c r="FB66" s="34"/>
      <c r="FC66" s="4"/>
      <c r="FD66" s="34"/>
      <c r="FE66" s="34"/>
      <c r="FF66" s="34"/>
      <c r="FG66" s="34"/>
      <c r="FH66" s="31">
        <f t="shared" ref="FH66:FH90" si="186">IF(RIGHT(FH67,1)="1",FH67-7,FH67-1)</f>
        <v>20154</v>
      </c>
      <c r="FJ66" s="84"/>
      <c r="FK66" s="84"/>
      <c r="FL66" s="84"/>
      <c r="FM66" s="84"/>
      <c r="FN66" s="84"/>
      <c r="FP66" s="34"/>
      <c r="FQ66" s="34"/>
      <c r="FR66" s="34"/>
      <c r="FS66" s="34"/>
      <c r="FT66" s="34"/>
      <c r="FU66" s="4"/>
      <c r="FV66" s="34"/>
      <c r="FW66" s="34"/>
      <c r="FX66" s="34"/>
      <c r="FY66" s="34"/>
    </row>
    <row r="67" spans="1:181" x14ac:dyDescent="0.25">
      <c r="A67" s="25">
        <v>2</v>
      </c>
      <c r="B67" s="12">
        <f t="shared" si="177"/>
        <v>20161</v>
      </c>
      <c r="D67" s="16"/>
      <c r="E67" s="16"/>
      <c r="F67" s="16"/>
      <c r="G67" s="16"/>
      <c r="H67" s="16"/>
      <c r="J67" s="35"/>
      <c r="K67" s="35"/>
      <c r="L67" s="35"/>
      <c r="M67" s="35"/>
      <c r="N67" s="35"/>
      <c r="O67" s="4"/>
      <c r="P67" s="35"/>
      <c r="Q67" s="35"/>
      <c r="R67" s="35"/>
      <c r="S67" s="35"/>
      <c r="T67" s="31">
        <f t="shared" si="178"/>
        <v>20161</v>
      </c>
      <c r="V67" s="16"/>
      <c r="W67" s="16"/>
      <c r="X67" s="16"/>
      <c r="Y67" s="16"/>
      <c r="Z67" s="16"/>
      <c r="AB67" s="35"/>
      <c r="AC67" s="35"/>
      <c r="AD67" s="35"/>
      <c r="AE67" s="35"/>
      <c r="AF67" s="35"/>
      <c r="AG67" s="4"/>
      <c r="AH67" s="35"/>
      <c r="AI67" s="35"/>
      <c r="AJ67" s="35"/>
      <c r="AK67" s="35"/>
      <c r="AL67" s="31">
        <f t="shared" si="179"/>
        <v>20161</v>
      </c>
      <c r="AN67" s="16"/>
      <c r="AO67" s="16"/>
      <c r="AP67" s="16"/>
      <c r="AQ67" s="16"/>
      <c r="AR67" s="16"/>
      <c r="AT67" s="35"/>
      <c r="AU67" s="35"/>
      <c r="AV67" s="35"/>
      <c r="AW67" s="35"/>
      <c r="AX67" s="35"/>
      <c r="AY67" s="4"/>
      <c r="AZ67" s="35"/>
      <c r="BA67" s="35"/>
      <c r="BB67" s="35"/>
      <c r="BC67" s="35"/>
      <c r="BD67" s="31">
        <f t="shared" si="180"/>
        <v>20161</v>
      </c>
      <c r="BF67" s="16"/>
      <c r="BG67" s="16"/>
      <c r="BH67" s="16"/>
      <c r="BI67" s="16"/>
      <c r="BJ67" s="16"/>
      <c r="BL67" s="35"/>
      <c r="BM67" s="35"/>
      <c r="BN67" s="35"/>
      <c r="BO67" s="35"/>
      <c r="BP67" s="35"/>
      <c r="BQ67" s="4"/>
      <c r="BR67" s="35"/>
      <c r="BS67" s="35"/>
      <c r="BT67" s="35"/>
      <c r="BU67" s="35"/>
      <c r="BV67" s="31">
        <f t="shared" si="181"/>
        <v>20161</v>
      </c>
      <c r="BX67" s="16"/>
      <c r="BY67" s="16"/>
      <c r="BZ67" s="16"/>
      <c r="CA67" s="16"/>
      <c r="CB67" s="16"/>
      <c r="CD67" s="35"/>
      <c r="CE67" s="35"/>
      <c r="CF67" s="35"/>
      <c r="CG67" s="35"/>
      <c r="CH67" s="35"/>
      <c r="CI67" s="4"/>
      <c r="CJ67" s="35"/>
      <c r="CK67" s="35"/>
      <c r="CL67" s="35"/>
      <c r="CM67" s="35"/>
      <c r="CN67" s="31">
        <f t="shared" si="182"/>
        <v>20161</v>
      </c>
      <c r="CP67" s="16"/>
      <c r="CQ67" s="16"/>
      <c r="CR67" s="16"/>
      <c r="CS67" s="16"/>
      <c r="CT67" s="16"/>
      <c r="CV67" s="35"/>
      <c r="CW67" s="35"/>
      <c r="CX67" s="35"/>
      <c r="CY67" s="35"/>
      <c r="CZ67" s="35"/>
      <c r="DA67" s="4"/>
      <c r="DB67" s="35"/>
      <c r="DC67" s="35"/>
      <c r="DD67" s="35"/>
      <c r="DE67" s="35"/>
      <c r="DF67" s="31">
        <f t="shared" si="183"/>
        <v>20161</v>
      </c>
      <c r="DH67" s="16"/>
      <c r="DI67" s="16"/>
      <c r="DJ67" s="16"/>
      <c r="DK67" s="16"/>
      <c r="DL67" s="16"/>
      <c r="DN67" s="35"/>
      <c r="DO67" s="35"/>
      <c r="DP67" s="35"/>
      <c r="DQ67" s="35"/>
      <c r="DR67" s="35"/>
      <c r="DS67" s="4"/>
      <c r="DT67" s="35"/>
      <c r="DU67" s="35"/>
      <c r="DV67" s="35"/>
      <c r="DW67" s="35"/>
      <c r="DX67" s="31">
        <f t="shared" si="184"/>
        <v>20161</v>
      </c>
      <c r="DZ67" s="16"/>
      <c r="EA67" s="16"/>
      <c r="EB67" s="16"/>
      <c r="EC67" s="16"/>
      <c r="ED67" s="16"/>
      <c r="EF67" s="35"/>
      <c r="EG67" s="35"/>
      <c r="EH67" s="35"/>
      <c r="EI67" s="35"/>
      <c r="EJ67" s="35"/>
      <c r="EK67" s="4"/>
      <c r="EL67" s="35"/>
      <c r="EM67" s="35"/>
      <c r="EN67" s="35"/>
      <c r="EO67" s="35"/>
      <c r="EP67" s="31">
        <f t="shared" si="185"/>
        <v>20161</v>
      </c>
      <c r="ER67" s="16"/>
      <c r="ES67" s="16"/>
      <c r="ET67" s="16"/>
      <c r="EU67" s="16"/>
      <c r="EV67" s="16"/>
      <c r="EX67" s="35"/>
      <c r="EY67" s="35"/>
      <c r="EZ67" s="35"/>
      <c r="FA67" s="35"/>
      <c r="FB67" s="35"/>
      <c r="FC67" s="4"/>
      <c r="FD67" s="35"/>
      <c r="FE67" s="35"/>
      <c r="FF67" s="35"/>
      <c r="FG67" s="35"/>
      <c r="FH67" s="31">
        <f t="shared" si="186"/>
        <v>20161</v>
      </c>
      <c r="FJ67" s="16"/>
      <c r="FK67" s="16"/>
      <c r="FL67" s="16"/>
      <c r="FM67" s="16"/>
      <c r="FN67" s="16"/>
      <c r="FP67" s="35"/>
      <c r="FQ67" s="35"/>
      <c r="FR67" s="35"/>
      <c r="FS67" s="35"/>
      <c r="FT67" s="35"/>
      <c r="FU67" s="4"/>
      <c r="FV67" s="35"/>
      <c r="FW67" s="35"/>
      <c r="FX67" s="35"/>
      <c r="FY67" s="35"/>
    </row>
    <row r="68" spans="1:181" x14ac:dyDescent="0.25">
      <c r="A68" s="25">
        <v>3</v>
      </c>
      <c r="B68" s="12">
        <f t="shared" si="177"/>
        <v>20162</v>
      </c>
      <c r="D68" s="16"/>
      <c r="E68" s="16"/>
      <c r="F68" s="16"/>
      <c r="G68" s="16"/>
      <c r="H68" s="16"/>
      <c r="J68" s="35"/>
      <c r="K68" s="35"/>
      <c r="L68" s="35"/>
      <c r="M68" s="35"/>
      <c r="N68" s="35"/>
      <c r="O68" s="13"/>
      <c r="P68" s="35"/>
      <c r="Q68" s="35"/>
      <c r="R68" s="35"/>
      <c r="S68" s="35"/>
      <c r="T68" s="31">
        <f t="shared" si="178"/>
        <v>20162</v>
      </c>
      <c r="V68" s="16"/>
      <c r="W68" s="16"/>
      <c r="X68" s="16"/>
      <c r="Y68" s="16"/>
      <c r="Z68" s="16"/>
      <c r="AB68" s="35"/>
      <c r="AC68" s="35"/>
      <c r="AD68" s="35"/>
      <c r="AE68" s="35"/>
      <c r="AF68" s="35"/>
      <c r="AG68" s="13"/>
      <c r="AH68" s="35"/>
      <c r="AI68" s="35"/>
      <c r="AJ68" s="35"/>
      <c r="AK68" s="35"/>
      <c r="AL68" s="31">
        <f t="shared" si="179"/>
        <v>20162</v>
      </c>
      <c r="AN68" s="16"/>
      <c r="AO68" s="16"/>
      <c r="AP68" s="16"/>
      <c r="AQ68" s="16"/>
      <c r="AR68" s="16"/>
      <c r="AT68" s="35"/>
      <c r="AU68" s="35"/>
      <c r="AV68" s="35"/>
      <c r="AW68" s="35"/>
      <c r="AX68" s="35"/>
      <c r="AY68" s="13"/>
      <c r="AZ68" s="35"/>
      <c r="BA68" s="35"/>
      <c r="BB68" s="35"/>
      <c r="BC68" s="35"/>
      <c r="BD68" s="31">
        <f t="shared" si="180"/>
        <v>20162</v>
      </c>
      <c r="BF68" s="16"/>
      <c r="BG68" s="16"/>
      <c r="BH68" s="16"/>
      <c r="BI68" s="16"/>
      <c r="BJ68" s="16"/>
      <c r="BL68" s="35"/>
      <c r="BM68" s="35"/>
      <c r="BN68" s="35"/>
      <c r="BO68" s="35"/>
      <c r="BP68" s="35"/>
      <c r="BQ68" s="13"/>
      <c r="BR68" s="35"/>
      <c r="BS68" s="35"/>
      <c r="BT68" s="35"/>
      <c r="BU68" s="35"/>
      <c r="BV68" s="31">
        <f t="shared" si="181"/>
        <v>20162</v>
      </c>
      <c r="BX68" s="16"/>
      <c r="BY68" s="16"/>
      <c r="BZ68" s="16"/>
      <c r="CA68" s="16"/>
      <c r="CB68" s="16"/>
      <c r="CD68" s="35"/>
      <c r="CE68" s="35"/>
      <c r="CF68" s="35"/>
      <c r="CG68" s="35"/>
      <c r="CH68" s="35"/>
      <c r="CI68" s="13"/>
      <c r="CJ68" s="35"/>
      <c r="CK68" s="35"/>
      <c r="CL68" s="35"/>
      <c r="CM68" s="35"/>
      <c r="CN68" s="31">
        <f t="shared" si="182"/>
        <v>20162</v>
      </c>
      <c r="CP68" s="16"/>
      <c r="CQ68" s="16"/>
      <c r="CR68" s="16"/>
      <c r="CS68" s="16"/>
      <c r="CT68" s="16"/>
      <c r="CV68" s="35"/>
      <c r="CW68" s="35"/>
      <c r="CX68" s="35"/>
      <c r="CY68" s="35"/>
      <c r="CZ68" s="35"/>
      <c r="DA68" s="13"/>
      <c r="DB68" s="35"/>
      <c r="DC68" s="35"/>
      <c r="DD68" s="35"/>
      <c r="DE68" s="35"/>
      <c r="DF68" s="31">
        <f t="shared" si="183"/>
        <v>20162</v>
      </c>
      <c r="DH68" s="16"/>
      <c r="DI68" s="16"/>
      <c r="DJ68" s="16"/>
      <c r="DK68" s="16"/>
      <c r="DL68" s="16"/>
      <c r="DN68" s="35"/>
      <c r="DO68" s="35"/>
      <c r="DP68" s="35"/>
      <c r="DQ68" s="35"/>
      <c r="DR68" s="35"/>
      <c r="DS68" s="13"/>
      <c r="DT68" s="35"/>
      <c r="DU68" s="35"/>
      <c r="DV68" s="35"/>
      <c r="DW68" s="35"/>
      <c r="DX68" s="31">
        <f t="shared" si="184"/>
        <v>20162</v>
      </c>
      <c r="DZ68" s="16"/>
      <c r="EA68" s="16"/>
      <c r="EB68" s="16"/>
      <c r="EC68" s="16"/>
      <c r="ED68" s="16"/>
      <c r="EF68" s="35"/>
      <c r="EG68" s="35"/>
      <c r="EH68" s="35"/>
      <c r="EI68" s="35"/>
      <c r="EJ68" s="35"/>
      <c r="EK68" s="13"/>
      <c r="EL68" s="35"/>
      <c r="EM68" s="35"/>
      <c r="EN68" s="35"/>
      <c r="EO68" s="35"/>
      <c r="EP68" s="31">
        <f t="shared" si="185"/>
        <v>20162</v>
      </c>
      <c r="ER68" s="16"/>
      <c r="ES68" s="16"/>
      <c r="ET68" s="16"/>
      <c r="EU68" s="16"/>
      <c r="EV68" s="16"/>
      <c r="EX68" s="35"/>
      <c r="EY68" s="35"/>
      <c r="EZ68" s="35"/>
      <c r="FA68" s="35"/>
      <c r="FB68" s="35"/>
      <c r="FC68" s="13"/>
      <c r="FD68" s="35"/>
      <c r="FE68" s="35"/>
      <c r="FF68" s="35"/>
      <c r="FG68" s="35"/>
      <c r="FH68" s="31">
        <f t="shared" si="186"/>
        <v>20162</v>
      </c>
      <c r="FJ68" s="16"/>
      <c r="FK68" s="16"/>
      <c r="FL68" s="16"/>
      <c r="FM68" s="16"/>
      <c r="FN68" s="16"/>
      <c r="FP68" s="35"/>
      <c r="FQ68" s="35"/>
      <c r="FR68" s="35"/>
      <c r="FS68" s="35"/>
      <c r="FT68" s="35"/>
      <c r="FU68" s="13"/>
      <c r="FV68" s="35"/>
      <c r="FW68" s="35"/>
      <c r="FX68" s="35"/>
      <c r="FY68" s="35"/>
    </row>
    <row r="69" spans="1:181" x14ac:dyDescent="0.25">
      <c r="A69" s="25">
        <v>4</v>
      </c>
      <c r="B69" s="12">
        <f t="shared" si="177"/>
        <v>20163</v>
      </c>
      <c r="D69" s="16"/>
      <c r="E69" s="16"/>
      <c r="F69" s="16"/>
      <c r="G69" s="16"/>
      <c r="H69" s="16"/>
      <c r="J69" s="33">
        <f>SUM(D66:D69)</f>
        <v>0</v>
      </c>
      <c r="K69" s="33">
        <f>SUM(E66:E69)</f>
        <v>0</v>
      </c>
      <c r="L69" s="33">
        <f>SUM(F66:F69)</f>
        <v>0</v>
      </c>
      <c r="M69" s="139">
        <f>SUM(G66:G69)</f>
        <v>0</v>
      </c>
      <c r="N69" s="139">
        <f>SUM(H66:H69)</f>
        <v>0</v>
      </c>
      <c r="O69" s="13"/>
      <c r="P69" s="55">
        <f>IFERROR(K69/J69*100,0)</f>
        <v>0</v>
      </c>
      <c r="Q69" s="55">
        <f>IFERROR(L69/J69*100,0)</f>
        <v>0</v>
      </c>
      <c r="R69" s="56">
        <f>IFERROR(M69/K69,0)</f>
        <v>0</v>
      </c>
      <c r="S69" s="56">
        <f>IFERROR(N69/K69,0)</f>
        <v>0</v>
      </c>
      <c r="T69" s="31">
        <f t="shared" si="178"/>
        <v>20163</v>
      </c>
      <c r="V69" s="16"/>
      <c r="W69" s="16"/>
      <c r="X69" s="16"/>
      <c r="Y69" s="16"/>
      <c r="Z69" s="16"/>
      <c r="AB69" s="33">
        <f>SUM(V66:V69)</f>
        <v>0</v>
      </c>
      <c r="AC69" s="33">
        <f>SUM(W66:W69)</f>
        <v>0</v>
      </c>
      <c r="AD69" s="33">
        <f>SUM(X66:X69)</f>
        <v>0</v>
      </c>
      <c r="AE69" s="139">
        <f>SUM(Y66:Y69)</f>
        <v>0</v>
      </c>
      <c r="AF69" s="139">
        <f>SUM(Z66:Z69)</f>
        <v>0</v>
      </c>
      <c r="AG69" s="13"/>
      <c r="AH69" s="55">
        <f>IFERROR(AC69/AB69*100,0)</f>
        <v>0</v>
      </c>
      <c r="AI69" s="55">
        <f>IFERROR(AD69/AB69*100,0)</f>
        <v>0</v>
      </c>
      <c r="AJ69" s="56">
        <f>IFERROR(AE69/AC69,0)</f>
        <v>0</v>
      </c>
      <c r="AK69" s="56">
        <f>IFERROR(AF69/AC69,0)</f>
        <v>0</v>
      </c>
      <c r="AL69" s="31">
        <f t="shared" si="179"/>
        <v>20163</v>
      </c>
      <c r="AN69" s="16"/>
      <c r="AO69" s="16"/>
      <c r="AP69" s="16"/>
      <c r="AQ69" s="16"/>
      <c r="AR69" s="16"/>
      <c r="AT69" s="33">
        <f>SUM(AN66:AN69)</f>
        <v>0</v>
      </c>
      <c r="AU69" s="33">
        <f>SUM(AO66:AO69)</f>
        <v>0</v>
      </c>
      <c r="AV69" s="33">
        <f>SUM(AP66:AP69)</f>
        <v>0</v>
      </c>
      <c r="AW69" s="139">
        <f>SUM(AQ66:AQ69)</f>
        <v>0</v>
      </c>
      <c r="AX69" s="139">
        <f>SUM(AR66:AR69)</f>
        <v>0</v>
      </c>
      <c r="AY69" s="13"/>
      <c r="AZ69" s="55">
        <f>IFERROR(AU69/AT69*100,0)</f>
        <v>0</v>
      </c>
      <c r="BA69" s="55">
        <f>IFERROR(AV69/AT69*100,0)</f>
        <v>0</v>
      </c>
      <c r="BB69" s="56">
        <f>IFERROR(AW69/AU69,0)</f>
        <v>0</v>
      </c>
      <c r="BC69" s="56">
        <f>IFERROR(AX69/AU69,0)</f>
        <v>0</v>
      </c>
      <c r="BD69" s="31">
        <f t="shared" si="180"/>
        <v>20163</v>
      </c>
      <c r="BF69" s="16"/>
      <c r="BG69" s="16"/>
      <c r="BH69" s="16"/>
      <c r="BI69" s="16"/>
      <c r="BJ69" s="16"/>
      <c r="BL69" s="33">
        <f>SUM(BF66:BF69)</f>
        <v>0</v>
      </c>
      <c r="BM69" s="33">
        <f>SUM(BG66:BG69)</f>
        <v>0</v>
      </c>
      <c r="BN69" s="33">
        <f>SUM(BH66:BH69)</f>
        <v>0</v>
      </c>
      <c r="BO69" s="139">
        <f>SUM(BI66:BI69)</f>
        <v>0</v>
      </c>
      <c r="BP69" s="139">
        <f>SUM(BJ66:BJ69)</f>
        <v>0</v>
      </c>
      <c r="BQ69" s="13"/>
      <c r="BR69" s="55">
        <f>IFERROR(BM69/BL69*100,0)</f>
        <v>0</v>
      </c>
      <c r="BS69" s="55">
        <f>IFERROR(BN69/BL69*100,0)</f>
        <v>0</v>
      </c>
      <c r="BT69" s="56">
        <f>IFERROR(BO69/BM69,0)</f>
        <v>0</v>
      </c>
      <c r="BU69" s="56">
        <f>IFERROR(BP69/BM69,0)</f>
        <v>0</v>
      </c>
      <c r="BV69" s="31">
        <f t="shared" si="181"/>
        <v>20163</v>
      </c>
      <c r="BX69" s="16"/>
      <c r="BY69" s="16"/>
      <c r="BZ69" s="16"/>
      <c r="CA69" s="16"/>
      <c r="CB69" s="16"/>
      <c r="CD69" s="33">
        <f>SUM(BX66:BX69)</f>
        <v>0</v>
      </c>
      <c r="CE69" s="33">
        <f>SUM(BY66:BY69)</f>
        <v>0</v>
      </c>
      <c r="CF69" s="33">
        <f>SUM(BZ66:BZ69)</f>
        <v>0</v>
      </c>
      <c r="CG69" s="139">
        <f>SUM(CA66:CA69)</f>
        <v>0</v>
      </c>
      <c r="CH69" s="139">
        <f>SUM(CB66:CB69)</f>
        <v>0</v>
      </c>
      <c r="CI69" s="13"/>
      <c r="CJ69" s="55">
        <f>IFERROR(CE69/CD69*100,0)</f>
        <v>0</v>
      </c>
      <c r="CK69" s="55">
        <f>IFERROR(CF69/CD69*100,0)</f>
        <v>0</v>
      </c>
      <c r="CL69" s="56">
        <f>IFERROR(CG69/CE69,0)</f>
        <v>0</v>
      </c>
      <c r="CM69" s="56">
        <f>IFERROR(CH69/CE69,0)</f>
        <v>0</v>
      </c>
      <c r="CN69" s="31">
        <f t="shared" si="182"/>
        <v>20163</v>
      </c>
      <c r="CP69" s="16"/>
      <c r="CQ69" s="16"/>
      <c r="CR69" s="16"/>
      <c r="CS69" s="16"/>
      <c r="CT69" s="16"/>
      <c r="CV69" s="33">
        <f>SUM(CP66:CP69)</f>
        <v>0</v>
      </c>
      <c r="CW69" s="33">
        <f>SUM(CQ66:CQ69)</f>
        <v>0</v>
      </c>
      <c r="CX69" s="33">
        <f>SUM(CR66:CR69)</f>
        <v>0</v>
      </c>
      <c r="CY69" s="139">
        <f>SUM(CS66:CS69)</f>
        <v>0</v>
      </c>
      <c r="CZ69" s="139">
        <f>SUM(CT66:CT69)</f>
        <v>0</v>
      </c>
      <c r="DA69" s="13"/>
      <c r="DB69" s="55">
        <f>IFERROR(CW69/CV69*100,0)</f>
        <v>0</v>
      </c>
      <c r="DC69" s="55">
        <f>IFERROR(CX69/CV69*100,0)</f>
        <v>0</v>
      </c>
      <c r="DD69" s="56">
        <f>IFERROR(CY69/CW69,0)</f>
        <v>0</v>
      </c>
      <c r="DE69" s="56">
        <f>IFERROR(CZ69/CW69,0)</f>
        <v>0</v>
      </c>
      <c r="DF69" s="31">
        <f t="shared" si="183"/>
        <v>20163</v>
      </c>
      <c r="DH69" s="16"/>
      <c r="DI69" s="16"/>
      <c r="DJ69" s="16"/>
      <c r="DK69" s="16"/>
      <c r="DL69" s="16"/>
      <c r="DN69" s="33">
        <f>SUM(DH66:DH69)</f>
        <v>0</v>
      </c>
      <c r="DO69" s="33">
        <f>SUM(DI66:DI69)</f>
        <v>0</v>
      </c>
      <c r="DP69" s="33">
        <f>SUM(DJ66:DJ69)</f>
        <v>0</v>
      </c>
      <c r="DQ69" s="139">
        <f>SUM(DK66:DK69)</f>
        <v>0</v>
      </c>
      <c r="DR69" s="139">
        <f>SUM(DL66:DL69)</f>
        <v>0</v>
      </c>
      <c r="DS69" s="13"/>
      <c r="DT69" s="55">
        <f>IFERROR(DO69/DN69*100,0)</f>
        <v>0</v>
      </c>
      <c r="DU69" s="55">
        <f>IFERROR(DP69/DN69*100,0)</f>
        <v>0</v>
      </c>
      <c r="DV69" s="56">
        <f>IFERROR(DQ69/DO69,0)</f>
        <v>0</v>
      </c>
      <c r="DW69" s="56">
        <f>IFERROR(DR69/DO69,0)</f>
        <v>0</v>
      </c>
      <c r="DX69" s="31">
        <f t="shared" si="184"/>
        <v>20163</v>
      </c>
      <c r="DZ69" s="16"/>
      <c r="EA69" s="16"/>
      <c r="EB69" s="16"/>
      <c r="EC69" s="16"/>
      <c r="ED69" s="16"/>
      <c r="EF69" s="33">
        <f>SUM(DZ66:DZ69)</f>
        <v>0</v>
      </c>
      <c r="EG69" s="33">
        <f>SUM(EA66:EA69)</f>
        <v>0</v>
      </c>
      <c r="EH69" s="33">
        <f>SUM(EB66:EB69)</f>
        <v>0</v>
      </c>
      <c r="EI69" s="139">
        <f>SUM(EC66:EC69)</f>
        <v>0</v>
      </c>
      <c r="EJ69" s="139">
        <f>SUM(ED66:ED69)</f>
        <v>0</v>
      </c>
      <c r="EK69" s="13"/>
      <c r="EL69" s="55">
        <f>IFERROR(EG69/EF69*100,0)</f>
        <v>0</v>
      </c>
      <c r="EM69" s="55">
        <f>IFERROR(EH69/EF69*100,0)</f>
        <v>0</v>
      </c>
      <c r="EN69" s="56">
        <f>IFERROR(EI69/EG69,0)</f>
        <v>0</v>
      </c>
      <c r="EO69" s="56">
        <f>IFERROR(EJ69/EG69,0)</f>
        <v>0</v>
      </c>
      <c r="EP69" s="31">
        <f t="shared" si="185"/>
        <v>20163</v>
      </c>
      <c r="ER69" s="16"/>
      <c r="ES69" s="16"/>
      <c r="ET69" s="16"/>
      <c r="EU69" s="16"/>
      <c r="EV69" s="16"/>
      <c r="EX69" s="33">
        <f>SUM(ER66:ER69)</f>
        <v>0</v>
      </c>
      <c r="EY69" s="33">
        <f>SUM(ES66:ES69)</f>
        <v>0</v>
      </c>
      <c r="EZ69" s="33">
        <f>SUM(ET66:ET69)</f>
        <v>0</v>
      </c>
      <c r="FA69" s="139">
        <f>SUM(EU66:EU69)</f>
        <v>0</v>
      </c>
      <c r="FB69" s="139">
        <f>SUM(EV66:EV69)</f>
        <v>0</v>
      </c>
      <c r="FC69" s="13"/>
      <c r="FD69" s="55">
        <f>IFERROR(EY69/EX69*100,0)</f>
        <v>0</v>
      </c>
      <c r="FE69" s="55">
        <f>IFERROR(EZ69/EX69*100,0)</f>
        <v>0</v>
      </c>
      <c r="FF69" s="56">
        <f>IFERROR(FA69/EY69,0)</f>
        <v>0</v>
      </c>
      <c r="FG69" s="56">
        <f>IFERROR(FB69/EY69,0)</f>
        <v>0</v>
      </c>
      <c r="FH69" s="31">
        <f t="shared" si="186"/>
        <v>20163</v>
      </c>
      <c r="FJ69" s="16"/>
      <c r="FK69" s="16"/>
      <c r="FL69" s="16"/>
      <c r="FM69" s="16"/>
      <c r="FN69" s="16"/>
      <c r="FP69" s="33">
        <f>SUM(FJ66:FJ69)</f>
        <v>0</v>
      </c>
      <c r="FQ69" s="33">
        <f>SUM(FK66:FK69)</f>
        <v>0</v>
      </c>
      <c r="FR69" s="33">
        <f>SUM(FL66:FL69)</f>
        <v>0</v>
      </c>
      <c r="FS69" s="139">
        <f>SUM(FM66:FM69)</f>
        <v>0</v>
      </c>
      <c r="FT69" s="139">
        <f>SUM(FN66:FN69)</f>
        <v>0</v>
      </c>
      <c r="FU69" s="13"/>
      <c r="FV69" s="55">
        <f>IFERROR(FQ69/FP69*100,0)</f>
        <v>0</v>
      </c>
      <c r="FW69" s="55">
        <f>IFERROR(FR69/FP69*100,0)</f>
        <v>0</v>
      </c>
      <c r="FX69" s="56">
        <f>IFERROR(FS69/FQ69,0)</f>
        <v>0</v>
      </c>
      <c r="FY69" s="56">
        <f>IFERROR(FT69/FQ69,0)</f>
        <v>0</v>
      </c>
    </row>
    <row r="70" spans="1:181" x14ac:dyDescent="0.25">
      <c r="A70" s="25">
        <v>5</v>
      </c>
      <c r="B70" s="12">
        <f t="shared" si="177"/>
        <v>20164</v>
      </c>
      <c r="D70" s="16"/>
      <c r="E70" s="16"/>
      <c r="F70" s="16"/>
      <c r="G70" s="16"/>
      <c r="H70" s="16"/>
      <c r="J70" s="33">
        <f t="shared" ref="J70:J92" si="187">SUM(D67:D70)</f>
        <v>0</v>
      </c>
      <c r="K70" s="33">
        <f t="shared" ref="K70:K92" si="188">SUM(E67:E70)</f>
        <v>0</v>
      </c>
      <c r="L70" s="33">
        <f t="shared" ref="L70:L92" si="189">SUM(F67:F70)</f>
        <v>0</v>
      </c>
      <c r="M70" s="139">
        <f t="shared" ref="M70:M92" si="190">SUM(G67:G70)</f>
        <v>0</v>
      </c>
      <c r="N70" s="139">
        <f t="shared" ref="N70:N92" si="191">SUM(H67:H70)</f>
        <v>0</v>
      </c>
      <c r="O70" s="13"/>
      <c r="P70" s="55">
        <f t="shared" ref="P70:P92" si="192">IFERROR(K70/J70*100,0)</f>
        <v>0</v>
      </c>
      <c r="Q70" s="55">
        <f t="shared" ref="Q70:Q92" si="193">IFERROR(L70/J70*100,0)</f>
        <v>0</v>
      </c>
      <c r="R70" s="56">
        <f t="shared" ref="R70:R92" si="194">IFERROR(M70/K70,0)</f>
        <v>0</v>
      </c>
      <c r="S70" s="56">
        <f t="shared" ref="S70:S92" si="195">IFERROR(N70/K70,0)</f>
        <v>0</v>
      </c>
      <c r="T70" s="31">
        <f t="shared" si="178"/>
        <v>20164</v>
      </c>
      <c r="V70" s="16"/>
      <c r="W70" s="16"/>
      <c r="X70" s="16"/>
      <c r="Y70" s="16"/>
      <c r="Z70" s="16"/>
      <c r="AB70" s="33">
        <f t="shared" ref="AB70:AB92" si="196">SUM(V67:V70)</f>
        <v>0</v>
      </c>
      <c r="AC70" s="33">
        <f t="shared" ref="AC70:AC92" si="197">SUM(W67:W70)</f>
        <v>0</v>
      </c>
      <c r="AD70" s="33">
        <f t="shared" ref="AD70:AD92" si="198">SUM(X67:X70)</f>
        <v>0</v>
      </c>
      <c r="AE70" s="139">
        <f t="shared" ref="AE70:AE92" si="199">SUM(Y67:Y70)</f>
        <v>0</v>
      </c>
      <c r="AF70" s="139">
        <f t="shared" ref="AF70:AF92" si="200">SUM(Z67:Z70)</f>
        <v>0</v>
      </c>
      <c r="AG70" s="13"/>
      <c r="AH70" s="55">
        <f t="shared" ref="AH70:AH92" si="201">IFERROR(AC70/AB70*100,0)</f>
        <v>0</v>
      </c>
      <c r="AI70" s="55">
        <f t="shared" ref="AI70:AI92" si="202">IFERROR(AD70/AB70*100,0)</f>
        <v>0</v>
      </c>
      <c r="AJ70" s="56">
        <f t="shared" ref="AJ70:AJ92" si="203">IFERROR(AE70/AC70,0)</f>
        <v>0</v>
      </c>
      <c r="AK70" s="56">
        <f t="shared" ref="AK70:AK92" si="204">IFERROR(AF70/AC70,0)</f>
        <v>0</v>
      </c>
      <c r="AL70" s="31">
        <f t="shared" si="179"/>
        <v>20164</v>
      </c>
      <c r="AN70" s="16"/>
      <c r="AO70" s="16"/>
      <c r="AP70" s="16"/>
      <c r="AQ70" s="16"/>
      <c r="AR70" s="16"/>
      <c r="AT70" s="33">
        <f t="shared" ref="AT70:AT92" si="205">SUM(AN67:AN70)</f>
        <v>0</v>
      </c>
      <c r="AU70" s="33">
        <f t="shared" ref="AU70:AU92" si="206">SUM(AO67:AO70)</f>
        <v>0</v>
      </c>
      <c r="AV70" s="33">
        <f t="shared" ref="AV70:AV92" si="207">SUM(AP67:AP70)</f>
        <v>0</v>
      </c>
      <c r="AW70" s="139">
        <f t="shared" ref="AW70:AW92" si="208">SUM(AQ67:AQ70)</f>
        <v>0</v>
      </c>
      <c r="AX70" s="139">
        <f t="shared" ref="AX70:AX92" si="209">SUM(AR67:AR70)</f>
        <v>0</v>
      </c>
      <c r="AY70" s="13"/>
      <c r="AZ70" s="55">
        <f t="shared" ref="AZ70:AZ92" si="210">IFERROR(AU70/AT70*100,0)</f>
        <v>0</v>
      </c>
      <c r="BA70" s="55">
        <f t="shared" ref="BA70:BA92" si="211">IFERROR(AV70/AT70*100,0)</f>
        <v>0</v>
      </c>
      <c r="BB70" s="56">
        <f t="shared" ref="BB70:BB92" si="212">IFERROR(AW70/AU70,0)</f>
        <v>0</v>
      </c>
      <c r="BC70" s="56">
        <f t="shared" ref="BC70:BC92" si="213">IFERROR(AX70/AU70,0)</f>
        <v>0</v>
      </c>
      <c r="BD70" s="31">
        <f t="shared" si="180"/>
        <v>20164</v>
      </c>
      <c r="BF70" s="16"/>
      <c r="BG70" s="16"/>
      <c r="BH70" s="16"/>
      <c r="BI70" s="16"/>
      <c r="BJ70" s="16"/>
      <c r="BL70" s="33">
        <f t="shared" ref="BL70:BL92" si="214">SUM(BF67:BF70)</f>
        <v>0</v>
      </c>
      <c r="BM70" s="33">
        <f t="shared" ref="BM70:BM92" si="215">SUM(BG67:BG70)</f>
        <v>0</v>
      </c>
      <c r="BN70" s="33">
        <f t="shared" ref="BN70:BN92" si="216">SUM(BH67:BH70)</f>
        <v>0</v>
      </c>
      <c r="BO70" s="139">
        <f t="shared" ref="BO70:BO92" si="217">SUM(BI67:BI70)</f>
        <v>0</v>
      </c>
      <c r="BP70" s="139">
        <f t="shared" ref="BP70:BP92" si="218">SUM(BJ67:BJ70)</f>
        <v>0</v>
      </c>
      <c r="BQ70" s="13"/>
      <c r="BR70" s="55">
        <f t="shared" ref="BR70:BR92" si="219">IFERROR(BM70/BL70*100,0)</f>
        <v>0</v>
      </c>
      <c r="BS70" s="55">
        <f t="shared" ref="BS70:BS92" si="220">IFERROR(BN70/BL70*100,0)</f>
        <v>0</v>
      </c>
      <c r="BT70" s="56">
        <f t="shared" ref="BT70:BT92" si="221">IFERROR(BO70/BM70,0)</f>
        <v>0</v>
      </c>
      <c r="BU70" s="56">
        <f t="shared" ref="BU70:BU92" si="222">IFERROR(BP70/BM70,0)</f>
        <v>0</v>
      </c>
      <c r="BV70" s="31">
        <f t="shared" si="181"/>
        <v>20164</v>
      </c>
      <c r="BX70" s="16"/>
      <c r="BY70" s="16"/>
      <c r="BZ70" s="16"/>
      <c r="CA70" s="16"/>
      <c r="CB70" s="16"/>
      <c r="CD70" s="33">
        <f t="shared" ref="CD70:CD92" si="223">SUM(BX67:BX70)</f>
        <v>0</v>
      </c>
      <c r="CE70" s="33">
        <f t="shared" ref="CE70:CE92" si="224">SUM(BY67:BY70)</f>
        <v>0</v>
      </c>
      <c r="CF70" s="33">
        <f t="shared" ref="CF70:CF92" si="225">SUM(BZ67:BZ70)</f>
        <v>0</v>
      </c>
      <c r="CG70" s="139">
        <f t="shared" ref="CG70:CG92" si="226">SUM(CA67:CA70)</f>
        <v>0</v>
      </c>
      <c r="CH70" s="139">
        <f t="shared" ref="CH70:CH92" si="227">SUM(CB67:CB70)</f>
        <v>0</v>
      </c>
      <c r="CI70" s="13"/>
      <c r="CJ70" s="55">
        <f t="shared" ref="CJ70:CJ92" si="228">IFERROR(CE70/CD70*100,0)</f>
        <v>0</v>
      </c>
      <c r="CK70" s="55">
        <f t="shared" ref="CK70:CK92" si="229">IFERROR(CF70/CD70*100,0)</f>
        <v>0</v>
      </c>
      <c r="CL70" s="56">
        <f t="shared" ref="CL70:CL92" si="230">IFERROR(CG70/CE70,0)</f>
        <v>0</v>
      </c>
      <c r="CM70" s="56">
        <f t="shared" ref="CM70:CM92" si="231">IFERROR(CH70/CE70,0)</f>
        <v>0</v>
      </c>
      <c r="CN70" s="31">
        <f t="shared" si="182"/>
        <v>20164</v>
      </c>
      <c r="CP70" s="16"/>
      <c r="CQ70" s="16"/>
      <c r="CR70" s="16"/>
      <c r="CS70" s="16"/>
      <c r="CT70" s="16"/>
      <c r="CV70" s="33">
        <f t="shared" ref="CV70:CV92" si="232">SUM(CP67:CP70)</f>
        <v>0</v>
      </c>
      <c r="CW70" s="33">
        <f t="shared" ref="CW70:CW92" si="233">SUM(CQ67:CQ70)</f>
        <v>0</v>
      </c>
      <c r="CX70" s="33">
        <f t="shared" ref="CX70:CX92" si="234">SUM(CR67:CR70)</f>
        <v>0</v>
      </c>
      <c r="CY70" s="139">
        <f t="shared" ref="CY70:CY92" si="235">SUM(CS67:CS70)</f>
        <v>0</v>
      </c>
      <c r="CZ70" s="139">
        <f t="shared" ref="CZ70:CZ92" si="236">SUM(CT67:CT70)</f>
        <v>0</v>
      </c>
      <c r="DA70" s="13"/>
      <c r="DB70" s="55">
        <f t="shared" ref="DB70:DB92" si="237">IFERROR(CW70/CV70*100,0)</f>
        <v>0</v>
      </c>
      <c r="DC70" s="55">
        <f t="shared" ref="DC70:DC92" si="238">IFERROR(CX70/CV70*100,0)</f>
        <v>0</v>
      </c>
      <c r="DD70" s="56">
        <f t="shared" ref="DD70:DD92" si="239">IFERROR(CY70/CW70,0)</f>
        <v>0</v>
      </c>
      <c r="DE70" s="56">
        <f t="shared" ref="DE70:DE92" si="240">IFERROR(CZ70/CW70,0)</f>
        <v>0</v>
      </c>
      <c r="DF70" s="31">
        <f t="shared" si="183"/>
        <v>20164</v>
      </c>
      <c r="DH70" s="16"/>
      <c r="DI70" s="16"/>
      <c r="DJ70" s="16"/>
      <c r="DK70" s="16"/>
      <c r="DL70" s="16"/>
      <c r="DN70" s="33">
        <f t="shared" ref="DN70:DN92" si="241">SUM(DH67:DH70)</f>
        <v>0</v>
      </c>
      <c r="DO70" s="33">
        <f t="shared" ref="DO70:DO92" si="242">SUM(DI67:DI70)</f>
        <v>0</v>
      </c>
      <c r="DP70" s="33">
        <f t="shared" ref="DP70:DP92" si="243">SUM(DJ67:DJ70)</f>
        <v>0</v>
      </c>
      <c r="DQ70" s="139">
        <f t="shared" ref="DQ70:DQ92" si="244">SUM(DK67:DK70)</f>
        <v>0</v>
      </c>
      <c r="DR70" s="139">
        <f t="shared" ref="DR70:DR92" si="245">SUM(DL67:DL70)</f>
        <v>0</v>
      </c>
      <c r="DS70" s="13"/>
      <c r="DT70" s="55">
        <f t="shared" ref="DT70:DT92" si="246">IFERROR(DO70/DN70*100,0)</f>
        <v>0</v>
      </c>
      <c r="DU70" s="55">
        <f t="shared" ref="DU70:DU92" si="247">IFERROR(DP70/DN70*100,0)</f>
        <v>0</v>
      </c>
      <c r="DV70" s="56">
        <f t="shared" ref="DV70:DV92" si="248">IFERROR(DQ70/DO70,0)</f>
        <v>0</v>
      </c>
      <c r="DW70" s="56">
        <f t="shared" ref="DW70:DW92" si="249">IFERROR(DR70/DO70,0)</f>
        <v>0</v>
      </c>
      <c r="DX70" s="31">
        <f t="shared" si="184"/>
        <v>20164</v>
      </c>
      <c r="DZ70" s="16"/>
      <c r="EA70" s="16"/>
      <c r="EB70" s="16"/>
      <c r="EC70" s="16"/>
      <c r="ED70" s="16"/>
      <c r="EF70" s="33">
        <f t="shared" ref="EF70:EF92" si="250">SUM(DZ67:DZ70)</f>
        <v>0</v>
      </c>
      <c r="EG70" s="33">
        <f t="shared" ref="EG70:EG92" si="251">SUM(EA67:EA70)</f>
        <v>0</v>
      </c>
      <c r="EH70" s="33">
        <f t="shared" ref="EH70:EH92" si="252">SUM(EB67:EB70)</f>
        <v>0</v>
      </c>
      <c r="EI70" s="139">
        <f t="shared" ref="EI70:EI92" si="253">SUM(EC67:EC70)</f>
        <v>0</v>
      </c>
      <c r="EJ70" s="139">
        <f t="shared" ref="EJ70:EJ92" si="254">SUM(ED67:ED70)</f>
        <v>0</v>
      </c>
      <c r="EK70" s="13"/>
      <c r="EL70" s="55">
        <f t="shared" ref="EL70:EL92" si="255">IFERROR(EG70/EF70*100,0)</f>
        <v>0</v>
      </c>
      <c r="EM70" s="55">
        <f t="shared" ref="EM70:EM92" si="256">IFERROR(EH70/EF70*100,0)</f>
        <v>0</v>
      </c>
      <c r="EN70" s="56">
        <f t="shared" ref="EN70:EN92" si="257">IFERROR(EI70/EG70,0)</f>
        <v>0</v>
      </c>
      <c r="EO70" s="56">
        <f t="shared" ref="EO70:EO92" si="258">IFERROR(EJ70/EG70,0)</f>
        <v>0</v>
      </c>
      <c r="EP70" s="31">
        <f t="shared" si="185"/>
        <v>20164</v>
      </c>
      <c r="ER70" s="16"/>
      <c r="ES70" s="16"/>
      <c r="ET70" s="16"/>
      <c r="EU70" s="16"/>
      <c r="EV70" s="16"/>
      <c r="EX70" s="33">
        <f t="shared" ref="EX70:EX92" si="259">SUM(ER67:ER70)</f>
        <v>0</v>
      </c>
      <c r="EY70" s="33">
        <f t="shared" ref="EY70:EY92" si="260">SUM(ES67:ES70)</f>
        <v>0</v>
      </c>
      <c r="EZ70" s="33">
        <f t="shared" ref="EZ70:EZ92" si="261">SUM(ET67:ET70)</f>
        <v>0</v>
      </c>
      <c r="FA70" s="139">
        <f t="shared" ref="FA70:FA92" si="262">SUM(EU67:EU70)</f>
        <v>0</v>
      </c>
      <c r="FB70" s="139">
        <f t="shared" ref="FB70:FB92" si="263">SUM(EV67:EV70)</f>
        <v>0</v>
      </c>
      <c r="FC70" s="13"/>
      <c r="FD70" s="55">
        <f t="shared" ref="FD70:FD92" si="264">IFERROR(EY70/EX70*100,0)</f>
        <v>0</v>
      </c>
      <c r="FE70" s="55">
        <f t="shared" ref="FE70:FE92" si="265">IFERROR(EZ70/EX70*100,0)</f>
        <v>0</v>
      </c>
      <c r="FF70" s="56">
        <f t="shared" ref="FF70:FF92" si="266">IFERROR(FA70/EY70,0)</f>
        <v>0</v>
      </c>
      <c r="FG70" s="56">
        <f t="shared" ref="FG70:FG92" si="267">IFERROR(FB70/EY70,0)</f>
        <v>0</v>
      </c>
      <c r="FH70" s="31">
        <f t="shared" si="186"/>
        <v>20164</v>
      </c>
      <c r="FJ70" s="16"/>
      <c r="FK70" s="16"/>
      <c r="FL70" s="16"/>
      <c r="FM70" s="16"/>
      <c r="FN70" s="16"/>
      <c r="FP70" s="33">
        <f t="shared" ref="FP70:FP92" si="268">SUM(FJ67:FJ70)</f>
        <v>0</v>
      </c>
      <c r="FQ70" s="33">
        <f t="shared" ref="FQ70:FQ92" si="269">SUM(FK67:FK70)</f>
        <v>0</v>
      </c>
      <c r="FR70" s="33">
        <f t="shared" ref="FR70:FR92" si="270">SUM(FL67:FL70)</f>
        <v>0</v>
      </c>
      <c r="FS70" s="139">
        <f t="shared" ref="FS70:FS92" si="271">SUM(FM67:FM70)</f>
        <v>0</v>
      </c>
      <c r="FT70" s="139">
        <f t="shared" ref="FT70:FT92" si="272">SUM(FN67:FN70)</f>
        <v>0</v>
      </c>
      <c r="FU70" s="13"/>
      <c r="FV70" s="55">
        <f t="shared" ref="FV70:FV92" si="273">IFERROR(FQ70/FP70*100,0)</f>
        <v>0</v>
      </c>
      <c r="FW70" s="55">
        <f t="shared" ref="FW70:FW92" si="274">IFERROR(FR70/FP70*100,0)</f>
        <v>0</v>
      </c>
      <c r="FX70" s="56">
        <f t="shared" ref="FX70:FX92" si="275">IFERROR(FS70/FQ70,0)</f>
        <v>0</v>
      </c>
      <c r="FY70" s="56">
        <f t="shared" ref="FY70:FY92" si="276">IFERROR(FT70/FQ70,0)</f>
        <v>0</v>
      </c>
    </row>
    <row r="71" spans="1:181" x14ac:dyDescent="0.25">
      <c r="A71" s="25">
        <v>6</v>
      </c>
      <c r="B71" s="12">
        <f t="shared" si="177"/>
        <v>20171</v>
      </c>
      <c r="D71" s="16"/>
      <c r="E71" s="16"/>
      <c r="F71" s="16"/>
      <c r="G71" s="16"/>
      <c r="H71" s="16"/>
      <c r="J71" s="33">
        <f t="shared" si="187"/>
        <v>0</v>
      </c>
      <c r="K71" s="33">
        <f t="shared" si="188"/>
        <v>0</v>
      </c>
      <c r="L71" s="33">
        <f t="shared" si="189"/>
        <v>0</v>
      </c>
      <c r="M71" s="139">
        <f t="shared" si="190"/>
        <v>0</v>
      </c>
      <c r="N71" s="139">
        <f t="shared" si="191"/>
        <v>0</v>
      </c>
      <c r="O71" s="13"/>
      <c r="P71" s="55">
        <f t="shared" si="192"/>
        <v>0</v>
      </c>
      <c r="Q71" s="55">
        <f t="shared" si="193"/>
        <v>0</v>
      </c>
      <c r="R71" s="56">
        <f t="shared" si="194"/>
        <v>0</v>
      </c>
      <c r="S71" s="56">
        <f t="shared" si="195"/>
        <v>0</v>
      </c>
      <c r="T71" s="31">
        <f t="shared" si="178"/>
        <v>20171</v>
      </c>
      <c r="V71" s="16"/>
      <c r="W71" s="16"/>
      <c r="X71" s="16"/>
      <c r="Y71" s="16"/>
      <c r="Z71" s="16"/>
      <c r="AB71" s="33">
        <f t="shared" si="196"/>
        <v>0</v>
      </c>
      <c r="AC71" s="33">
        <f t="shared" si="197"/>
        <v>0</v>
      </c>
      <c r="AD71" s="33">
        <f t="shared" si="198"/>
        <v>0</v>
      </c>
      <c r="AE71" s="139">
        <f t="shared" si="199"/>
        <v>0</v>
      </c>
      <c r="AF71" s="139">
        <f t="shared" si="200"/>
        <v>0</v>
      </c>
      <c r="AG71" s="13"/>
      <c r="AH71" s="55">
        <f t="shared" si="201"/>
        <v>0</v>
      </c>
      <c r="AI71" s="55">
        <f t="shared" si="202"/>
        <v>0</v>
      </c>
      <c r="AJ71" s="56">
        <f t="shared" si="203"/>
        <v>0</v>
      </c>
      <c r="AK71" s="56">
        <f t="shared" si="204"/>
        <v>0</v>
      </c>
      <c r="AL71" s="31">
        <f t="shared" si="179"/>
        <v>20171</v>
      </c>
      <c r="AN71" s="16"/>
      <c r="AO71" s="16"/>
      <c r="AP71" s="16"/>
      <c r="AQ71" s="16"/>
      <c r="AR71" s="16"/>
      <c r="AT71" s="33">
        <f t="shared" si="205"/>
        <v>0</v>
      </c>
      <c r="AU71" s="33">
        <f t="shared" si="206"/>
        <v>0</v>
      </c>
      <c r="AV71" s="33">
        <f t="shared" si="207"/>
        <v>0</v>
      </c>
      <c r="AW71" s="139">
        <f t="shared" si="208"/>
        <v>0</v>
      </c>
      <c r="AX71" s="139">
        <f t="shared" si="209"/>
        <v>0</v>
      </c>
      <c r="AY71" s="13"/>
      <c r="AZ71" s="55">
        <f t="shared" si="210"/>
        <v>0</v>
      </c>
      <c r="BA71" s="55">
        <f t="shared" si="211"/>
        <v>0</v>
      </c>
      <c r="BB71" s="56">
        <f t="shared" si="212"/>
        <v>0</v>
      </c>
      <c r="BC71" s="56">
        <f t="shared" si="213"/>
        <v>0</v>
      </c>
      <c r="BD71" s="31">
        <f t="shared" si="180"/>
        <v>20171</v>
      </c>
      <c r="BF71" s="16"/>
      <c r="BG71" s="16"/>
      <c r="BH71" s="16"/>
      <c r="BI71" s="16"/>
      <c r="BJ71" s="16"/>
      <c r="BL71" s="33">
        <f t="shared" si="214"/>
        <v>0</v>
      </c>
      <c r="BM71" s="33">
        <f t="shared" si="215"/>
        <v>0</v>
      </c>
      <c r="BN71" s="33">
        <f t="shared" si="216"/>
        <v>0</v>
      </c>
      <c r="BO71" s="139">
        <f t="shared" si="217"/>
        <v>0</v>
      </c>
      <c r="BP71" s="139">
        <f t="shared" si="218"/>
        <v>0</v>
      </c>
      <c r="BQ71" s="13"/>
      <c r="BR71" s="55">
        <f t="shared" si="219"/>
        <v>0</v>
      </c>
      <c r="BS71" s="55">
        <f t="shared" si="220"/>
        <v>0</v>
      </c>
      <c r="BT71" s="56">
        <f t="shared" si="221"/>
        <v>0</v>
      </c>
      <c r="BU71" s="56">
        <f t="shared" si="222"/>
        <v>0</v>
      </c>
      <c r="BV71" s="31">
        <f t="shared" si="181"/>
        <v>20171</v>
      </c>
      <c r="BX71" s="16"/>
      <c r="BY71" s="16"/>
      <c r="BZ71" s="16"/>
      <c r="CA71" s="16"/>
      <c r="CB71" s="16"/>
      <c r="CD71" s="33">
        <f t="shared" si="223"/>
        <v>0</v>
      </c>
      <c r="CE71" s="33">
        <f t="shared" si="224"/>
        <v>0</v>
      </c>
      <c r="CF71" s="33">
        <f t="shared" si="225"/>
        <v>0</v>
      </c>
      <c r="CG71" s="139">
        <f t="shared" si="226"/>
        <v>0</v>
      </c>
      <c r="CH71" s="139">
        <f t="shared" si="227"/>
        <v>0</v>
      </c>
      <c r="CI71" s="13"/>
      <c r="CJ71" s="55">
        <f t="shared" si="228"/>
        <v>0</v>
      </c>
      <c r="CK71" s="55">
        <f t="shared" si="229"/>
        <v>0</v>
      </c>
      <c r="CL71" s="56">
        <f t="shared" si="230"/>
        <v>0</v>
      </c>
      <c r="CM71" s="56">
        <f t="shared" si="231"/>
        <v>0</v>
      </c>
      <c r="CN71" s="31">
        <f t="shared" si="182"/>
        <v>20171</v>
      </c>
      <c r="CP71" s="16"/>
      <c r="CQ71" s="16"/>
      <c r="CR71" s="16"/>
      <c r="CS71" s="16"/>
      <c r="CT71" s="16"/>
      <c r="CV71" s="33">
        <f t="shared" si="232"/>
        <v>0</v>
      </c>
      <c r="CW71" s="33">
        <f t="shared" si="233"/>
        <v>0</v>
      </c>
      <c r="CX71" s="33">
        <f t="shared" si="234"/>
        <v>0</v>
      </c>
      <c r="CY71" s="139">
        <f t="shared" si="235"/>
        <v>0</v>
      </c>
      <c r="CZ71" s="139">
        <f t="shared" si="236"/>
        <v>0</v>
      </c>
      <c r="DA71" s="13"/>
      <c r="DB71" s="55">
        <f t="shared" si="237"/>
        <v>0</v>
      </c>
      <c r="DC71" s="55">
        <f t="shared" si="238"/>
        <v>0</v>
      </c>
      <c r="DD71" s="56">
        <f t="shared" si="239"/>
        <v>0</v>
      </c>
      <c r="DE71" s="56">
        <f t="shared" si="240"/>
        <v>0</v>
      </c>
      <c r="DF71" s="31">
        <f t="shared" si="183"/>
        <v>20171</v>
      </c>
      <c r="DH71" s="16"/>
      <c r="DI71" s="16"/>
      <c r="DJ71" s="16"/>
      <c r="DK71" s="16"/>
      <c r="DL71" s="16"/>
      <c r="DN71" s="33">
        <f t="shared" si="241"/>
        <v>0</v>
      </c>
      <c r="DO71" s="33">
        <f t="shared" si="242"/>
        <v>0</v>
      </c>
      <c r="DP71" s="33">
        <f t="shared" si="243"/>
        <v>0</v>
      </c>
      <c r="DQ71" s="139">
        <f t="shared" si="244"/>
        <v>0</v>
      </c>
      <c r="DR71" s="139">
        <f t="shared" si="245"/>
        <v>0</v>
      </c>
      <c r="DS71" s="13"/>
      <c r="DT71" s="55">
        <f t="shared" si="246"/>
        <v>0</v>
      </c>
      <c r="DU71" s="55">
        <f t="shared" si="247"/>
        <v>0</v>
      </c>
      <c r="DV71" s="56">
        <f t="shared" si="248"/>
        <v>0</v>
      </c>
      <c r="DW71" s="56">
        <f t="shared" si="249"/>
        <v>0</v>
      </c>
      <c r="DX71" s="31">
        <f t="shared" si="184"/>
        <v>20171</v>
      </c>
      <c r="DZ71" s="16"/>
      <c r="EA71" s="16"/>
      <c r="EB71" s="16"/>
      <c r="EC71" s="16"/>
      <c r="ED71" s="16"/>
      <c r="EF71" s="33">
        <f t="shared" si="250"/>
        <v>0</v>
      </c>
      <c r="EG71" s="33">
        <f t="shared" si="251"/>
        <v>0</v>
      </c>
      <c r="EH71" s="33">
        <f t="shared" si="252"/>
        <v>0</v>
      </c>
      <c r="EI71" s="139">
        <f t="shared" si="253"/>
        <v>0</v>
      </c>
      <c r="EJ71" s="139">
        <f t="shared" si="254"/>
        <v>0</v>
      </c>
      <c r="EK71" s="13"/>
      <c r="EL71" s="55">
        <f t="shared" si="255"/>
        <v>0</v>
      </c>
      <c r="EM71" s="55">
        <f t="shared" si="256"/>
        <v>0</v>
      </c>
      <c r="EN71" s="56">
        <f t="shared" si="257"/>
        <v>0</v>
      </c>
      <c r="EO71" s="56">
        <f t="shared" si="258"/>
        <v>0</v>
      </c>
      <c r="EP71" s="31">
        <f t="shared" si="185"/>
        <v>20171</v>
      </c>
      <c r="ER71" s="16"/>
      <c r="ES71" s="16"/>
      <c r="ET71" s="16"/>
      <c r="EU71" s="16"/>
      <c r="EV71" s="16"/>
      <c r="EX71" s="33">
        <f t="shared" si="259"/>
        <v>0</v>
      </c>
      <c r="EY71" s="33">
        <f t="shared" si="260"/>
        <v>0</v>
      </c>
      <c r="EZ71" s="33">
        <f t="shared" si="261"/>
        <v>0</v>
      </c>
      <c r="FA71" s="139">
        <f t="shared" si="262"/>
        <v>0</v>
      </c>
      <c r="FB71" s="139">
        <f t="shared" si="263"/>
        <v>0</v>
      </c>
      <c r="FC71" s="13"/>
      <c r="FD71" s="55">
        <f t="shared" si="264"/>
        <v>0</v>
      </c>
      <c r="FE71" s="55">
        <f t="shared" si="265"/>
        <v>0</v>
      </c>
      <c r="FF71" s="56">
        <f t="shared" si="266"/>
        <v>0</v>
      </c>
      <c r="FG71" s="56">
        <f t="shared" si="267"/>
        <v>0</v>
      </c>
      <c r="FH71" s="31">
        <f t="shared" si="186"/>
        <v>20171</v>
      </c>
      <c r="FJ71" s="16"/>
      <c r="FK71" s="16"/>
      <c r="FL71" s="16"/>
      <c r="FM71" s="16"/>
      <c r="FN71" s="16"/>
      <c r="FP71" s="33">
        <f t="shared" si="268"/>
        <v>0</v>
      </c>
      <c r="FQ71" s="33">
        <f t="shared" si="269"/>
        <v>0</v>
      </c>
      <c r="FR71" s="33">
        <f t="shared" si="270"/>
        <v>0</v>
      </c>
      <c r="FS71" s="139">
        <f t="shared" si="271"/>
        <v>0</v>
      </c>
      <c r="FT71" s="139">
        <f t="shared" si="272"/>
        <v>0</v>
      </c>
      <c r="FU71" s="13"/>
      <c r="FV71" s="55">
        <f t="shared" si="273"/>
        <v>0</v>
      </c>
      <c r="FW71" s="55">
        <f t="shared" si="274"/>
        <v>0</v>
      </c>
      <c r="FX71" s="56">
        <f t="shared" si="275"/>
        <v>0</v>
      </c>
      <c r="FY71" s="56">
        <f t="shared" si="276"/>
        <v>0</v>
      </c>
    </row>
    <row r="72" spans="1:181" x14ac:dyDescent="0.25">
      <c r="A72" s="25">
        <v>7</v>
      </c>
      <c r="B72" s="12">
        <f t="shared" si="177"/>
        <v>20172</v>
      </c>
      <c r="D72" s="16"/>
      <c r="E72" s="16"/>
      <c r="F72" s="16"/>
      <c r="G72" s="16"/>
      <c r="H72" s="16"/>
      <c r="J72" s="33">
        <f t="shared" si="187"/>
        <v>0</v>
      </c>
      <c r="K72" s="33">
        <f t="shared" si="188"/>
        <v>0</v>
      </c>
      <c r="L72" s="33">
        <f t="shared" si="189"/>
        <v>0</v>
      </c>
      <c r="M72" s="139">
        <f t="shared" si="190"/>
        <v>0</v>
      </c>
      <c r="N72" s="139">
        <f t="shared" si="191"/>
        <v>0</v>
      </c>
      <c r="O72" s="13"/>
      <c r="P72" s="55">
        <f t="shared" si="192"/>
        <v>0</v>
      </c>
      <c r="Q72" s="55">
        <f t="shared" si="193"/>
        <v>0</v>
      </c>
      <c r="R72" s="56">
        <f t="shared" si="194"/>
        <v>0</v>
      </c>
      <c r="S72" s="56">
        <f t="shared" si="195"/>
        <v>0</v>
      </c>
      <c r="T72" s="31">
        <f t="shared" si="178"/>
        <v>20172</v>
      </c>
      <c r="V72" s="16"/>
      <c r="W72" s="16"/>
      <c r="X72" s="16"/>
      <c r="Y72" s="16"/>
      <c r="Z72" s="16"/>
      <c r="AB72" s="33">
        <f t="shared" si="196"/>
        <v>0</v>
      </c>
      <c r="AC72" s="33">
        <f t="shared" si="197"/>
        <v>0</v>
      </c>
      <c r="AD72" s="33">
        <f t="shared" si="198"/>
        <v>0</v>
      </c>
      <c r="AE72" s="139">
        <f t="shared" si="199"/>
        <v>0</v>
      </c>
      <c r="AF72" s="139">
        <f t="shared" si="200"/>
        <v>0</v>
      </c>
      <c r="AG72" s="13"/>
      <c r="AH72" s="55">
        <f t="shared" si="201"/>
        <v>0</v>
      </c>
      <c r="AI72" s="55">
        <f t="shared" si="202"/>
        <v>0</v>
      </c>
      <c r="AJ72" s="56">
        <f t="shared" si="203"/>
        <v>0</v>
      </c>
      <c r="AK72" s="56">
        <f t="shared" si="204"/>
        <v>0</v>
      </c>
      <c r="AL72" s="31">
        <f t="shared" si="179"/>
        <v>20172</v>
      </c>
      <c r="AN72" s="16"/>
      <c r="AO72" s="16"/>
      <c r="AP72" s="16"/>
      <c r="AQ72" s="16"/>
      <c r="AR72" s="16"/>
      <c r="AT72" s="33">
        <f t="shared" si="205"/>
        <v>0</v>
      </c>
      <c r="AU72" s="33">
        <f t="shared" si="206"/>
        <v>0</v>
      </c>
      <c r="AV72" s="33">
        <f t="shared" si="207"/>
        <v>0</v>
      </c>
      <c r="AW72" s="139">
        <f t="shared" si="208"/>
        <v>0</v>
      </c>
      <c r="AX72" s="139">
        <f t="shared" si="209"/>
        <v>0</v>
      </c>
      <c r="AY72" s="13"/>
      <c r="AZ72" s="55">
        <f t="shared" si="210"/>
        <v>0</v>
      </c>
      <c r="BA72" s="55">
        <f t="shared" si="211"/>
        <v>0</v>
      </c>
      <c r="BB72" s="56">
        <f t="shared" si="212"/>
        <v>0</v>
      </c>
      <c r="BC72" s="56">
        <f t="shared" si="213"/>
        <v>0</v>
      </c>
      <c r="BD72" s="31">
        <f t="shared" si="180"/>
        <v>20172</v>
      </c>
      <c r="BF72" s="16"/>
      <c r="BG72" s="16"/>
      <c r="BH72" s="16"/>
      <c r="BI72" s="16"/>
      <c r="BJ72" s="16"/>
      <c r="BL72" s="33">
        <f t="shared" si="214"/>
        <v>0</v>
      </c>
      <c r="BM72" s="33">
        <f t="shared" si="215"/>
        <v>0</v>
      </c>
      <c r="BN72" s="33">
        <f t="shared" si="216"/>
        <v>0</v>
      </c>
      <c r="BO72" s="139">
        <f t="shared" si="217"/>
        <v>0</v>
      </c>
      <c r="BP72" s="139">
        <f t="shared" si="218"/>
        <v>0</v>
      </c>
      <c r="BQ72" s="13"/>
      <c r="BR72" s="55">
        <f t="shared" si="219"/>
        <v>0</v>
      </c>
      <c r="BS72" s="55">
        <f t="shared" si="220"/>
        <v>0</v>
      </c>
      <c r="BT72" s="56">
        <f t="shared" si="221"/>
        <v>0</v>
      </c>
      <c r="BU72" s="56">
        <f t="shared" si="222"/>
        <v>0</v>
      </c>
      <c r="BV72" s="31">
        <f t="shared" si="181"/>
        <v>20172</v>
      </c>
      <c r="BX72" s="16"/>
      <c r="BY72" s="16"/>
      <c r="BZ72" s="16"/>
      <c r="CA72" s="16"/>
      <c r="CB72" s="16"/>
      <c r="CD72" s="33">
        <f t="shared" si="223"/>
        <v>0</v>
      </c>
      <c r="CE72" s="33">
        <f t="shared" si="224"/>
        <v>0</v>
      </c>
      <c r="CF72" s="33">
        <f t="shared" si="225"/>
        <v>0</v>
      </c>
      <c r="CG72" s="139">
        <f t="shared" si="226"/>
        <v>0</v>
      </c>
      <c r="CH72" s="139">
        <f t="shared" si="227"/>
        <v>0</v>
      </c>
      <c r="CI72" s="13"/>
      <c r="CJ72" s="55">
        <f t="shared" si="228"/>
        <v>0</v>
      </c>
      <c r="CK72" s="55">
        <f t="shared" si="229"/>
        <v>0</v>
      </c>
      <c r="CL72" s="56">
        <f t="shared" si="230"/>
        <v>0</v>
      </c>
      <c r="CM72" s="56">
        <f t="shared" si="231"/>
        <v>0</v>
      </c>
      <c r="CN72" s="31">
        <f t="shared" si="182"/>
        <v>20172</v>
      </c>
      <c r="CP72" s="16"/>
      <c r="CQ72" s="16"/>
      <c r="CR72" s="16"/>
      <c r="CS72" s="16"/>
      <c r="CT72" s="16"/>
      <c r="CV72" s="33">
        <f t="shared" si="232"/>
        <v>0</v>
      </c>
      <c r="CW72" s="33">
        <f t="shared" si="233"/>
        <v>0</v>
      </c>
      <c r="CX72" s="33">
        <f t="shared" si="234"/>
        <v>0</v>
      </c>
      <c r="CY72" s="139">
        <f t="shared" si="235"/>
        <v>0</v>
      </c>
      <c r="CZ72" s="139">
        <f t="shared" si="236"/>
        <v>0</v>
      </c>
      <c r="DA72" s="13"/>
      <c r="DB72" s="55">
        <f t="shared" si="237"/>
        <v>0</v>
      </c>
      <c r="DC72" s="55">
        <f t="shared" si="238"/>
        <v>0</v>
      </c>
      <c r="DD72" s="56">
        <f t="shared" si="239"/>
        <v>0</v>
      </c>
      <c r="DE72" s="56">
        <f t="shared" si="240"/>
        <v>0</v>
      </c>
      <c r="DF72" s="31">
        <f t="shared" si="183"/>
        <v>20172</v>
      </c>
      <c r="DH72" s="16"/>
      <c r="DI72" s="16"/>
      <c r="DJ72" s="16"/>
      <c r="DK72" s="16"/>
      <c r="DL72" s="16"/>
      <c r="DN72" s="33">
        <f t="shared" si="241"/>
        <v>0</v>
      </c>
      <c r="DO72" s="33">
        <f t="shared" si="242"/>
        <v>0</v>
      </c>
      <c r="DP72" s="33">
        <f t="shared" si="243"/>
        <v>0</v>
      </c>
      <c r="DQ72" s="139">
        <f t="shared" si="244"/>
        <v>0</v>
      </c>
      <c r="DR72" s="139">
        <f t="shared" si="245"/>
        <v>0</v>
      </c>
      <c r="DS72" s="13"/>
      <c r="DT72" s="55">
        <f t="shared" si="246"/>
        <v>0</v>
      </c>
      <c r="DU72" s="55">
        <f t="shared" si="247"/>
        <v>0</v>
      </c>
      <c r="DV72" s="56">
        <f t="shared" si="248"/>
        <v>0</v>
      </c>
      <c r="DW72" s="56">
        <f t="shared" si="249"/>
        <v>0</v>
      </c>
      <c r="DX72" s="31">
        <f t="shared" si="184"/>
        <v>20172</v>
      </c>
      <c r="DZ72" s="16"/>
      <c r="EA72" s="16"/>
      <c r="EB72" s="16"/>
      <c r="EC72" s="16"/>
      <c r="ED72" s="16"/>
      <c r="EF72" s="33">
        <f t="shared" si="250"/>
        <v>0</v>
      </c>
      <c r="EG72" s="33">
        <f t="shared" si="251"/>
        <v>0</v>
      </c>
      <c r="EH72" s="33">
        <f t="shared" si="252"/>
        <v>0</v>
      </c>
      <c r="EI72" s="139">
        <f t="shared" si="253"/>
        <v>0</v>
      </c>
      <c r="EJ72" s="139">
        <f t="shared" si="254"/>
        <v>0</v>
      </c>
      <c r="EK72" s="13"/>
      <c r="EL72" s="55">
        <f t="shared" si="255"/>
        <v>0</v>
      </c>
      <c r="EM72" s="55">
        <f t="shared" si="256"/>
        <v>0</v>
      </c>
      <c r="EN72" s="56">
        <f t="shared" si="257"/>
        <v>0</v>
      </c>
      <c r="EO72" s="56">
        <f t="shared" si="258"/>
        <v>0</v>
      </c>
      <c r="EP72" s="31">
        <f t="shared" si="185"/>
        <v>20172</v>
      </c>
      <c r="ER72" s="16"/>
      <c r="ES72" s="16"/>
      <c r="ET72" s="16"/>
      <c r="EU72" s="16"/>
      <c r="EV72" s="16"/>
      <c r="EX72" s="33">
        <f t="shared" si="259"/>
        <v>0</v>
      </c>
      <c r="EY72" s="33">
        <f t="shared" si="260"/>
        <v>0</v>
      </c>
      <c r="EZ72" s="33">
        <f t="shared" si="261"/>
        <v>0</v>
      </c>
      <c r="FA72" s="139">
        <f t="shared" si="262"/>
        <v>0</v>
      </c>
      <c r="FB72" s="139">
        <f t="shared" si="263"/>
        <v>0</v>
      </c>
      <c r="FC72" s="13"/>
      <c r="FD72" s="55">
        <f t="shared" si="264"/>
        <v>0</v>
      </c>
      <c r="FE72" s="55">
        <f t="shared" si="265"/>
        <v>0</v>
      </c>
      <c r="FF72" s="56">
        <f t="shared" si="266"/>
        <v>0</v>
      </c>
      <c r="FG72" s="56">
        <f t="shared" si="267"/>
        <v>0</v>
      </c>
      <c r="FH72" s="31">
        <f t="shared" si="186"/>
        <v>20172</v>
      </c>
      <c r="FJ72" s="16"/>
      <c r="FK72" s="16"/>
      <c r="FL72" s="16"/>
      <c r="FM72" s="16"/>
      <c r="FN72" s="16"/>
      <c r="FP72" s="33">
        <f t="shared" si="268"/>
        <v>0</v>
      </c>
      <c r="FQ72" s="33">
        <f t="shared" si="269"/>
        <v>0</v>
      </c>
      <c r="FR72" s="33">
        <f t="shared" si="270"/>
        <v>0</v>
      </c>
      <c r="FS72" s="139">
        <f t="shared" si="271"/>
        <v>0</v>
      </c>
      <c r="FT72" s="139">
        <f t="shared" si="272"/>
        <v>0</v>
      </c>
      <c r="FU72" s="13"/>
      <c r="FV72" s="55">
        <f t="shared" si="273"/>
        <v>0</v>
      </c>
      <c r="FW72" s="55">
        <f t="shared" si="274"/>
        <v>0</v>
      </c>
      <c r="FX72" s="56">
        <f t="shared" si="275"/>
        <v>0</v>
      </c>
      <c r="FY72" s="56">
        <f t="shared" si="276"/>
        <v>0</v>
      </c>
    </row>
    <row r="73" spans="1:181" x14ac:dyDescent="0.25">
      <c r="A73" s="25">
        <v>8</v>
      </c>
      <c r="B73" s="12">
        <f t="shared" si="177"/>
        <v>20173</v>
      </c>
      <c r="D73" s="16"/>
      <c r="E73" s="16"/>
      <c r="F73" s="16"/>
      <c r="G73" s="16"/>
      <c r="H73" s="16"/>
      <c r="J73" s="33">
        <f t="shared" si="187"/>
        <v>0</v>
      </c>
      <c r="K73" s="33">
        <f t="shared" si="188"/>
        <v>0</v>
      </c>
      <c r="L73" s="33">
        <f t="shared" si="189"/>
        <v>0</v>
      </c>
      <c r="M73" s="139">
        <f t="shared" si="190"/>
        <v>0</v>
      </c>
      <c r="N73" s="139">
        <f t="shared" si="191"/>
        <v>0</v>
      </c>
      <c r="O73" s="13"/>
      <c r="P73" s="55">
        <f t="shared" si="192"/>
        <v>0</v>
      </c>
      <c r="Q73" s="55">
        <f t="shared" si="193"/>
        <v>0</v>
      </c>
      <c r="R73" s="56">
        <f t="shared" si="194"/>
        <v>0</v>
      </c>
      <c r="S73" s="56">
        <f t="shared" si="195"/>
        <v>0</v>
      </c>
      <c r="T73" s="31">
        <f t="shared" si="178"/>
        <v>20173</v>
      </c>
      <c r="V73" s="16"/>
      <c r="W73" s="16"/>
      <c r="X73" s="16"/>
      <c r="Y73" s="16"/>
      <c r="Z73" s="16"/>
      <c r="AB73" s="33">
        <f t="shared" si="196"/>
        <v>0</v>
      </c>
      <c r="AC73" s="33">
        <f t="shared" si="197"/>
        <v>0</v>
      </c>
      <c r="AD73" s="33">
        <f t="shared" si="198"/>
        <v>0</v>
      </c>
      <c r="AE73" s="139">
        <f t="shared" si="199"/>
        <v>0</v>
      </c>
      <c r="AF73" s="139">
        <f t="shared" si="200"/>
        <v>0</v>
      </c>
      <c r="AG73" s="13"/>
      <c r="AH73" s="55">
        <f t="shared" si="201"/>
        <v>0</v>
      </c>
      <c r="AI73" s="55">
        <f t="shared" si="202"/>
        <v>0</v>
      </c>
      <c r="AJ73" s="56">
        <f t="shared" si="203"/>
        <v>0</v>
      </c>
      <c r="AK73" s="56">
        <f t="shared" si="204"/>
        <v>0</v>
      </c>
      <c r="AL73" s="31">
        <f t="shared" si="179"/>
        <v>20173</v>
      </c>
      <c r="AN73" s="16"/>
      <c r="AO73" s="16"/>
      <c r="AP73" s="16"/>
      <c r="AQ73" s="16"/>
      <c r="AR73" s="16"/>
      <c r="AT73" s="33">
        <f t="shared" si="205"/>
        <v>0</v>
      </c>
      <c r="AU73" s="33">
        <f t="shared" si="206"/>
        <v>0</v>
      </c>
      <c r="AV73" s="33">
        <f t="shared" si="207"/>
        <v>0</v>
      </c>
      <c r="AW73" s="139">
        <f t="shared" si="208"/>
        <v>0</v>
      </c>
      <c r="AX73" s="139">
        <f t="shared" si="209"/>
        <v>0</v>
      </c>
      <c r="AY73" s="13"/>
      <c r="AZ73" s="55">
        <f t="shared" si="210"/>
        <v>0</v>
      </c>
      <c r="BA73" s="55">
        <f t="shared" si="211"/>
        <v>0</v>
      </c>
      <c r="BB73" s="56">
        <f t="shared" si="212"/>
        <v>0</v>
      </c>
      <c r="BC73" s="56">
        <f t="shared" si="213"/>
        <v>0</v>
      </c>
      <c r="BD73" s="31">
        <f t="shared" si="180"/>
        <v>20173</v>
      </c>
      <c r="BF73" s="16"/>
      <c r="BG73" s="16"/>
      <c r="BH73" s="16"/>
      <c r="BI73" s="16"/>
      <c r="BJ73" s="16"/>
      <c r="BL73" s="33">
        <f t="shared" si="214"/>
        <v>0</v>
      </c>
      <c r="BM73" s="33">
        <f t="shared" si="215"/>
        <v>0</v>
      </c>
      <c r="BN73" s="33">
        <f t="shared" si="216"/>
        <v>0</v>
      </c>
      <c r="BO73" s="139">
        <f t="shared" si="217"/>
        <v>0</v>
      </c>
      <c r="BP73" s="139">
        <f t="shared" si="218"/>
        <v>0</v>
      </c>
      <c r="BQ73" s="13"/>
      <c r="BR73" s="55">
        <f t="shared" si="219"/>
        <v>0</v>
      </c>
      <c r="BS73" s="55">
        <f t="shared" si="220"/>
        <v>0</v>
      </c>
      <c r="BT73" s="56">
        <f t="shared" si="221"/>
        <v>0</v>
      </c>
      <c r="BU73" s="56">
        <f t="shared" si="222"/>
        <v>0</v>
      </c>
      <c r="BV73" s="31">
        <f t="shared" si="181"/>
        <v>20173</v>
      </c>
      <c r="BX73" s="16"/>
      <c r="BY73" s="16"/>
      <c r="BZ73" s="16"/>
      <c r="CA73" s="16"/>
      <c r="CB73" s="16"/>
      <c r="CD73" s="33">
        <f t="shared" si="223"/>
        <v>0</v>
      </c>
      <c r="CE73" s="33">
        <f t="shared" si="224"/>
        <v>0</v>
      </c>
      <c r="CF73" s="33">
        <f t="shared" si="225"/>
        <v>0</v>
      </c>
      <c r="CG73" s="139">
        <f t="shared" si="226"/>
        <v>0</v>
      </c>
      <c r="CH73" s="139">
        <f t="shared" si="227"/>
        <v>0</v>
      </c>
      <c r="CI73" s="13"/>
      <c r="CJ73" s="55">
        <f t="shared" si="228"/>
        <v>0</v>
      </c>
      <c r="CK73" s="55">
        <f t="shared" si="229"/>
        <v>0</v>
      </c>
      <c r="CL73" s="56">
        <f t="shared" si="230"/>
        <v>0</v>
      </c>
      <c r="CM73" s="56">
        <f t="shared" si="231"/>
        <v>0</v>
      </c>
      <c r="CN73" s="31">
        <f t="shared" si="182"/>
        <v>20173</v>
      </c>
      <c r="CP73" s="16"/>
      <c r="CQ73" s="16"/>
      <c r="CR73" s="16"/>
      <c r="CS73" s="16"/>
      <c r="CT73" s="16"/>
      <c r="CV73" s="33">
        <f t="shared" si="232"/>
        <v>0</v>
      </c>
      <c r="CW73" s="33">
        <f t="shared" si="233"/>
        <v>0</v>
      </c>
      <c r="CX73" s="33">
        <f t="shared" si="234"/>
        <v>0</v>
      </c>
      <c r="CY73" s="139">
        <f t="shared" si="235"/>
        <v>0</v>
      </c>
      <c r="CZ73" s="139">
        <f t="shared" si="236"/>
        <v>0</v>
      </c>
      <c r="DA73" s="13"/>
      <c r="DB73" s="55">
        <f t="shared" si="237"/>
        <v>0</v>
      </c>
      <c r="DC73" s="55">
        <f t="shared" si="238"/>
        <v>0</v>
      </c>
      <c r="DD73" s="56">
        <f t="shared" si="239"/>
        <v>0</v>
      </c>
      <c r="DE73" s="56">
        <f t="shared" si="240"/>
        <v>0</v>
      </c>
      <c r="DF73" s="31">
        <f t="shared" si="183"/>
        <v>20173</v>
      </c>
      <c r="DH73" s="16"/>
      <c r="DI73" s="16"/>
      <c r="DJ73" s="16"/>
      <c r="DK73" s="16"/>
      <c r="DL73" s="16"/>
      <c r="DN73" s="33">
        <f t="shared" si="241"/>
        <v>0</v>
      </c>
      <c r="DO73" s="33">
        <f t="shared" si="242"/>
        <v>0</v>
      </c>
      <c r="DP73" s="33">
        <f t="shared" si="243"/>
        <v>0</v>
      </c>
      <c r="DQ73" s="139">
        <f t="shared" si="244"/>
        <v>0</v>
      </c>
      <c r="DR73" s="139">
        <f t="shared" si="245"/>
        <v>0</v>
      </c>
      <c r="DS73" s="13"/>
      <c r="DT73" s="55">
        <f t="shared" si="246"/>
        <v>0</v>
      </c>
      <c r="DU73" s="55">
        <f t="shared" si="247"/>
        <v>0</v>
      </c>
      <c r="DV73" s="56">
        <f t="shared" si="248"/>
        <v>0</v>
      </c>
      <c r="DW73" s="56">
        <f t="shared" si="249"/>
        <v>0</v>
      </c>
      <c r="DX73" s="31">
        <f t="shared" si="184"/>
        <v>20173</v>
      </c>
      <c r="DZ73" s="16"/>
      <c r="EA73" s="16"/>
      <c r="EB73" s="16"/>
      <c r="EC73" s="16"/>
      <c r="ED73" s="16"/>
      <c r="EF73" s="33">
        <f t="shared" si="250"/>
        <v>0</v>
      </c>
      <c r="EG73" s="33">
        <f t="shared" si="251"/>
        <v>0</v>
      </c>
      <c r="EH73" s="33">
        <f t="shared" si="252"/>
        <v>0</v>
      </c>
      <c r="EI73" s="139">
        <f t="shared" si="253"/>
        <v>0</v>
      </c>
      <c r="EJ73" s="139">
        <f t="shared" si="254"/>
        <v>0</v>
      </c>
      <c r="EK73" s="13"/>
      <c r="EL73" s="55">
        <f t="shared" si="255"/>
        <v>0</v>
      </c>
      <c r="EM73" s="55">
        <f t="shared" si="256"/>
        <v>0</v>
      </c>
      <c r="EN73" s="56">
        <f t="shared" si="257"/>
        <v>0</v>
      </c>
      <c r="EO73" s="56">
        <f t="shared" si="258"/>
        <v>0</v>
      </c>
      <c r="EP73" s="31">
        <f t="shared" si="185"/>
        <v>20173</v>
      </c>
      <c r="ER73" s="16"/>
      <c r="ES73" s="16"/>
      <c r="ET73" s="16"/>
      <c r="EU73" s="16"/>
      <c r="EV73" s="16"/>
      <c r="EX73" s="33">
        <f t="shared" si="259"/>
        <v>0</v>
      </c>
      <c r="EY73" s="33">
        <f t="shared" si="260"/>
        <v>0</v>
      </c>
      <c r="EZ73" s="33">
        <f t="shared" si="261"/>
        <v>0</v>
      </c>
      <c r="FA73" s="139">
        <f t="shared" si="262"/>
        <v>0</v>
      </c>
      <c r="FB73" s="139">
        <f t="shared" si="263"/>
        <v>0</v>
      </c>
      <c r="FC73" s="13"/>
      <c r="FD73" s="55">
        <f t="shared" si="264"/>
        <v>0</v>
      </c>
      <c r="FE73" s="55">
        <f t="shared" si="265"/>
        <v>0</v>
      </c>
      <c r="FF73" s="56">
        <f t="shared" si="266"/>
        <v>0</v>
      </c>
      <c r="FG73" s="56">
        <f t="shared" si="267"/>
        <v>0</v>
      </c>
      <c r="FH73" s="31">
        <f t="shared" si="186"/>
        <v>20173</v>
      </c>
      <c r="FJ73" s="16"/>
      <c r="FK73" s="16"/>
      <c r="FL73" s="16"/>
      <c r="FM73" s="16"/>
      <c r="FN73" s="16"/>
      <c r="FP73" s="33">
        <f t="shared" si="268"/>
        <v>0</v>
      </c>
      <c r="FQ73" s="33">
        <f t="shared" si="269"/>
        <v>0</v>
      </c>
      <c r="FR73" s="33">
        <f t="shared" si="270"/>
        <v>0</v>
      </c>
      <c r="FS73" s="139">
        <f t="shared" si="271"/>
        <v>0</v>
      </c>
      <c r="FT73" s="139">
        <f t="shared" si="272"/>
        <v>0</v>
      </c>
      <c r="FU73" s="13"/>
      <c r="FV73" s="55">
        <f t="shared" si="273"/>
        <v>0</v>
      </c>
      <c r="FW73" s="55">
        <f t="shared" si="274"/>
        <v>0</v>
      </c>
      <c r="FX73" s="56">
        <f t="shared" si="275"/>
        <v>0</v>
      </c>
      <c r="FY73" s="56">
        <f t="shared" si="276"/>
        <v>0</v>
      </c>
    </row>
    <row r="74" spans="1:181" x14ac:dyDescent="0.25">
      <c r="A74" s="25">
        <v>9</v>
      </c>
      <c r="B74" s="12">
        <f t="shared" si="177"/>
        <v>20174</v>
      </c>
      <c r="D74" s="16"/>
      <c r="E74" s="16"/>
      <c r="F74" s="16"/>
      <c r="G74" s="16"/>
      <c r="H74" s="16"/>
      <c r="J74" s="33">
        <f t="shared" si="187"/>
        <v>0</v>
      </c>
      <c r="K74" s="33">
        <f t="shared" si="188"/>
        <v>0</v>
      </c>
      <c r="L74" s="33">
        <f t="shared" si="189"/>
        <v>0</v>
      </c>
      <c r="M74" s="139">
        <f t="shared" si="190"/>
        <v>0</v>
      </c>
      <c r="N74" s="139">
        <f t="shared" si="191"/>
        <v>0</v>
      </c>
      <c r="O74" s="13"/>
      <c r="P74" s="55">
        <f t="shared" si="192"/>
        <v>0</v>
      </c>
      <c r="Q74" s="55">
        <f t="shared" si="193"/>
        <v>0</v>
      </c>
      <c r="R74" s="56">
        <f t="shared" si="194"/>
        <v>0</v>
      </c>
      <c r="S74" s="56">
        <f t="shared" si="195"/>
        <v>0</v>
      </c>
      <c r="T74" s="31">
        <f t="shared" si="178"/>
        <v>20174</v>
      </c>
      <c r="V74" s="16"/>
      <c r="W74" s="16"/>
      <c r="X74" s="16"/>
      <c r="Y74" s="16"/>
      <c r="Z74" s="16"/>
      <c r="AB74" s="33">
        <f t="shared" si="196"/>
        <v>0</v>
      </c>
      <c r="AC74" s="33">
        <f t="shared" si="197"/>
        <v>0</v>
      </c>
      <c r="AD74" s="33">
        <f t="shared" si="198"/>
        <v>0</v>
      </c>
      <c r="AE74" s="139">
        <f t="shared" si="199"/>
        <v>0</v>
      </c>
      <c r="AF74" s="139">
        <f t="shared" si="200"/>
        <v>0</v>
      </c>
      <c r="AG74" s="13"/>
      <c r="AH74" s="55">
        <f t="shared" si="201"/>
        <v>0</v>
      </c>
      <c r="AI74" s="55">
        <f t="shared" si="202"/>
        <v>0</v>
      </c>
      <c r="AJ74" s="56">
        <f t="shared" si="203"/>
        <v>0</v>
      </c>
      <c r="AK74" s="56">
        <f t="shared" si="204"/>
        <v>0</v>
      </c>
      <c r="AL74" s="31">
        <f t="shared" si="179"/>
        <v>20174</v>
      </c>
      <c r="AN74" s="16"/>
      <c r="AO74" s="16"/>
      <c r="AP74" s="16"/>
      <c r="AQ74" s="16"/>
      <c r="AR74" s="16"/>
      <c r="AT74" s="33">
        <f t="shared" si="205"/>
        <v>0</v>
      </c>
      <c r="AU74" s="33">
        <f t="shared" si="206"/>
        <v>0</v>
      </c>
      <c r="AV74" s="33">
        <f t="shared" si="207"/>
        <v>0</v>
      </c>
      <c r="AW74" s="139">
        <f t="shared" si="208"/>
        <v>0</v>
      </c>
      <c r="AX74" s="139">
        <f t="shared" si="209"/>
        <v>0</v>
      </c>
      <c r="AY74" s="13"/>
      <c r="AZ74" s="55">
        <f t="shared" si="210"/>
        <v>0</v>
      </c>
      <c r="BA74" s="55">
        <f t="shared" si="211"/>
        <v>0</v>
      </c>
      <c r="BB74" s="56">
        <f t="shared" si="212"/>
        <v>0</v>
      </c>
      <c r="BC74" s="56">
        <f t="shared" si="213"/>
        <v>0</v>
      </c>
      <c r="BD74" s="31">
        <f t="shared" si="180"/>
        <v>20174</v>
      </c>
      <c r="BF74" s="16"/>
      <c r="BG74" s="16"/>
      <c r="BH74" s="16"/>
      <c r="BI74" s="16"/>
      <c r="BJ74" s="16"/>
      <c r="BL74" s="33">
        <f t="shared" si="214"/>
        <v>0</v>
      </c>
      <c r="BM74" s="33">
        <f t="shared" si="215"/>
        <v>0</v>
      </c>
      <c r="BN74" s="33">
        <f t="shared" si="216"/>
        <v>0</v>
      </c>
      <c r="BO74" s="139">
        <f t="shared" si="217"/>
        <v>0</v>
      </c>
      <c r="BP74" s="139">
        <f t="shared" si="218"/>
        <v>0</v>
      </c>
      <c r="BQ74" s="13"/>
      <c r="BR74" s="55">
        <f t="shared" si="219"/>
        <v>0</v>
      </c>
      <c r="BS74" s="55">
        <f t="shared" si="220"/>
        <v>0</v>
      </c>
      <c r="BT74" s="56">
        <f t="shared" si="221"/>
        <v>0</v>
      </c>
      <c r="BU74" s="56">
        <f t="shared" si="222"/>
        <v>0</v>
      </c>
      <c r="BV74" s="31">
        <f t="shared" si="181"/>
        <v>20174</v>
      </c>
      <c r="BX74" s="16"/>
      <c r="BY74" s="16"/>
      <c r="BZ74" s="16"/>
      <c r="CA74" s="16"/>
      <c r="CB74" s="16"/>
      <c r="CD74" s="33">
        <f t="shared" si="223"/>
        <v>0</v>
      </c>
      <c r="CE74" s="33">
        <f t="shared" si="224"/>
        <v>0</v>
      </c>
      <c r="CF74" s="33">
        <f t="shared" si="225"/>
        <v>0</v>
      </c>
      <c r="CG74" s="139">
        <f t="shared" si="226"/>
        <v>0</v>
      </c>
      <c r="CH74" s="139">
        <f t="shared" si="227"/>
        <v>0</v>
      </c>
      <c r="CI74" s="13"/>
      <c r="CJ74" s="55">
        <f t="shared" si="228"/>
        <v>0</v>
      </c>
      <c r="CK74" s="55">
        <f t="shared" si="229"/>
        <v>0</v>
      </c>
      <c r="CL74" s="56">
        <f t="shared" si="230"/>
        <v>0</v>
      </c>
      <c r="CM74" s="56">
        <f t="shared" si="231"/>
        <v>0</v>
      </c>
      <c r="CN74" s="31">
        <f t="shared" si="182"/>
        <v>20174</v>
      </c>
      <c r="CP74" s="16"/>
      <c r="CQ74" s="16"/>
      <c r="CR74" s="16"/>
      <c r="CS74" s="16"/>
      <c r="CT74" s="16"/>
      <c r="CV74" s="33">
        <f t="shared" si="232"/>
        <v>0</v>
      </c>
      <c r="CW74" s="33">
        <f t="shared" si="233"/>
        <v>0</v>
      </c>
      <c r="CX74" s="33">
        <f t="shared" si="234"/>
        <v>0</v>
      </c>
      <c r="CY74" s="139">
        <f t="shared" si="235"/>
        <v>0</v>
      </c>
      <c r="CZ74" s="139">
        <f t="shared" si="236"/>
        <v>0</v>
      </c>
      <c r="DA74" s="13"/>
      <c r="DB74" s="55">
        <f t="shared" si="237"/>
        <v>0</v>
      </c>
      <c r="DC74" s="55">
        <f t="shared" si="238"/>
        <v>0</v>
      </c>
      <c r="DD74" s="56">
        <f t="shared" si="239"/>
        <v>0</v>
      </c>
      <c r="DE74" s="56">
        <f t="shared" si="240"/>
        <v>0</v>
      </c>
      <c r="DF74" s="31">
        <f t="shared" si="183"/>
        <v>20174</v>
      </c>
      <c r="DH74" s="16"/>
      <c r="DI74" s="16"/>
      <c r="DJ74" s="16"/>
      <c r="DK74" s="16"/>
      <c r="DL74" s="16"/>
      <c r="DN74" s="33">
        <f t="shared" si="241"/>
        <v>0</v>
      </c>
      <c r="DO74" s="33">
        <f t="shared" si="242"/>
        <v>0</v>
      </c>
      <c r="DP74" s="33">
        <f t="shared" si="243"/>
        <v>0</v>
      </c>
      <c r="DQ74" s="139">
        <f t="shared" si="244"/>
        <v>0</v>
      </c>
      <c r="DR74" s="139">
        <f t="shared" si="245"/>
        <v>0</v>
      </c>
      <c r="DS74" s="13"/>
      <c r="DT74" s="55">
        <f t="shared" si="246"/>
        <v>0</v>
      </c>
      <c r="DU74" s="55">
        <f t="shared" si="247"/>
        <v>0</v>
      </c>
      <c r="DV74" s="56">
        <f t="shared" si="248"/>
        <v>0</v>
      </c>
      <c r="DW74" s="56">
        <f t="shared" si="249"/>
        <v>0</v>
      </c>
      <c r="DX74" s="31">
        <f t="shared" si="184"/>
        <v>20174</v>
      </c>
      <c r="DZ74" s="16"/>
      <c r="EA74" s="16"/>
      <c r="EB74" s="16"/>
      <c r="EC74" s="16"/>
      <c r="ED74" s="16"/>
      <c r="EF74" s="33">
        <f t="shared" si="250"/>
        <v>0</v>
      </c>
      <c r="EG74" s="33">
        <f t="shared" si="251"/>
        <v>0</v>
      </c>
      <c r="EH74" s="33">
        <f t="shared" si="252"/>
        <v>0</v>
      </c>
      <c r="EI74" s="139">
        <f t="shared" si="253"/>
        <v>0</v>
      </c>
      <c r="EJ74" s="139">
        <f t="shared" si="254"/>
        <v>0</v>
      </c>
      <c r="EK74" s="13"/>
      <c r="EL74" s="55">
        <f t="shared" si="255"/>
        <v>0</v>
      </c>
      <c r="EM74" s="55">
        <f t="shared" si="256"/>
        <v>0</v>
      </c>
      <c r="EN74" s="56">
        <f t="shared" si="257"/>
        <v>0</v>
      </c>
      <c r="EO74" s="56">
        <f t="shared" si="258"/>
        <v>0</v>
      </c>
      <c r="EP74" s="31">
        <f t="shared" si="185"/>
        <v>20174</v>
      </c>
      <c r="ER74" s="16"/>
      <c r="ES74" s="16"/>
      <c r="ET74" s="16"/>
      <c r="EU74" s="16"/>
      <c r="EV74" s="16"/>
      <c r="EX74" s="33">
        <f t="shared" si="259"/>
        <v>0</v>
      </c>
      <c r="EY74" s="33">
        <f t="shared" si="260"/>
        <v>0</v>
      </c>
      <c r="EZ74" s="33">
        <f t="shared" si="261"/>
        <v>0</v>
      </c>
      <c r="FA74" s="139">
        <f t="shared" si="262"/>
        <v>0</v>
      </c>
      <c r="FB74" s="139">
        <f t="shared" si="263"/>
        <v>0</v>
      </c>
      <c r="FC74" s="13"/>
      <c r="FD74" s="55">
        <f t="shared" si="264"/>
        <v>0</v>
      </c>
      <c r="FE74" s="55">
        <f t="shared" si="265"/>
        <v>0</v>
      </c>
      <c r="FF74" s="56">
        <f t="shared" si="266"/>
        <v>0</v>
      </c>
      <c r="FG74" s="56">
        <f t="shared" si="267"/>
        <v>0</v>
      </c>
      <c r="FH74" s="31">
        <f t="shared" si="186"/>
        <v>20174</v>
      </c>
      <c r="FJ74" s="16"/>
      <c r="FK74" s="16"/>
      <c r="FL74" s="16"/>
      <c r="FM74" s="16"/>
      <c r="FN74" s="16"/>
      <c r="FP74" s="33">
        <f t="shared" si="268"/>
        <v>0</v>
      </c>
      <c r="FQ74" s="33">
        <f t="shared" si="269"/>
        <v>0</v>
      </c>
      <c r="FR74" s="33">
        <f t="shared" si="270"/>
        <v>0</v>
      </c>
      <c r="FS74" s="139">
        <f t="shared" si="271"/>
        <v>0</v>
      </c>
      <c r="FT74" s="139">
        <f t="shared" si="272"/>
        <v>0</v>
      </c>
      <c r="FU74" s="13"/>
      <c r="FV74" s="55">
        <f t="shared" si="273"/>
        <v>0</v>
      </c>
      <c r="FW74" s="55">
        <f t="shared" si="274"/>
        <v>0</v>
      </c>
      <c r="FX74" s="56">
        <f t="shared" si="275"/>
        <v>0</v>
      </c>
      <c r="FY74" s="56">
        <f t="shared" si="276"/>
        <v>0</v>
      </c>
    </row>
    <row r="75" spans="1:181" x14ac:dyDescent="0.25">
      <c r="A75" s="25">
        <v>10</v>
      </c>
      <c r="B75" s="12">
        <f t="shared" si="177"/>
        <v>20181</v>
      </c>
      <c r="D75" s="16"/>
      <c r="E75" s="16"/>
      <c r="F75" s="16"/>
      <c r="G75" s="16"/>
      <c r="H75" s="16"/>
      <c r="J75" s="33">
        <f t="shared" si="187"/>
        <v>0</v>
      </c>
      <c r="K75" s="33">
        <f t="shared" si="188"/>
        <v>0</v>
      </c>
      <c r="L75" s="33">
        <f t="shared" si="189"/>
        <v>0</v>
      </c>
      <c r="M75" s="139">
        <f t="shared" si="190"/>
        <v>0</v>
      </c>
      <c r="N75" s="139">
        <f t="shared" si="191"/>
        <v>0</v>
      </c>
      <c r="O75" s="13"/>
      <c r="P75" s="55">
        <f t="shared" si="192"/>
        <v>0</v>
      </c>
      <c r="Q75" s="55">
        <f t="shared" si="193"/>
        <v>0</v>
      </c>
      <c r="R75" s="56">
        <f t="shared" si="194"/>
        <v>0</v>
      </c>
      <c r="S75" s="56">
        <f t="shared" si="195"/>
        <v>0</v>
      </c>
      <c r="T75" s="31">
        <f t="shared" si="178"/>
        <v>20181</v>
      </c>
      <c r="V75" s="16"/>
      <c r="W75" s="16"/>
      <c r="X75" s="16"/>
      <c r="Y75" s="16"/>
      <c r="Z75" s="16"/>
      <c r="AB75" s="33">
        <f t="shared" si="196"/>
        <v>0</v>
      </c>
      <c r="AC75" s="33">
        <f t="shared" si="197"/>
        <v>0</v>
      </c>
      <c r="AD75" s="33">
        <f t="shared" si="198"/>
        <v>0</v>
      </c>
      <c r="AE75" s="139">
        <f t="shared" si="199"/>
        <v>0</v>
      </c>
      <c r="AF75" s="139">
        <f t="shared" si="200"/>
        <v>0</v>
      </c>
      <c r="AG75" s="13"/>
      <c r="AH75" s="55">
        <f t="shared" si="201"/>
        <v>0</v>
      </c>
      <c r="AI75" s="55">
        <f t="shared" si="202"/>
        <v>0</v>
      </c>
      <c r="AJ75" s="56">
        <f t="shared" si="203"/>
        <v>0</v>
      </c>
      <c r="AK75" s="56">
        <f t="shared" si="204"/>
        <v>0</v>
      </c>
      <c r="AL75" s="31">
        <f t="shared" si="179"/>
        <v>20181</v>
      </c>
      <c r="AN75" s="16"/>
      <c r="AO75" s="16"/>
      <c r="AP75" s="16"/>
      <c r="AQ75" s="16"/>
      <c r="AR75" s="16"/>
      <c r="AT75" s="33">
        <f t="shared" si="205"/>
        <v>0</v>
      </c>
      <c r="AU75" s="33">
        <f t="shared" si="206"/>
        <v>0</v>
      </c>
      <c r="AV75" s="33">
        <f t="shared" si="207"/>
        <v>0</v>
      </c>
      <c r="AW75" s="139">
        <f t="shared" si="208"/>
        <v>0</v>
      </c>
      <c r="AX75" s="139">
        <f t="shared" si="209"/>
        <v>0</v>
      </c>
      <c r="AY75" s="13"/>
      <c r="AZ75" s="55">
        <f t="shared" si="210"/>
        <v>0</v>
      </c>
      <c r="BA75" s="55">
        <f t="shared" si="211"/>
        <v>0</v>
      </c>
      <c r="BB75" s="56">
        <f t="shared" si="212"/>
        <v>0</v>
      </c>
      <c r="BC75" s="56">
        <f t="shared" si="213"/>
        <v>0</v>
      </c>
      <c r="BD75" s="31">
        <f t="shared" si="180"/>
        <v>20181</v>
      </c>
      <c r="BF75" s="16"/>
      <c r="BG75" s="16"/>
      <c r="BH75" s="16"/>
      <c r="BI75" s="16"/>
      <c r="BJ75" s="16"/>
      <c r="BL75" s="33">
        <f t="shared" si="214"/>
        <v>0</v>
      </c>
      <c r="BM75" s="33">
        <f t="shared" si="215"/>
        <v>0</v>
      </c>
      <c r="BN75" s="33">
        <f t="shared" si="216"/>
        <v>0</v>
      </c>
      <c r="BO75" s="139">
        <f t="shared" si="217"/>
        <v>0</v>
      </c>
      <c r="BP75" s="139">
        <f t="shared" si="218"/>
        <v>0</v>
      </c>
      <c r="BQ75" s="13"/>
      <c r="BR75" s="55">
        <f t="shared" si="219"/>
        <v>0</v>
      </c>
      <c r="BS75" s="55">
        <f t="shared" si="220"/>
        <v>0</v>
      </c>
      <c r="BT75" s="56">
        <f t="shared" si="221"/>
        <v>0</v>
      </c>
      <c r="BU75" s="56">
        <f t="shared" si="222"/>
        <v>0</v>
      </c>
      <c r="BV75" s="31">
        <f t="shared" si="181"/>
        <v>20181</v>
      </c>
      <c r="BX75" s="16"/>
      <c r="BY75" s="16"/>
      <c r="BZ75" s="16"/>
      <c r="CA75" s="16"/>
      <c r="CB75" s="16"/>
      <c r="CD75" s="33">
        <f t="shared" si="223"/>
        <v>0</v>
      </c>
      <c r="CE75" s="33">
        <f t="shared" si="224"/>
        <v>0</v>
      </c>
      <c r="CF75" s="33">
        <f t="shared" si="225"/>
        <v>0</v>
      </c>
      <c r="CG75" s="139">
        <f t="shared" si="226"/>
        <v>0</v>
      </c>
      <c r="CH75" s="139">
        <f t="shared" si="227"/>
        <v>0</v>
      </c>
      <c r="CI75" s="13"/>
      <c r="CJ75" s="55">
        <f t="shared" si="228"/>
        <v>0</v>
      </c>
      <c r="CK75" s="55">
        <f t="shared" si="229"/>
        <v>0</v>
      </c>
      <c r="CL75" s="56">
        <f t="shared" si="230"/>
        <v>0</v>
      </c>
      <c r="CM75" s="56">
        <f t="shared" si="231"/>
        <v>0</v>
      </c>
      <c r="CN75" s="31">
        <f t="shared" si="182"/>
        <v>20181</v>
      </c>
      <c r="CP75" s="16"/>
      <c r="CQ75" s="16"/>
      <c r="CR75" s="16"/>
      <c r="CS75" s="16"/>
      <c r="CT75" s="16"/>
      <c r="CV75" s="33">
        <f t="shared" si="232"/>
        <v>0</v>
      </c>
      <c r="CW75" s="33">
        <f t="shared" si="233"/>
        <v>0</v>
      </c>
      <c r="CX75" s="33">
        <f t="shared" si="234"/>
        <v>0</v>
      </c>
      <c r="CY75" s="139">
        <f t="shared" si="235"/>
        <v>0</v>
      </c>
      <c r="CZ75" s="139">
        <f t="shared" si="236"/>
        <v>0</v>
      </c>
      <c r="DA75" s="13"/>
      <c r="DB75" s="55">
        <f t="shared" si="237"/>
        <v>0</v>
      </c>
      <c r="DC75" s="55">
        <f t="shared" si="238"/>
        <v>0</v>
      </c>
      <c r="DD75" s="56">
        <f t="shared" si="239"/>
        <v>0</v>
      </c>
      <c r="DE75" s="56">
        <f t="shared" si="240"/>
        <v>0</v>
      </c>
      <c r="DF75" s="31">
        <f t="shared" si="183"/>
        <v>20181</v>
      </c>
      <c r="DH75" s="16"/>
      <c r="DI75" s="16"/>
      <c r="DJ75" s="16"/>
      <c r="DK75" s="16"/>
      <c r="DL75" s="16"/>
      <c r="DN75" s="33">
        <f t="shared" si="241"/>
        <v>0</v>
      </c>
      <c r="DO75" s="33">
        <f t="shared" si="242"/>
        <v>0</v>
      </c>
      <c r="DP75" s="33">
        <f t="shared" si="243"/>
        <v>0</v>
      </c>
      <c r="DQ75" s="139">
        <f t="shared" si="244"/>
        <v>0</v>
      </c>
      <c r="DR75" s="139">
        <f t="shared" si="245"/>
        <v>0</v>
      </c>
      <c r="DS75" s="13"/>
      <c r="DT75" s="55">
        <f t="shared" si="246"/>
        <v>0</v>
      </c>
      <c r="DU75" s="55">
        <f t="shared" si="247"/>
        <v>0</v>
      </c>
      <c r="DV75" s="56">
        <f t="shared" si="248"/>
        <v>0</v>
      </c>
      <c r="DW75" s="56">
        <f t="shared" si="249"/>
        <v>0</v>
      </c>
      <c r="DX75" s="31">
        <f t="shared" si="184"/>
        <v>20181</v>
      </c>
      <c r="DZ75" s="16"/>
      <c r="EA75" s="16"/>
      <c r="EB75" s="16"/>
      <c r="EC75" s="16"/>
      <c r="ED75" s="16"/>
      <c r="EF75" s="33">
        <f t="shared" si="250"/>
        <v>0</v>
      </c>
      <c r="EG75" s="33">
        <f t="shared" si="251"/>
        <v>0</v>
      </c>
      <c r="EH75" s="33">
        <f t="shared" si="252"/>
        <v>0</v>
      </c>
      <c r="EI75" s="139">
        <f t="shared" si="253"/>
        <v>0</v>
      </c>
      <c r="EJ75" s="139">
        <f t="shared" si="254"/>
        <v>0</v>
      </c>
      <c r="EK75" s="13"/>
      <c r="EL75" s="55">
        <f t="shared" si="255"/>
        <v>0</v>
      </c>
      <c r="EM75" s="55">
        <f t="shared" si="256"/>
        <v>0</v>
      </c>
      <c r="EN75" s="56">
        <f t="shared" si="257"/>
        <v>0</v>
      </c>
      <c r="EO75" s="56">
        <f t="shared" si="258"/>
        <v>0</v>
      </c>
      <c r="EP75" s="31">
        <f t="shared" si="185"/>
        <v>20181</v>
      </c>
      <c r="ER75" s="16"/>
      <c r="ES75" s="16"/>
      <c r="ET75" s="16"/>
      <c r="EU75" s="16"/>
      <c r="EV75" s="16"/>
      <c r="EX75" s="33">
        <f t="shared" si="259"/>
        <v>0</v>
      </c>
      <c r="EY75" s="33">
        <f t="shared" si="260"/>
        <v>0</v>
      </c>
      <c r="EZ75" s="33">
        <f t="shared" si="261"/>
        <v>0</v>
      </c>
      <c r="FA75" s="139">
        <f t="shared" si="262"/>
        <v>0</v>
      </c>
      <c r="FB75" s="139">
        <f t="shared" si="263"/>
        <v>0</v>
      </c>
      <c r="FC75" s="13"/>
      <c r="FD75" s="55">
        <f t="shared" si="264"/>
        <v>0</v>
      </c>
      <c r="FE75" s="55">
        <f t="shared" si="265"/>
        <v>0</v>
      </c>
      <c r="FF75" s="56">
        <f t="shared" si="266"/>
        <v>0</v>
      </c>
      <c r="FG75" s="56">
        <f t="shared" si="267"/>
        <v>0</v>
      </c>
      <c r="FH75" s="31">
        <f t="shared" si="186"/>
        <v>20181</v>
      </c>
      <c r="FJ75" s="16"/>
      <c r="FK75" s="16"/>
      <c r="FL75" s="16"/>
      <c r="FM75" s="16"/>
      <c r="FN75" s="16"/>
      <c r="FP75" s="33">
        <f t="shared" si="268"/>
        <v>0</v>
      </c>
      <c r="FQ75" s="33">
        <f t="shared" si="269"/>
        <v>0</v>
      </c>
      <c r="FR75" s="33">
        <f t="shared" si="270"/>
        <v>0</v>
      </c>
      <c r="FS75" s="139">
        <f t="shared" si="271"/>
        <v>0</v>
      </c>
      <c r="FT75" s="139">
        <f t="shared" si="272"/>
        <v>0</v>
      </c>
      <c r="FU75" s="13"/>
      <c r="FV75" s="55">
        <f t="shared" si="273"/>
        <v>0</v>
      </c>
      <c r="FW75" s="55">
        <f t="shared" si="274"/>
        <v>0</v>
      </c>
      <c r="FX75" s="56">
        <f t="shared" si="275"/>
        <v>0</v>
      </c>
      <c r="FY75" s="56">
        <f t="shared" si="276"/>
        <v>0</v>
      </c>
    </row>
    <row r="76" spans="1:181" x14ac:dyDescent="0.25">
      <c r="A76" s="25">
        <v>11</v>
      </c>
      <c r="B76" s="12">
        <f t="shared" si="177"/>
        <v>20182</v>
      </c>
      <c r="D76" s="16"/>
      <c r="E76" s="16"/>
      <c r="F76" s="16"/>
      <c r="G76" s="16"/>
      <c r="H76" s="16"/>
      <c r="J76" s="33">
        <f t="shared" si="187"/>
        <v>0</v>
      </c>
      <c r="K76" s="33">
        <f t="shared" si="188"/>
        <v>0</v>
      </c>
      <c r="L76" s="33">
        <f t="shared" si="189"/>
        <v>0</v>
      </c>
      <c r="M76" s="139">
        <f t="shared" si="190"/>
        <v>0</v>
      </c>
      <c r="N76" s="139">
        <f t="shared" si="191"/>
        <v>0</v>
      </c>
      <c r="O76" s="13"/>
      <c r="P76" s="55">
        <f t="shared" si="192"/>
        <v>0</v>
      </c>
      <c r="Q76" s="55">
        <f t="shared" si="193"/>
        <v>0</v>
      </c>
      <c r="R76" s="56">
        <f t="shared" si="194"/>
        <v>0</v>
      </c>
      <c r="S76" s="56">
        <f t="shared" si="195"/>
        <v>0</v>
      </c>
      <c r="T76" s="31">
        <f t="shared" si="178"/>
        <v>20182</v>
      </c>
      <c r="V76" s="16"/>
      <c r="W76" s="16"/>
      <c r="X76" s="16"/>
      <c r="Y76" s="16"/>
      <c r="Z76" s="16"/>
      <c r="AB76" s="33">
        <f t="shared" si="196"/>
        <v>0</v>
      </c>
      <c r="AC76" s="33">
        <f t="shared" si="197"/>
        <v>0</v>
      </c>
      <c r="AD76" s="33">
        <f t="shared" si="198"/>
        <v>0</v>
      </c>
      <c r="AE76" s="139">
        <f t="shared" si="199"/>
        <v>0</v>
      </c>
      <c r="AF76" s="139">
        <f t="shared" si="200"/>
        <v>0</v>
      </c>
      <c r="AG76" s="13"/>
      <c r="AH76" s="55">
        <f t="shared" si="201"/>
        <v>0</v>
      </c>
      <c r="AI76" s="55">
        <f t="shared" si="202"/>
        <v>0</v>
      </c>
      <c r="AJ76" s="56">
        <f t="shared" si="203"/>
        <v>0</v>
      </c>
      <c r="AK76" s="56">
        <f t="shared" si="204"/>
        <v>0</v>
      </c>
      <c r="AL76" s="31">
        <f t="shared" si="179"/>
        <v>20182</v>
      </c>
      <c r="AN76" s="16"/>
      <c r="AO76" s="16"/>
      <c r="AP76" s="16"/>
      <c r="AQ76" s="16"/>
      <c r="AR76" s="16"/>
      <c r="AT76" s="33">
        <f t="shared" si="205"/>
        <v>0</v>
      </c>
      <c r="AU76" s="33">
        <f t="shared" si="206"/>
        <v>0</v>
      </c>
      <c r="AV76" s="33">
        <f t="shared" si="207"/>
        <v>0</v>
      </c>
      <c r="AW76" s="139">
        <f t="shared" si="208"/>
        <v>0</v>
      </c>
      <c r="AX76" s="139">
        <f t="shared" si="209"/>
        <v>0</v>
      </c>
      <c r="AY76" s="13"/>
      <c r="AZ76" s="55">
        <f t="shared" si="210"/>
        <v>0</v>
      </c>
      <c r="BA76" s="55">
        <f t="shared" si="211"/>
        <v>0</v>
      </c>
      <c r="BB76" s="56">
        <f t="shared" si="212"/>
        <v>0</v>
      </c>
      <c r="BC76" s="56">
        <f t="shared" si="213"/>
        <v>0</v>
      </c>
      <c r="BD76" s="31">
        <f t="shared" si="180"/>
        <v>20182</v>
      </c>
      <c r="BF76" s="16"/>
      <c r="BG76" s="16"/>
      <c r="BH76" s="16"/>
      <c r="BI76" s="16"/>
      <c r="BJ76" s="16"/>
      <c r="BL76" s="33">
        <f t="shared" si="214"/>
        <v>0</v>
      </c>
      <c r="BM76" s="33">
        <f t="shared" si="215"/>
        <v>0</v>
      </c>
      <c r="BN76" s="33">
        <f t="shared" si="216"/>
        <v>0</v>
      </c>
      <c r="BO76" s="139">
        <f t="shared" si="217"/>
        <v>0</v>
      </c>
      <c r="BP76" s="139">
        <f t="shared" si="218"/>
        <v>0</v>
      </c>
      <c r="BQ76" s="13"/>
      <c r="BR76" s="55">
        <f t="shared" si="219"/>
        <v>0</v>
      </c>
      <c r="BS76" s="55">
        <f t="shared" si="220"/>
        <v>0</v>
      </c>
      <c r="BT76" s="56">
        <f t="shared" si="221"/>
        <v>0</v>
      </c>
      <c r="BU76" s="56">
        <f t="shared" si="222"/>
        <v>0</v>
      </c>
      <c r="BV76" s="31">
        <f t="shared" si="181"/>
        <v>20182</v>
      </c>
      <c r="BX76" s="16"/>
      <c r="BY76" s="16"/>
      <c r="BZ76" s="16"/>
      <c r="CA76" s="16"/>
      <c r="CB76" s="16"/>
      <c r="CD76" s="33">
        <f t="shared" si="223"/>
        <v>0</v>
      </c>
      <c r="CE76" s="33">
        <f t="shared" si="224"/>
        <v>0</v>
      </c>
      <c r="CF76" s="33">
        <f t="shared" si="225"/>
        <v>0</v>
      </c>
      <c r="CG76" s="139">
        <f t="shared" si="226"/>
        <v>0</v>
      </c>
      <c r="CH76" s="139">
        <f t="shared" si="227"/>
        <v>0</v>
      </c>
      <c r="CI76" s="13"/>
      <c r="CJ76" s="55">
        <f t="shared" si="228"/>
        <v>0</v>
      </c>
      <c r="CK76" s="55">
        <f t="shared" si="229"/>
        <v>0</v>
      </c>
      <c r="CL76" s="56">
        <f t="shared" si="230"/>
        <v>0</v>
      </c>
      <c r="CM76" s="56">
        <f t="shared" si="231"/>
        <v>0</v>
      </c>
      <c r="CN76" s="31">
        <f t="shared" si="182"/>
        <v>20182</v>
      </c>
      <c r="CP76" s="16"/>
      <c r="CQ76" s="16"/>
      <c r="CR76" s="16"/>
      <c r="CS76" s="16"/>
      <c r="CT76" s="16"/>
      <c r="CV76" s="33">
        <f t="shared" si="232"/>
        <v>0</v>
      </c>
      <c r="CW76" s="33">
        <f t="shared" si="233"/>
        <v>0</v>
      </c>
      <c r="CX76" s="33">
        <f t="shared" si="234"/>
        <v>0</v>
      </c>
      <c r="CY76" s="139">
        <f t="shared" si="235"/>
        <v>0</v>
      </c>
      <c r="CZ76" s="139">
        <f t="shared" si="236"/>
        <v>0</v>
      </c>
      <c r="DA76" s="13"/>
      <c r="DB76" s="55">
        <f t="shared" si="237"/>
        <v>0</v>
      </c>
      <c r="DC76" s="55">
        <f t="shared" si="238"/>
        <v>0</v>
      </c>
      <c r="DD76" s="56">
        <f t="shared" si="239"/>
        <v>0</v>
      </c>
      <c r="DE76" s="56">
        <f t="shared" si="240"/>
        <v>0</v>
      </c>
      <c r="DF76" s="31">
        <f t="shared" si="183"/>
        <v>20182</v>
      </c>
      <c r="DH76" s="16"/>
      <c r="DI76" s="16"/>
      <c r="DJ76" s="16"/>
      <c r="DK76" s="16"/>
      <c r="DL76" s="16"/>
      <c r="DN76" s="33">
        <f t="shared" si="241"/>
        <v>0</v>
      </c>
      <c r="DO76" s="33">
        <f t="shared" si="242"/>
        <v>0</v>
      </c>
      <c r="DP76" s="33">
        <f t="shared" si="243"/>
        <v>0</v>
      </c>
      <c r="DQ76" s="139">
        <f t="shared" si="244"/>
        <v>0</v>
      </c>
      <c r="DR76" s="139">
        <f t="shared" si="245"/>
        <v>0</v>
      </c>
      <c r="DS76" s="13"/>
      <c r="DT76" s="55">
        <f t="shared" si="246"/>
        <v>0</v>
      </c>
      <c r="DU76" s="55">
        <f t="shared" si="247"/>
        <v>0</v>
      </c>
      <c r="DV76" s="56">
        <f t="shared" si="248"/>
        <v>0</v>
      </c>
      <c r="DW76" s="56">
        <f t="shared" si="249"/>
        <v>0</v>
      </c>
      <c r="DX76" s="31">
        <f t="shared" si="184"/>
        <v>20182</v>
      </c>
      <c r="DZ76" s="16"/>
      <c r="EA76" s="16"/>
      <c r="EB76" s="16"/>
      <c r="EC76" s="16"/>
      <c r="ED76" s="16"/>
      <c r="EF76" s="33">
        <f t="shared" si="250"/>
        <v>0</v>
      </c>
      <c r="EG76" s="33">
        <f t="shared" si="251"/>
        <v>0</v>
      </c>
      <c r="EH76" s="33">
        <f t="shared" si="252"/>
        <v>0</v>
      </c>
      <c r="EI76" s="139">
        <f t="shared" si="253"/>
        <v>0</v>
      </c>
      <c r="EJ76" s="139">
        <f t="shared" si="254"/>
        <v>0</v>
      </c>
      <c r="EK76" s="13"/>
      <c r="EL76" s="55">
        <f t="shared" si="255"/>
        <v>0</v>
      </c>
      <c r="EM76" s="55">
        <f t="shared" si="256"/>
        <v>0</v>
      </c>
      <c r="EN76" s="56">
        <f t="shared" si="257"/>
        <v>0</v>
      </c>
      <c r="EO76" s="56">
        <f t="shared" si="258"/>
        <v>0</v>
      </c>
      <c r="EP76" s="31">
        <f t="shared" si="185"/>
        <v>20182</v>
      </c>
      <c r="ER76" s="16"/>
      <c r="ES76" s="16"/>
      <c r="ET76" s="16"/>
      <c r="EU76" s="16"/>
      <c r="EV76" s="16"/>
      <c r="EX76" s="33">
        <f t="shared" si="259"/>
        <v>0</v>
      </c>
      <c r="EY76" s="33">
        <f t="shared" si="260"/>
        <v>0</v>
      </c>
      <c r="EZ76" s="33">
        <f t="shared" si="261"/>
        <v>0</v>
      </c>
      <c r="FA76" s="139">
        <f t="shared" si="262"/>
        <v>0</v>
      </c>
      <c r="FB76" s="139">
        <f t="shared" si="263"/>
        <v>0</v>
      </c>
      <c r="FC76" s="13"/>
      <c r="FD76" s="55">
        <f t="shared" si="264"/>
        <v>0</v>
      </c>
      <c r="FE76" s="55">
        <f t="shared" si="265"/>
        <v>0</v>
      </c>
      <c r="FF76" s="56">
        <f t="shared" si="266"/>
        <v>0</v>
      </c>
      <c r="FG76" s="56">
        <f t="shared" si="267"/>
        <v>0</v>
      </c>
      <c r="FH76" s="31">
        <f t="shared" si="186"/>
        <v>20182</v>
      </c>
      <c r="FJ76" s="16"/>
      <c r="FK76" s="16"/>
      <c r="FL76" s="16"/>
      <c r="FM76" s="16"/>
      <c r="FN76" s="16"/>
      <c r="FP76" s="33">
        <f t="shared" si="268"/>
        <v>0</v>
      </c>
      <c r="FQ76" s="33">
        <f t="shared" si="269"/>
        <v>0</v>
      </c>
      <c r="FR76" s="33">
        <f t="shared" si="270"/>
        <v>0</v>
      </c>
      <c r="FS76" s="139">
        <f t="shared" si="271"/>
        <v>0</v>
      </c>
      <c r="FT76" s="139">
        <f t="shared" si="272"/>
        <v>0</v>
      </c>
      <c r="FU76" s="13"/>
      <c r="FV76" s="55">
        <f t="shared" si="273"/>
        <v>0</v>
      </c>
      <c r="FW76" s="55">
        <f t="shared" si="274"/>
        <v>0</v>
      </c>
      <c r="FX76" s="56">
        <f t="shared" si="275"/>
        <v>0</v>
      </c>
      <c r="FY76" s="56">
        <f t="shared" si="276"/>
        <v>0</v>
      </c>
    </row>
    <row r="77" spans="1:181" x14ac:dyDescent="0.25">
      <c r="A77" s="25">
        <v>12</v>
      </c>
      <c r="B77" s="12">
        <f t="shared" si="177"/>
        <v>20183</v>
      </c>
      <c r="D77" s="16"/>
      <c r="E77" s="16"/>
      <c r="F77" s="16"/>
      <c r="G77" s="16"/>
      <c r="H77" s="16"/>
      <c r="J77" s="33">
        <f t="shared" si="187"/>
        <v>0</v>
      </c>
      <c r="K77" s="33">
        <f t="shared" si="188"/>
        <v>0</v>
      </c>
      <c r="L77" s="33">
        <f t="shared" si="189"/>
        <v>0</v>
      </c>
      <c r="M77" s="139">
        <f t="shared" si="190"/>
        <v>0</v>
      </c>
      <c r="N77" s="139">
        <f t="shared" si="191"/>
        <v>0</v>
      </c>
      <c r="O77" s="13"/>
      <c r="P77" s="55">
        <f t="shared" si="192"/>
        <v>0</v>
      </c>
      <c r="Q77" s="55">
        <f t="shared" si="193"/>
        <v>0</v>
      </c>
      <c r="R77" s="56">
        <f t="shared" si="194"/>
        <v>0</v>
      </c>
      <c r="S77" s="56">
        <f t="shared" si="195"/>
        <v>0</v>
      </c>
      <c r="T77" s="31">
        <f t="shared" si="178"/>
        <v>20183</v>
      </c>
      <c r="V77" s="16"/>
      <c r="W77" s="16"/>
      <c r="X77" s="16"/>
      <c r="Y77" s="16"/>
      <c r="Z77" s="16"/>
      <c r="AB77" s="33">
        <f t="shared" si="196"/>
        <v>0</v>
      </c>
      <c r="AC77" s="33">
        <f t="shared" si="197"/>
        <v>0</v>
      </c>
      <c r="AD77" s="33">
        <f t="shared" si="198"/>
        <v>0</v>
      </c>
      <c r="AE77" s="139">
        <f t="shared" si="199"/>
        <v>0</v>
      </c>
      <c r="AF77" s="139">
        <f t="shared" si="200"/>
        <v>0</v>
      </c>
      <c r="AG77" s="13"/>
      <c r="AH77" s="55">
        <f t="shared" si="201"/>
        <v>0</v>
      </c>
      <c r="AI77" s="55">
        <f t="shared" si="202"/>
        <v>0</v>
      </c>
      <c r="AJ77" s="56">
        <f t="shared" si="203"/>
        <v>0</v>
      </c>
      <c r="AK77" s="56">
        <f t="shared" si="204"/>
        <v>0</v>
      </c>
      <c r="AL77" s="31">
        <f t="shared" si="179"/>
        <v>20183</v>
      </c>
      <c r="AN77" s="16"/>
      <c r="AO77" s="16"/>
      <c r="AP77" s="16"/>
      <c r="AQ77" s="16"/>
      <c r="AR77" s="16"/>
      <c r="AT77" s="33">
        <f t="shared" si="205"/>
        <v>0</v>
      </c>
      <c r="AU77" s="33">
        <f t="shared" si="206"/>
        <v>0</v>
      </c>
      <c r="AV77" s="33">
        <f t="shared" si="207"/>
        <v>0</v>
      </c>
      <c r="AW77" s="139">
        <f t="shared" si="208"/>
        <v>0</v>
      </c>
      <c r="AX77" s="139">
        <f t="shared" si="209"/>
        <v>0</v>
      </c>
      <c r="AY77" s="13"/>
      <c r="AZ77" s="55">
        <f t="shared" si="210"/>
        <v>0</v>
      </c>
      <c r="BA77" s="55">
        <f t="shared" si="211"/>
        <v>0</v>
      </c>
      <c r="BB77" s="56">
        <f t="shared" si="212"/>
        <v>0</v>
      </c>
      <c r="BC77" s="56">
        <f t="shared" si="213"/>
        <v>0</v>
      </c>
      <c r="BD77" s="31">
        <f t="shared" si="180"/>
        <v>20183</v>
      </c>
      <c r="BF77" s="16"/>
      <c r="BG77" s="16"/>
      <c r="BH77" s="16"/>
      <c r="BI77" s="16"/>
      <c r="BJ77" s="16"/>
      <c r="BL77" s="33">
        <f t="shared" si="214"/>
        <v>0</v>
      </c>
      <c r="BM77" s="33">
        <f t="shared" si="215"/>
        <v>0</v>
      </c>
      <c r="BN77" s="33">
        <f t="shared" si="216"/>
        <v>0</v>
      </c>
      <c r="BO77" s="139">
        <f t="shared" si="217"/>
        <v>0</v>
      </c>
      <c r="BP77" s="139">
        <f t="shared" si="218"/>
        <v>0</v>
      </c>
      <c r="BQ77" s="13"/>
      <c r="BR77" s="55">
        <f t="shared" si="219"/>
        <v>0</v>
      </c>
      <c r="BS77" s="55">
        <f t="shared" si="220"/>
        <v>0</v>
      </c>
      <c r="BT77" s="56">
        <f t="shared" si="221"/>
        <v>0</v>
      </c>
      <c r="BU77" s="56">
        <f t="shared" si="222"/>
        <v>0</v>
      </c>
      <c r="BV77" s="31">
        <f t="shared" si="181"/>
        <v>20183</v>
      </c>
      <c r="BX77" s="16"/>
      <c r="BY77" s="16"/>
      <c r="BZ77" s="16"/>
      <c r="CA77" s="16"/>
      <c r="CB77" s="16"/>
      <c r="CD77" s="33">
        <f t="shared" si="223"/>
        <v>0</v>
      </c>
      <c r="CE77" s="33">
        <f t="shared" si="224"/>
        <v>0</v>
      </c>
      <c r="CF77" s="33">
        <f t="shared" si="225"/>
        <v>0</v>
      </c>
      <c r="CG77" s="139">
        <f t="shared" si="226"/>
        <v>0</v>
      </c>
      <c r="CH77" s="139">
        <f t="shared" si="227"/>
        <v>0</v>
      </c>
      <c r="CI77" s="13"/>
      <c r="CJ77" s="55">
        <f t="shared" si="228"/>
        <v>0</v>
      </c>
      <c r="CK77" s="55">
        <f t="shared" si="229"/>
        <v>0</v>
      </c>
      <c r="CL77" s="56">
        <f t="shared" si="230"/>
        <v>0</v>
      </c>
      <c r="CM77" s="56">
        <f t="shared" si="231"/>
        <v>0</v>
      </c>
      <c r="CN77" s="31">
        <f t="shared" si="182"/>
        <v>20183</v>
      </c>
      <c r="CP77" s="16"/>
      <c r="CQ77" s="16"/>
      <c r="CR77" s="16"/>
      <c r="CS77" s="16"/>
      <c r="CT77" s="16"/>
      <c r="CV77" s="33">
        <f t="shared" si="232"/>
        <v>0</v>
      </c>
      <c r="CW77" s="33">
        <f t="shared" si="233"/>
        <v>0</v>
      </c>
      <c r="CX77" s="33">
        <f t="shared" si="234"/>
        <v>0</v>
      </c>
      <c r="CY77" s="139">
        <f t="shared" si="235"/>
        <v>0</v>
      </c>
      <c r="CZ77" s="139">
        <f t="shared" si="236"/>
        <v>0</v>
      </c>
      <c r="DA77" s="13"/>
      <c r="DB77" s="55">
        <f t="shared" si="237"/>
        <v>0</v>
      </c>
      <c r="DC77" s="55">
        <f t="shared" si="238"/>
        <v>0</v>
      </c>
      <c r="DD77" s="56">
        <f t="shared" si="239"/>
        <v>0</v>
      </c>
      <c r="DE77" s="56">
        <f t="shared" si="240"/>
        <v>0</v>
      </c>
      <c r="DF77" s="31">
        <f t="shared" si="183"/>
        <v>20183</v>
      </c>
      <c r="DH77" s="16"/>
      <c r="DI77" s="16"/>
      <c r="DJ77" s="16"/>
      <c r="DK77" s="16"/>
      <c r="DL77" s="16"/>
      <c r="DN77" s="33">
        <f t="shared" si="241"/>
        <v>0</v>
      </c>
      <c r="DO77" s="33">
        <f t="shared" si="242"/>
        <v>0</v>
      </c>
      <c r="DP77" s="33">
        <f t="shared" si="243"/>
        <v>0</v>
      </c>
      <c r="DQ77" s="139">
        <f t="shared" si="244"/>
        <v>0</v>
      </c>
      <c r="DR77" s="139">
        <f t="shared" si="245"/>
        <v>0</v>
      </c>
      <c r="DS77" s="13"/>
      <c r="DT77" s="55">
        <f t="shared" si="246"/>
        <v>0</v>
      </c>
      <c r="DU77" s="55">
        <f t="shared" si="247"/>
        <v>0</v>
      </c>
      <c r="DV77" s="56">
        <f t="shared" si="248"/>
        <v>0</v>
      </c>
      <c r="DW77" s="56">
        <f t="shared" si="249"/>
        <v>0</v>
      </c>
      <c r="DX77" s="31">
        <f t="shared" si="184"/>
        <v>20183</v>
      </c>
      <c r="DZ77" s="16"/>
      <c r="EA77" s="16"/>
      <c r="EB77" s="16"/>
      <c r="EC77" s="16"/>
      <c r="ED77" s="16"/>
      <c r="EF77" s="33">
        <f t="shared" si="250"/>
        <v>0</v>
      </c>
      <c r="EG77" s="33">
        <f t="shared" si="251"/>
        <v>0</v>
      </c>
      <c r="EH77" s="33">
        <f t="shared" si="252"/>
        <v>0</v>
      </c>
      <c r="EI77" s="139">
        <f t="shared" si="253"/>
        <v>0</v>
      </c>
      <c r="EJ77" s="139">
        <f t="shared" si="254"/>
        <v>0</v>
      </c>
      <c r="EK77" s="13"/>
      <c r="EL77" s="55">
        <f t="shared" si="255"/>
        <v>0</v>
      </c>
      <c r="EM77" s="55">
        <f t="shared" si="256"/>
        <v>0</v>
      </c>
      <c r="EN77" s="56">
        <f t="shared" si="257"/>
        <v>0</v>
      </c>
      <c r="EO77" s="56">
        <f t="shared" si="258"/>
        <v>0</v>
      </c>
      <c r="EP77" s="31">
        <f t="shared" si="185"/>
        <v>20183</v>
      </c>
      <c r="ER77" s="16"/>
      <c r="ES77" s="16"/>
      <c r="ET77" s="16"/>
      <c r="EU77" s="16"/>
      <c r="EV77" s="16"/>
      <c r="EX77" s="33">
        <f t="shared" si="259"/>
        <v>0</v>
      </c>
      <c r="EY77" s="33">
        <f t="shared" si="260"/>
        <v>0</v>
      </c>
      <c r="EZ77" s="33">
        <f t="shared" si="261"/>
        <v>0</v>
      </c>
      <c r="FA77" s="139">
        <f t="shared" si="262"/>
        <v>0</v>
      </c>
      <c r="FB77" s="139">
        <f t="shared" si="263"/>
        <v>0</v>
      </c>
      <c r="FC77" s="13"/>
      <c r="FD77" s="55">
        <f t="shared" si="264"/>
        <v>0</v>
      </c>
      <c r="FE77" s="55">
        <f t="shared" si="265"/>
        <v>0</v>
      </c>
      <c r="FF77" s="56">
        <f t="shared" si="266"/>
        <v>0</v>
      </c>
      <c r="FG77" s="56">
        <f t="shared" si="267"/>
        <v>0</v>
      </c>
      <c r="FH77" s="31">
        <f t="shared" si="186"/>
        <v>20183</v>
      </c>
      <c r="FJ77" s="16"/>
      <c r="FK77" s="16"/>
      <c r="FL77" s="16"/>
      <c r="FM77" s="16"/>
      <c r="FN77" s="16"/>
      <c r="FP77" s="33">
        <f t="shared" si="268"/>
        <v>0</v>
      </c>
      <c r="FQ77" s="33">
        <f t="shared" si="269"/>
        <v>0</v>
      </c>
      <c r="FR77" s="33">
        <f t="shared" si="270"/>
        <v>0</v>
      </c>
      <c r="FS77" s="139">
        <f t="shared" si="271"/>
        <v>0</v>
      </c>
      <c r="FT77" s="139">
        <f t="shared" si="272"/>
        <v>0</v>
      </c>
      <c r="FU77" s="13"/>
      <c r="FV77" s="55">
        <f t="shared" si="273"/>
        <v>0</v>
      </c>
      <c r="FW77" s="55">
        <f t="shared" si="274"/>
        <v>0</v>
      </c>
      <c r="FX77" s="56">
        <f t="shared" si="275"/>
        <v>0</v>
      </c>
      <c r="FY77" s="56">
        <f t="shared" si="276"/>
        <v>0</v>
      </c>
    </row>
    <row r="78" spans="1:181" x14ac:dyDescent="0.25">
      <c r="A78" s="25">
        <v>13</v>
      </c>
      <c r="B78" s="12">
        <f t="shared" si="177"/>
        <v>20184</v>
      </c>
      <c r="D78" s="16"/>
      <c r="E78" s="16"/>
      <c r="F78" s="16"/>
      <c r="G78" s="16"/>
      <c r="H78" s="16"/>
      <c r="J78" s="33">
        <f t="shared" si="187"/>
        <v>0</v>
      </c>
      <c r="K78" s="33">
        <f t="shared" si="188"/>
        <v>0</v>
      </c>
      <c r="L78" s="33">
        <f t="shared" si="189"/>
        <v>0</v>
      </c>
      <c r="M78" s="139">
        <f t="shared" si="190"/>
        <v>0</v>
      </c>
      <c r="N78" s="139">
        <f t="shared" si="191"/>
        <v>0</v>
      </c>
      <c r="O78" s="13"/>
      <c r="P78" s="55">
        <f t="shared" si="192"/>
        <v>0</v>
      </c>
      <c r="Q78" s="55">
        <f t="shared" si="193"/>
        <v>0</v>
      </c>
      <c r="R78" s="56">
        <f t="shared" si="194"/>
        <v>0</v>
      </c>
      <c r="S78" s="56">
        <f t="shared" si="195"/>
        <v>0</v>
      </c>
      <c r="T78" s="31">
        <f t="shared" si="178"/>
        <v>20184</v>
      </c>
      <c r="V78" s="16"/>
      <c r="W78" s="16"/>
      <c r="X78" s="16"/>
      <c r="Y78" s="16"/>
      <c r="Z78" s="16"/>
      <c r="AB78" s="33">
        <f t="shared" si="196"/>
        <v>0</v>
      </c>
      <c r="AC78" s="33">
        <f t="shared" si="197"/>
        <v>0</v>
      </c>
      <c r="AD78" s="33">
        <f t="shared" si="198"/>
        <v>0</v>
      </c>
      <c r="AE78" s="139">
        <f t="shared" si="199"/>
        <v>0</v>
      </c>
      <c r="AF78" s="139">
        <f t="shared" si="200"/>
        <v>0</v>
      </c>
      <c r="AG78" s="13"/>
      <c r="AH78" s="55">
        <f t="shared" si="201"/>
        <v>0</v>
      </c>
      <c r="AI78" s="55">
        <f t="shared" si="202"/>
        <v>0</v>
      </c>
      <c r="AJ78" s="56">
        <f t="shared" si="203"/>
        <v>0</v>
      </c>
      <c r="AK78" s="56">
        <f t="shared" si="204"/>
        <v>0</v>
      </c>
      <c r="AL78" s="31">
        <f t="shared" si="179"/>
        <v>20184</v>
      </c>
      <c r="AN78" s="16"/>
      <c r="AO78" s="16"/>
      <c r="AP78" s="16"/>
      <c r="AQ78" s="16"/>
      <c r="AR78" s="16"/>
      <c r="AT78" s="33">
        <f t="shared" si="205"/>
        <v>0</v>
      </c>
      <c r="AU78" s="33">
        <f t="shared" si="206"/>
        <v>0</v>
      </c>
      <c r="AV78" s="33">
        <f t="shared" si="207"/>
        <v>0</v>
      </c>
      <c r="AW78" s="139">
        <f t="shared" si="208"/>
        <v>0</v>
      </c>
      <c r="AX78" s="139">
        <f t="shared" si="209"/>
        <v>0</v>
      </c>
      <c r="AY78" s="13"/>
      <c r="AZ78" s="55">
        <f t="shared" si="210"/>
        <v>0</v>
      </c>
      <c r="BA78" s="55">
        <f t="shared" si="211"/>
        <v>0</v>
      </c>
      <c r="BB78" s="56">
        <f t="shared" si="212"/>
        <v>0</v>
      </c>
      <c r="BC78" s="56">
        <f t="shared" si="213"/>
        <v>0</v>
      </c>
      <c r="BD78" s="31">
        <f t="shared" si="180"/>
        <v>20184</v>
      </c>
      <c r="BF78" s="16"/>
      <c r="BG78" s="16"/>
      <c r="BH78" s="16"/>
      <c r="BI78" s="16"/>
      <c r="BJ78" s="16"/>
      <c r="BL78" s="33">
        <f t="shared" si="214"/>
        <v>0</v>
      </c>
      <c r="BM78" s="33">
        <f t="shared" si="215"/>
        <v>0</v>
      </c>
      <c r="BN78" s="33">
        <f t="shared" si="216"/>
        <v>0</v>
      </c>
      <c r="BO78" s="139">
        <f t="shared" si="217"/>
        <v>0</v>
      </c>
      <c r="BP78" s="139">
        <f t="shared" si="218"/>
        <v>0</v>
      </c>
      <c r="BQ78" s="13"/>
      <c r="BR78" s="55">
        <f t="shared" si="219"/>
        <v>0</v>
      </c>
      <c r="BS78" s="55">
        <f t="shared" si="220"/>
        <v>0</v>
      </c>
      <c r="BT78" s="56">
        <f t="shared" si="221"/>
        <v>0</v>
      </c>
      <c r="BU78" s="56">
        <f t="shared" si="222"/>
        <v>0</v>
      </c>
      <c r="BV78" s="31">
        <f t="shared" si="181"/>
        <v>20184</v>
      </c>
      <c r="BX78" s="16"/>
      <c r="BY78" s="16"/>
      <c r="BZ78" s="16"/>
      <c r="CA78" s="16"/>
      <c r="CB78" s="16"/>
      <c r="CD78" s="33">
        <f t="shared" si="223"/>
        <v>0</v>
      </c>
      <c r="CE78" s="33">
        <f t="shared" si="224"/>
        <v>0</v>
      </c>
      <c r="CF78" s="33">
        <f t="shared" si="225"/>
        <v>0</v>
      </c>
      <c r="CG78" s="139">
        <f t="shared" si="226"/>
        <v>0</v>
      </c>
      <c r="CH78" s="139">
        <f t="shared" si="227"/>
        <v>0</v>
      </c>
      <c r="CI78" s="13"/>
      <c r="CJ78" s="55">
        <f t="shared" si="228"/>
        <v>0</v>
      </c>
      <c r="CK78" s="55">
        <f t="shared" si="229"/>
        <v>0</v>
      </c>
      <c r="CL78" s="56">
        <f t="shared" si="230"/>
        <v>0</v>
      </c>
      <c r="CM78" s="56">
        <f t="shared" si="231"/>
        <v>0</v>
      </c>
      <c r="CN78" s="31">
        <f t="shared" si="182"/>
        <v>20184</v>
      </c>
      <c r="CP78" s="16"/>
      <c r="CQ78" s="16"/>
      <c r="CR78" s="16"/>
      <c r="CS78" s="16"/>
      <c r="CT78" s="16"/>
      <c r="CV78" s="33">
        <f t="shared" si="232"/>
        <v>0</v>
      </c>
      <c r="CW78" s="33">
        <f t="shared" si="233"/>
        <v>0</v>
      </c>
      <c r="CX78" s="33">
        <f t="shared" si="234"/>
        <v>0</v>
      </c>
      <c r="CY78" s="139">
        <f t="shared" si="235"/>
        <v>0</v>
      </c>
      <c r="CZ78" s="139">
        <f t="shared" si="236"/>
        <v>0</v>
      </c>
      <c r="DA78" s="13"/>
      <c r="DB78" s="55">
        <f t="shared" si="237"/>
        <v>0</v>
      </c>
      <c r="DC78" s="55">
        <f t="shared" si="238"/>
        <v>0</v>
      </c>
      <c r="DD78" s="56">
        <f t="shared" si="239"/>
        <v>0</v>
      </c>
      <c r="DE78" s="56">
        <f t="shared" si="240"/>
        <v>0</v>
      </c>
      <c r="DF78" s="31">
        <f t="shared" si="183"/>
        <v>20184</v>
      </c>
      <c r="DH78" s="16"/>
      <c r="DI78" s="16"/>
      <c r="DJ78" s="16"/>
      <c r="DK78" s="16"/>
      <c r="DL78" s="16"/>
      <c r="DN78" s="33">
        <f t="shared" si="241"/>
        <v>0</v>
      </c>
      <c r="DO78" s="33">
        <f t="shared" si="242"/>
        <v>0</v>
      </c>
      <c r="DP78" s="33">
        <f t="shared" si="243"/>
        <v>0</v>
      </c>
      <c r="DQ78" s="139">
        <f t="shared" si="244"/>
        <v>0</v>
      </c>
      <c r="DR78" s="139">
        <f t="shared" si="245"/>
        <v>0</v>
      </c>
      <c r="DS78" s="13"/>
      <c r="DT78" s="55">
        <f t="shared" si="246"/>
        <v>0</v>
      </c>
      <c r="DU78" s="55">
        <f t="shared" si="247"/>
        <v>0</v>
      </c>
      <c r="DV78" s="56">
        <f t="shared" si="248"/>
        <v>0</v>
      </c>
      <c r="DW78" s="56">
        <f t="shared" si="249"/>
        <v>0</v>
      </c>
      <c r="DX78" s="31">
        <f t="shared" si="184"/>
        <v>20184</v>
      </c>
      <c r="DZ78" s="16"/>
      <c r="EA78" s="16"/>
      <c r="EB78" s="16"/>
      <c r="EC78" s="16"/>
      <c r="ED78" s="16"/>
      <c r="EF78" s="33">
        <f t="shared" si="250"/>
        <v>0</v>
      </c>
      <c r="EG78" s="33">
        <f t="shared" si="251"/>
        <v>0</v>
      </c>
      <c r="EH78" s="33">
        <f t="shared" si="252"/>
        <v>0</v>
      </c>
      <c r="EI78" s="139">
        <f t="shared" si="253"/>
        <v>0</v>
      </c>
      <c r="EJ78" s="139">
        <f t="shared" si="254"/>
        <v>0</v>
      </c>
      <c r="EK78" s="13"/>
      <c r="EL78" s="55">
        <f t="shared" si="255"/>
        <v>0</v>
      </c>
      <c r="EM78" s="55">
        <f t="shared" si="256"/>
        <v>0</v>
      </c>
      <c r="EN78" s="56">
        <f t="shared" si="257"/>
        <v>0</v>
      </c>
      <c r="EO78" s="56">
        <f t="shared" si="258"/>
        <v>0</v>
      </c>
      <c r="EP78" s="31">
        <f t="shared" si="185"/>
        <v>20184</v>
      </c>
      <c r="ER78" s="16"/>
      <c r="ES78" s="16"/>
      <c r="ET78" s="16"/>
      <c r="EU78" s="16"/>
      <c r="EV78" s="16"/>
      <c r="EX78" s="33">
        <f t="shared" si="259"/>
        <v>0</v>
      </c>
      <c r="EY78" s="33">
        <f t="shared" si="260"/>
        <v>0</v>
      </c>
      <c r="EZ78" s="33">
        <f t="shared" si="261"/>
        <v>0</v>
      </c>
      <c r="FA78" s="139">
        <f t="shared" si="262"/>
        <v>0</v>
      </c>
      <c r="FB78" s="139">
        <f t="shared" si="263"/>
        <v>0</v>
      </c>
      <c r="FC78" s="13"/>
      <c r="FD78" s="55">
        <f t="shared" si="264"/>
        <v>0</v>
      </c>
      <c r="FE78" s="55">
        <f t="shared" si="265"/>
        <v>0</v>
      </c>
      <c r="FF78" s="56">
        <f t="shared" si="266"/>
        <v>0</v>
      </c>
      <c r="FG78" s="56">
        <f t="shared" si="267"/>
        <v>0</v>
      </c>
      <c r="FH78" s="31">
        <f t="shared" si="186"/>
        <v>20184</v>
      </c>
      <c r="FJ78" s="16"/>
      <c r="FK78" s="16"/>
      <c r="FL78" s="16"/>
      <c r="FM78" s="16"/>
      <c r="FN78" s="16"/>
      <c r="FP78" s="33">
        <f t="shared" si="268"/>
        <v>0</v>
      </c>
      <c r="FQ78" s="33">
        <f t="shared" si="269"/>
        <v>0</v>
      </c>
      <c r="FR78" s="33">
        <f t="shared" si="270"/>
        <v>0</v>
      </c>
      <c r="FS78" s="139">
        <f t="shared" si="271"/>
        <v>0</v>
      </c>
      <c r="FT78" s="139">
        <f t="shared" si="272"/>
        <v>0</v>
      </c>
      <c r="FU78" s="13"/>
      <c r="FV78" s="55">
        <f t="shared" si="273"/>
        <v>0</v>
      </c>
      <c r="FW78" s="55">
        <f t="shared" si="274"/>
        <v>0</v>
      </c>
      <c r="FX78" s="56">
        <f t="shared" si="275"/>
        <v>0</v>
      </c>
      <c r="FY78" s="56">
        <f t="shared" si="276"/>
        <v>0</v>
      </c>
    </row>
    <row r="79" spans="1:181" x14ac:dyDescent="0.25">
      <c r="A79" s="25">
        <v>14</v>
      </c>
      <c r="B79" s="12">
        <f t="shared" si="177"/>
        <v>20191</v>
      </c>
      <c r="D79" s="16"/>
      <c r="E79" s="16"/>
      <c r="F79" s="16"/>
      <c r="G79" s="16"/>
      <c r="H79" s="16"/>
      <c r="J79" s="33">
        <f t="shared" si="187"/>
        <v>0</v>
      </c>
      <c r="K79" s="33">
        <f t="shared" si="188"/>
        <v>0</v>
      </c>
      <c r="L79" s="33">
        <f t="shared" si="189"/>
        <v>0</v>
      </c>
      <c r="M79" s="139">
        <f t="shared" si="190"/>
        <v>0</v>
      </c>
      <c r="N79" s="139">
        <f t="shared" si="191"/>
        <v>0</v>
      </c>
      <c r="O79" s="13"/>
      <c r="P79" s="55">
        <f t="shared" si="192"/>
        <v>0</v>
      </c>
      <c r="Q79" s="55">
        <f t="shared" si="193"/>
        <v>0</v>
      </c>
      <c r="R79" s="56">
        <f t="shared" si="194"/>
        <v>0</v>
      </c>
      <c r="S79" s="56">
        <f t="shared" si="195"/>
        <v>0</v>
      </c>
      <c r="T79" s="31">
        <f t="shared" si="178"/>
        <v>20191</v>
      </c>
      <c r="V79" s="16"/>
      <c r="W79" s="16"/>
      <c r="X79" s="16"/>
      <c r="Y79" s="16"/>
      <c r="Z79" s="16"/>
      <c r="AB79" s="33">
        <f t="shared" si="196"/>
        <v>0</v>
      </c>
      <c r="AC79" s="33">
        <f t="shared" si="197"/>
        <v>0</v>
      </c>
      <c r="AD79" s="33">
        <f t="shared" si="198"/>
        <v>0</v>
      </c>
      <c r="AE79" s="139">
        <f t="shared" si="199"/>
        <v>0</v>
      </c>
      <c r="AF79" s="139">
        <f t="shared" si="200"/>
        <v>0</v>
      </c>
      <c r="AG79" s="13"/>
      <c r="AH79" s="55">
        <f t="shared" si="201"/>
        <v>0</v>
      </c>
      <c r="AI79" s="55">
        <f t="shared" si="202"/>
        <v>0</v>
      </c>
      <c r="AJ79" s="56">
        <f t="shared" si="203"/>
        <v>0</v>
      </c>
      <c r="AK79" s="56">
        <f t="shared" si="204"/>
        <v>0</v>
      </c>
      <c r="AL79" s="31">
        <f t="shared" si="179"/>
        <v>20191</v>
      </c>
      <c r="AN79" s="16"/>
      <c r="AO79" s="16"/>
      <c r="AP79" s="16"/>
      <c r="AQ79" s="16"/>
      <c r="AR79" s="16"/>
      <c r="AT79" s="33">
        <f t="shared" si="205"/>
        <v>0</v>
      </c>
      <c r="AU79" s="33">
        <f t="shared" si="206"/>
        <v>0</v>
      </c>
      <c r="AV79" s="33">
        <f t="shared" si="207"/>
        <v>0</v>
      </c>
      <c r="AW79" s="139">
        <f t="shared" si="208"/>
        <v>0</v>
      </c>
      <c r="AX79" s="139">
        <f t="shared" si="209"/>
        <v>0</v>
      </c>
      <c r="AY79" s="13"/>
      <c r="AZ79" s="55">
        <f t="shared" si="210"/>
        <v>0</v>
      </c>
      <c r="BA79" s="55">
        <f t="shared" si="211"/>
        <v>0</v>
      </c>
      <c r="BB79" s="56">
        <f t="shared" si="212"/>
        <v>0</v>
      </c>
      <c r="BC79" s="56">
        <f t="shared" si="213"/>
        <v>0</v>
      </c>
      <c r="BD79" s="31">
        <f t="shared" si="180"/>
        <v>20191</v>
      </c>
      <c r="BF79" s="16"/>
      <c r="BG79" s="16"/>
      <c r="BH79" s="16"/>
      <c r="BI79" s="16"/>
      <c r="BJ79" s="16"/>
      <c r="BL79" s="33">
        <f t="shared" si="214"/>
        <v>0</v>
      </c>
      <c r="BM79" s="33">
        <f t="shared" si="215"/>
        <v>0</v>
      </c>
      <c r="BN79" s="33">
        <f t="shared" si="216"/>
        <v>0</v>
      </c>
      <c r="BO79" s="139">
        <f t="shared" si="217"/>
        <v>0</v>
      </c>
      <c r="BP79" s="139">
        <f t="shared" si="218"/>
        <v>0</v>
      </c>
      <c r="BQ79" s="13"/>
      <c r="BR79" s="55">
        <f t="shared" si="219"/>
        <v>0</v>
      </c>
      <c r="BS79" s="55">
        <f t="shared" si="220"/>
        <v>0</v>
      </c>
      <c r="BT79" s="56">
        <f t="shared" si="221"/>
        <v>0</v>
      </c>
      <c r="BU79" s="56">
        <f t="shared" si="222"/>
        <v>0</v>
      </c>
      <c r="BV79" s="31">
        <f t="shared" si="181"/>
        <v>20191</v>
      </c>
      <c r="BX79" s="16"/>
      <c r="BY79" s="16"/>
      <c r="BZ79" s="16"/>
      <c r="CA79" s="16"/>
      <c r="CB79" s="16"/>
      <c r="CD79" s="33">
        <f t="shared" si="223"/>
        <v>0</v>
      </c>
      <c r="CE79" s="33">
        <f t="shared" si="224"/>
        <v>0</v>
      </c>
      <c r="CF79" s="33">
        <f t="shared" si="225"/>
        <v>0</v>
      </c>
      <c r="CG79" s="139">
        <f t="shared" si="226"/>
        <v>0</v>
      </c>
      <c r="CH79" s="139">
        <f t="shared" si="227"/>
        <v>0</v>
      </c>
      <c r="CI79" s="13"/>
      <c r="CJ79" s="55">
        <f t="shared" si="228"/>
        <v>0</v>
      </c>
      <c r="CK79" s="55">
        <f t="shared" si="229"/>
        <v>0</v>
      </c>
      <c r="CL79" s="56">
        <f t="shared" si="230"/>
        <v>0</v>
      </c>
      <c r="CM79" s="56">
        <f t="shared" si="231"/>
        <v>0</v>
      </c>
      <c r="CN79" s="31">
        <f t="shared" si="182"/>
        <v>20191</v>
      </c>
      <c r="CP79" s="16"/>
      <c r="CQ79" s="16"/>
      <c r="CR79" s="16"/>
      <c r="CS79" s="16"/>
      <c r="CT79" s="16"/>
      <c r="CV79" s="33">
        <f t="shared" si="232"/>
        <v>0</v>
      </c>
      <c r="CW79" s="33">
        <f t="shared" si="233"/>
        <v>0</v>
      </c>
      <c r="CX79" s="33">
        <f t="shared" si="234"/>
        <v>0</v>
      </c>
      <c r="CY79" s="139">
        <f t="shared" si="235"/>
        <v>0</v>
      </c>
      <c r="CZ79" s="139">
        <f t="shared" si="236"/>
        <v>0</v>
      </c>
      <c r="DA79" s="13"/>
      <c r="DB79" s="55">
        <f t="shared" si="237"/>
        <v>0</v>
      </c>
      <c r="DC79" s="55">
        <f t="shared" si="238"/>
        <v>0</v>
      </c>
      <c r="DD79" s="56">
        <f t="shared" si="239"/>
        <v>0</v>
      </c>
      <c r="DE79" s="56">
        <f t="shared" si="240"/>
        <v>0</v>
      </c>
      <c r="DF79" s="31">
        <f t="shared" si="183"/>
        <v>20191</v>
      </c>
      <c r="DH79" s="16"/>
      <c r="DI79" s="16"/>
      <c r="DJ79" s="16"/>
      <c r="DK79" s="16"/>
      <c r="DL79" s="16"/>
      <c r="DN79" s="33">
        <f t="shared" si="241"/>
        <v>0</v>
      </c>
      <c r="DO79" s="33">
        <f t="shared" si="242"/>
        <v>0</v>
      </c>
      <c r="DP79" s="33">
        <f t="shared" si="243"/>
        <v>0</v>
      </c>
      <c r="DQ79" s="139">
        <f t="shared" si="244"/>
        <v>0</v>
      </c>
      <c r="DR79" s="139">
        <f t="shared" si="245"/>
        <v>0</v>
      </c>
      <c r="DS79" s="13"/>
      <c r="DT79" s="55">
        <f t="shared" si="246"/>
        <v>0</v>
      </c>
      <c r="DU79" s="55">
        <f t="shared" si="247"/>
        <v>0</v>
      </c>
      <c r="DV79" s="56">
        <f t="shared" si="248"/>
        <v>0</v>
      </c>
      <c r="DW79" s="56">
        <f t="shared" si="249"/>
        <v>0</v>
      </c>
      <c r="DX79" s="31">
        <f t="shared" si="184"/>
        <v>20191</v>
      </c>
      <c r="DZ79" s="16"/>
      <c r="EA79" s="16"/>
      <c r="EB79" s="16"/>
      <c r="EC79" s="16"/>
      <c r="ED79" s="16"/>
      <c r="EF79" s="33">
        <f t="shared" si="250"/>
        <v>0</v>
      </c>
      <c r="EG79" s="33">
        <f t="shared" si="251"/>
        <v>0</v>
      </c>
      <c r="EH79" s="33">
        <f t="shared" si="252"/>
        <v>0</v>
      </c>
      <c r="EI79" s="139">
        <f t="shared" si="253"/>
        <v>0</v>
      </c>
      <c r="EJ79" s="139">
        <f t="shared" si="254"/>
        <v>0</v>
      </c>
      <c r="EK79" s="13"/>
      <c r="EL79" s="55">
        <f t="shared" si="255"/>
        <v>0</v>
      </c>
      <c r="EM79" s="55">
        <f t="shared" si="256"/>
        <v>0</v>
      </c>
      <c r="EN79" s="56">
        <f t="shared" si="257"/>
        <v>0</v>
      </c>
      <c r="EO79" s="56">
        <f t="shared" si="258"/>
        <v>0</v>
      </c>
      <c r="EP79" s="31">
        <f t="shared" si="185"/>
        <v>20191</v>
      </c>
      <c r="ER79" s="16"/>
      <c r="ES79" s="16"/>
      <c r="ET79" s="16"/>
      <c r="EU79" s="16"/>
      <c r="EV79" s="16"/>
      <c r="EX79" s="33">
        <f t="shared" si="259"/>
        <v>0</v>
      </c>
      <c r="EY79" s="33">
        <f t="shared" si="260"/>
        <v>0</v>
      </c>
      <c r="EZ79" s="33">
        <f t="shared" si="261"/>
        <v>0</v>
      </c>
      <c r="FA79" s="139">
        <f t="shared" si="262"/>
        <v>0</v>
      </c>
      <c r="FB79" s="139">
        <f t="shared" si="263"/>
        <v>0</v>
      </c>
      <c r="FC79" s="13"/>
      <c r="FD79" s="55">
        <f t="shared" si="264"/>
        <v>0</v>
      </c>
      <c r="FE79" s="55">
        <f t="shared" si="265"/>
        <v>0</v>
      </c>
      <c r="FF79" s="56">
        <f t="shared" si="266"/>
        <v>0</v>
      </c>
      <c r="FG79" s="56">
        <f t="shared" si="267"/>
        <v>0</v>
      </c>
      <c r="FH79" s="31">
        <f t="shared" si="186"/>
        <v>20191</v>
      </c>
      <c r="FJ79" s="16"/>
      <c r="FK79" s="16"/>
      <c r="FL79" s="16"/>
      <c r="FM79" s="16"/>
      <c r="FN79" s="16"/>
      <c r="FP79" s="33">
        <f t="shared" si="268"/>
        <v>0</v>
      </c>
      <c r="FQ79" s="33">
        <f t="shared" si="269"/>
        <v>0</v>
      </c>
      <c r="FR79" s="33">
        <f t="shared" si="270"/>
        <v>0</v>
      </c>
      <c r="FS79" s="139">
        <f t="shared" si="271"/>
        <v>0</v>
      </c>
      <c r="FT79" s="139">
        <f t="shared" si="272"/>
        <v>0</v>
      </c>
      <c r="FU79" s="13"/>
      <c r="FV79" s="55">
        <f t="shared" si="273"/>
        <v>0</v>
      </c>
      <c r="FW79" s="55">
        <f t="shared" si="274"/>
        <v>0</v>
      </c>
      <c r="FX79" s="56">
        <f t="shared" si="275"/>
        <v>0</v>
      </c>
      <c r="FY79" s="56">
        <f t="shared" si="276"/>
        <v>0</v>
      </c>
    </row>
    <row r="80" spans="1:181" x14ac:dyDescent="0.25">
      <c r="A80" s="25">
        <v>15</v>
      </c>
      <c r="B80" s="12">
        <f t="shared" si="177"/>
        <v>20192</v>
      </c>
      <c r="D80" s="16"/>
      <c r="E80" s="16"/>
      <c r="F80" s="16"/>
      <c r="G80" s="16"/>
      <c r="H80" s="16"/>
      <c r="J80" s="33">
        <f t="shared" si="187"/>
        <v>0</v>
      </c>
      <c r="K80" s="33">
        <f t="shared" si="188"/>
        <v>0</v>
      </c>
      <c r="L80" s="33">
        <f t="shared" si="189"/>
        <v>0</v>
      </c>
      <c r="M80" s="139">
        <f t="shared" si="190"/>
        <v>0</v>
      </c>
      <c r="N80" s="139">
        <f t="shared" si="191"/>
        <v>0</v>
      </c>
      <c r="O80" s="13"/>
      <c r="P80" s="55">
        <f t="shared" si="192"/>
        <v>0</v>
      </c>
      <c r="Q80" s="55">
        <f t="shared" si="193"/>
        <v>0</v>
      </c>
      <c r="R80" s="56">
        <f t="shared" si="194"/>
        <v>0</v>
      </c>
      <c r="S80" s="56">
        <f t="shared" si="195"/>
        <v>0</v>
      </c>
      <c r="T80" s="31">
        <f t="shared" si="178"/>
        <v>20192</v>
      </c>
      <c r="V80" s="16"/>
      <c r="W80" s="16"/>
      <c r="X80" s="16"/>
      <c r="Y80" s="16"/>
      <c r="Z80" s="16"/>
      <c r="AB80" s="33">
        <f t="shared" si="196"/>
        <v>0</v>
      </c>
      <c r="AC80" s="33">
        <f t="shared" si="197"/>
        <v>0</v>
      </c>
      <c r="AD80" s="33">
        <f t="shared" si="198"/>
        <v>0</v>
      </c>
      <c r="AE80" s="139">
        <f t="shared" si="199"/>
        <v>0</v>
      </c>
      <c r="AF80" s="139">
        <f t="shared" si="200"/>
        <v>0</v>
      </c>
      <c r="AG80" s="13"/>
      <c r="AH80" s="55">
        <f t="shared" si="201"/>
        <v>0</v>
      </c>
      <c r="AI80" s="55">
        <f t="shared" si="202"/>
        <v>0</v>
      </c>
      <c r="AJ80" s="56">
        <f t="shared" si="203"/>
        <v>0</v>
      </c>
      <c r="AK80" s="56">
        <f t="shared" si="204"/>
        <v>0</v>
      </c>
      <c r="AL80" s="31">
        <f t="shared" si="179"/>
        <v>20192</v>
      </c>
      <c r="AN80" s="16"/>
      <c r="AO80" s="16"/>
      <c r="AP80" s="16"/>
      <c r="AQ80" s="16"/>
      <c r="AR80" s="16"/>
      <c r="AT80" s="33">
        <f t="shared" si="205"/>
        <v>0</v>
      </c>
      <c r="AU80" s="33">
        <f t="shared" si="206"/>
        <v>0</v>
      </c>
      <c r="AV80" s="33">
        <f t="shared" si="207"/>
        <v>0</v>
      </c>
      <c r="AW80" s="139">
        <f t="shared" si="208"/>
        <v>0</v>
      </c>
      <c r="AX80" s="139">
        <f t="shared" si="209"/>
        <v>0</v>
      </c>
      <c r="AY80" s="13"/>
      <c r="AZ80" s="55">
        <f t="shared" si="210"/>
        <v>0</v>
      </c>
      <c r="BA80" s="55">
        <f t="shared" si="211"/>
        <v>0</v>
      </c>
      <c r="BB80" s="56">
        <f t="shared" si="212"/>
        <v>0</v>
      </c>
      <c r="BC80" s="56">
        <f t="shared" si="213"/>
        <v>0</v>
      </c>
      <c r="BD80" s="31">
        <f t="shared" si="180"/>
        <v>20192</v>
      </c>
      <c r="BF80" s="16"/>
      <c r="BG80" s="16"/>
      <c r="BH80" s="16"/>
      <c r="BI80" s="16"/>
      <c r="BJ80" s="16"/>
      <c r="BL80" s="33">
        <f t="shared" si="214"/>
        <v>0</v>
      </c>
      <c r="BM80" s="33">
        <f t="shared" si="215"/>
        <v>0</v>
      </c>
      <c r="BN80" s="33">
        <f t="shared" si="216"/>
        <v>0</v>
      </c>
      <c r="BO80" s="139">
        <f t="shared" si="217"/>
        <v>0</v>
      </c>
      <c r="BP80" s="139">
        <f t="shared" si="218"/>
        <v>0</v>
      </c>
      <c r="BQ80" s="13"/>
      <c r="BR80" s="55">
        <f t="shared" si="219"/>
        <v>0</v>
      </c>
      <c r="BS80" s="55">
        <f t="shared" si="220"/>
        <v>0</v>
      </c>
      <c r="BT80" s="56">
        <f t="shared" si="221"/>
        <v>0</v>
      </c>
      <c r="BU80" s="56">
        <f t="shared" si="222"/>
        <v>0</v>
      </c>
      <c r="BV80" s="31">
        <f t="shared" si="181"/>
        <v>20192</v>
      </c>
      <c r="BX80" s="16"/>
      <c r="BY80" s="16"/>
      <c r="BZ80" s="16"/>
      <c r="CA80" s="16"/>
      <c r="CB80" s="16"/>
      <c r="CD80" s="33">
        <f t="shared" si="223"/>
        <v>0</v>
      </c>
      <c r="CE80" s="33">
        <f t="shared" si="224"/>
        <v>0</v>
      </c>
      <c r="CF80" s="33">
        <f t="shared" si="225"/>
        <v>0</v>
      </c>
      <c r="CG80" s="139">
        <f t="shared" si="226"/>
        <v>0</v>
      </c>
      <c r="CH80" s="139">
        <f t="shared" si="227"/>
        <v>0</v>
      </c>
      <c r="CI80" s="13"/>
      <c r="CJ80" s="55">
        <f t="shared" si="228"/>
        <v>0</v>
      </c>
      <c r="CK80" s="55">
        <f t="shared" si="229"/>
        <v>0</v>
      </c>
      <c r="CL80" s="56">
        <f t="shared" si="230"/>
        <v>0</v>
      </c>
      <c r="CM80" s="56">
        <f t="shared" si="231"/>
        <v>0</v>
      </c>
      <c r="CN80" s="31">
        <f t="shared" si="182"/>
        <v>20192</v>
      </c>
      <c r="CP80" s="16"/>
      <c r="CQ80" s="16"/>
      <c r="CR80" s="16"/>
      <c r="CS80" s="16"/>
      <c r="CT80" s="16"/>
      <c r="CV80" s="33">
        <f t="shared" si="232"/>
        <v>0</v>
      </c>
      <c r="CW80" s="33">
        <f t="shared" si="233"/>
        <v>0</v>
      </c>
      <c r="CX80" s="33">
        <f t="shared" si="234"/>
        <v>0</v>
      </c>
      <c r="CY80" s="139">
        <f t="shared" si="235"/>
        <v>0</v>
      </c>
      <c r="CZ80" s="139">
        <f t="shared" si="236"/>
        <v>0</v>
      </c>
      <c r="DA80" s="13"/>
      <c r="DB80" s="55">
        <f t="shared" si="237"/>
        <v>0</v>
      </c>
      <c r="DC80" s="55">
        <f t="shared" si="238"/>
        <v>0</v>
      </c>
      <c r="DD80" s="56">
        <f t="shared" si="239"/>
        <v>0</v>
      </c>
      <c r="DE80" s="56">
        <f t="shared" si="240"/>
        <v>0</v>
      </c>
      <c r="DF80" s="31">
        <f t="shared" si="183"/>
        <v>20192</v>
      </c>
      <c r="DH80" s="16"/>
      <c r="DI80" s="16"/>
      <c r="DJ80" s="16"/>
      <c r="DK80" s="16"/>
      <c r="DL80" s="16"/>
      <c r="DN80" s="33">
        <f t="shared" si="241"/>
        <v>0</v>
      </c>
      <c r="DO80" s="33">
        <f t="shared" si="242"/>
        <v>0</v>
      </c>
      <c r="DP80" s="33">
        <f t="shared" si="243"/>
        <v>0</v>
      </c>
      <c r="DQ80" s="139">
        <f t="shared" si="244"/>
        <v>0</v>
      </c>
      <c r="DR80" s="139">
        <f t="shared" si="245"/>
        <v>0</v>
      </c>
      <c r="DS80" s="13"/>
      <c r="DT80" s="55">
        <f t="shared" si="246"/>
        <v>0</v>
      </c>
      <c r="DU80" s="55">
        <f t="shared" si="247"/>
        <v>0</v>
      </c>
      <c r="DV80" s="56">
        <f t="shared" si="248"/>
        <v>0</v>
      </c>
      <c r="DW80" s="56">
        <f t="shared" si="249"/>
        <v>0</v>
      </c>
      <c r="DX80" s="31">
        <f t="shared" si="184"/>
        <v>20192</v>
      </c>
      <c r="DZ80" s="16"/>
      <c r="EA80" s="16"/>
      <c r="EB80" s="16"/>
      <c r="EC80" s="16"/>
      <c r="ED80" s="16"/>
      <c r="EF80" s="33">
        <f t="shared" si="250"/>
        <v>0</v>
      </c>
      <c r="EG80" s="33">
        <f t="shared" si="251"/>
        <v>0</v>
      </c>
      <c r="EH80" s="33">
        <f t="shared" si="252"/>
        <v>0</v>
      </c>
      <c r="EI80" s="139">
        <f t="shared" si="253"/>
        <v>0</v>
      </c>
      <c r="EJ80" s="139">
        <f t="shared" si="254"/>
        <v>0</v>
      </c>
      <c r="EK80" s="13"/>
      <c r="EL80" s="55">
        <f t="shared" si="255"/>
        <v>0</v>
      </c>
      <c r="EM80" s="55">
        <f t="shared" si="256"/>
        <v>0</v>
      </c>
      <c r="EN80" s="56">
        <f t="shared" si="257"/>
        <v>0</v>
      </c>
      <c r="EO80" s="56">
        <f t="shared" si="258"/>
        <v>0</v>
      </c>
      <c r="EP80" s="31">
        <f t="shared" si="185"/>
        <v>20192</v>
      </c>
      <c r="ER80" s="16"/>
      <c r="ES80" s="16"/>
      <c r="ET80" s="16"/>
      <c r="EU80" s="16"/>
      <c r="EV80" s="16"/>
      <c r="EX80" s="33">
        <f t="shared" si="259"/>
        <v>0</v>
      </c>
      <c r="EY80" s="33">
        <f t="shared" si="260"/>
        <v>0</v>
      </c>
      <c r="EZ80" s="33">
        <f t="shared" si="261"/>
        <v>0</v>
      </c>
      <c r="FA80" s="139">
        <f t="shared" si="262"/>
        <v>0</v>
      </c>
      <c r="FB80" s="139">
        <f t="shared" si="263"/>
        <v>0</v>
      </c>
      <c r="FC80" s="13"/>
      <c r="FD80" s="55">
        <f t="shared" si="264"/>
        <v>0</v>
      </c>
      <c r="FE80" s="55">
        <f t="shared" si="265"/>
        <v>0</v>
      </c>
      <c r="FF80" s="56">
        <f t="shared" si="266"/>
        <v>0</v>
      </c>
      <c r="FG80" s="56">
        <f t="shared" si="267"/>
        <v>0</v>
      </c>
      <c r="FH80" s="31">
        <f t="shared" si="186"/>
        <v>20192</v>
      </c>
      <c r="FJ80" s="16"/>
      <c r="FK80" s="16"/>
      <c r="FL80" s="16"/>
      <c r="FM80" s="16"/>
      <c r="FN80" s="16"/>
      <c r="FP80" s="33">
        <f t="shared" si="268"/>
        <v>0</v>
      </c>
      <c r="FQ80" s="33">
        <f t="shared" si="269"/>
        <v>0</v>
      </c>
      <c r="FR80" s="33">
        <f t="shared" si="270"/>
        <v>0</v>
      </c>
      <c r="FS80" s="139">
        <f t="shared" si="271"/>
        <v>0</v>
      </c>
      <c r="FT80" s="139">
        <f t="shared" si="272"/>
        <v>0</v>
      </c>
      <c r="FU80" s="13"/>
      <c r="FV80" s="55">
        <f t="shared" si="273"/>
        <v>0</v>
      </c>
      <c r="FW80" s="55">
        <f t="shared" si="274"/>
        <v>0</v>
      </c>
      <c r="FX80" s="56">
        <f t="shared" si="275"/>
        <v>0</v>
      </c>
      <c r="FY80" s="56">
        <f t="shared" si="276"/>
        <v>0</v>
      </c>
    </row>
    <row r="81" spans="1:181" x14ac:dyDescent="0.25">
      <c r="A81" s="25">
        <v>16</v>
      </c>
      <c r="B81" s="12">
        <f t="shared" si="177"/>
        <v>20193</v>
      </c>
      <c r="D81" s="16"/>
      <c r="E81" s="16"/>
      <c r="F81" s="16"/>
      <c r="G81" s="16"/>
      <c r="H81" s="16"/>
      <c r="J81" s="33">
        <f t="shared" si="187"/>
        <v>0</v>
      </c>
      <c r="K81" s="33">
        <f t="shared" si="188"/>
        <v>0</v>
      </c>
      <c r="L81" s="33">
        <f t="shared" si="189"/>
        <v>0</v>
      </c>
      <c r="M81" s="139">
        <f t="shared" si="190"/>
        <v>0</v>
      </c>
      <c r="N81" s="139">
        <f t="shared" si="191"/>
        <v>0</v>
      </c>
      <c r="O81" s="13"/>
      <c r="P81" s="55">
        <f t="shared" si="192"/>
        <v>0</v>
      </c>
      <c r="Q81" s="55">
        <f t="shared" si="193"/>
        <v>0</v>
      </c>
      <c r="R81" s="56">
        <f t="shared" si="194"/>
        <v>0</v>
      </c>
      <c r="S81" s="56">
        <f t="shared" si="195"/>
        <v>0</v>
      </c>
      <c r="T81" s="31">
        <f t="shared" si="178"/>
        <v>20193</v>
      </c>
      <c r="V81" s="16"/>
      <c r="W81" s="16"/>
      <c r="X81" s="16"/>
      <c r="Y81" s="16"/>
      <c r="Z81" s="16"/>
      <c r="AB81" s="33">
        <f t="shared" si="196"/>
        <v>0</v>
      </c>
      <c r="AC81" s="33">
        <f t="shared" si="197"/>
        <v>0</v>
      </c>
      <c r="AD81" s="33">
        <f t="shared" si="198"/>
        <v>0</v>
      </c>
      <c r="AE81" s="139">
        <f t="shared" si="199"/>
        <v>0</v>
      </c>
      <c r="AF81" s="139">
        <f t="shared" si="200"/>
        <v>0</v>
      </c>
      <c r="AG81" s="13"/>
      <c r="AH81" s="55">
        <f t="shared" si="201"/>
        <v>0</v>
      </c>
      <c r="AI81" s="55">
        <f t="shared" si="202"/>
        <v>0</v>
      </c>
      <c r="AJ81" s="56">
        <f t="shared" si="203"/>
        <v>0</v>
      </c>
      <c r="AK81" s="56">
        <f t="shared" si="204"/>
        <v>0</v>
      </c>
      <c r="AL81" s="31">
        <f t="shared" si="179"/>
        <v>20193</v>
      </c>
      <c r="AN81" s="16"/>
      <c r="AO81" s="16"/>
      <c r="AP81" s="16"/>
      <c r="AQ81" s="16"/>
      <c r="AR81" s="16"/>
      <c r="AT81" s="33">
        <f t="shared" si="205"/>
        <v>0</v>
      </c>
      <c r="AU81" s="33">
        <f t="shared" si="206"/>
        <v>0</v>
      </c>
      <c r="AV81" s="33">
        <f t="shared" si="207"/>
        <v>0</v>
      </c>
      <c r="AW81" s="139">
        <f t="shared" si="208"/>
        <v>0</v>
      </c>
      <c r="AX81" s="139">
        <f t="shared" si="209"/>
        <v>0</v>
      </c>
      <c r="AY81" s="13"/>
      <c r="AZ81" s="55">
        <f t="shared" si="210"/>
        <v>0</v>
      </c>
      <c r="BA81" s="55">
        <f t="shared" si="211"/>
        <v>0</v>
      </c>
      <c r="BB81" s="56">
        <f t="shared" si="212"/>
        <v>0</v>
      </c>
      <c r="BC81" s="56">
        <f t="shared" si="213"/>
        <v>0</v>
      </c>
      <c r="BD81" s="31">
        <f t="shared" si="180"/>
        <v>20193</v>
      </c>
      <c r="BF81" s="16"/>
      <c r="BG81" s="16"/>
      <c r="BH81" s="16"/>
      <c r="BI81" s="16"/>
      <c r="BJ81" s="16"/>
      <c r="BL81" s="33">
        <f t="shared" si="214"/>
        <v>0</v>
      </c>
      <c r="BM81" s="33">
        <f t="shared" si="215"/>
        <v>0</v>
      </c>
      <c r="BN81" s="33">
        <f t="shared" si="216"/>
        <v>0</v>
      </c>
      <c r="BO81" s="139">
        <f t="shared" si="217"/>
        <v>0</v>
      </c>
      <c r="BP81" s="139">
        <f t="shared" si="218"/>
        <v>0</v>
      </c>
      <c r="BQ81" s="13"/>
      <c r="BR81" s="55">
        <f t="shared" si="219"/>
        <v>0</v>
      </c>
      <c r="BS81" s="55">
        <f t="shared" si="220"/>
        <v>0</v>
      </c>
      <c r="BT81" s="56">
        <f t="shared" si="221"/>
        <v>0</v>
      </c>
      <c r="BU81" s="56">
        <f t="shared" si="222"/>
        <v>0</v>
      </c>
      <c r="BV81" s="31">
        <f t="shared" si="181"/>
        <v>20193</v>
      </c>
      <c r="BX81" s="16"/>
      <c r="BY81" s="16"/>
      <c r="BZ81" s="16"/>
      <c r="CA81" s="16"/>
      <c r="CB81" s="16"/>
      <c r="CD81" s="33">
        <f t="shared" si="223"/>
        <v>0</v>
      </c>
      <c r="CE81" s="33">
        <f t="shared" si="224"/>
        <v>0</v>
      </c>
      <c r="CF81" s="33">
        <f t="shared" si="225"/>
        <v>0</v>
      </c>
      <c r="CG81" s="139">
        <f t="shared" si="226"/>
        <v>0</v>
      </c>
      <c r="CH81" s="139">
        <f t="shared" si="227"/>
        <v>0</v>
      </c>
      <c r="CI81" s="13"/>
      <c r="CJ81" s="55">
        <f t="shared" si="228"/>
        <v>0</v>
      </c>
      <c r="CK81" s="55">
        <f t="shared" si="229"/>
        <v>0</v>
      </c>
      <c r="CL81" s="56">
        <f t="shared" si="230"/>
        <v>0</v>
      </c>
      <c r="CM81" s="56">
        <f t="shared" si="231"/>
        <v>0</v>
      </c>
      <c r="CN81" s="31">
        <f t="shared" si="182"/>
        <v>20193</v>
      </c>
      <c r="CP81" s="16"/>
      <c r="CQ81" s="16"/>
      <c r="CR81" s="16"/>
      <c r="CS81" s="16"/>
      <c r="CT81" s="16"/>
      <c r="CV81" s="33">
        <f t="shared" si="232"/>
        <v>0</v>
      </c>
      <c r="CW81" s="33">
        <f t="shared" si="233"/>
        <v>0</v>
      </c>
      <c r="CX81" s="33">
        <f t="shared" si="234"/>
        <v>0</v>
      </c>
      <c r="CY81" s="139">
        <f t="shared" si="235"/>
        <v>0</v>
      </c>
      <c r="CZ81" s="139">
        <f t="shared" si="236"/>
        <v>0</v>
      </c>
      <c r="DA81" s="13"/>
      <c r="DB81" s="55">
        <f t="shared" si="237"/>
        <v>0</v>
      </c>
      <c r="DC81" s="55">
        <f t="shared" si="238"/>
        <v>0</v>
      </c>
      <c r="DD81" s="56">
        <f t="shared" si="239"/>
        <v>0</v>
      </c>
      <c r="DE81" s="56">
        <f t="shared" si="240"/>
        <v>0</v>
      </c>
      <c r="DF81" s="31">
        <f t="shared" si="183"/>
        <v>20193</v>
      </c>
      <c r="DH81" s="16"/>
      <c r="DI81" s="16"/>
      <c r="DJ81" s="16"/>
      <c r="DK81" s="16"/>
      <c r="DL81" s="16"/>
      <c r="DN81" s="33">
        <f t="shared" si="241"/>
        <v>0</v>
      </c>
      <c r="DO81" s="33">
        <f t="shared" si="242"/>
        <v>0</v>
      </c>
      <c r="DP81" s="33">
        <f t="shared" si="243"/>
        <v>0</v>
      </c>
      <c r="DQ81" s="139">
        <f t="shared" si="244"/>
        <v>0</v>
      </c>
      <c r="DR81" s="139">
        <f t="shared" si="245"/>
        <v>0</v>
      </c>
      <c r="DS81" s="13"/>
      <c r="DT81" s="55">
        <f t="shared" si="246"/>
        <v>0</v>
      </c>
      <c r="DU81" s="55">
        <f t="shared" si="247"/>
        <v>0</v>
      </c>
      <c r="DV81" s="56">
        <f t="shared" si="248"/>
        <v>0</v>
      </c>
      <c r="DW81" s="56">
        <f t="shared" si="249"/>
        <v>0</v>
      </c>
      <c r="DX81" s="31">
        <f t="shared" si="184"/>
        <v>20193</v>
      </c>
      <c r="DZ81" s="16"/>
      <c r="EA81" s="16"/>
      <c r="EB81" s="16"/>
      <c r="EC81" s="16"/>
      <c r="ED81" s="16"/>
      <c r="EF81" s="33">
        <f t="shared" si="250"/>
        <v>0</v>
      </c>
      <c r="EG81" s="33">
        <f t="shared" si="251"/>
        <v>0</v>
      </c>
      <c r="EH81" s="33">
        <f t="shared" si="252"/>
        <v>0</v>
      </c>
      <c r="EI81" s="139">
        <f t="shared" si="253"/>
        <v>0</v>
      </c>
      <c r="EJ81" s="139">
        <f t="shared" si="254"/>
        <v>0</v>
      </c>
      <c r="EK81" s="13"/>
      <c r="EL81" s="55">
        <f t="shared" si="255"/>
        <v>0</v>
      </c>
      <c r="EM81" s="55">
        <f t="shared" si="256"/>
        <v>0</v>
      </c>
      <c r="EN81" s="56">
        <f t="shared" si="257"/>
        <v>0</v>
      </c>
      <c r="EO81" s="56">
        <f t="shared" si="258"/>
        <v>0</v>
      </c>
      <c r="EP81" s="31">
        <f t="shared" si="185"/>
        <v>20193</v>
      </c>
      <c r="ER81" s="16"/>
      <c r="ES81" s="16"/>
      <c r="ET81" s="16"/>
      <c r="EU81" s="16"/>
      <c r="EV81" s="16"/>
      <c r="EX81" s="33">
        <f t="shared" si="259"/>
        <v>0</v>
      </c>
      <c r="EY81" s="33">
        <f t="shared" si="260"/>
        <v>0</v>
      </c>
      <c r="EZ81" s="33">
        <f t="shared" si="261"/>
        <v>0</v>
      </c>
      <c r="FA81" s="139">
        <f t="shared" si="262"/>
        <v>0</v>
      </c>
      <c r="FB81" s="139">
        <f t="shared" si="263"/>
        <v>0</v>
      </c>
      <c r="FC81" s="13"/>
      <c r="FD81" s="55">
        <f t="shared" si="264"/>
        <v>0</v>
      </c>
      <c r="FE81" s="55">
        <f t="shared" si="265"/>
        <v>0</v>
      </c>
      <c r="FF81" s="56">
        <f t="shared" si="266"/>
        <v>0</v>
      </c>
      <c r="FG81" s="56">
        <f t="shared" si="267"/>
        <v>0</v>
      </c>
      <c r="FH81" s="31">
        <f t="shared" si="186"/>
        <v>20193</v>
      </c>
      <c r="FJ81" s="16"/>
      <c r="FK81" s="16"/>
      <c r="FL81" s="16"/>
      <c r="FM81" s="16"/>
      <c r="FN81" s="16"/>
      <c r="FP81" s="33">
        <f t="shared" si="268"/>
        <v>0</v>
      </c>
      <c r="FQ81" s="33">
        <f t="shared" si="269"/>
        <v>0</v>
      </c>
      <c r="FR81" s="33">
        <f t="shared" si="270"/>
        <v>0</v>
      </c>
      <c r="FS81" s="139">
        <f t="shared" si="271"/>
        <v>0</v>
      </c>
      <c r="FT81" s="139">
        <f t="shared" si="272"/>
        <v>0</v>
      </c>
      <c r="FU81" s="13"/>
      <c r="FV81" s="55">
        <f t="shared" si="273"/>
        <v>0</v>
      </c>
      <c r="FW81" s="55">
        <f t="shared" si="274"/>
        <v>0</v>
      </c>
      <c r="FX81" s="56">
        <f t="shared" si="275"/>
        <v>0</v>
      </c>
      <c r="FY81" s="56">
        <f t="shared" si="276"/>
        <v>0</v>
      </c>
    </row>
    <row r="82" spans="1:181" x14ac:dyDescent="0.25">
      <c r="A82" s="25">
        <v>17</v>
      </c>
      <c r="B82" s="12">
        <f t="shared" si="177"/>
        <v>20194</v>
      </c>
      <c r="D82" s="16"/>
      <c r="E82" s="16"/>
      <c r="F82" s="16"/>
      <c r="G82" s="16"/>
      <c r="H82" s="16"/>
      <c r="J82" s="33">
        <f t="shared" si="187"/>
        <v>0</v>
      </c>
      <c r="K82" s="33">
        <f t="shared" si="188"/>
        <v>0</v>
      </c>
      <c r="L82" s="33">
        <f t="shared" si="189"/>
        <v>0</v>
      </c>
      <c r="M82" s="139">
        <f t="shared" si="190"/>
        <v>0</v>
      </c>
      <c r="N82" s="139">
        <f t="shared" si="191"/>
        <v>0</v>
      </c>
      <c r="O82" s="13"/>
      <c r="P82" s="55">
        <f t="shared" si="192"/>
        <v>0</v>
      </c>
      <c r="Q82" s="55">
        <f t="shared" si="193"/>
        <v>0</v>
      </c>
      <c r="R82" s="56">
        <f t="shared" si="194"/>
        <v>0</v>
      </c>
      <c r="S82" s="56">
        <f t="shared" si="195"/>
        <v>0</v>
      </c>
      <c r="T82" s="31">
        <f t="shared" si="178"/>
        <v>20194</v>
      </c>
      <c r="V82" s="16"/>
      <c r="W82" s="16"/>
      <c r="X82" s="16"/>
      <c r="Y82" s="16"/>
      <c r="Z82" s="16"/>
      <c r="AB82" s="33">
        <f t="shared" si="196"/>
        <v>0</v>
      </c>
      <c r="AC82" s="33">
        <f t="shared" si="197"/>
        <v>0</v>
      </c>
      <c r="AD82" s="33">
        <f t="shared" si="198"/>
        <v>0</v>
      </c>
      <c r="AE82" s="139">
        <f t="shared" si="199"/>
        <v>0</v>
      </c>
      <c r="AF82" s="139">
        <f t="shared" si="200"/>
        <v>0</v>
      </c>
      <c r="AG82" s="13"/>
      <c r="AH82" s="55">
        <f t="shared" si="201"/>
        <v>0</v>
      </c>
      <c r="AI82" s="55">
        <f t="shared" si="202"/>
        <v>0</v>
      </c>
      <c r="AJ82" s="56">
        <f t="shared" si="203"/>
        <v>0</v>
      </c>
      <c r="AK82" s="56">
        <f t="shared" si="204"/>
        <v>0</v>
      </c>
      <c r="AL82" s="31">
        <f t="shared" si="179"/>
        <v>20194</v>
      </c>
      <c r="AN82" s="16"/>
      <c r="AO82" s="16"/>
      <c r="AP82" s="16"/>
      <c r="AQ82" s="16"/>
      <c r="AR82" s="16"/>
      <c r="AT82" s="33">
        <f t="shared" si="205"/>
        <v>0</v>
      </c>
      <c r="AU82" s="33">
        <f t="shared" si="206"/>
        <v>0</v>
      </c>
      <c r="AV82" s="33">
        <f t="shared" si="207"/>
        <v>0</v>
      </c>
      <c r="AW82" s="139">
        <f t="shared" si="208"/>
        <v>0</v>
      </c>
      <c r="AX82" s="139">
        <f t="shared" si="209"/>
        <v>0</v>
      </c>
      <c r="AY82" s="13"/>
      <c r="AZ82" s="55">
        <f t="shared" si="210"/>
        <v>0</v>
      </c>
      <c r="BA82" s="55">
        <f t="shared" si="211"/>
        <v>0</v>
      </c>
      <c r="BB82" s="56">
        <f t="shared" si="212"/>
        <v>0</v>
      </c>
      <c r="BC82" s="56">
        <f t="shared" si="213"/>
        <v>0</v>
      </c>
      <c r="BD82" s="31">
        <f t="shared" si="180"/>
        <v>20194</v>
      </c>
      <c r="BF82" s="16"/>
      <c r="BG82" s="16"/>
      <c r="BH82" s="16"/>
      <c r="BI82" s="16"/>
      <c r="BJ82" s="16"/>
      <c r="BL82" s="33">
        <f t="shared" si="214"/>
        <v>0</v>
      </c>
      <c r="BM82" s="33">
        <f t="shared" si="215"/>
        <v>0</v>
      </c>
      <c r="BN82" s="33">
        <f t="shared" si="216"/>
        <v>0</v>
      </c>
      <c r="BO82" s="139">
        <f t="shared" si="217"/>
        <v>0</v>
      </c>
      <c r="BP82" s="139">
        <f t="shared" si="218"/>
        <v>0</v>
      </c>
      <c r="BQ82" s="13"/>
      <c r="BR82" s="55">
        <f t="shared" si="219"/>
        <v>0</v>
      </c>
      <c r="BS82" s="55">
        <f t="shared" si="220"/>
        <v>0</v>
      </c>
      <c r="BT82" s="56">
        <f t="shared" si="221"/>
        <v>0</v>
      </c>
      <c r="BU82" s="56">
        <f t="shared" si="222"/>
        <v>0</v>
      </c>
      <c r="BV82" s="31">
        <f t="shared" si="181"/>
        <v>20194</v>
      </c>
      <c r="BX82" s="16"/>
      <c r="BY82" s="16"/>
      <c r="BZ82" s="16"/>
      <c r="CA82" s="16"/>
      <c r="CB82" s="16"/>
      <c r="CD82" s="33">
        <f t="shared" si="223"/>
        <v>0</v>
      </c>
      <c r="CE82" s="33">
        <f t="shared" si="224"/>
        <v>0</v>
      </c>
      <c r="CF82" s="33">
        <f t="shared" si="225"/>
        <v>0</v>
      </c>
      <c r="CG82" s="139">
        <f t="shared" si="226"/>
        <v>0</v>
      </c>
      <c r="CH82" s="139">
        <f t="shared" si="227"/>
        <v>0</v>
      </c>
      <c r="CI82" s="13"/>
      <c r="CJ82" s="55">
        <f t="shared" si="228"/>
        <v>0</v>
      </c>
      <c r="CK82" s="55">
        <f t="shared" si="229"/>
        <v>0</v>
      </c>
      <c r="CL82" s="56">
        <f t="shared" si="230"/>
        <v>0</v>
      </c>
      <c r="CM82" s="56">
        <f t="shared" si="231"/>
        <v>0</v>
      </c>
      <c r="CN82" s="31">
        <f t="shared" si="182"/>
        <v>20194</v>
      </c>
      <c r="CP82" s="16"/>
      <c r="CQ82" s="16"/>
      <c r="CR82" s="16"/>
      <c r="CS82" s="16"/>
      <c r="CT82" s="16"/>
      <c r="CV82" s="33">
        <f t="shared" si="232"/>
        <v>0</v>
      </c>
      <c r="CW82" s="33">
        <f t="shared" si="233"/>
        <v>0</v>
      </c>
      <c r="CX82" s="33">
        <f t="shared" si="234"/>
        <v>0</v>
      </c>
      <c r="CY82" s="139">
        <f t="shared" si="235"/>
        <v>0</v>
      </c>
      <c r="CZ82" s="139">
        <f t="shared" si="236"/>
        <v>0</v>
      </c>
      <c r="DA82" s="13"/>
      <c r="DB82" s="55">
        <f t="shared" si="237"/>
        <v>0</v>
      </c>
      <c r="DC82" s="55">
        <f t="shared" si="238"/>
        <v>0</v>
      </c>
      <c r="DD82" s="56">
        <f t="shared" si="239"/>
        <v>0</v>
      </c>
      <c r="DE82" s="56">
        <f t="shared" si="240"/>
        <v>0</v>
      </c>
      <c r="DF82" s="31">
        <f t="shared" si="183"/>
        <v>20194</v>
      </c>
      <c r="DH82" s="16"/>
      <c r="DI82" s="16"/>
      <c r="DJ82" s="16"/>
      <c r="DK82" s="16"/>
      <c r="DL82" s="16"/>
      <c r="DN82" s="33">
        <f t="shared" si="241"/>
        <v>0</v>
      </c>
      <c r="DO82" s="33">
        <f t="shared" si="242"/>
        <v>0</v>
      </c>
      <c r="DP82" s="33">
        <f t="shared" si="243"/>
        <v>0</v>
      </c>
      <c r="DQ82" s="139">
        <f t="shared" si="244"/>
        <v>0</v>
      </c>
      <c r="DR82" s="139">
        <f t="shared" si="245"/>
        <v>0</v>
      </c>
      <c r="DS82" s="13"/>
      <c r="DT82" s="55">
        <f t="shared" si="246"/>
        <v>0</v>
      </c>
      <c r="DU82" s="55">
        <f t="shared" si="247"/>
        <v>0</v>
      </c>
      <c r="DV82" s="56">
        <f t="shared" si="248"/>
        <v>0</v>
      </c>
      <c r="DW82" s="56">
        <f t="shared" si="249"/>
        <v>0</v>
      </c>
      <c r="DX82" s="31">
        <f t="shared" si="184"/>
        <v>20194</v>
      </c>
      <c r="DZ82" s="16"/>
      <c r="EA82" s="16"/>
      <c r="EB82" s="16"/>
      <c r="EC82" s="16"/>
      <c r="ED82" s="16"/>
      <c r="EF82" s="33">
        <f t="shared" si="250"/>
        <v>0</v>
      </c>
      <c r="EG82" s="33">
        <f t="shared" si="251"/>
        <v>0</v>
      </c>
      <c r="EH82" s="33">
        <f t="shared" si="252"/>
        <v>0</v>
      </c>
      <c r="EI82" s="139">
        <f t="shared" si="253"/>
        <v>0</v>
      </c>
      <c r="EJ82" s="139">
        <f t="shared" si="254"/>
        <v>0</v>
      </c>
      <c r="EK82" s="13"/>
      <c r="EL82" s="55">
        <f t="shared" si="255"/>
        <v>0</v>
      </c>
      <c r="EM82" s="55">
        <f t="shared" si="256"/>
        <v>0</v>
      </c>
      <c r="EN82" s="56">
        <f t="shared" si="257"/>
        <v>0</v>
      </c>
      <c r="EO82" s="56">
        <f t="shared" si="258"/>
        <v>0</v>
      </c>
      <c r="EP82" s="31">
        <f t="shared" si="185"/>
        <v>20194</v>
      </c>
      <c r="ER82" s="16"/>
      <c r="ES82" s="16"/>
      <c r="ET82" s="16"/>
      <c r="EU82" s="16"/>
      <c r="EV82" s="16"/>
      <c r="EX82" s="33">
        <f t="shared" si="259"/>
        <v>0</v>
      </c>
      <c r="EY82" s="33">
        <f t="shared" si="260"/>
        <v>0</v>
      </c>
      <c r="EZ82" s="33">
        <f t="shared" si="261"/>
        <v>0</v>
      </c>
      <c r="FA82" s="139">
        <f t="shared" si="262"/>
        <v>0</v>
      </c>
      <c r="FB82" s="139">
        <f t="shared" si="263"/>
        <v>0</v>
      </c>
      <c r="FC82" s="13"/>
      <c r="FD82" s="55">
        <f t="shared" si="264"/>
        <v>0</v>
      </c>
      <c r="FE82" s="55">
        <f t="shared" si="265"/>
        <v>0</v>
      </c>
      <c r="FF82" s="56">
        <f t="shared" si="266"/>
        <v>0</v>
      </c>
      <c r="FG82" s="56">
        <f t="shared" si="267"/>
        <v>0</v>
      </c>
      <c r="FH82" s="31">
        <f t="shared" si="186"/>
        <v>20194</v>
      </c>
      <c r="FJ82" s="16"/>
      <c r="FK82" s="16"/>
      <c r="FL82" s="16"/>
      <c r="FM82" s="16"/>
      <c r="FN82" s="16"/>
      <c r="FP82" s="33">
        <f t="shared" si="268"/>
        <v>0</v>
      </c>
      <c r="FQ82" s="33">
        <f t="shared" si="269"/>
        <v>0</v>
      </c>
      <c r="FR82" s="33">
        <f t="shared" si="270"/>
        <v>0</v>
      </c>
      <c r="FS82" s="139">
        <f t="shared" si="271"/>
        <v>0</v>
      </c>
      <c r="FT82" s="139">
        <f t="shared" si="272"/>
        <v>0</v>
      </c>
      <c r="FU82" s="13"/>
      <c r="FV82" s="55">
        <f t="shared" si="273"/>
        <v>0</v>
      </c>
      <c r="FW82" s="55">
        <f t="shared" si="274"/>
        <v>0</v>
      </c>
      <c r="FX82" s="56">
        <f t="shared" si="275"/>
        <v>0</v>
      </c>
      <c r="FY82" s="56">
        <f t="shared" si="276"/>
        <v>0</v>
      </c>
    </row>
    <row r="83" spans="1:181" x14ac:dyDescent="0.25">
      <c r="A83" s="25">
        <v>18</v>
      </c>
      <c r="B83" s="12">
        <f t="shared" si="177"/>
        <v>20201</v>
      </c>
      <c r="D83" s="16"/>
      <c r="E83" s="16"/>
      <c r="F83" s="16"/>
      <c r="G83" s="16"/>
      <c r="H83" s="16"/>
      <c r="J83" s="33">
        <f t="shared" si="187"/>
        <v>0</v>
      </c>
      <c r="K83" s="33">
        <f t="shared" si="188"/>
        <v>0</v>
      </c>
      <c r="L83" s="33">
        <f t="shared" si="189"/>
        <v>0</v>
      </c>
      <c r="M83" s="139">
        <f t="shared" si="190"/>
        <v>0</v>
      </c>
      <c r="N83" s="139">
        <f t="shared" si="191"/>
        <v>0</v>
      </c>
      <c r="O83" s="13"/>
      <c r="P83" s="55">
        <f t="shared" si="192"/>
        <v>0</v>
      </c>
      <c r="Q83" s="55">
        <f t="shared" si="193"/>
        <v>0</v>
      </c>
      <c r="R83" s="56">
        <f t="shared" si="194"/>
        <v>0</v>
      </c>
      <c r="S83" s="56">
        <f t="shared" si="195"/>
        <v>0</v>
      </c>
      <c r="T83" s="31">
        <f t="shared" si="178"/>
        <v>20201</v>
      </c>
      <c r="V83" s="16"/>
      <c r="W83" s="16"/>
      <c r="X83" s="16"/>
      <c r="Y83" s="16"/>
      <c r="Z83" s="16"/>
      <c r="AB83" s="33">
        <f t="shared" si="196"/>
        <v>0</v>
      </c>
      <c r="AC83" s="33">
        <f t="shared" si="197"/>
        <v>0</v>
      </c>
      <c r="AD83" s="33">
        <f t="shared" si="198"/>
        <v>0</v>
      </c>
      <c r="AE83" s="139">
        <f t="shared" si="199"/>
        <v>0</v>
      </c>
      <c r="AF83" s="139">
        <f t="shared" si="200"/>
        <v>0</v>
      </c>
      <c r="AG83" s="13"/>
      <c r="AH83" s="55">
        <f t="shared" si="201"/>
        <v>0</v>
      </c>
      <c r="AI83" s="55">
        <f t="shared" si="202"/>
        <v>0</v>
      </c>
      <c r="AJ83" s="56">
        <f t="shared" si="203"/>
        <v>0</v>
      </c>
      <c r="AK83" s="56">
        <f t="shared" si="204"/>
        <v>0</v>
      </c>
      <c r="AL83" s="31">
        <f t="shared" si="179"/>
        <v>20201</v>
      </c>
      <c r="AN83" s="16"/>
      <c r="AO83" s="16"/>
      <c r="AP83" s="16"/>
      <c r="AQ83" s="16"/>
      <c r="AR83" s="16"/>
      <c r="AT83" s="33">
        <f t="shared" si="205"/>
        <v>0</v>
      </c>
      <c r="AU83" s="33">
        <f t="shared" si="206"/>
        <v>0</v>
      </c>
      <c r="AV83" s="33">
        <f t="shared" si="207"/>
        <v>0</v>
      </c>
      <c r="AW83" s="139">
        <f t="shared" si="208"/>
        <v>0</v>
      </c>
      <c r="AX83" s="139">
        <f t="shared" si="209"/>
        <v>0</v>
      </c>
      <c r="AY83" s="13"/>
      <c r="AZ83" s="55">
        <f t="shared" si="210"/>
        <v>0</v>
      </c>
      <c r="BA83" s="55">
        <f t="shared" si="211"/>
        <v>0</v>
      </c>
      <c r="BB83" s="56">
        <f t="shared" si="212"/>
        <v>0</v>
      </c>
      <c r="BC83" s="56">
        <f t="shared" si="213"/>
        <v>0</v>
      </c>
      <c r="BD83" s="31">
        <f t="shared" si="180"/>
        <v>20201</v>
      </c>
      <c r="BF83" s="16"/>
      <c r="BG83" s="16"/>
      <c r="BH83" s="16"/>
      <c r="BI83" s="16"/>
      <c r="BJ83" s="16"/>
      <c r="BL83" s="33">
        <f t="shared" si="214"/>
        <v>0</v>
      </c>
      <c r="BM83" s="33">
        <f t="shared" si="215"/>
        <v>0</v>
      </c>
      <c r="BN83" s="33">
        <f t="shared" si="216"/>
        <v>0</v>
      </c>
      <c r="BO83" s="139">
        <f t="shared" si="217"/>
        <v>0</v>
      </c>
      <c r="BP83" s="139">
        <f t="shared" si="218"/>
        <v>0</v>
      </c>
      <c r="BQ83" s="13"/>
      <c r="BR83" s="55">
        <f t="shared" si="219"/>
        <v>0</v>
      </c>
      <c r="BS83" s="55">
        <f t="shared" si="220"/>
        <v>0</v>
      </c>
      <c r="BT83" s="56">
        <f t="shared" si="221"/>
        <v>0</v>
      </c>
      <c r="BU83" s="56">
        <f t="shared" si="222"/>
        <v>0</v>
      </c>
      <c r="BV83" s="31">
        <f t="shared" si="181"/>
        <v>20201</v>
      </c>
      <c r="BX83" s="16"/>
      <c r="BY83" s="16"/>
      <c r="BZ83" s="16"/>
      <c r="CA83" s="16"/>
      <c r="CB83" s="16"/>
      <c r="CD83" s="33">
        <f t="shared" si="223"/>
        <v>0</v>
      </c>
      <c r="CE83" s="33">
        <f t="shared" si="224"/>
        <v>0</v>
      </c>
      <c r="CF83" s="33">
        <f t="shared" si="225"/>
        <v>0</v>
      </c>
      <c r="CG83" s="139">
        <f t="shared" si="226"/>
        <v>0</v>
      </c>
      <c r="CH83" s="139">
        <f t="shared" si="227"/>
        <v>0</v>
      </c>
      <c r="CI83" s="13"/>
      <c r="CJ83" s="55">
        <f t="shared" si="228"/>
        <v>0</v>
      </c>
      <c r="CK83" s="55">
        <f t="shared" si="229"/>
        <v>0</v>
      </c>
      <c r="CL83" s="56">
        <f t="shared" si="230"/>
        <v>0</v>
      </c>
      <c r="CM83" s="56">
        <f t="shared" si="231"/>
        <v>0</v>
      </c>
      <c r="CN83" s="31">
        <f t="shared" si="182"/>
        <v>20201</v>
      </c>
      <c r="CP83" s="16"/>
      <c r="CQ83" s="16"/>
      <c r="CR83" s="16"/>
      <c r="CS83" s="16"/>
      <c r="CT83" s="16"/>
      <c r="CV83" s="33">
        <f t="shared" si="232"/>
        <v>0</v>
      </c>
      <c r="CW83" s="33">
        <f t="shared" si="233"/>
        <v>0</v>
      </c>
      <c r="CX83" s="33">
        <f t="shared" si="234"/>
        <v>0</v>
      </c>
      <c r="CY83" s="139">
        <f t="shared" si="235"/>
        <v>0</v>
      </c>
      <c r="CZ83" s="139">
        <f t="shared" si="236"/>
        <v>0</v>
      </c>
      <c r="DA83" s="13"/>
      <c r="DB83" s="55">
        <f t="shared" si="237"/>
        <v>0</v>
      </c>
      <c r="DC83" s="55">
        <f t="shared" si="238"/>
        <v>0</v>
      </c>
      <c r="DD83" s="56">
        <f t="shared" si="239"/>
        <v>0</v>
      </c>
      <c r="DE83" s="56">
        <f t="shared" si="240"/>
        <v>0</v>
      </c>
      <c r="DF83" s="31">
        <f t="shared" si="183"/>
        <v>20201</v>
      </c>
      <c r="DH83" s="16"/>
      <c r="DI83" s="16"/>
      <c r="DJ83" s="16"/>
      <c r="DK83" s="16"/>
      <c r="DL83" s="16"/>
      <c r="DN83" s="33">
        <f t="shared" si="241"/>
        <v>0</v>
      </c>
      <c r="DO83" s="33">
        <f t="shared" si="242"/>
        <v>0</v>
      </c>
      <c r="DP83" s="33">
        <f t="shared" si="243"/>
        <v>0</v>
      </c>
      <c r="DQ83" s="139">
        <f t="shared" si="244"/>
        <v>0</v>
      </c>
      <c r="DR83" s="139">
        <f t="shared" si="245"/>
        <v>0</v>
      </c>
      <c r="DS83" s="13"/>
      <c r="DT83" s="55">
        <f t="shared" si="246"/>
        <v>0</v>
      </c>
      <c r="DU83" s="55">
        <f t="shared" si="247"/>
        <v>0</v>
      </c>
      <c r="DV83" s="56">
        <f t="shared" si="248"/>
        <v>0</v>
      </c>
      <c r="DW83" s="56">
        <f t="shared" si="249"/>
        <v>0</v>
      </c>
      <c r="DX83" s="31">
        <f t="shared" si="184"/>
        <v>20201</v>
      </c>
      <c r="DZ83" s="16"/>
      <c r="EA83" s="16"/>
      <c r="EB83" s="16"/>
      <c r="EC83" s="16"/>
      <c r="ED83" s="16"/>
      <c r="EF83" s="33">
        <f t="shared" si="250"/>
        <v>0</v>
      </c>
      <c r="EG83" s="33">
        <f t="shared" si="251"/>
        <v>0</v>
      </c>
      <c r="EH83" s="33">
        <f t="shared" si="252"/>
        <v>0</v>
      </c>
      <c r="EI83" s="139">
        <f t="shared" si="253"/>
        <v>0</v>
      </c>
      <c r="EJ83" s="139">
        <f t="shared" si="254"/>
        <v>0</v>
      </c>
      <c r="EK83" s="13"/>
      <c r="EL83" s="55">
        <f t="shared" si="255"/>
        <v>0</v>
      </c>
      <c r="EM83" s="55">
        <f t="shared" si="256"/>
        <v>0</v>
      </c>
      <c r="EN83" s="56">
        <f t="shared" si="257"/>
        <v>0</v>
      </c>
      <c r="EO83" s="56">
        <f t="shared" si="258"/>
        <v>0</v>
      </c>
      <c r="EP83" s="31">
        <f t="shared" si="185"/>
        <v>20201</v>
      </c>
      <c r="ER83" s="16"/>
      <c r="ES83" s="16"/>
      <c r="ET83" s="16"/>
      <c r="EU83" s="16"/>
      <c r="EV83" s="16"/>
      <c r="EX83" s="33">
        <f t="shared" si="259"/>
        <v>0</v>
      </c>
      <c r="EY83" s="33">
        <f t="shared" si="260"/>
        <v>0</v>
      </c>
      <c r="EZ83" s="33">
        <f t="shared" si="261"/>
        <v>0</v>
      </c>
      <c r="FA83" s="139">
        <f t="shared" si="262"/>
        <v>0</v>
      </c>
      <c r="FB83" s="139">
        <f t="shared" si="263"/>
        <v>0</v>
      </c>
      <c r="FC83" s="13"/>
      <c r="FD83" s="55">
        <f t="shared" si="264"/>
        <v>0</v>
      </c>
      <c r="FE83" s="55">
        <f t="shared" si="265"/>
        <v>0</v>
      </c>
      <c r="FF83" s="56">
        <f t="shared" si="266"/>
        <v>0</v>
      </c>
      <c r="FG83" s="56">
        <f t="shared" si="267"/>
        <v>0</v>
      </c>
      <c r="FH83" s="31">
        <f t="shared" si="186"/>
        <v>20201</v>
      </c>
      <c r="FJ83" s="16"/>
      <c r="FK83" s="16"/>
      <c r="FL83" s="16"/>
      <c r="FM83" s="16"/>
      <c r="FN83" s="16"/>
      <c r="FP83" s="33">
        <f t="shared" si="268"/>
        <v>0</v>
      </c>
      <c r="FQ83" s="33">
        <f t="shared" si="269"/>
        <v>0</v>
      </c>
      <c r="FR83" s="33">
        <f t="shared" si="270"/>
        <v>0</v>
      </c>
      <c r="FS83" s="139">
        <f t="shared" si="271"/>
        <v>0</v>
      </c>
      <c r="FT83" s="139">
        <f t="shared" si="272"/>
        <v>0</v>
      </c>
      <c r="FU83" s="13"/>
      <c r="FV83" s="55">
        <f t="shared" si="273"/>
        <v>0</v>
      </c>
      <c r="FW83" s="55">
        <f t="shared" si="274"/>
        <v>0</v>
      </c>
      <c r="FX83" s="56">
        <f t="shared" si="275"/>
        <v>0</v>
      </c>
      <c r="FY83" s="56">
        <f t="shared" si="276"/>
        <v>0</v>
      </c>
    </row>
    <row r="84" spans="1:181" x14ac:dyDescent="0.25">
      <c r="A84" s="25">
        <v>19</v>
      </c>
      <c r="B84" s="12">
        <f t="shared" si="177"/>
        <v>20202</v>
      </c>
      <c r="D84" s="16"/>
      <c r="E84" s="16"/>
      <c r="F84" s="16"/>
      <c r="G84" s="16"/>
      <c r="H84" s="16"/>
      <c r="J84" s="33">
        <f t="shared" si="187"/>
        <v>0</v>
      </c>
      <c r="K84" s="33">
        <f t="shared" si="188"/>
        <v>0</v>
      </c>
      <c r="L84" s="33">
        <f t="shared" si="189"/>
        <v>0</v>
      </c>
      <c r="M84" s="139">
        <f t="shared" si="190"/>
        <v>0</v>
      </c>
      <c r="N84" s="139">
        <f t="shared" si="191"/>
        <v>0</v>
      </c>
      <c r="O84" s="13"/>
      <c r="P84" s="55">
        <f t="shared" si="192"/>
        <v>0</v>
      </c>
      <c r="Q84" s="55">
        <f t="shared" si="193"/>
        <v>0</v>
      </c>
      <c r="R84" s="56">
        <f t="shared" si="194"/>
        <v>0</v>
      </c>
      <c r="S84" s="56">
        <f t="shared" si="195"/>
        <v>0</v>
      </c>
      <c r="T84" s="31">
        <f t="shared" si="178"/>
        <v>20202</v>
      </c>
      <c r="V84" s="16"/>
      <c r="W84" s="16"/>
      <c r="X84" s="16"/>
      <c r="Y84" s="16"/>
      <c r="Z84" s="16"/>
      <c r="AB84" s="33">
        <f t="shared" si="196"/>
        <v>0</v>
      </c>
      <c r="AC84" s="33">
        <f t="shared" si="197"/>
        <v>0</v>
      </c>
      <c r="AD84" s="33">
        <f t="shared" si="198"/>
        <v>0</v>
      </c>
      <c r="AE84" s="139">
        <f t="shared" si="199"/>
        <v>0</v>
      </c>
      <c r="AF84" s="139">
        <f t="shared" si="200"/>
        <v>0</v>
      </c>
      <c r="AG84" s="13"/>
      <c r="AH84" s="55">
        <f t="shared" si="201"/>
        <v>0</v>
      </c>
      <c r="AI84" s="55">
        <f t="shared" si="202"/>
        <v>0</v>
      </c>
      <c r="AJ84" s="56">
        <f t="shared" si="203"/>
        <v>0</v>
      </c>
      <c r="AK84" s="56">
        <f t="shared" si="204"/>
        <v>0</v>
      </c>
      <c r="AL84" s="31">
        <f t="shared" si="179"/>
        <v>20202</v>
      </c>
      <c r="AN84" s="16"/>
      <c r="AO84" s="16"/>
      <c r="AP84" s="16"/>
      <c r="AQ84" s="16"/>
      <c r="AR84" s="16"/>
      <c r="AT84" s="33">
        <f t="shared" si="205"/>
        <v>0</v>
      </c>
      <c r="AU84" s="33">
        <f t="shared" si="206"/>
        <v>0</v>
      </c>
      <c r="AV84" s="33">
        <f t="shared" si="207"/>
        <v>0</v>
      </c>
      <c r="AW84" s="139">
        <f t="shared" si="208"/>
        <v>0</v>
      </c>
      <c r="AX84" s="139">
        <f t="shared" si="209"/>
        <v>0</v>
      </c>
      <c r="AY84" s="13"/>
      <c r="AZ84" s="55">
        <f t="shared" si="210"/>
        <v>0</v>
      </c>
      <c r="BA84" s="55">
        <f t="shared" si="211"/>
        <v>0</v>
      </c>
      <c r="BB84" s="56">
        <f t="shared" si="212"/>
        <v>0</v>
      </c>
      <c r="BC84" s="56">
        <f t="shared" si="213"/>
        <v>0</v>
      </c>
      <c r="BD84" s="31">
        <f t="shared" si="180"/>
        <v>20202</v>
      </c>
      <c r="BF84" s="16"/>
      <c r="BG84" s="16"/>
      <c r="BH84" s="16"/>
      <c r="BI84" s="16"/>
      <c r="BJ84" s="16"/>
      <c r="BL84" s="33">
        <f t="shared" si="214"/>
        <v>0</v>
      </c>
      <c r="BM84" s="33">
        <f t="shared" si="215"/>
        <v>0</v>
      </c>
      <c r="BN84" s="33">
        <f t="shared" si="216"/>
        <v>0</v>
      </c>
      <c r="BO84" s="139">
        <f t="shared" si="217"/>
        <v>0</v>
      </c>
      <c r="BP84" s="139">
        <f t="shared" si="218"/>
        <v>0</v>
      </c>
      <c r="BQ84" s="13"/>
      <c r="BR84" s="55">
        <f t="shared" si="219"/>
        <v>0</v>
      </c>
      <c r="BS84" s="55">
        <f t="shared" si="220"/>
        <v>0</v>
      </c>
      <c r="BT84" s="56">
        <f t="shared" si="221"/>
        <v>0</v>
      </c>
      <c r="BU84" s="56">
        <f t="shared" si="222"/>
        <v>0</v>
      </c>
      <c r="BV84" s="31">
        <f t="shared" si="181"/>
        <v>20202</v>
      </c>
      <c r="BX84" s="16"/>
      <c r="BY84" s="16"/>
      <c r="BZ84" s="16"/>
      <c r="CA84" s="16"/>
      <c r="CB84" s="16"/>
      <c r="CD84" s="33">
        <f t="shared" si="223"/>
        <v>0</v>
      </c>
      <c r="CE84" s="33">
        <f t="shared" si="224"/>
        <v>0</v>
      </c>
      <c r="CF84" s="33">
        <f t="shared" si="225"/>
        <v>0</v>
      </c>
      <c r="CG84" s="139">
        <f t="shared" si="226"/>
        <v>0</v>
      </c>
      <c r="CH84" s="139">
        <f t="shared" si="227"/>
        <v>0</v>
      </c>
      <c r="CI84" s="13"/>
      <c r="CJ84" s="55">
        <f t="shared" si="228"/>
        <v>0</v>
      </c>
      <c r="CK84" s="55">
        <f t="shared" si="229"/>
        <v>0</v>
      </c>
      <c r="CL84" s="56">
        <f t="shared" si="230"/>
        <v>0</v>
      </c>
      <c r="CM84" s="56">
        <f t="shared" si="231"/>
        <v>0</v>
      </c>
      <c r="CN84" s="31">
        <f t="shared" si="182"/>
        <v>20202</v>
      </c>
      <c r="CP84" s="16"/>
      <c r="CQ84" s="16"/>
      <c r="CR84" s="16"/>
      <c r="CS84" s="16"/>
      <c r="CT84" s="16"/>
      <c r="CV84" s="33">
        <f t="shared" si="232"/>
        <v>0</v>
      </c>
      <c r="CW84" s="33">
        <f t="shared" si="233"/>
        <v>0</v>
      </c>
      <c r="CX84" s="33">
        <f t="shared" si="234"/>
        <v>0</v>
      </c>
      <c r="CY84" s="139">
        <f t="shared" si="235"/>
        <v>0</v>
      </c>
      <c r="CZ84" s="139">
        <f t="shared" si="236"/>
        <v>0</v>
      </c>
      <c r="DA84" s="13"/>
      <c r="DB84" s="55">
        <f t="shared" si="237"/>
        <v>0</v>
      </c>
      <c r="DC84" s="55">
        <f t="shared" si="238"/>
        <v>0</v>
      </c>
      <c r="DD84" s="56">
        <f t="shared" si="239"/>
        <v>0</v>
      </c>
      <c r="DE84" s="56">
        <f t="shared" si="240"/>
        <v>0</v>
      </c>
      <c r="DF84" s="31">
        <f t="shared" si="183"/>
        <v>20202</v>
      </c>
      <c r="DH84" s="16"/>
      <c r="DI84" s="16"/>
      <c r="DJ84" s="16"/>
      <c r="DK84" s="16"/>
      <c r="DL84" s="16"/>
      <c r="DN84" s="33">
        <f t="shared" si="241"/>
        <v>0</v>
      </c>
      <c r="DO84" s="33">
        <f t="shared" si="242"/>
        <v>0</v>
      </c>
      <c r="DP84" s="33">
        <f t="shared" si="243"/>
        <v>0</v>
      </c>
      <c r="DQ84" s="139">
        <f t="shared" si="244"/>
        <v>0</v>
      </c>
      <c r="DR84" s="139">
        <f t="shared" si="245"/>
        <v>0</v>
      </c>
      <c r="DS84" s="13"/>
      <c r="DT84" s="55">
        <f t="shared" si="246"/>
        <v>0</v>
      </c>
      <c r="DU84" s="55">
        <f t="shared" si="247"/>
        <v>0</v>
      </c>
      <c r="DV84" s="56">
        <f t="shared" si="248"/>
        <v>0</v>
      </c>
      <c r="DW84" s="56">
        <f t="shared" si="249"/>
        <v>0</v>
      </c>
      <c r="DX84" s="31">
        <f t="shared" si="184"/>
        <v>20202</v>
      </c>
      <c r="DZ84" s="16"/>
      <c r="EA84" s="16"/>
      <c r="EB84" s="16"/>
      <c r="EC84" s="16"/>
      <c r="ED84" s="16"/>
      <c r="EF84" s="33">
        <f t="shared" si="250"/>
        <v>0</v>
      </c>
      <c r="EG84" s="33">
        <f t="shared" si="251"/>
        <v>0</v>
      </c>
      <c r="EH84" s="33">
        <f t="shared" si="252"/>
        <v>0</v>
      </c>
      <c r="EI84" s="139">
        <f t="shared" si="253"/>
        <v>0</v>
      </c>
      <c r="EJ84" s="139">
        <f t="shared" si="254"/>
        <v>0</v>
      </c>
      <c r="EK84" s="13"/>
      <c r="EL84" s="55">
        <f t="shared" si="255"/>
        <v>0</v>
      </c>
      <c r="EM84" s="55">
        <f t="shared" si="256"/>
        <v>0</v>
      </c>
      <c r="EN84" s="56">
        <f t="shared" si="257"/>
        <v>0</v>
      </c>
      <c r="EO84" s="56">
        <f t="shared" si="258"/>
        <v>0</v>
      </c>
      <c r="EP84" s="31">
        <f t="shared" si="185"/>
        <v>20202</v>
      </c>
      <c r="ER84" s="16"/>
      <c r="ES84" s="16"/>
      <c r="ET84" s="16"/>
      <c r="EU84" s="16"/>
      <c r="EV84" s="16"/>
      <c r="EX84" s="33">
        <f t="shared" si="259"/>
        <v>0</v>
      </c>
      <c r="EY84" s="33">
        <f t="shared" si="260"/>
        <v>0</v>
      </c>
      <c r="EZ84" s="33">
        <f t="shared" si="261"/>
        <v>0</v>
      </c>
      <c r="FA84" s="139">
        <f t="shared" si="262"/>
        <v>0</v>
      </c>
      <c r="FB84" s="139">
        <f t="shared" si="263"/>
        <v>0</v>
      </c>
      <c r="FC84" s="13"/>
      <c r="FD84" s="55">
        <f t="shared" si="264"/>
        <v>0</v>
      </c>
      <c r="FE84" s="55">
        <f t="shared" si="265"/>
        <v>0</v>
      </c>
      <c r="FF84" s="56">
        <f t="shared" si="266"/>
        <v>0</v>
      </c>
      <c r="FG84" s="56">
        <f t="shared" si="267"/>
        <v>0</v>
      </c>
      <c r="FH84" s="31">
        <f t="shared" si="186"/>
        <v>20202</v>
      </c>
      <c r="FJ84" s="16"/>
      <c r="FK84" s="16"/>
      <c r="FL84" s="16"/>
      <c r="FM84" s="16"/>
      <c r="FN84" s="16"/>
      <c r="FP84" s="33">
        <f t="shared" si="268"/>
        <v>0</v>
      </c>
      <c r="FQ84" s="33">
        <f t="shared" si="269"/>
        <v>0</v>
      </c>
      <c r="FR84" s="33">
        <f t="shared" si="270"/>
        <v>0</v>
      </c>
      <c r="FS84" s="139">
        <f t="shared" si="271"/>
        <v>0</v>
      </c>
      <c r="FT84" s="139">
        <f t="shared" si="272"/>
        <v>0</v>
      </c>
      <c r="FU84" s="13"/>
      <c r="FV84" s="55">
        <f t="shared" si="273"/>
        <v>0</v>
      </c>
      <c r="FW84" s="55">
        <f t="shared" si="274"/>
        <v>0</v>
      </c>
      <c r="FX84" s="56">
        <f t="shared" si="275"/>
        <v>0</v>
      </c>
      <c r="FY84" s="56">
        <f t="shared" si="276"/>
        <v>0</v>
      </c>
    </row>
    <row r="85" spans="1:181" x14ac:dyDescent="0.25">
      <c r="A85" s="25">
        <v>20</v>
      </c>
      <c r="B85" s="12">
        <f t="shared" si="177"/>
        <v>20203</v>
      </c>
      <c r="D85" s="16"/>
      <c r="E85" s="16"/>
      <c r="F85" s="16"/>
      <c r="G85" s="16"/>
      <c r="H85" s="16"/>
      <c r="J85" s="33">
        <f t="shared" si="187"/>
        <v>0</v>
      </c>
      <c r="K85" s="33">
        <f t="shared" si="188"/>
        <v>0</v>
      </c>
      <c r="L85" s="33">
        <f t="shared" si="189"/>
        <v>0</v>
      </c>
      <c r="M85" s="139">
        <f t="shared" si="190"/>
        <v>0</v>
      </c>
      <c r="N85" s="139">
        <f t="shared" si="191"/>
        <v>0</v>
      </c>
      <c r="O85" s="13"/>
      <c r="P85" s="55">
        <f t="shared" si="192"/>
        <v>0</v>
      </c>
      <c r="Q85" s="55">
        <f t="shared" si="193"/>
        <v>0</v>
      </c>
      <c r="R85" s="56">
        <f t="shared" si="194"/>
        <v>0</v>
      </c>
      <c r="S85" s="56">
        <f t="shared" si="195"/>
        <v>0</v>
      </c>
      <c r="T85" s="31">
        <f t="shared" si="178"/>
        <v>20203</v>
      </c>
      <c r="V85" s="16"/>
      <c r="W85" s="16"/>
      <c r="X85" s="16"/>
      <c r="Y85" s="16"/>
      <c r="Z85" s="16"/>
      <c r="AB85" s="33">
        <f t="shared" si="196"/>
        <v>0</v>
      </c>
      <c r="AC85" s="33">
        <f t="shared" si="197"/>
        <v>0</v>
      </c>
      <c r="AD85" s="33">
        <f t="shared" si="198"/>
        <v>0</v>
      </c>
      <c r="AE85" s="139">
        <f t="shared" si="199"/>
        <v>0</v>
      </c>
      <c r="AF85" s="139">
        <f t="shared" si="200"/>
        <v>0</v>
      </c>
      <c r="AG85" s="13"/>
      <c r="AH85" s="55">
        <f t="shared" si="201"/>
        <v>0</v>
      </c>
      <c r="AI85" s="55">
        <f t="shared" si="202"/>
        <v>0</v>
      </c>
      <c r="AJ85" s="56">
        <f t="shared" si="203"/>
        <v>0</v>
      </c>
      <c r="AK85" s="56">
        <f t="shared" si="204"/>
        <v>0</v>
      </c>
      <c r="AL85" s="31">
        <f t="shared" si="179"/>
        <v>20203</v>
      </c>
      <c r="AN85" s="16"/>
      <c r="AO85" s="16"/>
      <c r="AP85" s="16"/>
      <c r="AQ85" s="16"/>
      <c r="AR85" s="16"/>
      <c r="AT85" s="33">
        <f t="shared" si="205"/>
        <v>0</v>
      </c>
      <c r="AU85" s="33">
        <f t="shared" si="206"/>
        <v>0</v>
      </c>
      <c r="AV85" s="33">
        <f t="shared" si="207"/>
        <v>0</v>
      </c>
      <c r="AW85" s="139">
        <f t="shared" si="208"/>
        <v>0</v>
      </c>
      <c r="AX85" s="139">
        <f t="shared" si="209"/>
        <v>0</v>
      </c>
      <c r="AY85" s="13"/>
      <c r="AZ85" s="55">
        <f t="shared" si="210"/>
        <v>0</v>
      </c>
      <c r="BA85" s="55">
        <f t="shared" si="211"/>
        <v>0</v>
      </c>
      <c r="BB85" s="56">
        <f t="shared" si="212"/>
        <v>0</v>
      </c>
      <c r="BC85" s="56">
        <f t="shared" si="213"/>
        <v>0</v>
      </c>
      <c r="BD85" s="31">
        <f t="shared" si="180"/>
        <v>20203</v>
      </c>
      <c r="BF85" s="16"/>
      <c r="BG85" s="16"/>
      <c r="BH85" s="16"/>
      <c r="BI85" s="16"/>
      <c r="BJ85" s="16"/>
      <c r="BL85" s="33">
        <f t="shared" si="214"/>
        <v>0</v>
      </c>
      <c r="BM85" s="33">
        <f t="shared" si="215"/>
        <v>0</v>
      </c>
      <c r="BN85" s="33">
        <f t="shared" si="216"/>
        <v>0</v>
      </c>
      <c r="BO85" s="139">
        <f t="shared" si="217"/>
        <v>0</v>
      </c>
      <c r="BP85" s="139">
        <f t="shared" si="218"/>
        <v>0</v>
      </c>
      <c r="BQ85" s="13"/>
      <c r="BR85" s="55">
        <f t="shared" si="219"/>
        <v>0</v>
      </c>
      <c r="BS85" s="55">
        <f t="shared" si="220"/>
        <v>0</v>
      </c>
      <c r="BT85" s="56">
        <f t="shared" si="221"/>
        <v>0</v>
      </c>
      <c r="BU85" s="56">
        <f t="shared" si="222"/>
        <v>0</v>
      </c>
      <c r="BV85" s="31">
        <f t="shared" si="181"/>
        <v>20203</v>
      </c>
      <c r="BX85" s="16"/>
      <c r="BY85" s="16"/>
      <c r="BZ85" s="16"/>
      <c r="CA85" s="16"/>
      <c r="CB85" s="16"/>
      <c r="CD85" s="33">
        <f t="shared" si="223"/>
        <v>0</v>
      </c>
      <c r="CE85" s="33">
        <f t="shared" si="224"/>
        <v>0</v>
      </c>
      <c r="CF85" s="33">
        <f t="shared" si="225"/>
        <v>0</v>
      </c>
      <c r="CG85" s="139">
        <f t="shared" si="226"/>
        <v>0</v>
      </c>
      <c r="CH85" s="139">
        <f t="shared" si="227"/>
        <v>0</v>
      </c>
      <c r="CI85" s="13"/>
      <c r="CJ85" s="55">
        <f t="shared" si="228"/>
        <v>0</v>
      </c>
      <c r="CK85" s="55">
        <f t="shared" si="229"/>
        <v>0</v>
      </c>
      <c r="CL85" s="56">
        <f t="shared" si="230"/>
        <v>0</v>
      </c>
      <c r="CM85" s="56">
        <f t="shared" si="231"/>
        <v>0</v>
      </c>
      <c r="CN85" s="31">
        <f t="shared" si="182"/>
        <v>20203</v>
      </c>
      <c r="CP85" s="16"/>
      <c r="CQ85" s="16"/>
      <c r="CR85" s="16"/>
      <c r="CS85" s="16"/>
      <c r="CT85" s="16"/>
      <c r="CV85" s="33">
        <f t="shared" si="232"/>
        <v>0</v>
      </c>
      <c r="CW85" s="33">
        <f t="shared" si="233"/>
        <v>0</v>
      </c>
      <c r="CX85" s="33">
        <f t="shared" si="234"/>
        <v>0</v>
      </c>
      <c r="CY85" s="139">
        <f t="shared" si="235"/>
        <v>0</v>
      </c>
      <c r="CZ85" s="139">
        <f t="shared" si="236"/>
        <v>0</v>
      </c>
      <c r="DA85" s="13"/>
      <c r="DB85" s="55">
        <f t="shared" si="237"/>
        <v>0</v>
      </c>
      <c r="DC85" s="55">
        <f t="shared" si="238"/>
        <v>0</v>
      </c>
      <c r="DD85" s="56">
        <f t="shared" si="239"/>
        <v>0</v>
      </c>
      <c r="DE85" s="56">
        <f t="shared" si="240"/>
        <v>0</v>
      </c>
      <c r="DF85" s="31">
        <f t="shared" si="183"/>
        <v>20203</v>
      </c>
      <c r="DH85" s="16"/>
      <c r="DI85" s="16"/>
      <c r="DJ85" s="16"/>
      <c r="DK85" s="16"/>
      <c r="DL85" s="16"/>
      <c r="DN85" s="33">
        <f t="shared" si="241"/>
        <v>0</v>
      </c>
      <c r="DO85" s="33">
        <f t="shared" si="242"/>
        <v>0</v>
      </c>
      <c r="DP85" s="33">
        <f t="shared" si="243"/>
        <v>0</v>
      </c>
      <c r="DQ85" s="139">
        <f t="shared" si="244"/>
        <v>0</v>
      </c>
      <c r="DR85" s="139">
        <f t="shared" si="245"/>
        <v>0</v>
      </c>
      <c r="DS85" s="13"/>
      <c r="DT85" s="55">
        <f t="shared" si="246"/>
        <v>0</v>
      </c>
      <c r="DU85" s="55">
        <f t="shared" si="247"/>
        <v>0</v>
      </c>
      <c r="DV85" s="56">
        <f t="shared" si="248"/>
        <v>0</v>
      </c>
      <c r="DW85" s="56">
        <f t="shared" si="249"/>
        <v>0</v>
      </c>
      <c r="DX85" s="31">
        <f t="shared" si="184"/>
        <v>20203</v>
      </c>
      <c r="DZ85" s="16"/>
      <c r="EA85" s="16"/>
      <c r="EB85" s="16"/>
      <c r="EC85" s="16"/>
      <c r="ED85" s="16"/>
      <c r="EF85" s="33">
        <f t="shared" si="250"/>
        <v>0</v>
      </c>
      <c r="EG85" s="33">
        <f t="shared" si="251"/>
        <v>0</v>
      </c>
      <c r="EH85" s="33">
        <f t="shared" si="252"/>
        <v>0</v>
      </c>
      <c r="EI85" s="139">
        <f t="shared" si="253"/>
        <v>0</v>
      </c>
      <c r="EJ85" s="139">
        <f t="shared" si="254"/>
        <v>0</v>
      </c>
      <c r="EK85" s="13"/>
      <c r="EL85" s="55">
        <f t="shared" si="255"/>
        <v>0</v>
      </c>
      <c r="EM85" s="55">
        <f t="shared" si="256"/>
        <v>0</v>
      </c>
      <c r="EN85" s="56">
        <f t="shared" si="257"/>
        <v>0</v>
      </c>
      <c r="EO85" s="56">
        <f t="shared" si="258"/>
        <v>0</v>
      </c>
      <c r="EP85" s="31">
        <f t="shared" si="185"/>
        <v>20203</v>
      </c>
      <c r="ER85" s="16"/>
      <c r="ES85" s="16"/>
      <c r="ET85" s="16"/>
      <c r="EU85" s="16"/>
      <c r="EV85" s="16"/>
      <c r="EX85" s="33">
        <f t="shared" si="259"/>
        <v>0</v>
      </c>
      <c r="EY85" s="33">
        <f t="shared" si="260"/>
        <v>0</v>
      </c>
      <c r="EZ85" s="33">
        <f t="shared" si="261"/>
        <v>0</v>
      </c>
      <c r="FA85" s="139">
        <f t="shared" si="262"/>
        <v>0</v>
      </c>
      <c r="FB85" s="139">
        <f t="shared" si="263"/>
        <v>0</v>
      </c>
      <c r="FC85" s="13"/>
      <c r="FD85" s="55">
        <f t="shared" si="264"/>
        <v>0</v>
      </c>
      <c r="FE85" s="55">
        <f t="shared" si="265"/>
        <v>0</v>
      </c>
      <c r="FF85" s="56">
        <f t="shared" si="266"/>
        <v>0</v>
      </c>
      <c r="FG85" s="56">
        <f t="shared" si="267"/>
        <v>0</v>
      </c>
      <c r="FH85" s="31">
        <f t="shared" si="186"/>
        <v>20203</v>
      </c>
      <c r="FJ85" s="16"/>
      <c r="FK85" s="16"/>
      <c r="FL85" s="16"/>
      <c r="FM85" s="16"/>
      <c r="FN85" s="16"/>
      <c r="FP85" s="33">
        <f t="shared" si="268"/>
        <v>0</v>
      </c>
      <c r="FQ85" s="33">
        <f t="shared" si="269"/>
        <v>0</v>
      </c>
      <c r="FR85" s="33">
        <f t="shared" si="270"/>
        <v>0</v>
      </c>
      <c r="FS85" s="139">
        <f t="shared" si="271"/>
        <v>0</v>
      </c>
      <c r="FT85" s="139">
        <f t="shared" si="272"/>
        <v>0</v>
      </c>
      <c r="FU85" s="13"/>
      <c r="FV85" s="55">
        <f t="shared" si="273"/>
        <v>0</v>
      </c>
      <c r="FW85" s="55">
        <f t="shared" si="274"/>
        <v>0</v>
      </c>
      <c r="FX85" s="56">
        <f t="shared" si="275"/>
        <v>0</v>
      </c>
      <c r="FY85" s="56">
        <f t="shared" si="276"/>
        <v>0</v>
      </c>
    </row>
    <row r="86" spans="1:181" x14ac:dyDescent="0.25">
      <c r="A86" s="25">
        <v>21</v>
      </c>
      <c r="B86" s="12">
        <f t="shared" si="177"/>
        <v>20204</v>
      </c>
      <c r="D86" s="16"/>
      <c r="E86" s="16"/>
      <c r="F86" s="16"/>
      <c r="G86" s="16"/>
      <c r="H86" s="16"/>
      <c r="J86" s="33">
        <f t="shared" si="187"/>
        <v>0</v>
      </c>
      <c r="K86" s="33">
        <f t="shared" si="188"/>
        <v>0</v>
      </c>
      <c r="L86" s="33">
        <f t="shared" si="189"/>
        <v>0</v>
      </c>
      <c r="M86" s="139">
        <f t="shared" si="190"/>
        <v>0</v>
      </c>
      <c r="N86" s="139">
        <f t="shared" si="191"/>
        <v>0</v>
      </c>
      <c r="O86" s="13"/>
      <c r="P86" s="55">
        <f t="shared" si="192"/>
        <v>0</v>
      </c>
      <c r="Q86" s="55">
        <f t="shared" si="193"/>
        <v>0</v>
      </c>
      <c r="R86" s="56">
        <f t="shared" si="194"/>
        <v>0</v>
      </c>
      <c r="S86" s="56">
        <f t="shared" si="195"/>
        <v>0</v>
      </c>
      <c r="T86" s="31">
        <f t="shared" si="178"/>
        <v>20204</v>
      </c>
      <c r="V86" s="16"/>
      <c r="W86" s="16"/>
      <c r="X86" s="16"/>
      <c r="Y86" s="16"/>
      <c r="Z86" s="16"/>
      <c r="AB86" s="33">
        <f t="shared" si="196"/>
        <v>0</v>
      </c>
      <c r="AC86" s="33">
        <f t="shared" si="197"/>
        <v>0</v>
      </c>
      <c r="AD86" s="33">
        <f t="shared" si="198"/>
        <v>0</v>
      </c>
      <c r="AE86" s="139">
        <f t="shared" si="199"/>
        <v>0</v>
      </c>
      <c r="AF86" s="139">
        <f t="shared" si="200"/>
        <v>0</v>
      </c>
      <c r="AG86" s="13"/>
      <c r="AH86" s="55">
        <f t="shared" si="201"/>
        <v>0</v>
      </c>
      <c r="AI86" s="55">
        <f t="shared" si="202"/>
        <v>0</v>
      </c>
      <c r="AJ86" s="56">
        <f t="shared" si="203"/>
        <v>0</v>
      </c>
      <c r="AK86" s="56">
        <f t="shared" si="204"/>
        <v>0</v>
      </c>
      <c r="AL86" s="31">
        <f t="shared" si="179"/>
        <v>20204</v>
      </c>
      <c r="AN86" s="16"/>
      <c r="AO86" s="16"/>
      <c r="AP86" s="16"/>
      <c r="AQ86" s="16"/>
      <c r="AR86" s="16"/>
      <c r="AT86" s="33">
        <f t="shared" si="205"/>
        <v>0</v>
      </c>
      <c r="AU86" s="33">
        <f t="shared" si="206"/>
        <v>0</v>
      </c>
      <c r="AV86" s="33">
        <f t="shared" si="207"/>
        <v>0</v>
      </c>
      <c r="AW86" s="139">
        <f t="shared" si="208"/>
        <v>0</v>
      </c>
      <c r="AX86" s="139">
        <f t="shared" si="209"/>
        <v>0</v>
      </c>
      <c r="AY86" s="13"/>
      <c r="AZ86" s="55">
        <f t="shared" si="210"/>
        <v>0</v>
      </c>
      <c r="BA86" s="55">
        <f t="shared" si="211"/>
        <v>0</v>
      </c>
      <c r="BB86" s="56">
        <f t="shared" si="212"/>
        <v>0</v>
      </c>
      <c r="BC86" s="56">
        <f t="shared" si="213"/>
        <v>0</v>
      </c>
      <c r="BD86" s="31">
        <f t="shared" si="180"/>
        <v>20204</v>
      </c>
      <c r="BF86" s="16"/>
      <c r="BG86" s="16"/>
      <c r="BH86" s="16"/>
      <c r="BI86" s="16"/>
      <c r="BJ86" s="16"/>
      <c r="BL86" s="33">
        <f t="shared" si="214"/>
        <v>0</v>
      </c>
      <c r="BM86" s="33">
        <f t="shared" si="215"/>
        <v>0</v>
      </c>
      <c r="BN86" s="33">
        <f t="shared" si="216"/>
        <v>0</v>
      </c>
      <c r="BO86" s="139">
        <f t="shared" si="217"/>
        <v>0</v>
      </c>
      <c r="BP86" s="139">
        <f t="shared" si="218"/>
        <v>0</v>
      </c>
      <c r="BQ86" s="13"/>
      <c r="BR86" s="55">
        <f t="shared" si="219"/>
        <v>0</v>
      </c>
      <c r="BS86" s="55">
        <f t="shared" si="220"/>
        <v>0</v>
      </c>
      <c r="BT86" s="56">
        <f t="shared" si="221"/>
        <v>0</v>
      </c>
      <c r="BU86" s="56">
        <f t="shared" si="222"/>
        <v>0</v>
      </c>
      <c r="BV86" s="31">
        <f t="shared" si="181"/>
        <v>20204</v>
      </c>
      <c r="BX86" s="16"/>
      <c r="BY86" s="16"/>
      <c r="BZ86" s="16"/>
      <c r="CA86" s="16"/>
      <c r="CB86" s="16"/>
      <c r="CD86" s="33">
        <f t="shared" si="223"/>
        <v>0</v>
      </c>
      <c r="CE86" s="33">
        <f t="shared" si="224"/>
        <v>0</v>
      </c>
      <c r="CF86" s="33">
        <f t="shared" si="225"/>
        <v>0</v>
      </c>
      <c r="CG86" s="139">
        <f t="shared" si="226"/>
        <v>0</v>
      </c>
      <c r="CH86" s="139">
        <f t="shared" si="227"/>
        <v>0</v>
      </c>
      <c r="CI86" s="13"/>
      <c r="CJ86" s="55">
        <f t="shared" si="228"/>
        <v>0</v>
      </c>
      <c r="CK86" s="55">
        <f t="shared" si="229"/>
        <v>0</v>
      </c>
      <c r="CL86" s="56">
        <f t="shared" si="230"/>
        <v>0</v>
      </c>
      <c r="CM86" s="56">
        <f t="shared" si="231"/>
        <v>0</v>
      </c>
      <c r="CN86" s="31">
        <f t="shared" si="182"/>
        <v>20204</v>
      </c>
      <c r="CP86" s="16"/>
      <c r="CQ86" s="16"/>
      <c r="CR86" s="16"/>
      <c r="CS86" s="16"/>
      <c r="CT86" s="16"/>
      <c r="CV86" s="33">
        <f t="shared" si="232"/>
        <v>0</v>
      </c>
      <c r="CW86" s="33">
        <f t="shared" si="233"/>
        <v>0</v>
      </c>
      <c r="CX86" s="33">
        <f t="shared" si="234"/>
        <v>0</v>
      </c>
      <c r="CY86" s="139">
        <f t="shared" si="235"/>
        <v>0</v>
      </c>
      <c r="CZ86" s="139">
        <f t="shared" si="236"/>
        <v>0</v>
      </c>
      <c r="DA86" s="13"/>
      <c r="DB86" s="55">
        <f t="shared" si="237"/>
        <v>0</v>
      </c>
      <c r="DC86" s="55">
        <f t="shared" si="238"/>
        <v>0</v>
      </c>
      <c r="DD86" s="56">
        <f t="shared" si="239"/>
        <v>0</v>
      </c>
      <c r="DE86" s="56">
        <f t="shared" si="240"/>
        <v>0</v>
      </c>
      <c r="DF86" s="31">
        <f t="shared" si="183"/>
        <v>20204</v>
      </c>
      <c r="DH86" s="16"/>
      <c r="DI86" s="16"/>
      <c r="DJ86" s="16"/>
      <c r="DK86" s="16"/>
      <c r="DL86" s="16"/>
      <c r="DN86" s="33">
        <f t="shared" si="241"/>
        <v>0</v>
      </c>
      <c r="DO86" s="33">
        <f t="shared" si="242"/>
        <v>0</v>
      </c>
      <c r="DP86" s="33">
        <f t="shared" si="243"/>
        <v>0</v>
      </c>
      <c r="DQ86" s="139">
        <f t="shared" si="244"/>
        <v>0</v>
      </c>
      <c r="DR86" s="139">
        <f t="shared" si="245"/>
        <v>0</v>
      </c>
      <c r="DS86" s="13"/>
      <c r="DT86" s="55">
        <f t="shared" si="246"/>
        <v>0</v>
      </c>
      <c r="DU86" s="55">
        <f t="shared" si="247"/>
        <v>0</v>
      </c>
      <c r="DV86" s="56">
        <f t="shared" si="248"/>
        <v>0</v>
      </c>
      <c r="DW86" s="56">
        <f t="shared" si="249"/>
        <v>0</v>
      </c>
      <c r="DX86" s="31">
        <f t="shared" si="184"/>
        <v>20204</v>
      </c>
      <c r="DZ86" s="16"/>
      <c r="EA86" s="16"/>
      <c r="EB86" s="16"/>
      <c r="EC86" s="16"/>
      <c r="ED86" s="16"/>
      <c r="EF86" s="33">
        <f t="shared" si="250"/>
        <v>0</v>
      </c>
      <c r="EG86" s="33">
        <f t="shared" si="251"/>
        <v>0</v>
      </c>
      <c r="EH86" s="33">
        <f t="shared" si="252"/>
        <v>0</v>
      </c>
      <c r="EI86" s="139">
        <f t="shared" si="253"/>
        <v>0</v>
      </c>
      <c r="EJ86" s="139">
        <f t="shared" si="254"/>
        <v>0</v>
      </c>
      <c r="EK86" s="13"/>
      <c r="EL86" s="55">
        <f t="shared" si="255"/>
        <v>0</v>
      </c>
      <c r="EM86" s="55">
        <f t="shared" si="256"/>
        <v>0</v>
      </c>
      <c r="EN86" s="56">
        <f t="shared" si="257"/>
        <v>0</v>
      </c>
      <c r="EO86" s="56">
        <f t="shared" si="258"/>
        <v>0</v>
      </c>
      <c r="EP86" s="31">
        <f t="shared" si="185"/>
        <v>20204</v>
      </c>
      <c r="ER86" s="16"/>
      <c r="ES86" s="16"/>
      <c r="ET86" s="16"/>
      <c r="EU86" s="16"/>
      <c r="EV86" s="16"/>
      <c r="EX86" s="33">
        <f t="shared" si="259"/>
        <v>0</v>
      </c>
      <c r="EY86" s="33">
        <f t="shared" si="260"/>
        <v>0</v>
      </c>
      <c r="EZ86" s="33">
        <f t="shared" si="261"/>
        <v>0</v>
      </c>
      <c r="FA86" s="139">
        <f t="shared" si="262"/>
        <v>0</v>
      </c>
      <c r="FB86" s="139">
        <f t="shared" si="263"/>
        <v>0</v>
      </c>
      <c r="FC86" s="13"/>
      <c r="FD86" s="55">
        <f t="shared" si="264"/>
        <v>0</v>
      </c>
      <c r="FE86" s="55">
        <f t="shared" si="265"/>
        <v>0</v>
      </c>
      <c r="FF86" s="56">
        <f t="shared" si="266"/>
        <v>0</v>
      </c>
      <c r="FG86" s="56">
        <f t="shared" si="267"/>
        <v>0</v>
      </c>
      <c r="FH86" s="31">
        <f t="shared" si="186"/>
        <v>20204</v>
      </c>
      <c r="FJ86" s="16"/>
      <c r="FK86" s="16"/>
      <c r="FL86" s="16"/>
      <c r="FM86" s="16"/>
      <c r="FN86" s="16"/>
      <c r="FP86" s="33">
        <f t="shared" si="268"/>
        <v>0</v>
      </c>
      <c r="FQ86" s="33">
        <f t="shared" si="269"/>
        <v>0</v>
      </c>
      <c r="FR86" s="33">
        <f t="shared" si="270"/>
        <v>0</v>
      </c>
      <c r="FS86" s="139">
        <f t="shared" si="271"/>
        <v>0</v>
      </c>
      <c r="FT86" s="139">
        <f t="shared" si="272"/>
        <v>0</v>
      </c>
      <c r="FU86" s="13"/>
      <c r="FV86" s="55">
        <f t="shared" si="273"/>
        <v>0</v>
      </c>
      <c r="FW86" s="55">
        <f t="shared" si="274"/>
        <v>0</v>
      </c>
      <c r="FX86" s="56">
        <f t="shared" si="275"/>
        <v>0</v>
      </c>
      <c r="FY86" s="56">
        <f t="shared" si="276"/>
        <v>0</v>
      </c>
    </row>
    <row r="87" spans="1:181" x14ac:dyDescent="0.25">
      <c r="A87" s="25">
        <v>22</v>
      </c>
      <c r="B87" s="12">
        <f t="shared" si="177"/>
        <v>20211</v>
      </c>
      <c r="D87" s="16"/>
      <c r="E87" s="16"/>
      <c r="F87" s="16"/>
      <c r="G87" s="16"/>
      <c r="H87" s="16"/>
      <c r="J87" s="33">
        <f t="shared" si="187"/>
        <v>0</v>
      </c>
      <c r="K87" s="33">
        <f t="shared" si="188"/>
        <v>0</v>
      </c>
      <c r="L87" s="33">
        <f t="shared" si="189"/>
        <v>0</v>
      </c>
      <c r="M87" s="139">
        <f t="shared" si="190"/>
        <v>0</v>
      </c>
      <c r="N87" s="139">
        <f t="shared" si="191"/>
        <v>0</v>
      </c>
      <c r="O87" s="13"/>
      <c r="P87" s="55">
        <f t="shared" si="192"/>
        <v>0</v>
      </c>
      <c r="Q87" s="55">
        <f t="shared" si="193"/>
        <v>0</v>
      </c>
      <c r="R87" s="56">
        <f t="shared" si="194"/>
        <v>0</v>
      </c>
      <c r="S87" s="56">
        <f t="shared" si="195"/>
        <v>0</v>
      </c>
      <c r="T87" s="31">
        <f t="shared" si="178"/>
        <v>20211</v>
      </c>
      <c r="V87" s="16"/>
      <c r="W87" s="16"/>
      <c r="X87" s="16"/>
      <c r="Y87" s="16"/>
      <c r="Z87" s="16"/>
      <c r="AB87" s="33">
        <f t="shared" si="196"/>
        <v>0</v>
      </c>
      <c r="AC87" s="33">
        <f t="shared" si="197"/>
        <v>0</v>
      </c>
      <c r="AD87" s="33">
        <f t="shared" si="198"/>
        <v>0</v>
      </c>
      <c r="AE87" s="139">
        <f t="shared" si="199"/>
        <v>0</v>
      </c>
      <c r="AF87" s="139">
        <f t="shared" si="200"/>
        <v>0</v>
      </c>
      <c r="AG87" s="13"/>
      <c r="AH87" s="55">
        <f t="shared" si="201"/>
        <v>0</v>
      </c>
      <c r="AI87" s="55">
        <f t="shared" si="202"/>
        <v>0</v>
      </c>
      <c r="AJ87" s="56">
        <f t="shared" si="203"/>
        <v>0</v>
      </c>
      <c r="AK87" s="56">
        <f t="shared" si="204"/>
        <v>0</v>
      </c>
      <c r="AL87" s="31">
        <f t="shared" si="179"/>
        <v>20211</v>
      </c>
      <c r="AN87" s="16"/>
      <c r="AO87" s="16"/>
      <c r="AP87" s="16"/>
      <c r="AQ87" s="16"/>
      <c r="AR87" s="16"/>
      <c r="AT87" s="33">
        <f t="shared" si="205"/>
        <v>0</v>
      </c>
      <c r="AU87" s="33">
        <f t="shared" si="206"/>
        <v>0</v>
      </c>
      <c r="AV87" s="33">
        <f t="shared" si="207"/>
        <v>0</v>
      </c>
      <c r="AW87" s="139">
        <f t="shared" si="208"/>
        <v>0</v>
      </c>
      <c r="AX87" s="139">
        <f t="shared" si="209"/>
        <v>0</v>
      </c>
      <c r="AY87" s="13"/>
      <c r="AZ87" s="55">
        <f t="shared" si="210"/>
        <v>0</v>
      </c>
      <c r="BA87" s="55">
        <f t="shared" si="211"/>
        <v>0</v>
      </c>
      <c r="BB87" s="56">
        <f t="shared" si="212"/>
        <v>0</v>
      </c>
      <c r="BC87" s="56">
        <f t="shared" si="213"/>
        <v>0</v>
      </c>
      <c r="BD87" s="31">
        <f t="shared" si="180"/>
        <v>20211</v>
      </c>
      <c r="BF87" s="16"/>
      <c r="BG87" s="16"/>
      <c r="BH87" s="16"/>
      <c r="BI87" s="16"/>
      <c r="BJ87" s="16"/>
      <c r="BL87" s="33">
        <f t="shared" si="214"/>
        <v>0</v>
      </c>
      <c r="BM87" s="33">
        <f t="shared" si="215"/>
        <v>0</v>
      </c>
      <c r="BN87" s="33">
        <f t="shared" si="216"/>
        <v>0</v>
      </c>
      <c r="BO87" s="139">
        <f t="shared" si="217"/>
        <v>0</v>
      </c>
      <c r="BP87" s="139">
        <f t="shared" si="218"/>
        <v>0</v>
      </c>
      <c r="BQ87" s="13"/>
      <c r="BR87" s="55">
        <f t="shared" si="219"/>
        <v>0</v>
      </c>
      <c r="BS87" s="55">
        <f t="shared" si="220"/>
        <v>0</v>
      </c>
      <c r="BT87" s="56">
        <f t="shared" si="221"/>
        <v>0</v>
      </c>
      <c r="BU87" s="56">
        <f t="shared" si="222"/>
        <v>0</v>
      </c>
      <c r="BV87" s="31">
        <f t="shared" si="181"/>
        <v>20211</v>
      </c>
      <c r="BX87" s="16"/>
      <c r="BY87" s="16"/>
      <c r="BZ87" s="16"/>
      <c r="CA87" s="16"/>
      <c r="CB87" s="16"/>
      <c r="CD87" s="33">
        <f t="shared" si="223"/>
        <v>0</v>
      </c>
      <c r="CE87" s="33">
        <f t="shared" si="224"/>
        <v>0</v>
      </c>
      <c r="CF87" s="33">
        <f t="shared" si="225"/>
        <v>0</v>
      </c>
      <c r="CG87" s="139">
        <f t="shared" si="226"/>
        <v>0</v>
      </c>
      <c r="CH87" s="139">
        <f t="shared" si="227"/>
        <v>0</v>
      </c>
      <c r="CI87" s="13"/>
      <c r="CJ87" s="55">
        <f t="shared" si="228"/>
        <v>0</v>
      </c>
      <c r="CK87" s="55">
        <f t="shared" si="229"/>
        <v>0</v>
      </c>
      <c r="CL87" s="56">
        <f t="shared" si="230"/>
        <v>0</v>
      </c>
      <c r="CM87" s="56">
        <f t="shared" si="231"/>
        <v>0</v>
      </c>
      <c r="CN87" s="31">
        <f t="shared" si="182"/>
        <v>20211</v>
      </c>
      <c r="CP87" s="16"/>
      <c r="CQ87" s="16"/>
      <c r="CR87" s="16"/>
      <c r="CS87" s="16"/>
      <c r="CT87" s="16"/>
      <c r="CV87" s="33">
        <f t="shared" si="232"/>
        <v>0</v>
      </c>
      <c r="CW87" s="33">
        <f t="shared" si="233"/>
        <v>0</v>
      </c>
      <c r="CX87" s="33">
        <f t="shared" si="234"/>
        <v>0</v>
      </c>
      <c r="CY87" s="139">
        <f t="shared" si="235"/>
        <v>0</v>
      </c>
      <c r="CZ87" s="139">
        <f t="shared" si="236"/>
        <v>0</v>
      </c>
      <c r="DA87" s="13"/>
      <c r="DB87" s="55">
        <f t="shared" si="237"/>
        <v>0</v>
      </c>
      <c r="DC87" s="55">
        <f t="shared" si="238"/>
        <v>0</v>
      </c>
      <c r="DD87" s="56">
        <f t="shared" si="239"/>
        <v>0</v>
      </c>
      <c r="DE87" s="56">
        <f t="shared" si="240"/>
        <v>0</v>
      </c>
      <c r="DF87" s="31">
        <f t="shared" si="183"/>
        <v>20211</v>
      </c>
      <c r="DH87" s="16"/>
      <c r="DI87" s="16"/>
      <c r="DJ87" s="16"/>
      <c r="DK87" s="16"/>
      <c r="DL87" s="16"/>
      <c r="DN87" s="33">
        <f t="shared" si="241"/>
        <v>0</v>
      </c>
      <c r="DO87" s="33">
        <f t="shared" si="242"/>
        <v>0</v>
      </c>
      <c r="DP87" s="33">
        <f t="shared" si="243"/>
        <v>0</v>
      </c>
      <c r="DQ87" s="139">
        <f t="shared" si="244"/>
        <v>0</v>
      </c>
      <c r="DR87" s="139">
        <f t="shared" si="245"/>
        <v>0</v>
      </c>
      <c r="DS87" s="13"/>
      <c r="DT87" s="55">
        <f t="shared" si="246"/>
        <v>0</v>
      </c>
      <c r="DU87" s="55">
        <f t="shared" si="247"/>
        <v>0</v>
      </c>
      <c r="DV87" s="56">
        <f t="shared" si="248"/>
        <v>0</v>
      </c>
      <c r="DW87" s="56">
        <f t="shared" si="249"/>
        <v>0</v>
      </c>
      <c r="DX87" s="31">
        <f t="shared" si="184"/>
        <v>20211</v>
      </c>
      <c r="DZ87" s="16"/>
      <c r="EA87" s="16"/>
      <c r="EB87" s="16"/>
      <c r="EC87" s="16"/>
      <c r="ED87" s="16"/>
      <c r="EF87" s="33">
        <f t="shared" si="250"/>
        <v>0</v>
      </c>
      <c r="EG87" s="33">
        <f t="shared" si="251"/>
        <v>0</v>
      </c>
      <c r="EH87" s="33">
        <f t="shared" si="252"/>
        <v>0</v>
      </c>
      <c r="EI87" s="139">
        <f t="shared" si="253"/>
        <v>0</v>
      </c>
      <c r="EJ87" s="139">
        <f t="shared" si="254"/>
        <v>0</v>
      </c>
      <c r="EK87" s="13"/>
      <c r="EL87" s="55">
        <f t="shared" si="255"/>
        <v>0</v>
      </c>
      <c r="EM87" s="55">
        <f t="shared" si="256"/>
        <v>0</v>
      </c>
      <c r="EN87" s="56">
        <f t="shared" si="257"/>
        <v>0</v>
      </c>
      <c r="EO87" s="56">
        <f t="shared" si="258"/>
        <v>0</v>
      </c>
      <c r="EP87" s="31">
        <f t="shared" si="185"/>
        <v>20211</v>
      </c>
      <c r="ER87" s="16"/>
      <c r="ES87" s="16"/>
      <c r="ET87" s="16"/>
      <c r="EU87" s="16"/>
      <c r="EV87" s="16"/>
      <c r="EX87" s="33">
        <f t="shared" si="259"/>
        <v>0</v>
      </c>
      <c r="EY87" s="33">
        <f t="shared" si="260"/>
        <v>0</v>
      </c>
      <c r="EZ87" s="33">
        <f t="shared" si="261"/>
        <v>0</v>
      </c>
      <c r="FA87" s="139">
        <f t="shared" si="262"/>
        <v>0</v>
      </c>
      <c r="FB87" s="139">
        <f t="shared" si="263"/>
        <v>0</v>
      </c>
      <c r="FC87" s="13"/>
      <c r="FD87" s="55">
        <f t="shared" si="264"/>
        <v>0</v>
      </c>
      <c r="FE87" s="55">
        <f t="shared" si="265"/>
        <v>0</v>
      </c>
      <c r="FF87" s="56">
        <f t="shared" si="266"/>
        <v>0</v>
      </c>
      <c r="FG87" s="56">
        <f t="shared" si="267"/>
        <v>0</v>
      </c>
      <c r="FH87" s="31">
        <f t="shared" si="186"/>
        <v>20211</v>
      </c>
      <c r="FJ87" s="16"/>
      <c r="FK87" s="16"/>
      <c r="FL87" s="16"/>
      <c r="FM87" s="16"/>
      <c r="FN87" s="16"/>
      <c r="FP87" s="33">
        <f t="shared" si="268"/>
        <v>0</v>
      </c>
      <c r="FQ87" s="33">
        <f t="shared" si="269"/>
        <v>0</v>
      </c>
      <c r="FR87" s="33">
        <f t="shared" si="270"/>
        <v>0</v>
      </c>
      <c r="FS87" s="139">
        <f t="shared" si="271"/>
        <v>0</v>
      </c>
      <c r="FT87" s="139">
        <f t="shared" si="272"/>
        <v>0</v>
      </c>
      <c r="FU87" s="13"/>
      <c r="FV87" s="55">
        <f t="shared" si="273"/>
        <v>0</v>
      </c>
      <c r="FW87" s="55">
        <f t="shared" si="274"/>
        <v>0</v>
      </c>
      <c r="FX87" s="56">
        <f t="shared" si="275"/>
        <v>0</v>
      </c>
      <c r="FY87" s="56">
        <f t="shared" si="276"/>
        <v>0</v>
      </c>
    </row>
    <row r="88" spans="1:181" x14ac:dyDescent="0.25">
      <c r="A88" s="25">
        <v>23</v>
      </c>
      <c r="B88" s="12">
        <f t="shared" si="177"/>
        <v>20212</v>
      </c>
      <c r="D88" s="16"/>
      <c r="E88" s="16"/>
      <c r="F88" s="16"/>
      <c r="G88" s="16"/>
      <c r="H88" s="16"/>
      <c r="J88" s="33">
        <f t="shared" si="187"/>
        <v>0</v>
      </c>
      <c r="K88" s="33">
        <f t="shared" si="188"/>
        <v>0</v>
      </c>
      <c r="L88" s="33">
        <f t="shared" si="189"/>
        <v>0</v>
      </c>
      <c r="M88" s="139">
        <f t="shared" si="190"/>
        <v>0</v>
      </c>
      <c r="N88" s="139">
        <f t="shared" si="191"/>
        <v>0</v>
      </c>
      <c r="O88" s="13"/>
      <c r="P88" s="55">
        <f t="shared" si="192"/>
        <v>0</v>
      </c>
      <c r="Q88" s="55">
        <f t="shared" si="193"/>
        <v>0</v>
      </c>
      <c r="R88" s="56">
        <f t="shared" si="194"/>
        <v>0</v>
      </c>
      <c r="S88" s="56">
        <f t="shared" si="195"/>
        <v>0</v>
      </c>
      <c r="T88" s="31">
        <f t="shared" si="178"/>
        <v>20212</v>
      </c>
      <c r="V88" s="16"/>
      <c r="W88" s="16"/>
      <c r="X88" s="16"/>
      <c r="Y88" s="16"/>
      <c r="Z88" s="16"/>
      <c r="AB88" s="33">
        <f t="shared" si="196"/>
        <v>0</v>
      </c>
      <c r="AC88" s="33">
        <f t="shared" si="197"/>
        <v>0</v>
      </c>
      <c r="AD88" s="33">
        <f t="shared" si="198"/>
        <v>0</v>
      </c>
      <c r="AE88" s="139">
        <f t="shared" si="199"/>
        <v>0</v>
      </c>
      <c r="AF88" s="139">
        <f t="shared" si="200"/>
        <v>0</v>
      </c>
      <c r="AG88" s="13"/>
      <c r="AH88" s="55">
        <f t="shared" si="201"/>
        <v>0</v>
      </c>
      <c r="AI88" s="55">
        <f t="shared" si="202"/>
        <v>0</v>
      </c>
      <c r="AJ88" s="56">
        <f t="shared" si="203"/>
        <v>0</v>
      </c>
      <c r="AK88" s="56">
        <f t="shared" si="204"/>
        <v>0</v>
      </c>
      <c r="AL88" s="31">
        <f t="shared" si="179"/>
        <v>20212</v>
      </c>
      <c r="AN88" s="16"/>
      <c r="AO88" s="16"/>
      <c r="AP88" s="16"/>
      <c r="AQ88" s="16"/>
      <c r="AR88" s="16"/>
      <c r="AT88" s="33">
        <f t="shared" si="205"/>
        <v>0</v>
      </c>
      <c r="AU88" s="33">
        <f t="shared" si="206"/>
        <v>0</v>
      </c>
      <c r="AV88" s="33">
        <f t="shared" si="207"/>
        <v>0</v>
      </c>
      <c r="AW88" s="139">
        <f t="shared" si="208"/>
        <v>0</v>
      </c>
      <c r="AX88" s="139">
        <f t="shared" si="209"/>
        <v>0</v>
      </c>
      <c r="AY88" s="13"/>
      <c r="AZ88" s="55">
        <f t="shared" si="210"/>
        <v>0</v>
      </c>
      <c r="BA88" s="55">
        <f t="shared" si="211"/>
        <v>0</v>
      </c>
      <c r="BB88" s="56">
        <f t="shared" si="212"/>
        <v>0</v>
      </c>
      <c r="BC88" s="56">
        <f t="shared" si="213"/>
        <v>0</v>
      </c>
      <c r="BD88" s="31">
        <f t="shared" si="180"/>
        <v>20212</v>
      </c>
      <c r="BF88" s="16"/>
      <c r="BG88" s="16"/>
      <c r="BH88" s="16"/>
      <c r="BI88" s="16"/>
      <c r="BJ88" s="16"/>
      <c r="BL88" s="33">
        <f t="shared" si="214"/>
        <v>0</v>
      </c>
      <c r="BM88" s="33">
        <f t="shared" si="215"/>
        <v>0</v>
      </c>
      <c r="BN88" s="33">
        <f t="shared" si="216"/>
        <v>0</v>
      </c>
      <c r="BO88" s="139">
        <f t="shared" si="217"/>
        <v>0</v>
      </c>
      <c r="BP88" s="139">
        <f t="shared" si="218"/>
        <v>0</v>
      </c>
      <c r="BQ88" s="13"/>
      <c r="BR88" s="55">
        <f t="shared" si="219"/>
        <v>0</v>
      </c>
      <c r="BS88" s="55">
        <f t="shared" si="220"/>
        <v>0</v>
      </c>
      <c r="BT88" s="56">
        <f t="shared" si="221"/>
        <v>0</v>
      </c>
      <c r="BU88" s="56">
        <f t="shared" si="222"/>
        <v>0</v>
      </c>
      <c r="BV88" s="31">
        <f t="shared" si="181"/>
        <v>20212</v>
      </c>
      <c r="BX88" s="16"/>
      <c r="BY88" s="16"/>
      <c r="BZ88" s="16"/>
      <c r="CA88" s="16"/>
      <c r="CB88" s="16"/>
      <c r="CD88" s="33">
        <f t="shared" si="223"/>
        <v>0</v>
      </c>
      <c r="CE88" s="33">
        <f t="shared" si="224"/>
        <v>0</v>
      </c>
      <c r="CF88" s="33">
        <f t="shared" si="225"/>
        <v>0</v>
      </c>
      <c r="CG88" s="139">
        <f t="shared" si="226"/>
        <v>0</v>
      </c>
      <c r="CH88" s="139">
        <f t="shared" si="227"/>
        <v>0</v>
      </c>
      <c r="CI88" s="13"/>
      <c r="CJ88" s="55">
        <f t="shared" si="228"/>
        <v>0</v>
      </c>
      <c r="CK88" s="55">
        <f t="shared" si="229"/>
        <v>0</v>
      </c>
      <c r="CL88" s="56">
        <f t="shared" si="230"/>
        <v>0</v>
      </c>
      <c r="CM88" s="56">
        <f t="shared" si="231"/>
        <v>0</v>
      </c>
      <c r="CN88" s="31">
        <f t="shared" si="182"/>
        <v>20212</v>
      </c>
      <c r="CP88" s="16"/>
      <c r="CQ88" s="16"/>
      <c r="CR88" s="16"/>
      <c r="CS88" s="16"/>
      <c r="CT88" s="16"/>
      <c r="CV88" s="33">
        <f t="shared" si="232"/>
        <v>0</v>
      </c>
      <c r="CW88" s="33">
        <f t="shared" si="233"/>
        <v>0</v>
      </c>
      <c r="CX88" s="33">
        <f t="shared" si="234"/>
        <v>0</v>
      </c>
      <c r="CY88" s="139">
        <f t="shared" si="235"/>
        <v>0</v>
      </c>
      <c r="CZ88" s="139">
        <f t="shared" si="236"/>
        <v>0</v>
      </c>
      <c r="DA88" s="13"/>
      <c r="DB88" s="55">
        <f t="shared" si="237"/>
        <v>0</v>
      </c>
      <c r="DC88" s="55">
        <f t="shared" si="238"/>
        <v>0</v>
      </c>
      <c r="DD88" s="56">
        <f t="shared" si="239"/>
        <v>0</v>
      </c>
      <c r="DE88" s="56">
        <f t="shared" si="240"/>
        <v>0</v>
      </c>
      <c r="DF88" s="31">
        <f t="shared" si="183"/>
        <v>20212</v>
      </c>
      <c r="DH88" s="16"/>
      <c r="DI88" s="16"/>
      <c r="DJ88" s="16"/>
      <c r="DK88" s="16"/>
      <c r="DL88" s="16"/>
      <c r="DN88" s="33">
        <f t="shared" si="241"/>
        <v>0</v>
      </c>
      <c r="DO88" s="33">
        <f t="shared" si="242"/>
        <v>0</v>
      </c>
      <c r="DP88" s="33">
        <f t="shared" si="243"/>
        <v>0</v>
      </c>
      <c r="DQ88" s="139">
        <f t="shared" si="244"/>
        <v>0</v>
      </c>
      <c r="DR88" s="139">
        <f t="shared" si="245"/>
        <v>0</v>
      </c>
      <c r="DS88" s="13"/>
      <c r="DT88" s="55">
        <f t="shared" si="246"/>
        <v>0</v>
      </c>
      <c r="DU88" s="55">
        <f t="shared" si="247"/>
        <v>0</v>
      </c>
      <c r="DV88" s="56">
        <f t="shared" si="248"/>
        <v>0</v>
      </c>
      <c r="DW88" s="56">
        <f t="shared" si="249"/>
        <v>0</v>
      </c>
      <c r="DX88" s="31">
        <f t="shared" si="184"/>
        <v>20212</v>
      </c>
      <c r="DZ88" s="16"/>
      <c r="EA88" s="16"/>
      <c r="EB88" s="16"/>
      <c r="EC88" s="16"/>
      <c r="ED88" s="16"/>
      <c r="EF88" s="33">
        <f t="shared" si="250"/>
        <v>0</v>
      </c>
      <c r="EG88" s="33">
        <f t="shared" si="251"/>
        <v>0</v>
      </c>
      <c r="EH88" s="33">
        <f t="shared" si="252"/>
        <v>0</v>
      </c>
      <c r="EI88" s="139">
        <f t="shared" si="253"/>
        <v>0</v>
      </c>
      <c r="EJ88" s="139">
        <f t="shared" si="254"/>
        <v>0</v>
      </c>
      <c r="EK88" s="13"/>
      <c r="EL88" s="55">
        <f t="shared" si="255"/>
        <v>0</v>
      </c>
      <c r="EM88" s="55">
        <f t="shared" si="256"/>
        <v>0</v>
      </c>
      <c r="EN88" s="56">
        <f t="shared" si="257"/>
        <v>0</v>
      </c>
      <c r="EO88" s="56">
        <f t="shared" si="258"/>
        <v>0</v>
      </c>
      <c r="EP88" s="31">
        <f t="shared" si="185"/>
        <v>20212</v>
      </c>
      <c r="ER88" s="16"/>
      <c r="ES88" s="16"/>
      <c r="ET88" s="16"/>
      <c r="EU88" s="16"/>
      <c r="EV88" s="16"/>
      <c r="EX88" s="33">
        <f t="shared" si="259"/>
        <v>0</v>
      </c>
      <c r="EY88" s="33">
        <f t="shared" si="260"/>
        <v>0</v>
      </c>
      <c r="EZ88" s="33">
        <f t="shared" si="261"/>
        <v>0</v>
      </c>
      <c r="FA88" s="139">
        <f t="shared" si="262"/>
        <v>0</v>
      </c>
      <c r="FB88" s="139">
        <f t="shared" si="263"/>
        <v>0</v>
      </c>
      <c r="FC88" s="13"/>
      <c r="FD88" s="55">
        <f t="shared" si="264"/>
        <v>0</v>
      </c>
      <c r="FE88" s="55">
        <f t="shared" si="265"/>
        <v>0</v>
      </c>
      <c r="FF88" s="56">
        <f t="shared" si="266"/>
        <v>0</v>
      </c>
      <c r="FG88" s="56">
        <f t="shared" si="267"/>
        <v>0</v>
      </c>
      <c r="FH88" s="31">
        <f t="shared" si="186"/>
        <v>20212</v>
      </c>
      <c r="FJ88" s="16"/>
      <c r="FK88" s="16"/>
      <c r="FL88" s="16"/>
      <c r="FM88" s="16"/>
      <c r="FN88" s="16"/>
      <c r="FP88" s="33">
        <f t="shared" si="268"/>
        <v>0</v>
      </c>
      <c r="FQ88" s="33">
        <f t="shared" si="269"/>
        <v>0</v>
      </c>
      <c r="FR88" s="33">
        <f t="shared" si="270"/>
        <v>0</v>
      </c>
      <c r="FS88" s="139">
        <f t="shared" si="271"/>
        <v>0</v>
      </c>
      <c r="FT88" s="139">
        <f t="shared" si="272"/>
        <v>0</v>
      </c>
      <c r="FU88" s="13"/>
      <c r="FV88" s="55">
        <f t="shared" si="273"/>
        <v>0</v>
      </c>
      <c r="FW88" s="55">
        <f t="shared" si="274"/>
        <v>0</v>
      </c>
      <c r="FX88" s="56">
        <f t="shared" si="275"/>
        <v>0</v>
      </c>
      <c r="FY88" s="56">
        <f t="shared" si="276"/>
        <v>0</v>
      </c>
    </row>
    <row r="89" spans="1:181" x14ac:dyDescent="0.25">
      <c r="A89" s="25">
        <v>24</v>
      </c>
      <c r="B89" s="12">
        <f t="shared" si="177"/>
        <v>20213</v>
      </c>
      <c r="D89" s="16"/>
      <c r="E89" s="16"/>
      <c r="F89" s="16"/>
      <c r="G89" s="16"/>
      <c r="H89" s="16"/>
      <c r="J89" s="33">
        <f t="shared" si="187"/>
        <v>0</v>
      </c>
      <c r="K89" s="33">
        <f t="shared" si="188"/>
        <v>0</v>
      </c>
      <c r="L89" s="33">
        <f t="shared" si="189"/>
        <v>0</v>
      </c>
      <c r="M89" s="139">
        <f t="shared" si="190"/>
        <v>0</v>
      </c>
      <c r="N89" s="139">
        <f t="shared" si="191"/>
        <v>0</v>
      </c>
      <c r="O89" s="13"/>
      <c r="P89" s="55">
        <f t="shared" si="192"/>
        <v>0</v>
      </c>
      <c r="Q89" s="55">
        <f t="shared" si="193"/>
        <v>0</v>
      </c>
      <c r="R89" s="56">
        <f t="shared" si="194"/>
        <v>0</v>
      </c>
      <c r="S89" s="56">
        <f t="shared" si="195"/>
        <v>0</v>
      </c>
      <c r="T89" s="31">
        <f t="shared" si="178"/>
        <v>20213</v>
      </c>
      <c r="V89" s="16"/>
      <c r="W89" s="16"/>
      <c r="X89" s="16"/>
      <c r="Y89" s="16"/>
      <c r="Z89" s="16"/>
      <c r="AB89" s="33">
        <f t="shared" si="196"/>
        <v>0</v>
      </c>
      <c r="AC89" s="33">
        <f t="shared" si="197"/>
        <v>0</v>
      </c>
      <c r="AD89" s="33">
        <f t="shared" si="198"/>
        <v>0</v>
      </c>
      <c r="AE89" s="139">
        <f t="shared" si="199"/>
        <v>0</v>
      </c>
      <c r="AF89" s="139">
        <f t="shared" si="200"/>
        <v>0</v>
      </c>
      <c r="AG89" s="13"/>
      <c r="AH89" s="55">
        <f t="shared" si="201"/>
        <v>0</v>
      </c>
      <c r="AI89" s="55">
        <f t="shared" si="202"/>
        <v>0</v>
      </c>
      <c r="AJ89" s="56">
        <f t="shared" si="203"/>
        <v>0</v>
      </c>
      <c r="AK89" s="56">
        <f t="shared" si="204"/>
        <v>0</v>
      </c>
      <c r="AL89" s="31">
        <f t="shared" si="179"/>
        <v>20213</v>
      </c>
      <c r="AN89" s="16"/>
      <c r="AO89" s="16"/>
      <c r="AP89" s="16"/>
      <c r="AQ89" s="16"/>
      <c r="AR89" s="16"/>
      <c r="AT89" s="33">
        <f t="shared" si="205"/>
        <v>0</v>
      </c>
      <c r="AU89" s="33">
        <f t="shared" si="206"/>
        <v>0</v>
      </c>
      <c r="AV89" s="33">
        <f t="shared" si="207"/>
        <v>0</v>
      </c>
      <c r="AW89" s="139">
        <f t="shared" si="208"/>
        <v>0</v>
      </c>
      <c r="AX89" s="139">
        <f t="shared" si="209"/>
        <v>0</v>
      </c>
      <c r="AY89" s="13"/>
      <c r="AZ89" s="55">
        <f t="shared" si="210"/>
        <v>0</v>
      </c>
      <c r="BA89" s="55">
        <f t="shared" si="211"/>
        <v>0</v>
      </c>
      <c r="BB89" s="56">
        <f t="shared" si="212"/>
        <v>0</v>
      </c>
      <c r="BC89" s="56">
        <f t="shared" si="213"/>
        <v>0</v>
      </c>
      <c r="BD89" s="31">
        <f t="shared" si="180"/>
        <v>20213</v>
      </c>
      <c r="BF89" s="16"/>
      <c r="BG89" s="16"/>
      <c r="BH89" s="16"/>
      <c r="BI89" s="16"/>
      <c r="BJ89" s="16"/>
      <c r="BL89" s="33">
        <f t="shared" si="214"/>
        <v>0</v>
      </c>
      <c r="BM89" s="33">
        <f t="shared" si="215"/>
        <v>0</v>
      </c>
      <c r="BN89" s="33">
        <f t="shared" si="216"/>
        <v>0</v>
      </c>
      <c r="BO89" s="139">
        <f t="shared" si="217"/>
        <v>0</v>
      </c>
      <c r="BP89" s="139">
        <f t="shared" si="218"/>
        <v>0</v>
      </c>
      <c r="BQ89" s="13"/>
      <c r="BR89" s="55">
        <f t="shared" si="219"/>
        <v>0</v>
      </c>
      <c r="BS89" s="55">
        <f t="shared" si="220"/>
        <v>0</v>
      </c>
      <c r="BT89" s="56">
        <f t="shared" si="221"/>
        <v>0</v>
      </c>
      <c r="BU89" s="56">
        <f t="shared" si="222"/>
        <v>0</v>
      </c>
      <c r="BV89" s="31">
        <f t="shared" si="181"/>
        <v>20213</v>
      </c>
      <c r="BX89" s="16"/>
      <c r="BY89" s="16"/>
      <c r="BZ89" s="16"/>
      <c r="CA89" s="16"/>
      <c r="CB89" s="16"/>
      <c r="CD89" s="33">
        <f t="shared" si="223"/>
        <v>0</v>
      </c>
      <c r="CE89" s="33">
        <f t="shared" si="224"/>
        <v>0</v>
      </c>
      <c r="CF89" s="33">
        <f t="shared" si="225"/>
        <v>0</v>
      </c>
      <c r="CG89" s="139">
        <f t="shared" si="226"/>
        <v>0</v>
      </c>
      <c r="CH89" s="139">
        <f t="shared" si="227"/>
        <v>0</v>
      </c>
      <c r="CI89" s="13"/>
      <c r="CJ89" s="55">
        <f t="shared" si="228"/>
        <v>0</v>
      </c>
      <c r="CK89" s="55">
        <f t="shared" si="229"/>
        <v>0</v>
      </c>
      <c r="CL89" s="56">
        <f t="shared" si="230"/>
        <v>0</v>
      </c>
      <c r="CM89" s="56">
        <f t="shared" si="231"/>
        <v>0</v>
      </c>
      <c r="CN89" s="31">
        <f t="shared" si="182"/>
        <v>20213</v>
      </c>
      <c r="CP89" s="16"/>
      <c r="CQ89" s="16"/>
      <c r="CR89" s="16"/>
      <c r="CS89" s="16"/>
      <c r="CT89" s="16"/>
      <c r="CV89" s="33">
        <f t="shared" si="232"/>
        <v>0</v>
      </c>
      <c r="CW89" s="33">
        <f t="shared" si="233"/>
        <v>0</v>
      </c>
      <c r="CX89" s="33">
        <f t="shared" si="234"/>
        <v>0</v>
      </c>
      <c r="CY89" s="139">
        <f t="shared" si="235"/>
        <v>0</v>
      </c>
      <c r="CZ89" s="139">
        <f t="shared" si="236"/>
        <v>0</v>
      </c>
      <c r="DA89" s="13"/>
      <c r="DB89" s="55">
        <f t="shared" si="237"/>
        <v>0</v>
      </c>
      <c r="DC89" s="55">
        <f t="shared" si="238"/>
        <v>0</v>
      </c>
      <c r="DD89" s="56">
        <f t="shared" si="239"/>
        <v>0</v>
      </c>
      <c r="DE89" s="56">
        <f t="shared" si="240"/>
        <v>0</v>
      </c>
      <c r="DF89" s="31">
        <f t="shared" si="183"/>
        <v>20213</v>
      </c>
      <c r="DH89" s="16"/>
      <c r="DI89" s="16"/>
      <c r="DJ89" s="16"/>
      <c r="DK89" s="16"/>
      <c r="DL89" s="16"/>
      <c r="DN89" s="33">
        <f t="shared" si="241"/>
        <v>0</v>
      </c>
      <c r="DO89" s="33">
        <f t="shared" si="242"/>
        <v>0</v>
      </c>
      <c r="DP89" s="33">
        <f t="shared" si="243"/>
        <v>0</v>
      </c>
      <c r="DQ89" s="139">
        <f t="shared" si="244"/>
        <v>0</v>
      </c>
      <c r="DR89" s="139">
        <f t="shared" si="245"/>
        <v>0</v>
      </c>
      <c r="DS89" s="13"/>
      <c r="DT89" s="55">
        <f t="shared" si="246"/>
        <v>0</v>
      </c>
      <c r="DU89" s="55">
        <f t="shared" si="247"/>
        <v>0</v>
      </c>
      <c r="DV89" s="56">
        <f t="shared" si="248"/>
        <v>0</v>
      </c>
      <c r="DW89" s="56">
        <f t="shared" si="249"/>
        <v>0</v>
      </c>
      <c r="DX89" s="31">
        <f t="shared" si="184"/>
        <v>20213</v>
      </c>
      <c r="DZ89" s="16"/>
      <c r="EA89" s="16"/>
      <c r="EB89" s="16"/>
      <c r="EC89" s="16"/>
      <c r="ED89" s="16"/>
      <c r="EF89" s="33">
        <f t="shared" si="250"/>
        <v>0</v>
      </c>
      <c r="EG89" s="33">
        <f t="shared" si="251"/>
        <v>0</v>
      </c>
      <c r="EH89" s="33">
        <f t="shared" si="252"/>
        <v>0</v>
      </c>
      <c r="EI89" s="139">
        <f t="shared" si="253"/>
        <v>0</v>
      </c>
      <c r="EJ89" s="139">
        <f t="shared" si="254"/>
        <v>0</v>
      </c>
      <c r="EK89" s="13"/>
      <c r="EL89" s="55">
        <f t="shared" si="255"/>
        <v>0</v>
      </c>
      <c r="EM89" s="55">
        <f t="shared" si="256"/>
        <v>0</v>
      </c>
      <c r="EN89" s="56">
        <f t="shared" si="257"/>
        <v>0</v>
      </c>
      <c r="EO89" s="56">
        <f t="shared" si="258"/>
        <v>0</v>
      </c>
      <c r="EP89" s="31">
        <f t="shared" si="185"/>
        <v>20213</v>
      </c>
      <c r="ER89" s="16"/>
      <c r="ES89" s="16"/>
      <c r="ET89" s="16"/>
      <c r="EU89" s="16"/>
      <c r="EV89" s="16"/>
      <c r="EX89" s="33">
        <f t="shared" si="259"/>
        <v>0</v>
      </c>
      <c r="EY89" s="33">
        <f t="shared" si="260"/>
        <v>0</v>
      </c>
      <c r="EZ89" s="33">
        <f t="shared" si="261"/>
        <v>0</v>
      </c>
      <c r="FA89" s="139">
        <f t="shared" si="262"/>
        <v>0</v>
      </c>
      <c r="FB89" s="139">
        <f t="shared" si="263"/>
        <v>0</v>
      </c>
      <c r="FC89" s="13"/>
      <c r="FD89" s="55">
        <f t="shared" si="264"/>
        <v>0</v>
      </c>
      <c r="FE89" s="55">
        <f t="shared" si="265"/>
        <v>0</v>
      </c>
      <c r="FF89" s="56">
        <f t="shared" si="266"/>
        <v>0</v>
      </c>
      <c r="FG89" s="56">
        <f t="shared" si="267"/>
        <v>0</v>
      </c>
      <c r="FH89" s="31">
        <f t="shared" si="186"/>
        <v>20213</v>
      </c>
      <c r="FJ89" s="16"/>
      <c r="FK89" s="16"/>
      <c r="FL89" s="16"/>
      <c r="FM89" s="16"/>
      <c r="FN89" s="16"/>
      <c r="FP89" s="33">
        <f t="shared" si="268"/>
        <v>0</v>
      </c>
      <c r="FQ89" s="33">
        <f t="shared" si="269"/>
        <v>0</v>
      </c>
      <c r="FR89" s="33">
        <f t="shared" si="270"/>
        <v>0</v>
      </c>
      <c r="FS89" s="139">
        <f t="shared" si="271"/>
        <v>0</v>
      </c>
      <c r="FT89" s="139">
        <f t="shared" si="272"/>
        <v>0</v>
      </c>
      <c r="FU89" s="13"/>
      <c r="FV89" s="55">
        <f t="shared" si="273"/>
        <v>0</v>
      </c>
      <c r="FW89" s="55">
        <f t="shared" si="274"/>
        <v>0</v>
      </c>
      <c r="FX89" s="56">
        <f t="shared" si="275"/>
        <v>0</v>
      </c>
      <c r="FY89" s="56">
        <f t="shared" si="276"/>
        <v>0</v>
      </c>
    </row>
    <row r="90" spans="1:181" x14ac:dyDescent="0.25">
      <c r="A90" s="25">
        <v>25</v>
      </c>
      <c r="B90" s="12">
        <f t="shared" si="177"/>
        <v>20214</v>
      </c>
      <c r="D90" s="16"/>
      <c r="E90" s="16"/>
      <c r="F90" s="16"/>
      <c r="G90" s="16"/>
      <c r="H90" s="16"/>
      <c r="J90" s="33">
        <f t="shared" si="187"/>
        <v>0</v>
      </c>
      <c r="K90" s="33">
        <f t="shared" si="188"/>
        <v>0</v>
      </c>
      <c r="L90" s="33">
        <f t="shared" si="189"/>
        <v>0</v>
      </c>
      <c r="M90" s="139">
        <f t="shared" si="190"/>
        <v>0</v>
      </c>
      <c r="N90" s="139">
        <f t="shared" si="191"/>
        <v>0</v>
      </c>
      <c r="O90" s="13"/>
      <c r="P90" s="55">
        <f t="shared" si="192"/>
        <v>0</v>
      </c>
      <c r="Q90" s="55">
        <f t="shared" si="193"/>
        <v>0</v>
      </c>
      <c r="R90" s="56">
        <f t="shared" si="194"/>
        <v>0</v>
      </c>
      <c r="S90" s="56">
        <f t="shared" si="195"/>
        <v>0</v>
      </c>
      <c r="T90" s="31">
        <f t="shared" si="178"/>
        <v>20214</v>
      </c>
      <c r="V90" s="16"/>
      <c r="W90" s="16"/>
      <c r="X90" s="16"/>
      <c r="Y90" s="16"/>
      <c r="Z90" s="16"/>
      <c r="AB90" s="33">
        <f t="shared" si="196"/>
        <v>0</v>
      </c>
      <c r="AC90" s="33">
        <f t="shared" si="197"/>
        <v>0</v>
      </c>
      <c r="AD90" s="33">
        <f t="shared" si="198"/>
        <v>0</v>
      </c>
      <c r="AE90" s="139">
        <f t="shared" si="199"/>
        <v>0</v>
      </c>
      <c r="AF90" s="139">
        <f t="shared" si="200"/>
        <v>0</v>
      </c>
      <c r="AG90" s="13"/>
      <c r="AH90" s="55">
        <f t="shared" si="201"/>
        <v>0</v>
      </c>
      <c r="AI90" s="55">
        <f t="shared" si="202"/>
        <v>0</v>
      </c>
      <c r="AJ90" s="56">
        <f t="shared" si="203"/>
        <v>0</v>
      </c>
      <c r="AK90" s="56">
        <f t="shared" si="204"/>
        <v>0</v>
      </c>
      <c r="AL90" s="31">
        <f t="shared" si="179"/>
        <v>20214</v>
      </c>
      <c r="AN90" s="16"/>
      <c r="AO90" s="16"/>
      <c r="AP90" s="16"/>
      <c r="AQ90" s="16"/>
      <c r="AR90" s="16"/>
      <c r="AT90" s="33">
        <f t="shared" si="205"/>
        <v>0</v>
      </c>
      <c r="AU90" s="33">
        <f t="shared" si="206"/>
        <v>0</v>
      </c>
      <c r="AV90" s="33">
        <f t="shared" si="207"/>
        <v>0</v>
      </c>
      <c r="AW90" s="139">
        <f t="shared" si="208"/>
        <v>0</v>
      </c>
      <c r="AX90" s="139">
        <f t="shared" si="209"/>
        <v>0</v>
      </c>
      <c r="AY90" s="13"/>
      <c r="AZ90" s="55">
        <f t="shared" si="210"/>
        <v>0</v>
      </c>
      <c r="BA90" s="55">
        <f t="shared" si="211"/>
        <v>0</v>
      </c>
      <c r="BB90" s="56">
        <f t="shared" si="212"/>
        <v>0</v>
      </c>
      <c r="BC90" s="56">
        <f t="shared" si="213"/>
        <v>0</v>
      </c>
      <c r="BD90" s="31">
        <f t="shared" si="180"/>
        <v>20214</v>
      </c>
      <c r="BF90" s="16"/>
      <c r="BG90" s="16"/>
      <c r="BH90" s="16"/>
      <c r="BI90" s="16"/>
      <c r="BJ90" s="16"/>
      <c r="BL90" s="33">
        <f t="shared" si="214"/>
        <v>0</v>
      </c>
      <c r="BM90" s="33">
        <f t="shared" si="215"/>
        <v>0</v>
      </c>
      <c r="BN90" s="33">
        <f t="shared" si="216"/>
        <v>0</v>
      </c>
      <c r="BO90" s="139">
        <f t="shared" si="217"/>
        <v>0</v>
      </c>
      <c r="BP90" s="139">
        <f t="shared" si="218"/>
        <v>0</v>
      </c>
      <c r="BQ90" s="13"/>
      <c r="BR90" s="55">
        <f t="shared" si="219"/>
        <v>0</v>
      </c>
      <c r="BS90" s="55">
        <f t="shared" si="220"/>
        <v>0</v>
      </c>
      <c r="BT90" s="56">
        <f t="shared" si="221"/>
        <v>0</v>
      </c>
      <c r="BU90" s="56">
        <f t="shared" si="222"/>
        <v>0</v>
      </c>
      <c r="BV90" s="31">
        <f t="shared" si="181"/>
        <v>20214</v>
      </c>
      <c r="BX90" s="16"/>
      <c r="BY90" s="16"/>
      <c r="BZ90" s="16"/>
      <c r="CA90" s="16"/>
      <c r="CB90" s="16"/>
      <c r="CD90" s="33">
        <f t="shared" si="223"/>
        <v>0</v>
      </c>
      <c r="CE90" s="33">
        <f t="shared" si="224"/>
        <v>0</v>
      </c>
      <c r="CF90" s="33">
        <f t="shared" si="225"/>
        <v>0</v>
      </c>
      <c r="CG90" s="139">
        <f t="shared" si="226"/>
        <v>0</v>
      </c>
      <c r="CH90" s="139">
        <f t="shared" si="227"/>
        <v>0</v>
      </c>
      <c r="CI90" s="13"/>
      <c r="CJ90" s="55">
        <f t="shared" si="228"/>
        <v>0</v>
      </c>
      <c r="CK90" s="55">
        <f t="shared" si="229"/>
        <v>0</v>
      </c>
      <c r="CL90" s="56">
        <f t="shared" si="230"/>
        <v>0</v>
      </c>
      <c r="CM90" s="56">
        <f t="shared" si="231"/>
        <v>0</v>
      </c>
      <c r="CN90" s="31">
        <f t="shared" si="182"/>
        <v>20214</v>
      </c>
      <c r="CP90" s="16"/>
      <c r="CQ90" s="16"/>
      <c r="CR90" s="16"/>
      <c r="CS90" s="16"/>
      <c r="CT90" s="16"/>
      <c r="CV90" s="33">
        <f t="shared" si="232"/>
        <v>0</v>
      </c>
      <c r="CW90" s="33">
        <f t="shared" si="233"/>
        <v>0</v>
      </c>
      <c r="CX90" s="33">
        <f t="shared" si="234"/>
        <v>0</v>
      </c>
      <c r="CY90" s="139">
        <f t="shared" si="235"/>
        <v>0</v>
      </c>
      <c r="CZ90" s="139">
        <f t="shared" si="236"/>
        <v>0</v>
      </c>
      <c r="DA90" s="13"/>
      <c r="DB90" s="55">
        <f t="shared" si="237"/>
        <v>0</v>
      </c>
      <c r="DC90" s="55">
        <f t="shared" si="238"/>
        <v>0</v>
      </c>
      <c r="DD90" s="56">
        <f t="shared" si="239"/>
        <v>0</v>
      </c>
      <c r="DE90" s="56">
        <f t="shared" si="240"/>
        <v>0</v>
      </c>
      <c r="DF90" s="31">
        <f t="shared" si="183"/>
        <v>20214</v>
      </c>
      <c r="DH90" s="16"/>
      <c r="DI90" s="16"/>
      <c r="DJ90" s="16"/>
      <c r="DK90" s="16"/>
      <c r="DL90" s="16"/>
      <c r="DN90" s="33">
        <f t="shared" si="241"/>
        <v>0</v>
      </c>
      <c r="DO90" s="33">
        <f t="shared" si="242"/>
        <v>0</v>
      </c>
      <c r="DP90" s="33">
        <f t="shared" si="243"/>
        <v>0</v>
      </c>
      <c r="DQ90" s="139">
        <f t="shared" si="244"/>
        <v>0</v>
      </c>
      <c r="DR90" s="139">
        <f t="shared" si="245"/>
        <v>0</v>
      </c>
      <c r="DS90" s="13"/>
      <c r="DT90" s="55">
        <f t="shared" si="246"/>
        <v>0</v>
      </c>
      <c r="DU90" s="55">
        <f t="shared" si="247"/>
        <v>0</v>
      </c>
      <c r="DV90" s="56">
        <f t="shared" si="248"/>
        <v>0</v>
      </c>
      <c r="DW90" s="56">
        <f t="shared" si="249"/>
        <v>0</v>
      </c>
      <c r="DX90" s="31">
        <f t="shared" si="184"/>
        <v>20214</v>
      </c>
      <c r="DZ90" s="16"/>
      <c r="EA90" s="16"/>
      <c r="EB90" s="16"/>
      <c r="EC90" s="16"/>
      <c r="ED90" s="16"/>
      <c r="EF90" s="33">
        <f t="shared" si="250"/>
        <v>0</v>
      </c>
      <c r="EG90" s="33">
        <f t="shared" si="251"/>
        <v>0</v>
      </c>
      <c r="EH90" s="33">
        <f t="shared" si="252"/>
        <v>0</v>
      </c>
      <c r="EI90" s="139">
        <f t="shared" si="253"/>
        <v>0</v>
      </c>
      <c r="EJ90" s="139">
        <f t="shared" si="254"/>
        <v>0</v>
      </c>
      <c r="EK90" s="13"/>
      <c r="EL90" s="55">
        <f t="shared" si="255"/>
        <v>0</v>
      </c>
      <c r="EM90" s="55">
        <f t="shared" si="256"/>
        <v>0</v>
      </c>
      <c r="EN90" s="56">
        <f t="shared" si="257"/>
        <v>0</v>
      </c>
      <c r="EO90" s="56">
        <f t="shared" si="258"/>
        <v>0</v>
      </c>
      <c r="EP90" s="31">
        <f t="shared" si="185"/>
        <v>20214</v>
      </c>
      <c r="ER90" s="16"/>
      <c r="ES90" s="16"/>
      <c r="ET90" s="16"/>
      <c r="EU90" s="16"/>
      <c r="EV90" s="16"/>
      <c r="EX90" s="33">
        <f t="shared" si="259"/>
        <v>0</v>
      </c>
      <c r="EY90" s="33">
        <f t="shared" si="260"/>
        <v>0</v>
      </c>
      <c r="EZ90" s="33">
        <f t="shared" si="261"/>
        <v>0</v>
      </c>
      <c r="FA90" s="139">
        <f t="shared" si="262"/>
        <v>0</v>
      </c>
      <c r="FB90" s="139">
        <f t="shared" si="263"/>
        <v>0</v>
      </c>
      <c r="FC90" s="13"/>
      <c r="FD90" s="55">
        <f t="shared" si="264"/>
        <v>0</v>
      </c>
      <c r="FE90" s="55">
        <f t="shared" si="265"/>
        <v>0</v>
      </c>
      <c r="FF90" s="56">
        <f t="shared" si="266"/>
        <v>0</v>
      </c>
      <c r="FG90" s="56">
        <f t="shared" si="267"/>
        <v>0</v>
      </c>
      <c r="FH90" s="31">
        <f t="shared" si="186"/>
        <v>20214</v>
      </c>
      <c r="FJ90" s="16"/>
      <c r="FK90" s="16"/>
      <c r="FL90" s="16"/>
      <c r="FM90" s="16"/>
      <c r="FN90" s="16"/>
      <c r="FP90" s="33">
        <f t="shared" si="268"/>
        <v>0</v>
      </c>
      <c r="FQ90" s="33">
        <f t="shared" si="269"/>
        <v>0</v>
      </c>
      <c r="FR90" s="33">
        <f t="shared" si="270"/>
        <v>0</v>
      </c>
      <c r="FS90" s="139">
        <f t="shared" si="271"/>
        <v>0</v>
      </c>
      <c r="FT90" s="139">
        <f t="shared" si="272"/>
        <v>0</v>
      </c>
      <c r="FU90" s="13"/>
      <c r="FV90" s="55">
        <f t="shared" si="273"/>
        <v>0</v>
      </c>
      <c r="FW90" s="55">
        <f t="shared" si="274"/>
        <v>0</v>
      </c>
      <c r="FX90" s="56">
        <f t="shared" si="275"/>
        <v>0</v>
      </c>
      <c r="FY90" s="56">
        <f t="shared" si="276"/>
        <v>0</v>
      </c>
    </row>
    <row r="91" spans="1:181" x14ac:dyDescent="0.25">
      <c r="A91" s="25">
        <v>26</v>
      </c>
      <c r="B91" s="12">
        <f>IF(RIGHT(B92,1)="1",B92-7,B92-1)</f>
        <v>20221</v>
      </c>
      <c r="D91" s="16"/>
      <c r="E91" s="16"/>
      <c r="F91" s="16"/>
      <c r="G91" s="16"/>
      <c r="H91" s="16"/>
      <c r="J91" s="33">
        <f t="shared" si="187"/>
        <v>0</v>
      </c>
      <c r="K91" s="33">
        <f t="shared" si="188"/>
        <v>0</v>
      </c>
      <c r="L91" s="33">
        <f t="shared" si="189"/>
        <v>0</v>
      </c>
      <c r="M91" s="139">
        <f t="shared" si="190"/>
        <v>0</v>
      </c>
      <c r="N91" s="139">
        <f t="shared" si="191"/>
        <v>0</v>
      </c>
      <c r="O91" s="13"/>
      <c r="P91" s="55">
        <f t="shared" si="192"/>
        <v>0</v>
      </c>
      <c r="Q91" s="55">
        <f t="shared" si="193"/>
        <v>0</v>
      </c>
      <c r="R91" s="56">
        <f t="shared" si="194"/>
        <v>0</v>
      </c>
      <c r="S91" s="56">
        <f t="shared" si="195"/>
        <v>0</v>
      </c>
      <c r="T91" s="31">
        <f>IF(RIGHT(T92,1)="1",T92-7,T92-1)</f>
        <v>20221</v>
      </c>
      <c r="V91" s="16"/>
      <c r="W91" s="16"/>
      <c r="X91" s="16"/>
      <c r="Y91" s="16"/>
      <c r="Z91" s="16"/>
      <c r="AB91" s="33">
        <f t="shared" si="196"/>
        <v>0</v>
      </c>
      <c r="AC91" s="33">
        <f t="shared" si="197"/>
        <v>0</v>
      </c>
      <c r="AD91" s="33">
        <f t="shared" si="198"/>
        <v>0</v>
      </c>
      <c r="AE91" s="139">
        <f t="shared" si="199"/>
        <v>0</v>
      </c>
      <c r="AF91" s="139">
        <f t="shared" si="200"/>
        <v>0</v>
      </c>
      <c r="AG91" s="13"/>
      <c r="AH91" s="55">
        <f t="shared" si="201"/>
        <v>0</v>
      </c>
      <c r="AI91" s="55">
        <f t="shared" si="202"/>
        <v>0</v>
      </c>
      <c r="AJ91" s="56">
        <f t="shared" si="203"/>
        <v>0</v>
      </c>
      <c r="AK91" s="56">
        <f t="shared" si="204"/>
        <v>0</v>
      </c>
      <c r="AL91" s="31">
        <f>IF(RIGHT(AL92,1)="1",AL92-7,AL92-1)</f>
        <v>20221</v>
      </c>
      <c r="AN91" s="16"/>
      <c r="AO91" s="16"/>
      <c r="AP91" s="16"/>
      <c r="AQ91" s="16"/>
      <c r="AR91" s="16"/>
      <c r="AT91" s="33">
        <f t="shared" si="205"/>
        <v>0</v>
      </c>
      <c r="AU91" s="33">
        <f t="shared" si="206"/>
        <v>0</v>
      </c>
      <c r="AV91" s="33">
        <f t="shared" si="207"/>
        <v>0</v>
      </c>
      <c r="AW91" s="139">
        <f t="shared" si="208"/>
        <v>0</v>
      </c>
      <c r="AX91" s="139">
        <f t="shared" si="209"/>
        <v>0</v>
      </c>
      <c r="AY91" s="13"/>
      <c r="AZ91" s="55">
        <f t="shared" si="210"/>
        <v>0</v>
      </c>
      <c r="BA91" s="55">
        <f t="shared" si="211"/>
        <v>0</v>
      </c>
      <c r="BB91" s="56">
        <f t="shared" si="212"/>
        <v>0</v>
      </c>
      <c r="BC91" s="56">
        <f t="shared" si="213"/>
        <v>0</v>
      </c>
      <c r="BD91" s="31">
        <f>IF(RIGHT(BD92,1)="1",BD92-7,BD92-1)</f>
        <v>20221</v>
      </c>
      <c r="BF91" s="16"/>
      <c r="BG91" s="16"/>
      <c r="BH91" s="16"/>
      <c r="BI91" s="16"/>
      <c r="BJ91" s="16"/>
      <c r="BL91" s="33">
        <f t="shared" si="214"/>
        <v>0</v>
      </c>
      <c r="BM91" s="33">
        <f t="shared" si="215"/>
        <v>0</v>
      </c>
      <c r="BN91" s="33">
        <f t="shared" si="216"/>
        <v>0</v>
      </c>
      <c r="BO91" s="139">
        <f t="shared" si="217"/>
        <v>0</v>
      </c>
      <c r="BP91" s="139">
        <f t="shared" si="218"/>
        <v>0</v>
      </c>
      <c r="BQ91" s="13"/>
      <c r="BR91" s="55">
        <f t="shared" si="219"/>
        <v>0</v>
      </c>
      <c r="BS91" s="55">
        <f t="shared" si="220"/>
        <v>0</v>
      </c>
      <c r="BT91" s="56">
        <f t="shared" si="221"/>
        <v>0</v>
      </c>
      <c r="BU91" s="56">
        <f t="shared" si="222"/>
        <v>0</v>
      </c>
      <c r="BV91" s="31">
        <f>IF(RIGHT(BV92,1)="1",BV92-7,BV92-1)</f>
        <v>20221</v>
      </c>
      <c r="BX91" s="16"/>
      <c r="BY91" s="16"/>
      <c r="BZ91" s="16"/>
      <c r="CA91" s="16"/>
      <c r="CB91" s="16"/>
      <c r="CD91" s="33">
        <f t="shared" si="223"/>
        <v>0</v>
      </c>
      <c r="CE91" s="33">
        <f t="shared" si="224"/>
        <v>0</v>
      </c>
      <c r="CF91" s="33">
        <f t="shared" si="225"/>
        <v>0</v>
      </c>
      <c r="CG91" s="139">
        <f t="shared" si="226"/>
        <v>0</v>
      </c>
      <c r="CH91" s="139">
        <f t="shared" si="227"/>
        <v>0</v>
      </c>
      <c r="CI91" s="13"/>
      <c r="CJ91" s="55">
        <f t="shared" si="228"/>
        <v>0</v>
      </c>
      <c r="CK91" s="55">
        <f t="shared" si="229"/>
        <v>0</v>
      </c>
      <c r="CL91" s="56">
        <f t="shared" si="230"/>
        <v>0</v>
      </c>
      <c r="CM91" s="56">
        <f t="shared" si="231"/>
        <v>0</v>
      </c>
      <c r="CN91" s="31">
        <f>IF(RIGHT(CN92,1)="1",CN92-7,CN92-1)</f>
        <v>20221</v>
      </c>
      <c r="CP91" s="16"/>
      <c r="CQ91" s="16"/>
      <c r="CR91" s="16"/>
      <c r="CS91" s="16"/>
      <c r="CT91" s="16"/>
      <c r="CV91" s="33">
        <f t="shared" si="232"/>
        <v>0</v>
      </c>
      <c r="CW91" s="33">
        <f t="shared" si="233"/>
        <v>0</v>
      </c>
      <c r="CX91" s="33">
        <f t="shared" si="234"/>
        <v>0</v>
      </c>
      <c r="CY91" s="139">
        <f t="shared" si="235"/>
        <v>0</v>
      </c>
      <c r="CZ91" s="139">
        <f t="shared" si="236"/>
        <v>0</v>
      </c>
      <c r="DA91" s="13"/>
      <c r="DB91" s="55">
        <f t="shared" si="237"/>
        <v>0</v>
      </c>
      <c r="DC91" s="55">
        <f t="shared" si="238"/>
        <v>0</v>
      </c>
      <c r="DD91" s="56">
        <f t="shared" si="239"/>
        <v>0</v>
      </c>
      <c r="DE91" s="56">
        <f t="shared" si="240"/>
        <v>0</v>
      </c>
      <c r="DF91" s="31">
        <f>IF(RIGHT(DF92,1)="1",DF92-7,DF92-1)</f>
        <v>20221</v>
      </c>
      <c r="DH91" s="16"/>
      <c r="DI91" s="16"/>
      <c r="DJ91" s="16"/>
      <c r="DK91" s="16"/>
      <c r="DL91" s="16"/>
      <c r="DN91" s="33">
        <f t="shared" si="241"/>
        <v>0</v>
      </c>
      <c r="DO91" s="33">
        <f t="shared" si="242"/>
        <v>0</v>
      </c>
      <c r="DP91" s="33">
        <f t="shared" si="243"/>
        <v>0</v>
      </c>
      <c r="DQ91" s="139">
        <f t="shared" si="244"/>
        <v>0</v>
      </c>
      <c r="DR91" s="139">
        <f t="shared" si="245"/>
        <v>0</v>
      </c>
      <c r="DS91" s="13"/>
      <c r="DT91" s="55">
        <f t="shared" si="246"/>
        <v>0</v>
      </c>
      <c r="DU91" s="55">
        <f t="shared" si="247"/>
        <v>0</v>
      </c>
      <c r="DV91" s="56">
        <f t="shared" si="248"/>
        <v>0</v>
      </c>
      <c r="DW91" s="56">
        <f t="shared" si="249"/>
        <v>0</v>
      </c>
      <c r="DX91" s="31">
        <f>IF(RIGHT(DX92,1)="1",DX92-7,DX92-1)</f>
        <v>20221</v>
      </c>
      <c r="DZ91" s="16"/>
      <c r="EA91" s="16"/>
      <c r="EB91" s="16"/>
      <c r="EC91" s="16"/>
      <c r="ED91" s="16"/>
      <c r="EF91" s="33">
        <f t="shared" si="250"/>
        <v>0</v>
      </c>
      <c r="EG91" s="33">
        <f t="shared" si="251"/>
        <v>0</v>
      </c>
      <c r="EH91" s="33">
        <f t="shared" si="252"/>
        <v>0</v>
      </c>
      <c r="EI91" s="139">
        <f t="shared" si="253"/>
        <v>0</v>
      </c>
      <c r="EJ91" s="139">
        <f t="shared" si="254"/>
        <v>0</v>
      </c>
      <c r="EK91" s="13"/>
      <c r="EL91" s="55">
        <f t="shared" si="255"/>
        <v>0</v>
      </c>
      <c r="EM91" s="55">
        <f t="shared" si="256"/>
        <v>0</v>
      </c>
      <c r="EN91" s="56">
        <f t="shared" si="257"/>
        <v>0</v>
      </c>
      <c r="EO91" s="56">
        <f t="shared" si="258"/>
        <v>0</v>
      </c>
      <c r="EP91" s="31">
        <f>IF(RIGHT(EP92,1)="1",EP92-7,EP92-1)</f>
        <v>20221</v>
      </c>
      <c r="ER91" s="16"/>
      <c r="ES91" s="16"/>
      <c r="ET91" s="16"/>
      <c r="EU91" s="16"/>
      <c r="EV91" s="16"/>
      <c r="EX91" s="33">
        <f t="shared" si="259"/>
        <v>0</v>
      </c>
      <c r="EY91" s="33">
        <f t="shared" si="260"/>
        <v>0</v>
      </c>
      <c r="EZ91" s="33">
        <f t="shared" si="261"/>
        <v>0</v>
      </c>
      <c r="FA91" s="139">
        <f t="shared" si="262"/>
        <v>0</v>
      </c>
      <c r="FB91" s="139">
        <f t="shared" si="263"/>
        <v>0</v>
      </c>
      <c r="FC91" s="13"/>
      <c r="FD91" s="55">
        <f t="shared" si="264"/>
        <v>0</v>
      </c>
      <c r="FE91" s="55">
        <f t="shared" si="265"/>
        <v>0</v>
      </c>
      <c r="FF91" s="56">
        <f t="shared" si="266"/>
        <v>0</v>
      </c>
      <c r="FG91" s="56">
        <f t="shared" si="267"/>
        <v>0</v>
      </c>
      <c r="FH91" s="31">
        <f>IF(RIGHT(FH92,1)="1",FH92-7,FH92-1)</f>
        <v>20221</v>
      </c>
      <c r="FJ91" s="16"/>
      <c r="FK91" s="16"/>
      <c r="FL91" s="16"/>
      <c r="FM91" s="16"/>
      <c r="FN91" s="16"/>
      <c r="FP91" s="33">
        <f t="shared" si="268"/>
        <v>0</v>
      </c>
      <c r="FQ91" s="33">
        <f t="shared" si="269"/>
        <v>0</v>
      </c>
      <c r="FR91" s="33">
        <f t="shared" si="270"/>
        <v>0</v>
      </c>
      <c r="FS91" s="139">
        <f t="shared" si="271"/>
        <v>0</v>
      </c>
      <c r="FT91" s="139">
        <f t="shared" si="272"/>
        <v>0</v>
      </c>
      <c r="FU91" s="13"/>
      <c r="FV91" s="55">
        <f t="shared" si="273"/>
        <v>0</v>
      </c>
      <c r="FW91" s="55">
        <f t="shared" si="274"/>
        <v>0</v>
      </c>
      <c r="FX91" s="56">
        <f t="shared" si="275"/>
        <v>0</v>
      </c>
      <c r="FY91" s="56">
        <f t="shared" si="276"/>
        <v>0</v>
      </c>
    </row>
    <row r="92" spans="1:181" x14ac:dyDescent="0.25">
      <c r="A92" s="25">
        <v>27</v>
      </c>
      <c r="B92" s="12">
        <f>FYQtr_Comp</f>
        <v>20222</v>
      </c>
      <c r="D92" s="16"/>
      <c r="E92" s="16"/>
      <c r="F92" s="16"/>
      <c r="G92" s="16"/>
      <c r="H92" s="16"/>
      <c r="J92" s="33">
        <f t="shared" si="187"/>
        <v>0</v>
      </c>
      <c r="K92" s="33">
        <f t="shared" si="188"/>
        <v>0</v>
      </c>
      <c r="L92" s="33">
        <f t="shared" si="189"/>
        <v>0</v>
      </c>
      <c r="M92" s="139">
        <f t="shared" si="190"/>
        <v>0</v>
      </c>
      <c r="N92" s="139">
        <f t="shared" si="191"/>
        <v>0</v>
      </c>
      <c r="O92" s="13"/>
      <c r="P92" s="55">
        <f t="shared" si="192"/>
        <v>0</v>
      </c>
      <c r="Q92" s="55">
        <f t="shared" si="193"/>
        <v>0</v>
      </c>
      <c r="R92" s="56">
        <f t="shared" si="194"/>
        <v>0</v>
      </c>
      <c r="S92" s="56">
        <f t="shared" si="195"/>
        <v>0</v>
      </c>
      <c r="T92" s="31">
        <f>$B$92</f>
        <v>20222</v>
      </c>
      <c r="V92" s="16"/>
      <c r="W92" s="16"/>
      <c r="X92" s="16"/>
      <c r="Y92" s="16"/>
      <c r="Z92" s="16"/>
      <c r="AB92" s="33">
        <f t="shared" si="196"/>
        <v>0</v>
      </c>
      <c r="AC92" s="33">
        <f t="shared" si="197"/>
        <v>0</v>
      </c>
      <c r="AD92" s="33">
        <f t="shared" si="198"/>
        <v>0</v>
      </c>
      <c r="AE92" s="139">
        <f t="shared" si="199"/>
        <v>0</v>
      </c>
      <c r="AF92" s="139">
        <f t="shared" si="200"/>
        <v>0</v>
      </c>
      <c r="AG92" s="13"/>
      <c r="AH92" s="55">
        <f t="shared" si="201"/>
        <v>0</v>
      </c>
      <c r="AI92" s="55">
        <f t="shared" si="202"/>
        <v>0</v>
      </c>
      <c r="AJ92" s="56">
        <f t="shared" si="203"/>
        <v>0</v>
      </c>
      <c r="AK92" s="56">
        <f t="shared" si="204"/>
        <v>0</v>
      </c>
      <c r="AL92" s="31">
        <f>$B$92</f>
        <v>20222</v>
      </c>
      <c r="AN92" s="16"/>
      <c r="AO92" s="16"/>
      <c r="AP92" s="16"/>
      <c r="AQ92" s="16"/>
      <c r="AR92" s="16"/>
      <c r="AT92" s="33">
        <f t="shared" si="205"/>
        <v>0</v>
      </c>
      <c r="AU92" s="33">
        <f t="shared" si="206"/>
        <v>0</v>
      </c>
      <c r="AV92" s="33">
        <f t="shared" si="207"/>
        <v>0</v>
      </c>
      <c r="AW92" s="139">
        <f t="shared" si="208"/>
        <v>0</v>
      </c>
      <c r="AX92" s="139">
        <f t="shared" si="209"/>
        <v>0</v>
      </c>
      <c r="AY92" s="13"/>
      <c r="AZ92" s="55">
        <f t="shared" si="210"/>
        <v>0</v>
      </c>
      <c r="BA92" s="55">
        <f t="shared" si="211"/>
        <v>0</v>
      </c>
      <c r="BB92" s="56">
        <f t="shared" si="212"/>
        <v>0</v>
      </c>
      <c r="BC92" s="56">
        <f t="shared" si="213"/>
        <v>0</v>
      </c>
      <c r="BD92" s="31">
        <f>$B$92</f>
        <v>20222</v>
      </c>
      <c r="BF92" s="16"/>
      <c r="BG92" s="16"/>
      <c r="BH92" s="16"/>
      <c r="BI92" s="16"/>
      <c r="BJ92" s="16"/>
      <c r="BL92" s="33">
        <f t="shared" si="214"/>
        <v>0</v>
      </c>
      <c r="BM92" s="33">
        <f t="shared" si="215"/>
        <v>0</v>
      </c>
      <c r="BN92" s="33">
        <f t="shared" si="216"/>
        <v>0</v>
      </c>
      <c r="BO92" s="139">
        <f t="shared" si="217"/>
        <v>0</v>
      </c>
      <c r="BP92" s="139">
        <f t="shared" si="218"/>
        <v>0</v>
      </c>
      <c r="BQ92" s="13"/>
      <c r="BR92" s="55">
        <f t="shared" si="219"/>
        <v>0</v>
      </c>
      <c r="BS92" s="55">
        <f t="shared" si="220"/>
        <v>0</v>
      </c>
      <c r="BT92" s="56">
        <f t="shared" si="221"/>
        <v>0</v>
      </c>
      <c r="BU92" s="56">
        <f t="shared" si="222"/>
        <v>0</v>
      </c>
      <c r="BV92" s="31">
        <f>$B$92</f>
        <v>20222</v>
      </c>
      <c r="BX92" s="16"/>
      <c r="BY92" s="16"/>
      <c r="BZ92" s="16"/>
      <c r="CA92" s="16"/>
      <c r="CB92" s="16"/>
      <c r="CD92" s="33">
        <f t="shared" si="223"/>
        <v>0</v>
      </c>
      <c r="CE92" s="33">
        <f t="shared" si="224"/>
        <v>0</v>
      </c>
      <c r="CF92" s="33">
        <f t="shared" si="225"/>
        <v>0</v>
      </c>
      <c r="CG92" s="139">
        <f t="shared" si="226"/>
        <v>0</v>
      </c>
      <c r="CH92" s="139">
        <f t="shared" si="227"/>
        <v>0</v>
      </c>
      <c r="CI92" s="13"/>
      <c r="CJ92" s="55">
        <f t="shared" si="228"/>
        <v>0</v>
      </c>
      <c r="CK92" s="55">
        <f t="shared" si="229"/>
        <v>0</v>
      </c>
      <c r="CL92" s="56">
        <f t="shared" si="230"/>
        <v>0</v>
      </c>
      <c r="CM92" s="56">
        <f t="shared" si="231"/>
        <v>0</v>
      </c>
      <c r="CN92" s="31">
        <f>$B$92</f>
        <v>20222</v>
      </c>
      <c r="CP92" s="16"/>
      <c r="CQ92" s="16"/>
      <c r="CR92" s="16"/>
      <c r="CS92" s="16"/>
      <c r="CT92" s="16"/>
      <c r="CV92" s="33">
        <f t="shared" si="232"/>
        <v>0</v>
      </c>
      <c r="CW92" s="33">
        <f t="shared" si="233"/>
        <v>0</v>
      </c>
      <c r="CX92" s="33">
        <f t="shared" si="234"/>
        <v>0</v>
      </c>
      <c r="CY92" s="139">
        <f t="shared" si="235"/>
        <v>0</v>
      </c>
      <c r="CZ92" s="139">
        <f t="shared" si="236"/>
        <v>0</v>
      </c>
      <c r="DA92" s="13"/>
      <c r="DB92" s="55">
        <f t="shared" si="237"/>
        <v>0</v>
      </c>
      <c r="DC92" s="55">
        <f t="shared" si="238"/>
        <v>0</v>
      </c>
      <c r="DD92" s="56">
        <f t="shared" si="239"/>
        <v>0</v>
      </c>
      <c r="DE92" s="56">
        <f t="shared" si="240"/>
        <v>0</v>
      </c>
      <c r="DF92" s="31">
        <f>$B$92</f>
        <v>20222</v>
      </c>
      <c r="DH92" s="16"/>
      <c r="DI92" s="16"/>
      <c r="DJ92" s="16"/>
      <c r="DK92" s="16"/>
      <c r="DL92" s="16"/>
      <c r="DN92" s="33">
        <f t="shared" si="241"/>
        <v>0</v>
      </c>
      <c r="DO92" s="33">
        <f t="shared" si="242"/>
        <v>0</v>
      </c>
      <c r="DP92" s="33">
        <f t="shared" si="243"/>
        <v>0</v>
      </c>
      <c r="DQ92" s="139">
        <f t="shared" si="244"/>
        <v>0</v>
      </c>
      <c r="DR92" s="139">
        <f t="shared" si="245"/>
        <v>0</v>
      </c>
      <c r="DS92" s="13"/>
      <c r="DT92" s="55">
        <f t="shared" si="246"/>
        <v>0</v>
      </c>
      <c r="DU92" s="55">
        <f t="shared" si="247"/>
        <v>0</v>
      </c>
      <c r="DV92" s="56">
        <f t="shared" si="248"/>
        <v>0</v>
      </c>
      <c r="DW92" s="56">
        <f t="shared" si="249"/>
        <v>0</v>
      </c>
      <c r="DX92" s="31">
        <f>$B$92</f>
        <v>20222</v>
      </c>
      <c r="DZ92" s="16"/>
      <c r="EA92" s="16"/>
      <c r="EB92" s="16"/>
      <c r="EC92" s="16"/>
      <c r="ED92" s="16"/>
      <c r="EF92" s="33">
        <f t="shared" si="250"/>
        <v>0</v>
      </c>
      <c r="EG92" s="33">
        <f t="shared" si="251"/>
        <v>0</v>
      </c>
      <c r="EH92" s="33">
        <f t="shared" si="252"/>
        <v>0</v>
      </c>
      <c r="EI92" s="139">
        <f t="shared" si="253"/>
        <v>0</v>
      </c>
      <c r="EJ92" s="139">
        <f t="shared" si="254"/>
        <v>0</v>
      </c>
      <c r="EK92" s="13"/>
      <c r="EL92" s="55">
        <f t="shared" si="255"/>
        <v>0</v>
      </c>
      <c r="EM92" s="55">
        <f t="shared" si="256"/>
        <v>0</v>
      </c>
      <c r="EN92" s="56">
        <f t="shared" si="257"/>
        <v>0</v>
      </c>
      <c r="EO92" s="56">
        <f t="shared" si="258"/>
        <v>0</v>
      </c>
      <c r="EP92" s="31">
        <f>$B$92</f>
        <v>20222</v>
      </c>
      <c r="ER92" s="16"/>
      <c r="ES92" s="16"/>
      <c r="ET92" s="16"/>
      <c r="EU92" s="16"/>
      <c r="EV92" s="16"/>
      <c r="EX92" s="33">
        <f t="shared" si="259"/>
        <v>0</v>
      </c>
      <c r="EY92" s="33">
        <f t="shared" si="260"/>
        <v>0</v>
      </c>
      <c r="EZ92" s="33">
        <f t="shared" si="261"/>
        <v>0</v>
      </c>
      <c r="FA92" s="139">
        <f t="shared" si="262"/>
        <v>0</v>
      </c>
      <c r="FB92" s="139">
        <f t="shared" si="263"/>
        <v>0</v>
      </c>
      <c r="FC92" s="13"/>
      <c r="FD92" s="55">
        <f t="shared" si="264"/>
        <v>0</v>
      </c>
      <c r="FE92" s="55">
        <f t="shared" si="265"/>
        <v>0</v>
      </c>
      <c r="FF92" s="56">
        <f t="shared" si="266"/>
        <v>0</v>
      </c>
      <c r="FG92" s="56">
        <f t="shared" si="267"/>
        <v>0</v>
      </c>
      <c r="FH92" s="31">
        <f>$B$92</f>
        <v>20222</v>
      </c>
      <c r="FJ92" s="16"/>
      <c r="FK92" s="16"/>
      <c r="FL92" s="16"/>
      <c r="FM92" s="16"/>
      <c r="FN92" s="16"/>
      <c r="FP92" s="33">
        <f t="shared" si="268"/>
        <v>0</v>
      </c>
      <c r="FQ92" s="33">
        <f t="shared" si="269"/>
        <v>0</v>
      </c>
      <c r="FR92" s="33">
        <f t="shared" si="270"/>
        <v>0</v>
      </c>
      <c r="FS92" s="139">
        <f t="shared" si="271"/>
        <v>0</v>
      </c>
      <c r="FT92" s="139">
        <f t="shared" si="272"/>
        <v>0</v>
      </c>
      <c r="FU92" s="13"/>
      <c r="FV92" s="55">
        <f t="shared" si="273"/>
        <v>0</v>
      </c>
      <c r="FW92" s="55">
        <f t="shared" si="274"/>
        <v>0</v>
      </c>
      <c r="FX92" s="56">
        <f t="shared" si="275"/>
        <v>0</v>
      </c>
      <c r="FY92" s="56">
        <f t="shared" si="276"/>
        <v>0</v>
      </c>
    </row>
    <row r="93" spans="1:181" ht="15.75" thickBot="1" x14ac:dyDescent="0.3"/>
    <row r="94" spans="1:181" ht="15.75" thickBot="1" x14ac:dyDescent="0.3">
      <c r="B94" s="135" t="str">
        <f>IF(D95="Alternate","",_xlfn.IFNA(_xlfn.IFS((AND(ISNUMBER(SEARCH("Private Passenger Auto",B57)),D40&lt;&gt;D95)),"ERROR! Selected trend periods for company data and complement data are different. They must be the same.",(AND(ISERROR(SEARCH("Private Passenger Auto",B2)),D40&lt;&gt;D95)),"WARNING! Selected trend periods for company data and complement data are different. Justify the difference in Filing Memorandum or make them the same."),""))</f>
        <v>WARNING! Selected trend periods for company data and complement data are different. Justify the difference in Filing Memorandum or make them the same.</v>
      </c>
      <c r="J94" s="54"/>
      <c r="K94" s="54"/>
      <c r="L94" s="54"/>
      <c r="M94" s="54"/>
      <c r="N94" s="216" t="s">
        <v>168</v>
      </c>
      <c r="O94" s="214"/>
      <c r="P94" s="215"/>
      <c r="Q94" s="73"/>
      <c r="R94" s="73"/>
      <c r="S94" s="74"/>
      <c r="T94" s="135" t="str">
        <f>IF(V95="Alternate","",_xlfn.IFNA(_xlfn.IFS((AND(ISNUMBER(SEARCH("Private Passenger Auto",T57)),V40&lt;&gt;V95)),"ERROR! Selected trend periods for company data and complement data are different. They must be the same.",(AND(ISERROR(SEARCH("Private Passenger Auto",T2)),V40&lt;&gt;V95)),"WARNING! Selected trend periods for company data and complement data are different. Justify the difference in Filing Memorandum or make them the same."),""))</f>
        <v/>
      </c>
      <c r="AF94" s="216" t="s">
        <v>168</v>
      </c>
      <c r="AG94" s="214"/>
      <c r="AH94" s="215"/>
      <c r="AI94" s="73"/>
      <c r="AJ94" s="73"/>
      <c r="AK94" s="74"/>
      <c r="AL94" s="135" t="str">
        <f>IF(AN95="Alternate","",_xlfn.IFNA(_xlfn.IFS((AND(ISNUMBER(SEARCH("Private Passenger Auto",AL57)),AN40&lt;&gt;AN95)),"ERROR! Selected trend periods for company data and complement data are different. They must be the same.",(AND(ISERROR(SEARCH("Private Passenger Auto",AL2)),AN40&lt;&gt;AN95)),"WARNING! Selected trend periods for company data and complement data are different. Justify the difference in Filing Memorandum or make them the same."),""))</f>
        <v/>
      </c>
      <c r="AX94" s="216" t="s">
        <v>168</v>
      </c>
      <c r="AY94" s="214"/>
      <c r="AZ94" s="215"/>
      <c r="BA94" s="73"/>
      <c r="BB94" s="73"/>
      <c r="BC94" s="74"/>
      <c r="BD94" s="135" t="str">
        <f>IF(BF95="Alternate","",_xlfn.IFNA(_xlfn.IFS((AND(ISNUMBER(SEARCH("Private Passenger Auto",BD57)),BF40&lt;&gt;BF95)),"ERROR! Selected trend periods for company data and complement data are different. They must be the same.",(AND(ISERROR(SEARCH("Private Passenger Auto",BD2)),BF40&lt;&gt;BF95)),"WARNING! Selected trend periods for company data and complement data are different. Justify the difference in Filing Memorandum or make them the same."),""))</f>
        <v/>
      </c>
      <c r="BP94" s="216" t="s">
        <v>168</v>
      </c>
      <c r="BQ94" s="214"/>
      <c r="BR94" s="215"/>
      <c r="BS94" s="73"/>
      <c r="BT94" s="73"/>
      <c r="BU94" s="74"/>
      <c r="BV94" s="135" t="str">
        <f>IF(BX95="Alternate","",_xlfn.IFNA(_xlfn.IFS((AND(ISNUMBER(SEARCH("Private Passenger Auto",BV57)),BX40&lt;&gt;BX95)),"ERROR! Selected trend periods for company data and complement data are different. They must be the same.",(AND(ISERROR(SEARCH("Private Passenger Auto",BV2)),BX40&lt;&gt;BX95)),"WARNING! Selected trend periods for company data and complement data are different. Justify the difference in Filing Memorandum or make them the same."),""))</f>
        <v/>
      </c>
      <c r="CH94" s="216" t="s">
        <v>168</v>
      </c>
      <c r="CI94" s="214"/>
      <c r="CJ94" s="215"/>
      <c r="CK94" s="73"/>
      <c r="CL94" s="73"/>
      <c r="CM94" s="74"/>
      <c r="CN94" s="135" t="str">
        <f>IF(CP95="Alternate","",_xlfn.IFNA(_xlfn.IFS((AND(ISNUMBER(SEARCH("Private Passenger Auto",CN57)),CP40&lt;&gt;CP95)),"ERROR! Selected trend periods for company data and complement data are different. They must be the same.",(AND(ISERROR(SEARCH("Private Passenger Auto",CN2)),CP40&lt;&gt;CP95)),"WARNING! Selected trend periods for company data and complement data are different. Justify the difference in Filing Memorandum or make them the same."),""))</f>
        <v/>
      </c>
      <c r="CZ94" s="216" t="s">
        <v>168</v>
      </c>
      <c r="DA94" s="214"/>
      <c r="DB94" s="215"/>
      <c r="DC94" s="73"/>
      <c r="DD94" s="73"/>
      <c r="DE94" s="74"/>
      <c r="DF94" s="135" t="str">
        <f>IF(DH95="Alternate","",_xlfn.IFNA(_xlfn.IFS((AND(ISNUMBER(SEARCH("Private Passenger Auto",DF57)),DH40&lt;&gt;DH95)),"ERROR! Selected trend periods for company data and complement data are different. They must be the same.",(AND(ISERROR(SEARCH("Private Passenger Auto",DF2)),DH40&lt;&gt;DH95)),"WARNING! Selected trend periods for company data and complement data are different. Justify the difference in Filing Memorandum or make them the same."),""))</f>
        <v/>
      </c>
      <c r="DR94" s="216" t="s">
        <v>168</v>
      </c>
      <c r="DS94" s="214"/>
      <c r="DT94" s="215"/>
      <c r="DU94" s="73"/>
      <c r="DV94" s="73"/>
      <c r="DW94" s="74"/>
      <c r="DX94" s="135" t="str">
        <f>IF(DZ95="Alternate","",_xlfn.IFNA(_xlfn.IFS((AND(ISNUMBER(SEARCH("Private Passenger Auto",DX57)),DZ40&lt;&gt;DZ95)),"ERROR! Selected trend periods for company data and complement data are different. They must be the same.",(AND(ISERROR(SEARCH("Private Passenger Auto",DX2)),DZ40&lt;&gt;DZ95)),"WARNING! Selected trend periods for company data and complement data are different. Justify the difference in Filing Memorandum or make them the same."),""))</f>
        <v/>
      </c>
      <c r="EJ94" s="216" t="s">
        <v>168</v>
      </c>
      <c r="EK94" s="214"/>
      <c r="EL94" s="215"/>
      <c r="EM94" s="73"/>
      <c r="EN94" s="73"/>
      <c r="EO94" s="74"/>
      <c r="EP94" s="135" t="str">
        <f>IF(ER95="Alternate","",_xlfn.IFNA(_xlfn.IFS((AND(ISNUMBER(SEARCH("Private Passenger Auto",EP57)),ER40&lt;&gt;ER95)),"ERROR! Selected trend periods for company data and complement data are different. They must be the same.",(AND(ISERROR(SEARCH("Private Passenger Auto",EP2)),ER40&lt;&gt;ER95)),"WARNING! Selected trend periods for company data and complement data are different. Justify the difference in Filing Memorandum or make them the same."),""))</f>
        <v/>
      </c>
      <c r="FB94" s="216" t="s">
        <v>168</v>
      </c>
      <c r="FC94" s="214"/>
      <c r="FD94" s="215"/>
      <c r="FE94" s="73"/>
      <c r="FF94" s="73"/>
      <c r="FG94" s="74"/>
      <c r="FH94" s="135" t="str">
        <f>IF(FJ95="Alternate","",_xlfn.IFNA(_xlfn.IFS((AND(ISNUMBER(SEARCH("Private Passenger Auto",FH57)),FJ40&lt;&gt;FJ95)),"ERROR! Selected trend periods for company data and complement data are different. They must be the same.",(AND(ISERROR(SEARCH("Private Passenger Auto",FH2)),FJ40&lt;&gt;FJ95)),"WARNING! Selected trend periods for company data and complement data are different. Justify the difference in Filing Memorandum or make them the same."),""))</f>
        <v/>
      </c>
      <c r="FT94" s="216" t="s">
        <v>168</v>
      </c>
      <c r="FU94" s="214"/>
      <c r="FV94" s="215"/>
      <c r="FW94" s="73"/>
      <c r="FX94" s="73"/>
      <c r="FY94" s="74"/>
    </row>
    <row r="95" spans="1:181" ht="42" x14ac:dyDescent="0.35">
      <c r="B95" s="61" t="s">
        <v>12</v>
      </c>
      <c r="C95" s="25"/>
      <c r="D95" s="23"/>
      <c r="E95" s="64" t="s">
        <v>32</v>
      </c>
      <c r="F95" s="271"/>
      <c r="J95" s="54"/>
      <c r="K95" s="54"/>
      <c r="L95" s="54"/>
      <c r="M95" s="54"/>
      <c r="N95" s="213"/>
      <c r="O95" s="4"/>
      <c r="P95" s="57" t="s">
        <v>24</v>
      </c>
      <c r="Q95" s="57" t="s">
        <v>25</v>
      </c>
      <c r="R95" s="57" t="s">
        <v>26</v>
      </c>
      <c r="S95" s="76" t="s">
        <v>169</v>
      </c>
      <c r="T95" s="61" t="s">
        <v>12</v>
      </c>
      <c r="U95" s="25"/>
      <c r="V95" s="23"/>
      <c r="W95" s="64" t="s">
        <v>32</v>
      </c>
      <c r="X95" s="271"/>
      <c r="AF95" s="213"/>
      <c r="AG95" s="4"/>
      <c r="AH95" s="57" t="s">
        <v>24</v>
      </c>
      <c r="AI95" s="57" t="s">
        <v>25</v>
      </c>
      <c r="AJ95" s="57" t="s">
        <v>26</v>
      </c>
      <c r="AK95" s="76" t="s">
        <v>169</v>
      </c>
      <c r="AL95" s="61" t="s">
        <v>12</v>
      </c>
      <c r="AM95" s="25"/>
      <c r="AN95" s="23"/>
      <c r="AO95" s="64" t="s">
        <v>32</v>
      </c>
      <c r="AP95" s="271"/>
      <c r="AX95" s="213"/>
      <c r="AY95" s="4"/>
      <c r="AZ95" s="57" t="s">
        <v>24</v>
      </c>
      <c r="BA95" s="57" t="s">
        <v>25</v>
      </c>
      <c r="BB95" s="57" t="s">
        <v>26</v>
      </c>
      <c r="BC95" s="76" t="s">
        <v>169</v>
      </c>
      <c r="BD95" s="61" t="s">
        <v>12</v>
      </c>
      <c r="BE95" s="25"/>
      <c r="BF95" s="23"/>
      <c r="BG95" s="64" t="s">
        <v>32</v>
      </c>
      <c r="BH95" s="271"/>
      <c r="BP95" s="75"/>
      <c r="BQ95" s="4"/>
      <c r="BR95" s="57" t="s">
        <v>24</v>
      </c>
      <c r="BS95" s="57" t="s">
        <v>25</v>
      </c>
      <c r="BT95" s="57" t="s">
        <v>26</v>
      </c>
      <c r="BU95" s="76" t="s">
        <v>169</v>
      </c>
      <c r="BV95" s="61" t="s">
        <v>12</v>
      </c>
      <c r="BW95" s="25"/>
      <c r="BX95" s="23"/>
      <c r="BY95" s="64" t="s">
        <v>32</v>
      </c>
      <c r="BZ95" s="271"/>
      <c r="CH95" s="75"/>
      <c r="CI95" s="4"/>
      <c r="CJ95" s="57" t="s">
        <v>24</v>
      </c>
      <c r="CK95" s="57" t="s">
        <v>25</v>
      </c>
      <c r="CL95" s="57" t="s">
        <v>26</v>
      </c>
      <c r="CM95" s="76" t="s">
        <v>169</v>
      </c>
      <c r="CN95" s="61" t="s">
        <v>12</v>
      </c>
      <c r="CO95" s="25"/>
      <c r="CP95" s="23"/>
      <c r="CQ95" s="64" t="s">
        <v>32</v>
      </c>
      <c r="CR95" s="271"/>
      <c r="CZ95" s="75"/>
      <c r="DA95" s="4"/>
      <c r="DB95" s="57" t="s">
        <v>24</v>
      </c>
      <c r="DC95" s="57" t="s">
        <v>25</v>
      </c>
      <c r="DD95" s="57" t="s">
        <v>26</v>
      </c>
      <c r="DE95" s="76" t="s">
        <v>169</v>
      </c>
      <c r="DF95" s="61" t="s">
        <v>12</v>
      </c>
      <c r="DG95" s="25"/>
      <c r="DH95" s="23"/>
      <c r="DI95" s="64" t="s">
        <v>32</v>
      </c>
      <c r="DJ95" s="271"/>
      <c r="DR95" s="75"/>
      <c r="DS95" s="4"/>
      <c r="DT95" s="57" t="s">
        <v>24</v>
      </c>
      <c r="DU95" s="57" t="s">
        <v>25</v>
      </c>
      <c r="DV95" s="57" t="s">
        <v>26</v>
      </c>
      <c r="DW95" s="76" t="s">
        <v>169</v>
      </c>
      <c r="DX95" s="61" t="s">
        <v>12</v>
      </c>
      <c r="DY95" s="25"/>
      <c r="DZ95" s="23"/>
      <c r="EA95" s="64" t="s">
        <v>32</v>
      </c>
      <c r="EB95" s="271"/>
      <c r="EJ95" s="75"/>
      <c r="EK95" s="4"/>
      <c r="EL95" s="57" t="s">
        <v>24</v>
      </c>
      <c r="EM95" s="57" t="s">
        <v>25</v>
      </c>
      <c r="EN95" s="57" t="s">
        <v>26</v>
      </c>
      <c r="EO95" s="76" t="s">
        <v>169</v>
      </c>
      <c r="EP95" s="61" t="s">
        <v>12</v>
      </c>
      <c r="EQ95" s="25"/>
      <c r="ER95" s="23"/>
      <c r="ES95" s="64" t="s">
        <v>32</v>
      </c>
      <c r="ET95" s="271"/>
      <c r="FB95" s="75"/>
      <c r="FC95" s="4"/>
      <c r="FD95" s="57" t="s">
        <v>24</v>
      </c>
      <c r="FE95" s="57" t="s">
        <v>25</v>
      </c>
      <c r="FF95" s="57" t="s">
        <v>26</v>
      </c>
      <c r="FG95" s="76" t="s">
        <v>169</v>
      </c>
      <c r="FH95" s="61" t="s">
        <v>12</v>
      </c>
      <c r="FI95" s="25"/>
      <c r="FJ95" s="23"/>
      <c r="FK95" s="64" t="s">
        <v>32</v>
      </c>
      <c r="FL95" s="271"/>
      <c r="FT95" s="75"/>
      <c r="FU95" s="4"/>
      <c r="FV95" s="57" t="s">
        <v>24</v>
      </c>
      <c r="FW95" s="57" t="s">
        <v>25</v>
      </c>
      <c r="FX95" s="57" t="s">
        <v>26</v>
      </c>
      <c r="FY95" s="76" t="s">
        <v>169</v>
      </c>
    </row>
    <row r="96" spans="1:181" x14ac:dyDescent="0.25">
      <c r="B96" s="17" t="s">
        <v>29</v>
      </c>
      <c r="D96" s="96"/>
      <c r="E96" s="36" t="e">
        <f>IF(D$95="Alternate","",IF(D$96="Closed",VLOOKUP(D$95,$N$96:$S$100,3,FALSE),VLOOKUP(D$95,$N$96:$S$100,4,FALSE)))</f>
        <v>#N/A</v>
      </c>
      <c r="J96" s="54"/>
      <c r="K96" s="54"/>
      <c r="L96" s="54"/>
      <c r="M96" s="54"/>
      <c r="N96" s="77" t="s">
        <v>7</v>
      </c>
      <c r="O96" s="4"/>
      <c r="P96" s="78" t="e">
        <f>LOGEST(P85:P$92)^4-1</f>
        <v>#NUM!</v>
      </c>
      <c r="Q96" s="78" t="e">
        <f>LOGEST(Q85:Q$92)^4-1</f>
        <v>#NUM!</v>
      </c>
      <c r="R96" s="78" t="e">
        <f>LOGEST(R85:R$92)^4-1</f>
        <v>#NUM!</v>
      </c>
      <c r="S96" s="211" t="e">
        <f>LOGEST(S85:S$92)^4-1</f>
        <v>#NUM!</v>
      </c>
      <c r="T96" s="17" t="s">
        <v>29</v>
      </c>
      <c r="V96" s="96"/>
      <c r="W96" s="36" t="e">
        <f>IF(V$95="Alternate","",IF(V$96="Closed",VLOOKUP(V$95,$AF$96:$AK$100,3,FALSE),VLOOKUP(V$95,$AF$96:$AK$100,4,FALSE)))</f>
        <v>#N/A</v>
      </c>
      <c r="AF96" s="77" t="s">
        <v>7</v>
      </c>
      <c r="AG96" s="4"/>
      <c r="AH96" s="78" t="e">
        <f>LOGEST(AH85:AH$92)^4-1</f>
        <v>#NUM!</v>
      </c>
      <c r="AI96" s="78" t="e">
        <f>LOGEST(AI85:AI$92)^4-1</f>
        <v>#NUM!</v>
      </c>
      <c r="AJ96" s="78" t="e">
        <f>LOGEST(AJ85:AJ$92)^4-1</f>
        <v>#NUM!</v>
      </c>
      <c r="AK96" s="211" t="e">
        <f>LOGEST(AK85:AK$92)^4-1</f>
        <v>#NUM!</v>
      </c>
      <c r="AL96" s="17" t="s">
        <v>29</v>
      </c>
      <c r="AN96" s="96"/>
      <c r="AO96" s="36" t="e">
        <f>IF(AN$95="Alternate","",IF(AN$96="Closed",VLOOKUP(AN$95,$AX$96:$BC$100,3,FALSE),VLOOKUP(AN$95,$AX$96:$BC$100,4,FALSE)))</f>
        <v>#N/A</v>
      </c>
      <c r="AX96" s="77" t="s">
        <v>7</v>
      </c>
      <c r="AY96" s="4"/>
      <c r="AZ96" s="78" t="e">
        <f>LOGEST(AZ85:AZ$92)^4-1</f>
        <v>#NUM!</v>
      </c>
      <c r="BA96" s="78" t="e">
        <f>LOGEST(BA85:BA$92)^4-1</f>
        <v>#NUM!</v>
      </c>
      <c r="BB96" s="78" t="e">
        <f>LOGEST(BB85:BB$92)^4-1</f>
        <v>#NUM!</v>
      </c>
      <c r="BC96" s="211" t="e">
        <f>LOGEST(BC85:BC$92)^4-1</f>
        <v>#NUM!</v>
      </c>
      <c r="BD96" s="17" t="s">
        <v>29</v>
      </c>
      <c r="BF96" s="96"/>
      <c r="BG96" s="36" t="e">
        <f>IF(BF$95="Alternate","",IF(BF$96="Closed",VLOOKUP(BF$95,$BP$96:$BU$100,3,FALSE),VLOOKUP(BF$95,$BP$96:$BU$100,4,FALSE)))</f>
        <v>#N/A</v>
      </c>
      <c r="BP96" s="77" t="s">
        <v>7</v>
      </c>
      <c r="BQ96" s="4"/>
      <c r="BR96" s="78" t="e">
        <f>LOGEST(BR85:BR$92)^4-1</f>
        <v>#NUM!</v>
      </c>
      <c r="BS96" s="78" t="e">
        <f>LOGEST(BS85:BS$92)^4-1</f>
        <v>#NUM!</v>
      </c>
      <c r="BT96" s="78" t="e">
        <f>LOGEST(BT85:BT$92)^4-1</f>
        <v>#NUM!</v>
      </c>
      <c r="BU96" s="211" t="e">
        <f>LOGEST(BU85:BU$92)^4-1</f>
        <v>#NUM!</v>
      </c>
      <c r="BV96" s="17" t="s">
        <v>29</v>
      </c>
      <c r="BX96" s="96"/>
      <c r="BY96" s="36" t="e">
        <f>IF(BX$95="Alternate","",IF(BX$96="Closed",VLOOKUP(BX$95,$CH$96:$CM$100,3,FALSE),VLOOKUP(BX$95,$CH$96:$CM$100,4,FALSE)))</f>
        <v>#N/A</v>
      </c>
      <c r="CH96" s="77" t="s">
        <v>7</v>
      </c>
      <c r="CI96" s="4"/>
      <c r="CJ96" s="78" t="e">
        <f>LOGEST(CJ85:CJ$92)^4-1</f>
        <v>#NUM!</v>
      </c>
      <c r="CK96" s="78" t="e">
        <f>LOGEST(CK85:CK$92)^4-1</f>
        <v>#NUM!</v>
      </c>
      <c r="CL96" s="78" t="e">
        <f>LOGEST(CL85:CL$92)^4-1</f>
        <v>#NUM!</v>
      </c>
      <c r="CM96" s="211" t="e">
        <f>LOGEST(CM85:CM$92)^4-1</f>
        <v>#NUM!</v>
      </c>
      <c r="CN96" s="17" t="s">
        <v>29</v>
      </c>
      <c r="CP96" s="96"/>
      <c r="CQ96" s="36" t="e">
        <f>IF(CP$95="Alternate","",IF(CP$96="Closed",VLOOKUP(CP$95,$CZ$96:$DE$100,3,FALSE),VLOOKUP(CP$95,$CZ$96:$DE$100,4,FALSE)))</f>
        <v>#N/A</v>
      </c>
      <c r="CZ96" s="77" t="s">
        <v>7</v>
      </c>
      <c r="DA96" s="4"/>
      <c r="DB96" s="78" t="e">
        <f>LOGEST(DB85:DB$92)^4-1</f>
        <v>#NUM!</v>
      </c>
      <c r="DC96" s="78" t="e">
        <f>LOGEST(DC85:DC$92)^4-1</f>
        <v>#NUM!</v>
      </c>
      <c r="DD96" s="78" t="e">
        <f>LOGEST(DD85:DD$92)^4-1</f>
        <v>#NUM!</v>
      </c>
      <c r="DE96" s="211" t="e">
        <f>LOGEST(DE85:DE$92)^4-1</f>
        <v>#NUM!</v>
      </c>
      <c r="DF96" s="17" t="s">
        <v>29</v>
      </c>
      <c r="DH96" s="96"/>
      <c r="DI96" s="36" t="e">
        <f>IF(DH$95="Alternate","",IF(DH$96="Closed",VLOOKUP(DH$95,$DR$96:$DW$100,3,FALSE),VLOOKUP(DH$95,$DR$96:$DW$100,4,FALSE)))</f>
        <v>#N/A</v>
      </c>
      <c r="DR96" s="77" t="s">
        <v>7</v>
      </c>
      <c r="DS96" s="4"/>
      <c r="DT96" s="78" t="e">
        <f>LOGEST(DT85:DT$92)^4-1</f>
        <v>#NUM!</v>
      </c>
      <c r="DU96" s="78" t="e">
        <f>LOGEST(DU85:DU$92)^4-1</f>
        <v>#NUM!</v>
      </c>
      <c r="DV96" s="78" t="e">
        <f>LOGEST(DV85:DV$92)^4-1</f>
        <v>#NUM!</v>
      </c>
      <c r="DW96" s="211" t="e">
        <f>LOGEST(DW85:DW$92)^4-1</f>
        <v>#NUM!</v>
      </c>
      <c r="DX96" s="17" t="s">
        <v>29</v>
      </c>
      <c r="DZ96" s="96"/>
      <c r="EA96" s="36" t="e">
        <f>IF(DZ$95="Alternate","",IF(DZ$96="Closed",VLOOKUP(DZ$95,$EJ$96:$EO$100,3,FALSE),VLOOKUP(DZ$95,$EJ$96:$EO$100,4,FALSE)))</f>
        <v>#N/A</v>
      </c>
      <c r="EJ96" s="77" t="s">
        <v>7</v>
      </c>
      <c r="EK96" s="4"/>
      <c r="EL96" s="78" t="e">
        <f>LOGEST(EL85:EL$92)^4-1</f>
        <v>#NUM!</v>
      </c>
      <c r="EM96" s="78" t="e">
        <f>LOGEST(EM85:EM$92)^4-1</f>
        <v>#NUM!</v>
      </c>
      <c r="EN96" s="78" t="e">
        <f>LOGEST(EN85:EN$92)^4-1</f>
        <v>#NUM!</v>
      </c>
      <c r="EO96" s="211" t="e">
        <f>LOGEST(EO85:EO$92)^4-1</f>
        <v>#NUM!</v>
      </c>
      <c r="EP96" s="17" t="s">
        <v>29</v>
      </c>
      <c r="ER96" s="96"/>
      <c r="ES96" s="36" t="e">
        <f>IF(ER$95="Alternate","",IF(ER$96="Closed",VLOOKUP(ER$95,$FB$96:$FG$100,3,FALSE),VLOOKUP(ER$95,$FB$96:$FG$100,4,FALSE)))</f>
        <v>#N/A</v>
      </c>
      <c r="FB96" s="77" t="s">
        <v>7</v>
      </c>
      <c r="FC96" s="4"/>
      <c r="FD96" s="78" t="e">
        <f>LOGEST(FD85:FD$92)^4-1</f>
        <v>#NUM!</v>
      </c>
      <c r="FE96" s="78" t="e">
        <f>LOGEST(FE85:FE$92)^4-1</f>
        <v>#NUM!</v>
      </c>
      <c r="FF96" s="78" t="e">
        <f>LOGEST(FF85:FF$92)^4-1</f>
        <v>#NUM!</v>
      </c>
      <c r="FG96" s="211" t="e">
        <f>LOGEST(FG85:FG$92)^4-1</f>
        <v>#NUM!</v>
      </c>
      <c r="FH96" s="17" t="s">
        <v>29</v>
      </c>
      <c r="FJ96" s="96"/>
      <c r="FK96" s="36" t="e">
        <f>IF(FJ$95="Alternate","",IF(FJ$96="Closed",VLOOKUP(FJ$95,$FT$96:$FY$100,3,FALSE),VLOOKUP(FJ$95,$FT$96:$FY$100,4,FALSE)))</f>
        <v>#N/A</v>
      </c>
      <c r="FT96" s="77" t="s">
        <v>7</v>
      </c>
      <c r="FU96" s="4"/>
      <c r="FV96" s="78" t="e">
        <f>LOGEST(FV85:FV$92)^4-1</f>
        <v>#NUM!</v>
      </c>
      <c r="FW96" s="78" t="e">
        <f>LOGEST(FW85:FW$92)^4-1</f>
        <v>#NUM!</v>
      </c>
      <c r="FX96" s="78" t="e">
        <f>LOGEST(FX85:FX$92)^4-1</f>
        <v>#NUM!</v>
      </c>
      <c r="FY96" s="211" t="e">
        <f>LOGEST(FY85:FY$92)^4-1</f>
        <v>#NUM!</v>
      </c>
    </row>
    <row r="97" spans="2:181" x14ac:dyDescent="0.25">
      <c r="B97" s="17" t="s">
        <v>30</v>
      </c>
      <c r="D97" s="59"/>
      <c r="E97" s="36" t="e">
        <f>IF(D$95="Alternate","",IF(D$97="Paid",VLOOKUP(D$95,$N$96:$S$100,5,FALSE),VLOOKUP(D$95,$N$96:$S$100,6,FALSE)))</f>
        <v>#N/A</v>
      </c>
      <c r="J97" s="54"/>
      <c r="K97" s="54"/>
      <c r="L97" s="54"/>
      <c r="M97" s="54"/>
      <c r="N97" s="77" t="s">
        <v>8</v>
      </c>
      <c r="O97" s="4"/>
      <c r="P97" s="78" t="e">
        <f>LOGEST(P81:P$92)^4-1</f>
        <v>#NUM!</v>
      </c>
      <c r="Q97" s="78" t="e">
        <f>LOGEST(Q81:Q$92)^4-1</f>
        <v>#NUM!</v>
      </c>
      <c r="R97" s="78" t="e">
        <f>LOGEST(R81:R$92)^4-1</f>
        <v>#NUM!</v>
      </c>
      <c r="S97" s="211" t="e">
        <f>LOGEST(S81:S$92)^4-1</f>
        <v>#NUM!</v>
      </c>
      <c r="T97" s="17" t="s">
        <v>30</v>
      </c>
      <c r="V97" s="59"/>
      <c r="W97" s="36" t="e">
        <f>IF(V$95="Alternate","",IF(V$97="Paid",VLOOKUP(V$95,$AF$96:$AK$100,5,FALSE),VLOOKUP(V$95,$AF$96:$AK$100,6,FALSE)))</f>
        <v>#N/A</v>
      </c>
      <c r="AF97" s="77" t="s">
        <v>8</v>
      </c>
      <c r="AG97" s="4"/>
      <c r="AH97" s="78" t="e">
        <f>LOGEST(AH81:AH$92)^4-1</f>
        <v>#NUM!</v>
      </c>
      <c r="AI97" s="78" t="e">
        <f>LOGEST(AI81:AI$92)^4-1</f>
        <v>#NUM!</v>
      </c>
      <c r="AJ97" s="78" t="e">
        <f>LOGEST(AJ81:AJ$92)^4-1</f>
        <v>#NUM!</v>
      </c>
      <c r="AK97" s="211" t="e">
        <f>LOGEST(AK81:AK$92)^4-1</f>
        <v>#NUM!</v>
      </c>
      <c r="AL97" s="17" t="s">
        <v>30</v>
      </c>
      <c r="AN97" s="59"/>
      <c r="AO97" s="36" t="e">
        <f>IF(AN$95="Alternate","",IF(AN$97="Paid",VLOOKUP(AN$95,$AX$96:$BC$100,5,FALSE),VLOOKUP(AN$95,$AX$96:$BC$100,6,FALSE)))</f>
        <v>#N/A</v>
      </c>
      <c r="AX97" s="77" t="s">
        <v>8</v>
      </c>
      <c r="AY97" s="4"/>
      <c r="AZ97" s="78" t="e">
        <f>LOGEST(AZ81:AZ$92)^4-1</f>
        <v>#NUM!</v>
      </c>
      <c r="BA97" s="78" t="e">
        <f>LOGEST(BA81:BA$92)^4-1</f>
        <v>#NUM!</v>
      </c>
      <c r="BB97" s="78" t="e">
        <f>LOGEST(BB81:BB$92)^4-1</f>
        <v>#NUM!</v>
      </c>
      <c r="BC97" s="211" t="e">
        <f>LOGEST(BC81:BC$92)^4-1</f>
        <v>#NUM!</v>
      </c>
      <c r="BD97" s="17" t="s">
        <v>30</v>
      </c>
      <c r="BF97" s="59"/>
      <c r="BG97" s="36" t="e">
        <f>IF(BF$95="Alternate","",IF(BF$97="Paid",VLOOKUP(BF$95,$BP$96:$BU$100,5,FALSE),VLOOKUP(BF$95,$BP$96:$BU$100,6,FALSE)))</f>
        <v>#N/A</v>
      </c>
      <c r="BP97" s="77" t="s">
        <v>8</v>
      </c>
      <c r="BQ97" s="4"/>
      <c r="BR97" s="78" t="e">
        <f>LOGEST(BR81:BR$92)^4-1</f>
        <v>#NUM!</v>
      </c>
      <c r="BS97" s="78" t="e">
        <f>LOGEST(BS81:BS$92)^4-1</f>
        <v>#NUM!</v>
      </c>
      <c r="BT97" s="78" t="e">
        <f>LOGEST(BT81:BT$92)^4-1</f>
        <v>#NUM!</v>
      </c>
      <c r="BU97" s="211" t="e">
        <f>LOGEST(BU81:BU$92)^4-1</f>
        <v>#NUM!</v>
      </c>
      <c r="BV97" s="17" t="s">
        <v>30</v>
      </c>
      <c r="BX97" s="59"/>
      <c r="BY97" s="36" t="e">
        <f>IF(BX$95="Alternate","",IF(BX$97="Paid",VLOOKUP(BX$95,$CH$96:$CM$100,5,FALSE),VLOOKUP(BX$95,$CH$96:$CM$100,6,FALSE)))</f>
        <v>#N/A</v>
      </c>
      <c r="CH97" s="77" t="s">
        <v>8</v>
      </c>
      <c r="CI97" s="4"/>
      <c r="CJ97" s="78" t="e">
        <f>LOGEST(CJ81:CJ$92)^4-1</f>
        <v>#NUM!</v>
      </c>
      <c r="CK97" s="78" t="e">
        <f>LOGEST(CK81:CK$92)^4-1</f>
        <v>#NUM!</v>
      </c>
      <c r="CL97" s="78" t="e">
        <f>LOGEST(CL81:CL$92)^4-1</f>
        <v>#NUM!</v>
      </c>
      <c r="CM97" s="211" t="e">
        <f>LOGEST(CM81:CM$92)^4-1</f>
        <v>#NUM!</v>
      </c>
      <c r="CN97" s="17" t="s">
        <v>30</v>
      </c>
      <c r="CP97" s="59"/>
      <c r="CQ97" s="36" t="e">
        <f>IF(CP$95="Alternate","",IF(CP$97="Paid",VLOOKUP(CP$95,$CZ$96:$DE$100,5,FALSE),VLOOKUP(CP$95,$CZ$96:$DE$100,6,FALSE)))</f>
        <v>#N/A</v>
      </c>
      <c r="CZ97" s="77" t="s">
        <v>8</v>
      </c>
      <c r="DA97" s="4"/>
      <c r="DB97" s="78" t="e">
        <f>LOGEST(DB81:DB$92)^4-1</f>
        <v>#NUM!</v>
      </c>
      <c r="DC97" s="78" t="e">
        <f>LOGEST(DC81:DC$92)^4-1</f>
        <v>#NUM!</v>
      </c>
      <c r="DD97" s="78" t="e">
        <f>LOGEST(DD81:DD$92)^4-1</f>
        <v>#NUM!</v>
      </c>
      <c r="DE97" s="211" t="e">
        <f>LOGEST(DE81:DE$92)^4-1</f>
        <v>#NUM!</v>
      </c>
      <c r="DF97" s="17" t="s">
        <v>30</v>
      </c>
      <c r="DH97" s="59"/>
      <c r="DI97" s="36" t="e">
        <f>IF(DH$95="Alternate","",IF(DH$97="Paid",VLOOKUP(DH$95,$DR$96:$DW$100,5,FALSE),VLOOKUP(DH$95,$DR$96:$DW$100,6,FALSE)))</f>
        <v>#N/A</v>
      </c>
      <c r="DR97" s="77" t="s">
        <v>8</v>
      </c>
      <c r="DS97" s="4"/>
      <c r="DT97" s="78" t="e">
        <f>LOGEST(DT81:DT$92)^4-1</f>
        <v>#NUM!</v>
      </c>
      <c r="DU97" s="78" t="e">
        <f>LOGEST(DU81:DU$92)^4-1</f>
        <v>#NUM!</v>
      </c>
      <c r="DV97" s="78" t="e">
        <f>LOGEST(DV81:DV$92)^4-1</f>
        <v>#NUM!</v>
      </c>
      <c r="DW97" s="211" t="e">
        <f>LOGEST(DW81:DW$92)^4-1</f>
        <v>#NUM!</v>
      </c>
      <c r="DX97" s="17" t="s">
        <v>30</v>
      </c>
      <c r="DZ97" s="59"/>
      <c r="EA97" s="36" t="e">
        <f>IF(DZ$95="Alternate","",IF(DZ$97="Paid",VLOOKUP(DZ$95,$EJ$96:$EO$100,5,FALSE),VLOOKUP(DZ$95,$EJ$96:$EO$100,6,FALSE)))</f>
        <v>#N/A</v>
      </c>
      <c r="EJ97" s="77" t="s">
        <v>8</v>
      </c>
      <c r="EK97" s="4"/>
      <c r="EL97" s="78" t="e">
        <f>LOGEST(EL81:EL$92)^4-1</f>
        <v>#NUM!</v>
      </c>
      <c r="EM97" s="78" t="e">
        <f>LOGEST(EM81:EM$92)^4-1</f>
        <v>#NUM!</v>
      </c>
      <c r="EN97" s="78" t="e">
        <f>LOGEST(EN81:EN$92)^4-1</f>
        <v>#NUM!</v>
      </c>
      <c r="EO97" s="211" t="e">
        <f>LOGEST(EO81:EO$92)^4-1</f>
        <v>#NUM!</v>
      </c>
      <c r="EP97" s="17" t="s">
        <v>30</v>
      </c>
      <c r="ER97" s="59"/>
      <c r="ES97" s="36" t="e">
        <f>IF(ER$95="Alternate","",IF(ER$97="Paid",VLOOKUP(ER$95,$FB$96:$FG$100,5,FALSE),VLOOKUP(ER$95,$FB$96:$FG$100,6,FALSE)))</f>
        <v>#N/A</v>
      </c>
      <c r="FB97" s="77" t="s">
        <v>8</v>
      </c>
      <c r="FC97" s="4"/>
      <c r="FD97" s="78" t="e">
        <f>LOGEST(FD81:FD$92)^4-1</f>
        <v>#NUM!</v>
      </c>
      <c r="FE97" s="78" t="e">
        <f>LOGEST(FE81:FE$92)^4-1</f>
        <v>#NUM!</v>
      </c>
      <c r="FF97" s="78" t="e">
        <f>LOGEST(FF81:FF$92)^4-1</f>
        <v>#NUM!</v>
      </c>
      <c r="FG97" s="211" t="e">
        <f>LOGEST(FG81:FG$92)^4-1</f>
        <v>#NUM!</v>
      </c>
      <c r="FH97" s="17" t="s">
        <v>30</v>
      </c>
      <c r="FJ97" s="59"/>
      <c r="FK97" s="36" t="e">
        <f>IF(FJ$95="Alternate","",IF(FJ$97="Paid",VLOOKUP(FJ$95,$FT$96:$FY$100,5,FALSE),VLOOKUP(FJ$95,$FT$96:$FY$100,6,FALSE)))</f>
        <v>#N/A</v>
      </c>
      <c r="FT97" s="77" t="s">
        <v>8</v>
      </c>
      <c r="FU97" s="4"/>
      <c r="FV97" s="78" t="e">
        <f>LOGEST(FV81:FV$92)^4-1</f>
        <v>#NUM!</v>
      </c>
      <c r="FW97" s="78" t="e">
        <f>LOGEST(FW81:FW$92)^4-1</f>
        <v>#NUM!</v>
      </c>
      <c r="FX97" s="78" t="e">
        <f>LOGEST(FX81:FX$92)^4-1</f>
        <v>#NUM!</v>
      </c>
      <c r="FY97" s="211" t="e">
        <f>LOGEST(FY81:FY$92)^4-1</f>
        <v>#NUM!</v>
      </c>
    </row>
    <row r="98" spans="2:181" x14ac:dyDescent="0.25">
      <c r="B98" s="17" t="s">
        <v>33</v>
      </c>
      <c r="E98" s="63" t="e">
        <f>IF(D$95="Alternate",E$100,(1+E96)*(1+E97)-1)</f>
        <v>#N/A</v>
      </c>
      <c r="J98" s="54"/>
      <c r="K98" s="54"/>
      <c r="L98" s="54"/>
      <c r="M98" s="54"/>
      <c r="N98" s="77" t="s">
        <v>9</v>
      </c>
      <c r="O98" s="4"/>
      <c r="P98" s="78" t="e">
        <f>LOGEST(P77:P$92)^4-1</f>
        <v>#NUM!</v>
      </c>
      <c r="Q98" s="78" t="e">
        <f>LOGEST(Q77:Q$92)^4-1</f>
        <v>#NUM!</v>
      </c>
      <c r="R98" s="78" t="e">
        <f>LOGEST(R77:R$92)^4-1</f>
        <v>#NUM!</v>
      </c>
      <c r="S98" s="211" t="e">
        <f>LOGEST(S77:S$92)^4-1</f>
        <v>#NUM!</v>
      </c>
      <c r="T98" s="17" t="s">
        <v>33</v>
      </c>
      <c r="W98" s="63" t="e">
        <f>IF(V$95="Alternate",W$100,(1+W96)*(1+W97)-1)</f>
        <v>#N/A</v>
      </c>
      <c r="AF98" s="77" t="s">
        <v>9</v>
      </c>
      <c r="AG98" s="4"/>
      <c r="AH98" s="78" t="e">
        <f>LOGEST(AH77:AH$92)^4-1</f>
        <v>#NUM!</v>
      </c>
      <c r="AI98" s="78" t="e">
        <f>LOGEST(AI77:AI$92)^4-1</f>
        <v>#NUM!</v>
      </c>
      <c r="AJ98" s="78" t="e">
        <f>LOGEST(AJ77:AJ$92)^4-1</f>
        <v>#NUM!</v>
      </c>
      <c r="AK98" s="211" t="e">
        <f>LOGEST(AK77:AK$92)^4-1</f>
        <v>#NUM!</v>
      </c>
      <c r="AL98" s="17" t="s">
        <v>33</v>
      </c>
      <c r="AO98" s="63" t="e">
        <f>IF(AN$95="Alternate",AO$100,(1+AO96)*(1+AO97)-1)</f>
        <v>#N/A</v>
      </c>
      <c r="AX98" s="77" t="s">
        <v>9</v>
      </c>
      <c r="AY98" s="4"/>
      <c r="AZ98" s="78" t="e">
        <f>LOGEST(AZ77:AZ$92)^4-1</f>
        <v>#NUM!</v>
      </c>
      <c r="BA98" s="78" t="e">
        <f>LOGEST(BA77:BA$92)^4-1</f>
        <v>#NUM!</v>
      </c>
      <c r="BB98" s="78" t="e">
        <f>LOGEST(BB77:BB$92)^4-1</f>
        <v>#NUM!</v>
      </c>
      <c r="BC98" s="211" t="e">
        <f>LOGEST(BC77:BC$92)^4-1</f>
        <v>#NUM!</v>
      </c>
      <c r="BD98" s="17" t="s">
        <v>33</v>
      </c>
      <c r="BG98" s="63" t="e">
        <f>IF(BF$95="Alternate",BG$100,(1+BG96)*(1+BG97)-1)</f>
        <v>#N/A</v>
      </c>
      <c r="BP98" s="77" t="s">
        <v>9</v>
      </c>
      <c r="BQ98" s="4"/>
      <c r="BR98" s="78" t="e">
        <f>LOGEST(BR77:BR$92)^4-1</f>
        <v>#NUM!</v>
      </c>
      <c r="BS98" s="78" t="e">
        <f>LOGEST(BS77:BS$92)^4-1</f>
        <v>#NUM!</v>
      </c>
      <c r="BT98" s="78" t="e">
        <f>LOGEST(BT77:BT$92)^4-1</f>
        <v>#NUM!</v>
      </c>
      <c r="BU98" s="211" t="e">
        <f>LOGEST(BU77:BU$92)^4-1</f>
        <v>#NUM!</v>
      </c>
      <c r="BV98" s="17" t="s">
        <v>33</v>
      </c>
      <c r="BY98" s="63" t="e">
        <f>IF(BX$95="Alternate",BY$100,(1+BY96)*(1+BY97)-1)</f>
        <v>#N/A</v>
      </c>
      <c r="CH98" s="77" t="s">
        <v>9</v>
      </c>
      <c r="CI98" s="4"/>
      <c r="CJ98" s="78" t="e">
        <f>LOGEST(CJ77:CJ$92)^4-1</f>
        <v>#NUM!</v>
      </c>
      <c r="CK98" s="78" t="e">
        <f>LOGEST(CK77:CK$92)^4-1</f>
        <v>#NUM!</v>
      </c>
      <c r="CL98" s="78" t="e">
        <f>LOGEST(CL77:CL$92)^4-1</f>
        <v>#NUM!</v>
      </c>
      <c r="CM98" s="211" t="e">
        <f>LOGEST(CM77:CM$92)^4-1</f>
        <v>#NUM!</v>
      </c>
      <c r="CN98" s="17" t="s">
        <v>33</v>
      </c>
      <c r="CQ98" s="63" t="e">
        <f>IF(CP$95="Alternate",CQ$100,(1+CQ96)*(1+CQ97)-1)</f>
        <v>#N/A</v>
      </c>
      <c r="CZ98" s="77" t="s">
        <v>9</v>
      </c>
      <c r="DA98" s="4"/>
      <c r="DB98" s="78" t="e">
        <f>LOGEST(DB77:DB$92)^4-1</f>
        <v>#NUM!</v>
      </c>
      <c r="DC98" s="78" t="e">
        <f>LOGEST(DC77:DC$92)^4-1</f>
        <v>#NUM!</v>
      </c>
      <c r="DD98" s="78" t="e">
        <f>LOGEST(DD77:DD$92)^4-1</f>
        <v>#NUM!</v>
      </c>
      <c r="DE98" s="211" t="e">
        <f>LOGEST(DE77:DE$92)^4-1</f>
        <v>#NUM!</v>
      </c>
      <c r="DF98" s="17" t="s">
        <v>33</v>
      </c>
      <c r="DI98" s="63" t="e">
        <f>IF(DH$95="Alternate",DI$100,(1+DI96)*(1+DI97)-1)</f>
        <v>#N/A</v>
      </c>
      <c r="DR98" s="77" t="s">
        <v>9</v>
      </c>
      <c r="DS98" s="4"/>
      <c r="DT98" s="78" t="e">
        <f>LOGEST(DT77:DT$92)^4-1</f>
        <v>#NUM!</v>
      </c>
      <c r="DU98" s="78" t="e">
        <f>LOGEST(DU77:DU$92)^4-1</f>
        <v>#NUM!</v>
      </c>
      <c r="DV98" s="78" t="e">
        <f>LOGEST(DV77:DV$92)^4-1</f>
        <v>#NUM!</v>
      </c>
      <c r="DW98" s="211" t="e">
        <f>LOGEST(DW77:DW$92)^4-1</f>
        <v>#NUM!</v>
      </c>
      <c r="DX98" s="17" t="s">
        <v>33</v>
      </c>
      <c r="EA98" s="63" t="e">
        <f>IF(DZ$95="Alternate",EA$100,(1+EA96)*(1+EA97)-1)</f>
        <v>#N/A</v>
      </c>
      <c r="EJ98" s="77" t="s">
        <v>9</v>
      </c>
      <c r="EK98" s="4"/>
      <c r="EL98" s="78" t="e">
        <f>LOGEST(EL77:EL$92)^4-1</f>
        <v>#NUM!</v>
      </c>
      <c r="EM98" s="78" t="e">
        <f>LOGEST(EM77:EM$92)^4-1</f>
        <v>#NUM!</v>
      </c>
      <c r="EN98" s="78" t="e">
        <f>LOGEST(EN77:EN$92)^4-1</f>
        <v>#NUM!</v>
      </c>
      <c r="EO98" s="211" t="e">
        <f>LOGEST(EO77:EO$92)^4-1</f>
        <v>#NUM!</v>
      </c>
      <c r="EP98" s="17" t="s">
        <v>33</v>
      </c>
      <c r="ES98" s="63" t="e">
        <f>IF(ER$95="Alternate",ES$100,(1+ES96)*(1+ES97)-1)</f>
        <v>#N/A</v>
      </c>
      <c r="FB98" s="77" t="s">
        <v>9</v>
      </c>
      <c r="FC98" s="4"/>
      <c r="FD98" s="78" t="e">
        <f>LOGEST(FD77:FD$92)^4-1</f>
        <v>#NUM!</v>
      </c>
      <c r="FE98" s="78" t="e">
        <f>LOGEST(FE77:FE$92)^4-1</f>
        <v>#NUM!</v>
      </c>
      <c r="FF98" s="78" t="e">
        <f>LOGEST(FF77:FF$92)^4-1</f>
        <v>#NUM!</v>
      </c>
      <c r="FG98" s="211" t="e">
        <f>LOGEST(FG77:FG$92)^4-1</f>
        <v>#NUM!</v>
      </c>
      <c r="FH98" s="17" t="s">
        <v>33</v>
      </c>
      <c r="FK98" s="63" t="e">
        <f>IF(FJ$95="Alternate",FK$100,(1+FK96)*(1+FK97)-1)</f>
        <v>#N/A</v>
      </c>
      <c r="FT98" s="77" t="s">
        <v>9</v>
      </c>
      <c r="FU98" s="4"/>
      <c r="FV98" s="78" t="e">
        <f>LOGEST(FV77:FV$92)^4-1</f>
        <v>#NUM!</v>
      </c>
      <c r="FW98" s="78" t="e">
        <f>LOGEST(FW77:FW$92)^4-1</f>
        <v>#NUM!</v>
      </c>
      <c r="FX98" s="78" t="e">
        <f>LOGEST(FX77:FX$92)^4-1</f>
        <v>#NUM!</v>
      </c>
      <c r="FY98" s="211" t="e">
        <f>LOGEST(FY77:FY$92)^4-1</f>
        <v>#NUM!</v>
      </c>
    </row>
    <row r="99" spans="2:181" x14ac:dyDescent="0.25">
      <c r="J99" s="54"/>
      <c r="K99" s="54"/>
      <c r="L99" s="54"/>
      <c r="M99" s="54"/>
      <c r="N99" s="77" t="s">
        <v>10</v>
      </c>
      <c r="O99" s="4"/>
      <c r="P99" s="78" t="e">
        <f>LOGEST(P73:P$92)^4-1</f>
        <v>#NUM!</v>
      </c>
      <c r="Q99" s="78" t="e">
        <f>LOGEST(Q73:Q$92)^4-1</f>
        <v>#NUM!</v>
      </c>
      <c r="R99" s="78" t="e">
        <f>LOGEST(R73:R$92)^4-1</f>
        <v>#NUM!</v>
      </c>
      <c r="S99" s="211" t="e">
        <f>LOGEST(S73:S$92)^4-1</f>
        <v>#NUM!</v>
      </c>
      <c r="AF99" s="77" t="s">
        <v>10</v>
      </c>
      <c r="AG99" s="4"/>
      <c r="AH99" s="78" t="e">
        <f>LOGEST(AH73:AH$92)^4-1</f>
        <v>#NUM!</v>
      </c>
      <c r="AI99" s="78" t="e">
        <f>LOGEST(AI73:AI$92)^4-1</f>
        <v>#NUM!</v>
      </c>
      <c r="AJ99" s="78" t="e">
        <f>LOGEST(AJ73:AJ$92)^4-1</f>
        <v>#NUM!</v>
      </c>
      <c r="AK99" s="211" t="e">
        <f>LOGEST(AK73:AK$92)^4-1</f>
        <v>#NUM!</v>
      </c>
      <c r="AX99" s="77" t="s">
        <v>10</v>
      </c>
      <c r="AY99" s="4"/>
      <c r="AZ99" s="78" t="e">
        <f>LOGEST(AZ73:AZ$92)^4-1</f>
        <v>#NUM!</v>
      </c>
      <c r="BA99" s="78" t="e">
        <f>LOGEST(BA73:BA$92)^4-1</f>
        <v>#NUM!</v>
      </c>
      <c r="BB99" s="78" t="e">
        <f>LOGEST(BB73:BB$92)^4-1</f>
        <v>#NUM!</v>
      </c>
      <c r="BC99" s="211" t="e">
        <f>LOGEST(BC73:BC$92)^4-1</f>
        <v>#NUM!</v>
      </c>
      <c r="BP99" s="77" t="s">
        <v>10</v>
      </c>
      <c r="BQ99" s="4"/>
      <c r="BR99" s="78" t="e">
        <f>LOGEST(BR73:BR$92)^4-1</f>
        <v>#NUM!</v>
      </c>
      <c r="BS99" s="78" t="e">
        <f>LOGEST(BS73:BS$92)^4-1</f>
        <v>#NUM!</v>
      </c>
      <c r="BT99" s="78" t="e">
        <f>LOGEST(BT73:BT$92)^4-1</f>
        <v>#NUM!</v>
      </c>
      <c r="BU99" s="211" t="e">
        <f>LOGEST(BU73:BU$92)^4-1</f>
        <v>#NUM!</v>
      </c>
      <c r="CH99" s="77" t="s">
        <v>10</v>
      </c>
      <c r="CI99" s="4"/>
      <c r="CJ99" s="78" t="e">
        <f>LOGEST(CJ73:CJ$92)^4-1</f>
        <v>#NUM!</v>
      </c>
      <c r="CK99" s="78" t="e">
        <f>LOGEST(CK73:CK$92)^4-1</f>
        <v>#NUM!</v>
      </c>
      <c r="CL99" s="78" t="e">
        <f>LOGEST(CL73:CL$92)^4-1</f>
        <v>#NUM!</v>
      </c>
      <c r="CM99" s="211" t="e">
        <f>LOGEST(CM73:CM$92)^4-1</f>
        <v>#NUM!</v>
      </c>
      <c r="CZ99" s="77" t="s">
        <v>10</v>
      </c>
      <c r="DA99" s="4"/>
      <c r="DB99" s="78" t="e">
        <f>LOGEST(DB73:DB$92)^4-1</f>
        <v>#NUM!</v>
      </c>
      <c r="DC99" s="78" t="e">
        <f>LOGEST(DC73:DC$92)^4-1</f>
        <v>#NUM!</v>
      </c>
      <c r="DD99" s="78" t="e">
        <f>LOGEST(DD73:DD$92)^4-1</f>
        <v>#NUM!</v>
      </c>
      <c r="DE99" s="211" t="e">
        <f>LOGEST(DE73:DE$92)^4-1</f>
        <v>#NUM!</v>
      </c>
      <c r="DR99" s="77" t="s">
        <v>10</v>
      </c>
      <c r="DS99" s="4"/>
      <c r="DT99" s="78" t="e">
        <f>LOGEST(DT73:DT$92)^4-1</f>
        <v>#NUM!</v>
      </c>
      <c r="DU99" s="78" t="e">
        <f>LOGEST(DU73:DU$92)^4-1</f>
        <v>#NUM!</v>
      </c>
      <c r="DV99" s="78" t="e">
        <f>LOGEST(DV73:DV$92)^4-1</f>
        <v>#NUM!</v>
      </c>
      <c r="DW99" s="211" t="e">
        <f>LOGEST(DW73:DW$92)^4-1</f>
        <v>#NUM!</v>
      </c>
      <c r="EJ99" s="77" t="s">
        <v>10</v>
      </c>
      <c r="EK99" s="4"/>
      <c r="EL99" s="78" t="e">
        <f>LOGEST(EL73:EL$92)^4-1</f>
        <v>#NUM!</v>
      </c>
      <c r="EM99" s="78" t="e">
        <f>LOGEST(EM73:EM$92)^4-1</f>
        <v>#NUM!</v>
      </c>
      <c r="EN99" s="78" t="e">
        <f>LOGEST(EN73:EN$92)^4-1</f>
        <v>#NUM!</v>
      </c>
      <c r="EO99" s="211" t="e">
        <f>LOGEST(EO73:EO$92)^4-1</f>
        <v>#NUM!</v>
      </c>
      <c r="FB99" s="77" t="s">
        <v>10</v>
      </c>
      <c r="FC99" s="4"/>
      <c r="FD99" s="78" t="e">
        <f>LOGEST(FD73:FD$92)^4-1</f>
        <v>#NUM!</v>
      </c>
      <c r="FE99" s="78" t="e">
        <f>LOGEST(FE73:FE$92)^4-1</f>
        <v>#NUM!</v>
      </c>
      <c r="FF99" s="78" t="e">
        <f>LOGEST(FF73:FF$92)^4-1</f>
        <v>#NUM!</v>
      </c>
      <c r="FG99" s="211" t="e">
        <f>LOGEST(FG73:FG$92)^4-1</f>
        <v>#NUM!</v>
      </c>
      <c r="FT99" s="77" t="s">
        <v>10</v>
      </c>
      <c r="FU99" s="4"/>
      <c r="FV99" s="78" t="e">
        <f>LOGEST(FV73:FV$92)^4-1</f>
        <v>#NUM!</v>
      </c>
      <c r="FW99" s="78" t="e">
        <f>LOGEST(FW73:FW$92)^4-1</f>
        <v>#NUM!</v>
      </c>
      <c r="FX99" s="78" t="e">
        <f>LOGEST(FX73:FX$92)^4-1</f>
        <v>#NUM!</v>
      </c>
      <c r="FY99" s="211" t="e">
        <f>LOGEST(FY73:FY$92)^4-1</f>
        <v>#NUM!</v>
      </c>
    </row>
    <row r="100" spans="2:181" ht="15" customHeight="1" thickBot="1" x14ac:dyDescent="0.3">
      <c r="B100" s="17" t="s">
        <v>171</v>
      </c>
      <c r="E100" s="223"/>
      <c r="F100" t="s">
        <v>173</v>
      </c>
      <c r="J100" s="54"/>
      <c r="K100" s="54"/>
      <c r="L100" s="54"/>
      <c r="M100" s="54"/>
      <c r="N100" s="80" t="s">
        <v>11</v>
      </c>
      <c r="O100" s="82"/>
      <c r="P100" s="81" t="e">
        <f>LOGEST(P69:P$92)^4-1</f>
        <v>#NUM!</v>
      </c>
      <c r="Q100" s="81" t="e">
        <f>LOGEST(Q69:Q$92)^4-1</f>
        <v>#NUM!</v>
      </c>
      <c r="R100" s="81" t="e">
        <f>LOGEST(R69:R$92)^4-1</f>
        <v>#NUM!</v>
      </c>
      <c r="S100" s="212" t="e">
        <f>LOGEST(S69:S$92)^4-1</f>
        <v>#NUM!</v>
      </c>
      <c r="T100" s="17" t="s">
        <v>171</v>
      </c>
      <c r="W100" s="223"/>
      <c r="X100" t="s">
        <v>173</v>
      </c>
      <c r="AF100" s="80" t="s">
        <v>11</v>
      </c>
      <c r="AG100" s="82"/>
      <c r="AH100" s="81" t="e">
        <f>LOGEST(AH69:AH$92)^4-1</f>
        <v>#NUM!</v>
      </c>
      <c r="AI100" s="81" t="e">
        <f>LOGEST(AI69:AI$92)^4-1</f>
        <v>#NUM!</v>
      </c>
      <c r="AJ100" s="81" t="e">
        <f>LOGEST(AJ69:AJ$92)^4-1</f>
        <v>#NUM!</v>
      </c>
      <c r="AK100" s="212" t="e">
        <f>LOGEST(AK69:AK$92)^4-1</f>
        <v>#NUM!</v>
      </c>
      <c r="AL100" s="17" t="s">
        <v>171</v>
      </c>
      <c r="AO100" s="223"/>
      <c r="AP100" t="s">
        <v>173</v>
      </c>
      <c r="AX100" s="80" t="s">
        <v>11</v>
      </c>
      <c r="AY100" s="82"/>
      <c r="AZ100" s="81" t="e">
        <f>LOGEST(AZ69:AZ$92)^4-1</f>
        <v>#NUM!</v>
      </c>
      <c r="BA100" s="81" t="e">
        <f>LOGEST(BA69:BA$92)^4-1</f>
        <v>#NUM!</v>
      </c>
      <c r="BB100" s="81" t="e">
        <f>LOGEST(BB69:BB$92)^4-1</f>
        <v>#NUM!</v>
      </c>
      <c r="BC100" s="212" t="e">
        <f>LOGEST(BC69:BC$92)^4-1</f>
        <v>#NUM!</v>
      </c>
      <c r="BD100" s="17" t="s">
        <v>171</v>
      </c>
      <c r="BG100" s="223"/>
      <c r="BH100" t="s">
        <v>173</v>
      </c>
      <c r="BP100" s="80" t="s">
        <v>11</v>
      </c>
      <c r="BQ100" s="82"/>
      <c r="BR100" s="81" t="e">
        <f>LOGEST(BR69:BR$92)^4-1</f>
        <v>#NUM!</v>
      </c>
      <c r="BS100" s="81" t="e">
        <f>LOGEST(BS69:BS$92)^4-1</f>
        <v>#NUM!</v>
      </c>
      <c r="BT100" s="81" t="e">
        <f>LOGEST(BT69:BT$92)^4-1</f>
        <v>#NUM!</v>
      </c>
      <c r="BU100" s="212" t="e">
        <f>LOGEST(BU69:BU$92)^4-1</f>
        <v>#NUM!</v>
      </c>
      <c r="BV100" s="17" t="s">
        <v>171</v>
      </c>
      <c r="BY100" s="223"/>
      <c r="BZ100" t="s">
        <v>173</v>
      </c>
      <c r="CH100" s="80" t="s">
        <v>11</v>
      </c>
      <c r="CI100" s="82"/>
      <c r="CJ100" s="81" t="e">
        <f>LOGEST(CJ69:CJ$92)^4-1</f>
        <v>#NUM!</v>
      </c>
      <c r="CK100" s="81" t="e">
        <f>LOGEST(CK69:CK$92)^4-1</f>
        <v>#NUM!</v>
      </c>
      <c r="CL100" s="81" t="e">
        <f>LOGEST(CL69:CL$92)^4-1</f>
        <v>#NUM!</v>
      </c>
      <c r="CM100" s="212" t="e">
        <f>LOGEST(CM69:CM$92)^4-1</f>
        <v>#NUM!</v>
      </c>
      <c r="CN100" s="17" t="s">
        <v>171</v>
      </c>
      <c r="CQ100" s="223"/>
      <c r="CR100" t="s">
        <v>173</v>
      </c>
      <c r="CZ100" s="80" t="s">
        <v>11</v>
      </c>
      <c r="DA100" s="82"/>
      <c r="DB100" s="81" t="e">
        <f>LOGEST(DB69:DB$92)^4-1</f>
        <v>#NUM!</v>
      </c>
      <c r="DC100" s="81" t="e">
        <f>LOGEST(DC69:DC$92)^4-1</f>
        <v>#NUM!</v>
      </c>
      <c r="DD100" s="81" t="e">
        <f>LOGEST(DD69:DD$92)^4-1</f>
        <v>#NUM!</v>
      </c>
      <c r="DE100" s="212" t="e">
        <f>LOGEST(DE69:DE$92)^4-1</f>
        <v>#NUM!</v>
      </c>
      <c r="DF100" s="17" t="s">
        <v>171</v>
      </c>
      <c r="DI100" s="223"/>
      <c r="DJ100" t="s">
        <v>173</v>
      </c>
      <c r="DR100" s="80" t="s">
        <v>11</v>
      </c>
      <c r="DS100" s="82"/>
      <c r="DT100" s="81" t="e">
        <f>LOGEST(DT69:DT$92)^4-1</f>
        <v>#NUM!</v>
      </c>
      <c r="DU100" s="81" t="e">
        <f>LOGEST(DU69:DU$92)^4-1</f>
        <v>#NUM!</v>
      </c>
      <c r="DV100" s="81" t="e">
        <f>LOGEST(DV69:DV$92)^4-1</f>
        <v>#NUM!</v>
      </c>
      <c r="DW100" s="212" t="e">
        <f>LOGEST(DW69:DW$92)^4-1</f>
        <v>#NUM!</v>
      </c>
      <c r="DX100" s="17" t="s">
        <v>171</v>
      </c>
      <c r="EA100" s="223"/>
      <c r="EB100" t="s">
        <v>173</v>
      </c>
      <c r="EJ100" s="80" t="s">
        <v>11</v>
      </c>
      <c r="EK100" s="82"/>
      <c r="EL100" s="81" t="e">
        <f>LOGEST(EL69:EL$92)^4-1</f>
        <v>#NUM!</v>
      </c>
      <c r="EM100" s="81" t="e">
        <f>LOGEST(EM69:EM$92)^4-1</f>
        <v>#NUM!</v>
      </c>
      <c r="EN100" s="81" t="e">
        <f>LOGEST(EN69:EN$92)^4-1</f>
        <v>#NUM!</v>
      </c>
      <c r="EO100" s="212" t="e">
        <f>LOGEST(EO69:EO$92)^4-1</f>
        <v>#NUM!</v>
      </c>
      <c r="EP100" s="17" t="s">
        <v>171</v>
      </c>
      <c r="ES100" s="223"/>
      <c r="ET100" t="s">
        <v>173</v>
      </c>
      <c r="FB100" s="80" t="s">
        <v>11</v>
      </c>
      <c r="FC100" s="82"/>
      <c r="FD100" s="81" t="e">
        <f>LOGEST(FD69:FD$92)^4-1</f>
        <v>#NUM!</v>
      </c>
      <c r="FE100" s="81" t="e">
        <f>LOGEST(FE69:FE$92)^4-1</f>
        <v>#NUM!</v>
      </c>
      <c r="FF100" s="81" t="e">
        <f>LOGEST(FF69:FF$92)^4-1</f>
        <v>#NUM!</v>
      </c>
      <c r="FG100" s="212" t="e">
        <f>LOGEST(FG69:FG$92)^4-1</f>
        <v>#NUM!</v>
      </c>
      <c r="FH100" s="17" t="s">
        <v>171</v>
      </c>
      <c r="FK100" s="223"/>
      <c r="FL100" t="s">
        <v>173</v>
      </c>
      <c r="FT100" s="80" t="s">
        <v>11</v>
      </c>
      <c r="FU100" s="82"/>
      <c r="FV100" s="81" t="e">
        <f>LOGEST(FV69:FV$92)^4-1</f>
        <v>#NUM!</v>
      </c>
      <c r="FW100" s="81" t="e">
        <f>LOGEST(FW69:FW$92)^4-1</f>
        <v>#NUM!</v>
      </c>
      <c r="FX100" s="81" t="e">
        <f>LOGEST(FX69:FX$92)^4-1</f>
        <v>#NUM!</v>
      </c>
      <c r="FY100" s="212" t="e">
        <f>LOGEST(FY69:FY$92)^4-1</f>
        <v>#NUM!</v>
      </c>
    </row>
    <row r="101" spans="2:181" hidden="1" x14ac:dyDescent="0.25">
      <c r="M101" s="4"/>
      <c r="N101" s="218" t="s">
        <v>172</v>
      </c>
      <c r="P101" s="217"/>
      <c r="AF101" s="218" t="s">
        <v>172</v>
      </c>
      <c r="AX101" s="218" t="s">
        <v>172</v>
      </c>
      <c r="BP101" s="218" t="s">
        <v>172</v>
      </c>
      <c r="CH101" s="218" t="s">
        <v>172</v>
      </c>
      <c r="CZ101" s="218" t="s">
        <v>172</v>
      </c>
      <c r="DR101" s="218" t="s">
        <v>172</v>
      </c>
      <c r="EJ101" s="218" t="s">
        <v>172</v>
      </c>
      <c r="FB101" s="218" t="s">
        <v>172</v>
      </c>
      <c r="FT101" s="218" t="s">
        <v>172</v>
      </c>
    </row>
  </sheetData>
  <sheetProtection algorithmName="SHA-512" hashValue="INrvccUYmIuug9eaZQTgt6HrGmoZQ8sFI7hRj/7OOuxdOuikCs6YZh+e+qn5eb4Sg3Ug+qA4/cl41xvNF+qG2Q==" saltValue="rqYX2TXnsI19Y9imRB9z1Q==" spinCount="100000" sheet="1" objects="1" scenarios="1" formatColumns="0" formatRows="0" sort="0"/>
  <dataConsolidate/>
  <dataValidations count="23">
    <dataValidation type="list" allowBlank="1" showInputMessage="1" showErrorMessage="1" sqref="D41 D96 V41 V96 AN41 AN96 BF41 BF96 BX41 BX96 CP41 CP96 DH41 DH96 DZ41 DZ96 ER41 ER96 FJ41 FJ96" xr:uid="{00000000-0002-0000-0600-000000000000}">
      <formula1>"Closed,Reported"</formula1>
    </dataValidation>
    <dataValidation type="list" allowBlank="1" showInputMessage="1" showErrorMessage="1" sqref="FJ97 D42 V42 AN42 BF42 BX42 CP42 DH42 DZ42 ER42 FJ42 D97 V97 AN97 BF97 BX97 CP97 DH97 DZ97 ER97" xr:uid="{00000000-0002-0000-0600-000001000000}">
      <formula1>"Paid,Total Paid (w/Partials)"</formula1>
    </dataValidation>
    <dataValidation type="decimal" allowBlank="1" showInputMessage="1" showErrorMessage="1" errorTitle="Invalid Entry" error="Entry must be a value between 0 and 1." sqref="F43 X43 AP43 BH43 BZ43 CR43 DJ43 EB43 ET43 FL43" xr:uid="{00000000-0002-0000-0600-000002000000}">
      <formula1>0</formula1>
      <formula2>1</formula2>
    </dataValidation>
    <dataValidation type="list" allowBlank="1" showInputMessage="1" showErrorMessage="1" sqref="D95" xr:uid="{00000000-0002-0000-0600-000003000000}">
      <formula1>$N$96:$N$101</formula1>
    </dataValidation>
    <dataValidation type="list" allowBlank="1" showInputMessage="1" showErrorMessage="1" sqref="D40" xr:uid="{00000000-0002-0000-0600-000004000000}">
      <formula1>$N$41:$N$45</formula1>
    </dataValidation>
    <dataValidation type="list" allowBlank="1" showInputMessage="1" showErrorMessage="1" sqref="V95" xr:uid="{00000000-0002-0000-0600-000005000000}">
      <formula1>$AF$96:$AF$101</formula1>
    </dataValidation>
    <dataValidation type="list" allowBlank="1" showInputMessage="1" showErrorMessage="1" sqref="V40" xr:uid="{00000000-0002-0000-0600-000006000000}">
      <formula1>$AF$41:$AF$45</formula1>
    </dataValidation>
    <dataValidation type="list" allowBlank="1" showInputMessage="1" showErrorMessage="1" sqref="AN95" xr:uid="{00000000-0002-0000-0600-000007000000}">
      <formula1>$AX$96:$AX$101</formula1>
    </dataValidation>
    <dataValidation type="list" allowBlank="1" showInputMessage="1" showErrorMessage="1" sqref="AN40" xr:uid="{00000000-0002-0000-0600-000008000000}">
      <formula1>$AX$41:$AX$45</formula1>
    </dataValidation>
    <dataValidation type="list" allowBlank="1" showInputMessage="1" showErrorMessage="1" sqref="BF95" xr:uid="{00000000-0002-0000-0600-000009000000}">
      <formula1>$BP$96:$BP$101</formula1>
    </dataValidation>
    <dataValidation type="list" allowBlank="1" showInputMessage="1" showErrorMessage="1" sqref="BF40" xr:uid="{00000000-0002-0000-0600-00000A000000}">
      <formula1>$BP$41:$BP$45</formula1>
    </dataValidation>
    <dataValidation type="list" allowBlank="1" showInputMessage="1" showErrorMessage="1" sqref="BX95" xr:uid="{00000000-0002-0000-0600-00000B000000}">
      <formula1>$CH$96:$CH$101</formula1>
    </dataValidation>
    <dataValidation type="list" allowBlank="1" showInputMessage="1" showErrorMessage="1" sqref="BX40" xr:uid="{00000000-0002-0000-0600-00000C000000}">
      <formula1>$CH$41:$CH$45</formula1>
    </dataValidation>
    <dataValidation type="list" allowBlank="1" showInputMessage="1" showErrorMessage="1" sqref="CP95" xr:uid="{00000000-0002-0000-0600-00000D000000}">
      <formula1>$CZ$96:$CZ$101</formula1>
    </dataValidation>
    <dataValidation type="list" allowBlank="1" showInputMessage="1" showErrorMessage="1" sqref="CP40" xr:uid="{00000000-0002-0000-0600-00000E000000}">
      <formula1>$CZ$41:$CZ$45</formula1>
    </dataValidation>
    <dataValidation type="list" allowBlank="1" showInputMessage="1" showErrorMessage="1" sqref="DH95" xr:uid="{00000000-0002-0000-0600-00000F000000}">
      <formula1>$DR$96:$DR$101</formula1>
    </dataValidation>
    <dataValidation type="list" allowBlank="1" showInputMessage="1" showErrorMessage="1" sqref="DH40" xr:uid="{00000000-0002-0000-0600-000010000000}">
      <formula1>$DR$41:$DR$45</formula1>
    </dataValidation>
    <dataValidation type="list" allowBlank="1" showInputMessage="1" showErrorMessage="1" sqref="DZ95" xr:uid="{00000000-0002-0000-0600-000011000000}">
      <formula1>$EJ$96:$EJ$101</formula1>
    </dataValidation>
    <dataValidation type="list" allowBlank="1" showInputMessage="1" showErrorMessage="1" sqref="DZ40" xr:uid="{00000000-0002-0000-0600-000012000000}">
      <formula1>$EJ$41:$EJ$45</formula1>
    </dataValidation>
    <dataValidation type="list" allowBlank="1" showInputMessage="1" showErrorMessage="1" sqref="ER95" xr:uid="{00000000-0002-0000-0600-000013000000}">
      <formula1>$FB$96:$FB$101</formula1>
    </dataValidation>
    <dataValidation type="list" allowBlank="1" showInputMessage="1" showErrorMessage="1" sqref="ER40" xr:uid="{00000000-0002-0000-0600-000014000000}">
      <formula1>$FB$41:$FB$45</formula1>
    </dataValidation>
    <dataValidation type="list" allowBlank="1" showInputMessage="1" showErrorMessage="1" sqref="FJ95" xr:uid="{00000000-0002-0000-0600-000015000000}">
      <formula1>$FT$96:$FT$101</formula1>
    </dataValidation>
    <dataValidation type="list" allowBlank="1" showInputMessage="1" showErrorMessage="1" sqref="FJ40" xr:uid="{00000000-0002-0000-0600-000016000000}">
      <formula1>$FT$41:$FT$45</formula1>
    </dataValidation>
  </dataValidations>
  <printOptions horizontalCentered="1"/>
  <pageMargins left="0.45" right="0.45" top="0.5" bottom="0.5" header="0.3" footer="0.05"/>
  <pageSetup scale="54" orientation="landscape" useFirstPageNumber="1" r:id="rId1"/>
  <headerFooter>
    <oddHeader>&amp;R&amp;"-,Bold"Exhibit 8</oddHeader>
    <oddFooter xml:space="preserve">&amp;L1/3/2023 Edition
&amp;CStandard Exhibits Template
Portions of the material contained in this document are protected by copyright owned by the State Farm Mutual Automobile Insurance Company, 2023&amp;RPage 4.&amp;P
</oddFooter>
  </headerFooter>
  <rowBreaks count="1" manualBreakCount="1">
    <brk id="55" min="1" max="180" man="1"/>
  </rowBreaks>
  <colBreaks count="10" manualBreakCount="10">
    <brk id="1" max="1048575" man="1"/>
    <brk id="19" max="1048575" man="1"/>
    <brk id="37" max="1048575" man="1"/>
    <brk id="55" max="1048575" man="1"/>
    <brk id="73" max="1048575" man="1"/>
    <brk id="91" max="1048575" man="1"/>
    <brk id="109" max="1048575" man="1"/>
    <brk id="127" max="1048575" man="1"/>
    <brk id="145" max="1048575" man="1"/>
    <brk id="163"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125</vt:i4>
      </vt:variant>
    </vt:vector>
  </HeadingPairs>
  <TitlesOfParts>
    <vt:vector size="130" baseType="lpstr">
      <vt:lpstr>Instructions</vt:lpstr>
      <vt:lpstr>1.General</vt:lpstr>
      <vt:lpstr>2.Exhibit 5</vt:lpstr>
      <vt:lpstr>3.Exhibit 7 - Annual</vt:lpstr>
      <vt:lpstr>4.Exhibit 8</vt:lpstr>
      <vt:lpstr>AggMethod</vt:lpstr>
      <vt:lpstr>CDI_FileNo</vt:lpstr>
      <vt:lpstr>CNP_Exh7Paid</vt:lpstr>
      <vt:lpstr>CNP_Exh7Reported</vt:lpstr>
      <vt:lpstr>CNP_Exh8Closed</vt:lpstr>
      <vt:lpstr>CNP_Exh8Reported</vt:lpstr>
      <vt:lpstr>Co_Name</vt:lpstr>
      <vt:lpstr>Completed_By</vt:lpstr>
      <vt:lpstr>Completed_Date</vt:lpstr>
      <vt:lpstr>CompSrc1</vt:lpstr>
      <vt:lpstr>CompSrc10</vt:lpstr>
      <vt:lpstr>CompSrc2</vt:lpstr>
      <vt:lpstr>CompSrc3</vt:lpstr>
      <vt:lpstr>CompSrc4</vt:lpstr>
      <vt:lpstr>CompSrc5</vt:lpstr>
      <vt:lpstr>CompSrc6</vt:lpstr>
      <vt:lpstr>CompSrc7</vt:lpstr>
      <vt:lpstr>CompSrc8</vt:lpstr>
      <vt:lpstr>CompSrc9</vt:lpstr>
      <vt:lpstr>Covg01</vt:lpstr>
      <vt:lpstr>Covg02</vt:lpstr>
      <vt:lpstr>Covg03</vt:lpstr>
      <vt:lpstr>Covg04</vt:lpstr>
      <vt:lpstr>Covg05</vt:lpstr>
      <vt:lpstr>Covg06</vt:lpstr>
      <vt:lpstr>Covg07</vt:lpstr>
      <vt:lpstr>Covg08</vt:lpstr>
      <vt:lpstr>Covg09</vt:lpstr>
      <vt:lpstr>Covg10</vt:lpstr>
      <vt:lpstr>DCCE_LTrndCo</vt:lpstr>
      <vt:lpstr>DCCE_LTrndComp</vt:lpstr>
      <vt:lpstr>DCCEDevtBasis</vt:lpstr>
      <vt:lpstr>Detailed_LineDesc01</vt:lpstr>
      <vt:lpstr>Detailed_LineDesc02</vt:lpstr>
      <vt:lpstr>Detailed_LineDesc03</vt:lpstr>
      <vt:lpstr>Detailed_LineDesc04</vt:lpstr>
      <vt:lpstr>Detailed_LineDesc05</vt:lpstr>
      <vt:lpstr>Detailed_LineDesc06</vt:lpstr>
      <vt:lpstr>Detailed_LineDesc07</vt:lpstr>
      <vt:lpstr>Detailed_LineDesc08</vt:lpstr>
      <vt:lpstr>Detailed_LineDesc09</vt:lpstr>
      <vt:lpstr>Detailed_LineDesc10</vt:lpstr>
      <vt:lpstr>Edition_Date</vt:lpstr>
      <vt:lpstr>EffDate_Proposed</vt:lpstr>
      <vt:lpstr>exh5_Coverage1</vt:lpstr>
      <vt:lpstr>exh5_Coverage10</vt:lpstr>
      <vt:lpstr>exh5_Coverage2</vt:lpstr>
      <vt:lpstr>exh5_Coverage3</vt:lpstr>
      <vt:lpstr>exh5_Coverage4</vt:lpstr>
      <vt:lpstr>exh5_Coverage5</vt:lpstr>
      <vt:lpstr>exh5_Coverage6</vt:lpstr>
      <vt:lpstr>exh5_Coverage7</vt:lpstr>
      <vt:lpstr>exh5_Coverage8</vt:lpstr>
      <vt:lpstr>exh5_Coverage9</vt:lpstr>
      <vt:lpstr>Exh7_Covg01_IncurredDCCE</vt:lpstr>
      <vt:lpstr>Exh7_Covg01_IncurredDCCEtoLossRatio</vt:lpstr>
      <vt:lpstr>Exh7_Covg01_IncurredLoss</vt:lpstr>
      <vt:lpstr>Exh7_Covg01_IncurredLossDCCE</vt:lpstr>
      <vt:lpstr>Exh7_Covg01_PaidDCCE</vt:lpstr>
      <vt:lpstr>Exh7_Covg01_PaidDCCEtoLossRatio</vt:lpstr>
      <vt:lpstr>Exh7_Covg01_PaidLoss</vt:lpstr>
      <vt:lpstr>Exh7_Covg01_PaidLossDCCE</vt:lpstr>
      <vt:lpstr>exh7A_Coverage1</vt:lpstr>
      <vt:lpstr>exh7A_Coverage10</vt:lpstr>
      <vt:lpstr>exh7A_Coverage2</vt:lpstr>
      <vt:lpstr>exh7A_Coverage3</vt:lpstr>
      <vt:lpstr>exh7A_Coverage4</vt:lpstr>
      <vt:lpstr>exh7A_Coverage5</vt:lpstr>
      <vt:lpstr>exh7A_Coverage6</vt:lpstr>
      <vt:lpstr>exh7A_Coverage7</vt:lpstr>
      <vt:lpstr>exh7A_Coverage8</vt:lpstr>
      <vt:lpstr>exh7A_Coverage9</vt:lpstr>
      <vt:lpstr>exh8_Coverage1</vt:lpstr>
      <vt:lpstr>exh8_Coverage10</vt:lpstr>
      <vt:lpstr>exh8_Coverage2</vt:lpstr>
      <vt:lpstr>exh8_Coverage3</vt:lpstr>
      <vt:lpstr>exh8_Coverage4</vt:lpstr>
      <vt:lpstr>exh8_Coverage5</vt:lpstr>
      <vt:lpstr>exh8_Coverage6</vt:lpstr>
      <vt:lpstr>exh8_Coverage7</vt:lpstr>
      <vt:lpstr>exh8_Coverage8</vt:lpstr>
      <vt:lpstr>exh8_Coverage9</vt:lpstr>
      <vt:lpstr>FYQtr</vt:lpstr>
      <vt:lpstr>FYQtr_Comp</vt:lpstr>
      <vt:lpstr>FYQtr_LDF</vt:lpstr>
      <vt:lpstr>General_Line</vt:lpstr>
      <vt:lpstr>List_AggMethod</vt:lpstr>
      <vt:lpstr>List_DetailLine</vt:lpstr>
      <vt:lpstr>List_GeneralLine</vt:lpstr>
      <vt:lpstr>List_LineType</vt:lpstr>
      <vt:lpstr>List_PrintExh</vt:lpstr>
      <vt:lpstr>List_YNIndicator</vt:lpstr>
      <vt:lpstr>List_YNnaIndicator</vt:lpstr>
      <vt:lpstr>LTrnd_Cov1</vt:lpstr>
      <vt:lpstr>LTrnd_Cov10</vt:lpstr>
      <vt:lpstr>LTrnd_Cov2</vt:lpstr>
      <vt:lpstr>LTrnd_Cov3</vt:lpstr>
      <vt:lpstr>LTrnd_Cov4</vt:lpstr>
      <vt:lpstr>LTrnd_Cov5</vt:lpstr>
      <vt:lpstr>LTrnd_Cov6</vt:lpstr>
      <vt:lpstr>LTrnd_Cov7</vt:lpstr>
      <vt:lpstr>LTrnd_Cov8</vt:lpstr>
      <vt:lpstr>LTrnd_Cov9</vt:lpstr>
      <vt:lpstr>Mos_Devt</vt:lpstr>
      <vt:lpstr>NAICsplit</vt:lpstr>
      <vt:lpstr>NumCovgs</vt:lpstr>
      <vt:lpstr>OpenClosed_Exh7Paid</vt:lpstr>
      <vt:lpstr>PolicyTermAvgAnn</vt:lpstr>
      <vt:lpstr>'1.General'!Print_Area</vt:lpstr>
      <vt:lpstr>'2.Exhibit 5'!Print_Area</vt:lpstr>
      <vt:lpstr>'3.Exhibit 7 - Annual'!Print_Area</vt:lpstr>
      <vt:lpstr>'4.Exhibit 8'!Print_Area</vt:lpstr>
      <vt:lpstr>Instructions!Print_Area</vt:lpstr>
      <vt:lpstr>Settings!Print_Area</vt:lpstr>
      <vt:lpstr>PTrnd_Cov1</vt:lpstr>
      <vt:lpstr>PTrnd_Cov10</vt:lpstr>
      <vt:lpstr>PTrnd_Cov2</vt:lpstr>
      <vt:lpstr>PTrnd_Cov3</vt:lpstr>
      <vt:lpstr>PTrnd_Cov4</vt:lpstr>
      <vt:lpstr>PTrnd_Cov5</vt:lpstr>
      <vt:lpstr>PTrnd_Cov6</vt:lpstr>
      <vt:lpstr>PTrnd_Cov7</vt:lpstr>
      <vt:lpstr>PTrnd_Cov8</vt:lpstr>
      <vt:lpstr>PTrnd_Cov9</vt:lpstr>
      <vt:lpstr>PTrndBasis</vt:lpstr>
    </vt:vector>
  </TitlesOfParts>
  <Company>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Lynne, Wehmueller</dc:creator>
  <cp:lastModifiedBy>Emily Gaertner</cp:lastModifiedBy>
  <cp:lastPrinted>2023-02-25T00:47:24Z</cp:lastPrinted>
  <dcterms:created xsi:type="dcterms:W3CDTF">2014-10-15T15:53:44Z</dcterms:created>
  <dcterms:modified xsi:type="dcterms:W3CDTF">2023-02-25T00:48:36Z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1ecbe3-7ba9-4124-b9d7-ffd820687beb_Enabled">
    <vt:lpwstr>true</vt:lpwstr>
  </property>
  <property fmtid="{D5CDD505-2E9C-101B-9397-08002B2CF9AE}" pid="3" name="MSIP_Label_261ecbe3-7ba9-4124-b9d7-ffd820687beb_SetDate">
    <vt:lpwstr>2023-01-13T18:48:12Z</vt:lpwstr>
  </property>
  <property fmtid="{D5CDD505-2E9C-101B-9397-08002B2CF9AE}" pid="4" name="MSIP_Label_261ecbe3-7ba9-4124-b9d7-ffd820687beb_Method">
    <vt:lpwstr>Standard</vt:lpwstr>
  </property>
  <property fmtid="{D5CDD505-2E9C-101B-9397-08002B2CF9AE}" pid="5" name="MSIP_Label_261ecbe3-7ba9-4124-b9d7-ffd820687beb_Name">
    <vt:lpwstr>261ecbe3-7ba9-4124-b9d7-ffd820687beb</vt:lpwstr>
  </property>
  <property fmtid="{D5CDD505-2E9C-101B-9397-08002B2CF9AE}" pid="6" name="MSIP_Label_261ecbe3-7ba9-4124-b9d7-ffd820687beb_SiteId">
    <vt:lpwstr>fa23982e-6646-4a33-a5c4-1a848d02fcc4</vt:lpwstr>
  </property>
  <property fmtid="{D5CDD505-2E9C-101B-9397-08002B2CF9AE}" pid="7" name="MSIP_Label_261ecbe3-7ba9-4124-b9d7-ffd820687beb_ActionId">
    <vt:lpwstr>5e5de753-9410-4553-a977-a932ecbfb237</vt:lpwstr>
  </property>
  <property fmtid="{D5CDD505-2E9C-101B-9397-08002B2CF9AE}" pid="8" name="MSIP_Label_261ecbe3-7ba9-4124-b9d7-ffd820687beb_ContentBits">
    <vt:lpwstr>0</vt:lpwstr>
  </property>
</Properties>
</file>