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RDP\Filing\Filing Documents\@WMD Removal and Prop Chg Amendment\Rate App\"/>
    </mc:Choice>
  </mc:AlternateContent>
  <xr:revisionPtr revIDLastSave="0" documentId="13_ncr:1_{795FA7FA-1768-453F-9C21-69ABA17D04C1}" xr6:coauthVersionLast="47" xr6:coauthVersionMax="47" xr10:uidLastSave="{00000000-0000-0000-0000-000000000000}"/>
  <bookViews>
    <workbookView xWindow="28680" yWindow="-120" windowWidth="29040" windowHeight="15840"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state="hidden"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state="hidden"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References!$H$41:$I$42</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Calculation'!$A$1:$H$77</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 i="34" l="1"/>
  <c r="I44" i="3" l="1"/>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I15" i="34" s="1"/>
  <c r="B48" i="1"/>
  <c r="I14" i="34" s="1"/>
  <c r="B47" i="1"/>
  <c r="I13" i="34" s="1"/>
  <c r="B46" i="1"/>
  <c r="I12" i="34" s="1"/>
  <c r="B45" i="1"/>
  <c r="B44" i="1"/>
  <c r="B43" i="1"/>
  <c r="G16" i="32" l="1"/>
  <c r="D30" i="34"/>
  <c r="C30" i="34"/>
  <c r="D34" i="34"/>
  <c r="C34" i="34"/>
  <c r="C28" i="34"/>
  <c r="D28" i="34"/>
  <c r="C32" i="34"/>
  <c r="D32" i="34"/>
  <c r="C31" i="34"/>
  <c r="D31" i="34"/>
  <c r="D29" i="34"/>
  <c r="C29" i="34"/>
  <c r="D33" i="34"/>
  <c r="C33" i="34"/>
  <c r="B34" i="1"/>
  <c r="B12" i="34"/>
  <c r="H12" i="34" s="1"/>
  <c r="C41" i="34"/>
  <c r="F28" i="34"/>
  <c r="B16" i="34"/>
  <c r="B45" i="34" s="1"/>
  <c r="C45" i="34"/>
  <c r="F32" i="34"/>
  <c r="H16" i="34"/>
  <c r="B35" i="1"/>
  <c r="E34" i="1" s="1"/>
  <c r="F29" i="34"/>
  <c r="H13" i="34"/>
  <c r="B13" i="34"/>
  <c r="C42" i="34"/>
  <c r="C46" i="34"/>
  <c r="B17" i="34"/>
  <c r="H17" i="34" s="1"/>
  <c r="E33" i="34" s="1"/>
  <c r="F33" i="34"/>
  <c r="B32" i="1"/>
  <c r="E31" i="1" s="1"/>
  <c r="C39" i="34"/>
  <c r="F26" i="34"/>
  <c r="B10" i="34"/>
  <c r="H10" i="34" s="1"/>
  <c r="B36" i="1"/>
  <c r="E35" i="1" s="1"/>
  <c r="C43" i="34"/>
  <c r="F30" i="34"/>
  <c r="H14" i="34"/>
  <c r="B14" i="34"/>
  <c r="C47" i="34"/>
  <c r="F34" i="34"/>
  <c r="B18" i="34"/>
  <c r="H18" i="34"/>
  <c r="B33"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B74" i="1"/>
  <c r="B75" i="1"/>
  <c r="B72" i="1"/>
  <c r="B70" i="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0"/>
  <c r="E11" i="34" s="1"/>
  <c r="H69" i="50"/>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C11"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D38" i="34" s="1"/>
  <c r="H53" i="28"/>
  <c r="H30" i="28"/>
  <c r="G19" i="34" l="1"/>
  <c r="B48" i="34"/>
  <c r="D48" i="34" s="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1" i="34" l="1"/>
  <c r="F12" i="34"/>
  <c r="F13" i="34"/>
  <c r="F14" i="34"/>
  <c r="F15" i="34"/>
  <c r="F16" i="34"/>
  <c r="F17" i="34"/>
  <c r="F18" i="34"/>
  <c r="H58" i="51"/>
  <c r="H58" i="28"/>
  <c r="H62" i="28"/>
  <c r="H57" i="54"/>
  <c r="H57" i="51"/>
  <c r="H62" i="52"/>
  <c r="H58" i="53"/>
  <c r="H61" i="57"/>
  <c r="H61" i="28"/>
  <c r="I11" i="34" l="1"/>
  <c r="D11" i="34"/>
  <c r="H65" i="28"/>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F9" i="34"/>
  <c r="I9" i="34" s="1"/>
  <c r="G40" i="29"/>
  <c r="C9" i="34"/>
  <c r="H63" i="49"/>
  <c r="D26" i="34"/>
  <c r="H63" i="28"/>
  <c r="D25" i="34"/>
  <c r="H67" i="55"/>
  <c r="H63" i="55" s="1"/>
  <c r="H67" i="52"/>
  <c r="H63" i="52" s="1"/>
  <c r="H66" i="49"/>
  <c r="H66" i="50"/>
  <c r="C27" i="34" s="1"/>
  <c r="H67" i="56"/>
  <c r="H63" i="56" s="1"/>
  <c r="H67" i="54"/>
  <c r="H63" i="54" s="1"/>
  <c r="H66" i="54"/>
  <c r="D9" i="34" l="1"/>
  <c r="D19" i="34" s="1"/>
  <c r="D35" i="34" s="1"/>
  <c r="F19" i="34"/>
  <c r="I22" i="59"/>
  <c r="I40" i="59"/>
  <c r="I22" i="29"/>
  <c r="I40" i="29"/>
  <c r="C26" i="34"/>
  <c r="H68" i="49"/>
  <c r="E10" i="34" s="1"/>
  <c r="I10" i="34" s="1"/>
  <c r="C10" i="34" l="1"/>
  <c r="C19" i="34" s="1"/>
  <c r="C35" i="34" s="1"/>
  <c r="E19" i="34"/>
  <c r="I19"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<sst xmlns="http://schemas.openxmlformats.org/spreadsheetml/2006/main" count="3085" uniqueCount="757">
  <si>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</si>
  <si>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</si>
  <si>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</si>
  <si>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</si>
  <si>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</si>
  <si>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</si>
  <si>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</si>
  <si>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</si>
  <si>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</si>
  <si>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</si>
  <si>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</si>
  <si>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</si>
  <si>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</si>
  <si>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</si>
  <si>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</si>
  <si>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</si>
  <si>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</si>
  <si>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</si>
  <si>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</si>
  <si>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</si>
  <si>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</si>
  <si>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</si>
  <si>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</si>
  <si>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</si>
  <si>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</si>
  <si>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</si>
  <si>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</si>
  <si>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</si>
  <si>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</si>
  <si>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</si>
  <si>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</si>
  <si>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</si>
  <si>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</si>
  <si>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</si>
  <si>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</si>
  <si>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</si>
  <si>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</si>
  <si>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</si>
  <si>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</si>
  <si>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</si>
  <si>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</si>
  <si>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</si>
  <si>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</si>
  <si>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</si>
  <si>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</si>
  <si>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</si>
  <si>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</si>
  <si>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</si>
  <si>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</si>
  <si>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</si>
  <si>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</si>
  <si>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</si>
  <si>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</si>
  <si>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</si>
  <si>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</si>
  <si>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</si>
  <si>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</si>
  <si>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</si>
  <si>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</si>
  <si>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</si>
  <si>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</si>
  <si>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</si>
  <si>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</si>
  <si>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</si>
  <si>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</si>
  <si>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</si>
  <si>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</si>
  <si>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</si>
  <si>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</si>
  <si>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</si>
  <si>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</si>
  <si>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</si>
  <si>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</si>
  <si>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</si>
  <si>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</si>
  <si>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</si>
  <si>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</si>
  <si>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</si>
  <si>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</si>
  <si>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</si>
  <si>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</si>
  <si>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</si>
  <si>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</si>
  <si>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</si>
  <si>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</si>
  <si>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</si>
  <si>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</si>
  <si>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</si>
  <si>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</si>
  <si>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</si>
  <si>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</si>
  <si>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</si>
  <si>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</si>
  <si>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</si>
  <si>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</si>
  <si>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</si>
  <si>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</si>
  <si>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</si>
  <si>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</si>
  <si>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</si>
  <si>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</si>
  <si>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</si>
  <si>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</si>
  <si>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</si>
  <si>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</si>
  <si>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</si>
  <si>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</si>
  <si>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</si>
  <si>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</si>
  <si>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</si>
  <si>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</si>
  <si>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</si>
  <si>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</si>
  <si>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</si>
  <si>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</si>
  <si>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</si>
  <si>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</si>
  <si>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</si>
  <si>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</si>
  <si>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</si>
  <si>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</si>
  <si>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</si>
  <si>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</si>
  <si>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</si>
  <si>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</si>
  <si>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</si>
  <si>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</si>
  <si>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</si>
  <si>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</si>
  <si>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</si>
  <si>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</si>
  <si>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</si>
  <si>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</si>
  <si>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</si>
  <si>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</si>
  <si>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</si>
  <si>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</si>
  <si>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</si>
  <si>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</si>
  <si>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</si>
  <si>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</si>
  <si>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</si>
  <si>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</si>
  <si>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</si>
  <si>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</si>
  <si>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</si>
  <si>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</si>
  <si>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</si>
  <si>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</si>
  <si>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</si>
  <si>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</si>
  <si>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</si>
  <si>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</si>
  <si>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</si>
  <si>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</si>
  <si>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</si>
  <si>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</si>
  <si>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</si>
  <si>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</si>
  <si>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</si>
  <si>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</si>
  <si>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</si>
  <si>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</si>
  <si>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</si>
  <si>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</si>
  <si>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</si>
  <si>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</si>
  <si>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</si>
  <si>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</si>
  <si>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</si>
  <si>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</si>
  <si>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</si>
  <si>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</si>
  <si>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</si>
  <si>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</si>
  <si>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</si>
  <si>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</si>
  <si>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</si>
  <si>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</si>
  <si>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</si>
  <si>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</si>
  <si>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</si>
  <si>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</si>
  <si>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</si>
  <si>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</si>
  <si>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</si>
  <si>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</si>
  <si>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</si>
  <si>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</si>
  <si>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</si>
  <si>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</si>
  <si>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</si>
  <si>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</si>
  <si>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</si>
  <si>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</si>
  <si>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</si>
  <si>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</si>
  <si>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</si>
  <si>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</si>
  <si>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</si>
  <si>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</si>
  <si>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</si>
  <si>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</si>
  <si>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</si>
  <si>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</si>
  <si>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</si>
  <si>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</si>
  <si>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</si>
  <si>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</si>
  <si>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</si>
  <si>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</si>
  <si>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</si>
  <si>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</si>
  <si>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</si>
  <si>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</si>
  <si>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</si>
  <si>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</si>
  <si>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</si>
  <si>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</si>
  <si>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</si>
  <si>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</si>
  <si>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</si>
  <si>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</si>
  <si>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</si>
  <si>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</si>
  <si>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</si>
  <si>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</si>
  <si>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</si>
  <si>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</si>
  <si>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</si>
  <si>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</si>
  <si>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</si>
  <si>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</si>
  <si>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</si>
  <si>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</si>
  <si>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</si>
  <si>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</si>
  <si>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</si>
  <si>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</si>
  <si>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</si>
  <si>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</si>
  <si>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</si>
  <si>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</si>
  <si>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</si>
  <si>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</si>
  <si>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</si>
  <si>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</si>
  <si>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</si>
  <si>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</si>
  <si>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</si>
  <si>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</si>
  <si>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</si>
  <si>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</si>
  <si>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</si>
  <si>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</si>
  <si>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</si>
  <si>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</si>
  <si>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</si>
  <si>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</si>
  <si>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</si>
  <si>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</si>
  <si>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</si>
  <si>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</si>
  <si>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</si>
  <si>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</si>
  <si>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</si>
  <si>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</si>
  <si>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</si>
  <si>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</si>
  <si>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</si>
  <si>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</si>
  <si>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</si>
  <si>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</si>
  <si>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</si>
  <si>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</si>
  <si>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</si>
  <si>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</si>
  <si>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</si>
  <si>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</si>
  <si>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</si>
  <si>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</si>
  <si>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</si>
  <si>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</si>
  <si>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</si>
  <si>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</si>
  <si>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</si>
  <si>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</si>
  <si>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</si>
  <si>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</si>
  <si>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</si>
  <si>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</si>
  <si>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</si>
  <si>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</si>
  <si>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</si>
  <si>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</si>
  <si>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</si>
  <si>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</si>
  <si>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</si>
  <si>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</si>
  <si>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</si>
  <si>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</si>
  <si>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</si>
  <si>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</si>
  <si>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</si>
  <si>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</si>
  <si>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</si>
  <si>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</si>
  <si>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</si>
  <si>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</si>
  <si>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</si>
  <si>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</si>
  <si>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</si>
  <si>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</si>
  <si>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</si>
  <si>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</si>
  <si>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</si>
  <si>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</si>
  <si>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</si>
  <si>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</si>
  <si>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</si>
  <si>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</si>
  <si>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</si>
  <si>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</si>
  <si>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</si>
  <si>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</si>
  <si>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</si>
  <si>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</si>
  <si>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</si>
  <si>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</si>
  <si>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</si>
  <si>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</si>
  <si>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</si>
  <si>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</si>
  <si>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</si>
  <si>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</si>
  <si>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</si>
  <si>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</si>
  <si>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</si>
  <si>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</si>
  <si>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</si>
  <si>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</si>
  <si>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</si>
  <si>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</si>
  <si>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</si>
  <si>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</si>
  <si>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</si>
  <si>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</si>
  <si>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</si>
  <si>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</si>
  <si>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</si>
  <si>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</si>
  <si>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</si>
  <si>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</si>
  <si>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</si>
  <si>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</si>
  <si>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</si>
  <si>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</si>
  <si>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</si>
  <si>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</si>
  <si>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</si>
  <si>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</si>
  <si>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</si>
  <si>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</si>
  <si>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</si>
  <si>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</si>
  <si>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</si>
  <si>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</si>
  <si>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</si>
  <si>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</si>
  <si>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</si>
  <si>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</si>
  <si>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</si>
  <si>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</si>
  <si>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</si>
  <si>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</si>
  <si>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</si>
  <si>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</si>
  <si>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</si>
  <si>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</si>
  <si>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</si>
  <si>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</si>
  <si>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</si>
  <si>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</si>
  <si>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</si>
  <si>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</si>
  <si>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</si>
  <si>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</si>
  <si>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</si>
  <si>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</si>
  <si>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</si>
  <si>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</si>
  <si>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</si>
  <si>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</si>
  <si>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</si>
  <si>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</si>
  <si>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</si>
  <si>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</si>
  <si>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</si>
  <si>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</si>
  <si>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</si>
  <si>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</si>
  <si>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</si>
  <si>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</si>
  <si>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</si>
  <si>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</si>
  <si>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</si>
  <si>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</si>
  <si>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</si>
  <si>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</si>
  <si>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</si>
  <si>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</si>
  <si>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</si>
  <si>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</si>
  <si>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</si>
  <si>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</si>
  <si>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</si>
  <si>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</si>
  <si>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</si>
  <si>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</si>
  <si>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</si>
  <si>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</si>
  <si>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</si>
  <si>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</si>
  <si>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</si>
  <si>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</si>
  <si>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</si>
  <si>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</si>
  <si>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</si>
  <si>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</si>
  <si>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</si>
  <si>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</si>
  <si>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</si>
  <si>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</si>
  <si>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</si>
  <si>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</si>
  <si>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</si>
  <si>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</si>
  <si>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</si>
  <si>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</si>
  <si>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</si>
  <si>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</si>
  <si>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</si>
  <si>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</si>
  <si>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</si>
  <si>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</si>
  <si>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</si>
  <si>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</si>
  <si>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</si>
  <si>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</si>
  <si>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</si>
  <si>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</si>
  <si>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</si>
  <si>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</si>
  <si>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</si>
  <si>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</si>
  <si>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</si>
  <si>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</si>
  <si>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</si>
  <si>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</si>
  <si>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</si>
  <si>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</si>
  <si>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</si>
  <si>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</si>
  <si>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</si>
  <si>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</si>
  <si>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</si>
  <si>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</si>
  <si>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</si>
  <si>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</si>
  <si>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</si>
  <si>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</si>
  <si>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</si>
  <si>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</si>
  <si>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</si>
  <si>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</si>
  <si>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</si>
  <si>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</si>
  <si>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</si>
  <si>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</si>
  <si>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</si>
  <si>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</si>
  <si>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</si>
  <si>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</si>
  <si>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</si>
  <si>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</si>
  <si>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</si>
  <si>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</si>
  <si>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</si>
  <si>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</si>
  <si>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</si>
  <si>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</si>
  <si>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</si>
  <si>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</si>
  <si>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</si>
  <si>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</si>
  <si>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</si>
  <si>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</si>
  <si>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</si>
  <si>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</si>
  <si>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</si>
  <si>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</si>
  <si>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</si>
  <si>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</si>
  <si>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</si>
  <si>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</si>
  <si>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</si>
  <si>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</si>
  <si>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</si>
  <si>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</si>
  <si>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</si>
  <si>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</si>
  <si>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</si>
  <si>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</si>
  <si>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</si>
  <si>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</si>
  <si>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</si>
  <si>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</si>
  <si>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</si>
  <si>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</si>
  <si>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</si>
  <si>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</si>
  <si>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</si>
  <si>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</si>
  <si>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</si>
  <si>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</si>
  <si>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</si>
  <si>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</si>
  <si>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</si>
  <si>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</si>
  <si>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</si>
  <si>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</si>
  <si>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</si>
  <si>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</si>
  <si>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</si>
  <si>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</si>
  <si>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</si>
  <si>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</si>
  <si>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</si>
  <si>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</si>
  <si>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</si>
  <si>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</si>
  <si>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</si>
  <si>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</si>
  <si>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</si>
  <si>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</si>
  <si>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</si>
  <si>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</si>
  <si>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</si>
  <si>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</si>
  <si>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</si>
  <si>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</si>
  <si>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</si>
  <si>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</si>
  <si>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</si>
  <si>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</si>
  <si>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</si>
  <si>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</si>
  <si>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</si>
  <si>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</si>
  <si>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</si>
  <si>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</si>
  <si>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</si>
  <si>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</si>
  <si>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</si>
  <si>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</si>
  <si>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</si>
  <si>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</si>
  <si>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</si>
  <si>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</si>
  <si>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</si>
  <si>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</si>
  <si>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</si>
  <si>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</si>
  <si>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</si>
  <si>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</si>
  <si>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</si>
  <si>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</si>
  <si>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</si>
  <si>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</si>
  <si>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</si>
  <si>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</si>
  <si>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</si>
  <si>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</si>
  <si>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</si>
  <si>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</si>
  <si>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</si>
  <si>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</si>
  <si>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</si>
  <si>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</si>
  <si>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</si>
  <si>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</si>
  <si>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</si>
  <si>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</si>
  <si>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</si>
  <si>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</si>
  <si>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</si>
  <si>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</si>
  <si>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</si>
  <si>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</si>
  <si>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</si>
  <si>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</si>
  <si>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</si>
  <si>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</si>
  <si>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</si>
  <si>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</si>
  <si>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</si>
  <si>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</si>
  <si>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</si>
  <si>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</si>
  <si>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</si>
  <si>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</si>
  <si>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</si>
  <si>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</si>
  <si>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</si>
  <si>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</si>
  <si>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</si>
  <si>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</si>
  <si>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</si>
  <si>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</si>
  <si>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</si>
  <si>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</si>
  <si>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</si>
  <si>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</si>
  <si>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</si>
  <si>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</si>
  <si>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</si>
  <si>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</si>
  <si>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</si>
  <si>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</si>
  <si>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</si>
  <si>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</si>
  <si>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</si>
  <si>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</si>
  <si>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</si>
  <si>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</si>
  <si>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</si>
  <si>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</si>
  <si>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</si>
  <si>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</si>
  <si>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</si>
  <si>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</si>
  <si>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</si>
  <si>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</si>
  <si>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</si>
  <si>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</si>
  <si>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</si>
  <si>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</si>
  <si>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</si>
  <si>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</si>
  <si>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</si>
  <si>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</si>
  <si>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</si>
  <si>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</si>
  <si>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</si>
  <si>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</si>
  <si>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</si>
  <si>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</si>
  <si>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</si>
  <si>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</si>
  <si>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</si>
  <si>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</si>
  <si>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</si>
  <si>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</si>
  <si>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</si>
  <si>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</si>
  <si>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</si>
  <si>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</si>
  <si>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</si>
  <si>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</si>
  <si>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</si>
  <si>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</si>
  <si>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</si>
  <si>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</si>
  <si>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</si>
  <si>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</si>
  <si>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</si>
  <si>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</si>
  <si>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</si>
  <si>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</si>
  <si>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</si>
  <si>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</si>
  <si>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</si>
  <si>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</si>
  <si>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</si>
  <si>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</si>
  <si>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</si>
  <si>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</si>
  <si>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</si>
  <si>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</si>
  <si>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</si>
  <si>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</si>
  <si>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</si>
  <si>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</si>
  <si>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</si>
  <si>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</si>
  <si>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</si>
  <si>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</si>
  <si>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</si>
  <si>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</si>
  <si>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</si>
  <si>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</si>
  <si>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</si>
  <si>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</si>
  <si>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</si>
  <si>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</si>
  <si>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</si>
  <si>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</si>
  <si>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</si>
  <si>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</si>
  <si>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</si>
  <si>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</si>
  <si>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</si>
  <si>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</si>
  <si>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</si>
  <si>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</si>
  <si>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</si>
  <si>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</si>
  <si>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</si>
  <si>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</si>
  <si>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</si>
  <si>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</si>
  <si>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</si>
  <si>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</si>
  <si>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</si>
  <si>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</si>
  <si>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</si>
  <si>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</si>
  <si>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</si>
  <si>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</si>
  <si>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</si>
  <si>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</si>
  <si>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</si>
  <si>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</si>
  <si>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</si>
  <si>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</si>
  <si>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</si>
  <si>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</si>
  <si>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</si>
  <si>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</si>
  <si>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</si>
  <si>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</si>
  <si>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</si>
  <si>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</si>
  <si>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</si>
  <si>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</si>
  <si>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</si>
  <si>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</si>
  <si>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</si>
  <si>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</si>
  <si>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</si>
  <si>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</si>
  <si>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Nicole Pettis</t>
  </si>
  <si>
    <t>State Farm General Insurance Company</t>
  </si>
  <si>
    <t>December 2022</t>
  </si>
  <si>
    <t>Rental Dwelling</t>
  </si>
  <si>
    <t>2021</t>
  </si>
  <si>
    <t>XhfQ18WZ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</si>
</sst>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784">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8" fillId="0" borderId="0" xfId="0" applyFont="1" applyAlignment="1" applyProtection="1">
      <alignment vertical="center"/>
    </xf>
    <xf numFmtId="0" fontId="0" fillId="0" borderId="0" xfId="0" applyBorder="1" applyProtection="1"/>
    <xf numFmtId="0" fontId="8" fillId="0" borderId="0" xfId="0" applyFont="1" applyProtection="1"/>
    <xf numFmtId="0" fontId="0" fillId="0" borderId="0" xfId="0" applyFont="1"/>
    <xf numFmtId="0" fontId="8" fillId="0" borderId="0" xfId="0" applyFont="1" applyAlignment="1" applyProtection="1">
      <alignment horizontal="right"/>
    </xf>
    <xf numFmtId="0" fontId="8" fillId="0" borderId="0" xfId="0" applyFont="1" applyAlignment="1" applyProtection="1">
      <alignment horizontal="left"/>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applyBorder="1"/>
    <xf numFmtId="0" fontId="0" fillId="0" borderId="0" xfId="0" applyAlignment="1">
      <alignment horizontal="right" vertical="center"/>
    </xf>
    <xf numFmtId="0" fontId="10" fillId="0" borderId="0" xfId="0" applyFont="1" applyBorder="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0" xfId="0" applyNumberForma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Border="1" applyAlignment="1">
      <alignment vertical="center"/>
    </xf>
    <xf numFmtId="37" fontId="10" fillId="0" borderId="0" xfId="0" applyNumberFormat="1" applyFont="1" applyFill="1" applyBorder="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applyBorder="1"/>
    <xf numFmtId="0" fontId="12" fillId="0" borderId="0" xfId="0" applyFont="1" applyBorder="1"/>
    <xf numFmtId="10" fontId="12" fillId="0" borderId="0" xfId="0" applyNumberFormat="1" applyFont="1" applyBorder="1"/>
    <xf numFmtId="0" fontId="12" fillId="0" borderId="0" xfId="0" applyFont="1" applyBorder="1" applyAlignment="1">
      <alignment horizontal="center"/>
    </xf>
    <xf numFmtId="10" fontId="12" fillId="0" borderId="0" xfId="0" applyNumberFormat="1" applyFont="1" applyBorder="1" applyAlignment="1">
      <alignment horizontal="center"/>
    </xf>
    <xf numFmtId="10" fontId="12" fillId="0" borderId="0" xfId="0" applyNumberFormat="1" applyFont="1" applyBorder="1" applyAlignment="1">
      <alignment horizontal="right"/>
    </xf>
    <xf numFmtId="14" fontId="10" fillId="0" borderId="0" xfId="0" applyNumberFormat="1" applyFont="1" applyBorder="1"/>
    <xf numFmtId="168" fontId="19" fillId="0" borderId="27" xfId="2" applyNumberFormat="1" applyFont="1" applyBorder="1" applyAlignment="1">
      <alignment horizontal="center"/>
    </xf>
    <xf numFmtId="0" fontId="19" fillId="0" borderId="27" xfId="2" applyFont="1" applyBorder="1"/>
    <xf numFmtId="0" fontId="0" fillId="0" borderId="27" xfId="0" applyFill="1" applyBorder="1"/>
    <xf numFmtId="168" fontId="19" fillId="0" borderId="27" xfId="2" applyNumberFormat="1" applyFont="1" applyFill="1" applyBorder="1" applyAlignment="1">
      <alignment horizontal="center"/>
    </xf>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NumberFormat="1" applyFont="1" applyBorder="1" applyAlignment="1">
      <alignment horizontal="center"/>
    </xf>
    <xf numFmtId="166" fontId="10" fillId="0" borderId="0" xfId="0" applyNumberFormat="1" applyFont="1" applyBorder="1" applyAlignment="1">
      <alignment horizontal="left"/>
    </xf>
    <xf numFmtId="14" fontId="10" fillId="0" borderId="0" xfId="0" applyNumberFormat="1" applyFont="1" applyBorder="1" applyAlignment="1">
      <alignment horizontal="left"/>
    </xf>
    <xf numFmtId="168" fontId="18" fillId="0" borderId="0" xfId="0" applyNumberFormat="1" applyFont="1" applyBorder="1" applyAlignment="1">
      <alignment vertical="center"/>
    </xf>
    <xf numFmtId="0" fontId="12" fillId="0" borderId="0" xfId="0" applyFont="1" applyBorder="1" applyAlignment="1">
      <alignment vertical="center"/>
    </xf>
    <xf numFmtId="0" fontId="0" fillId="0" borderId="0" xfId="0" applyFont="1" applyAlignment="1">
      <alignmen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vertical="center"/>
    </xf>
    <xf numFmtId="0" fontId="18" fillId="0" borderId="27" xfId="0" applyNumberFormat="1"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Fill="1" applyBorder="1" applyAlignment="1">
      <alignment vertical="center"/>
    </xf>
    <xf numFmtId="168" fontId="19" fillId="0" borderId="27" xfId="2" applyNumberFormat="1" applyFont="1" applyFill="1" applyBorder="1" applyAlignment="1">
      <alignment horizontal="center" vertical="center"/>
    </xf>
    <xf numFmtId="168" fontId="12" fillId="0" borderId="27" xfId="2" applyNumberFormat="1" applyFont="1" applyBorder="1" applyAlignment="1">
      <alignment horizontal="center" vertical="center"/>
    </xf>
    <xf numFmtId="10" fontId="12" fillId="0" borderId="0" xfId="0" applyNumberFormat="1" applyFont="1" applyBorder="1" applyAlignment="1">
      <alignment vertical="center"/>
    </xf>
    <xf numFmtId="168" fontId="20" fillId="0" borderId="0" xfId="0" applyNumberFormat="1" applyFont="1" applyBorder="1"/>
    <xf numFmtId="168" fontId="20" fillId="0" borderId="0" xfId="0" applyNumberFormat="1" applyFont="1" applyBorder="1" applyAlignment="1">
      <alignment vertical="center"/>
    </xf>
    <xf numFmtId="0" fontId="18" fillId="0" borderId="27" xfId="0" applyNumberFormat="1"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8" fillId="0" borderId="0" xfId="0" applyFont="1" applyBorder="1"/>
    <xf numFmtId="0" fontId="0" fillId="2" borderId="0" xfId="0" applyFill="1" applyBorder="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49" fontId="0" fillId="3" borderId="6" xfId="0" applyNumberFormat="1" applyFon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0" fillId="0" borderId="0" xfId="0" applyAlignment="1">
      <alignment horizontal="centerContinuous" vertical="center"/>
    </xf>
    <xf numFmtId="0" fontId="8" fillId="0" borderId="0" xfId="0" applyFont="1" applyAlignment="1" applyProtection="1">
      <alignment horizontal="left" vertical="center"/>
    </xf>
    <xf numFmtId="0" fontId="8" fillId="0" borderId="0" xfId="0" applyFont="1" applyAlignment="1" applyProtection="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0" xfId="0" applyFont="1" applyBorder="1" applyAlignment="1">
      <alignment horizontal="left" vertical="center"/>
    </xf>
    <xf numFmtId="0" fontId="8" fillId="0" borderId="0" xfId="0" applyFont="1" applyAlignment="1">
      <alignment vertical="center"/>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Border="1" applyAlignment="1">
      <alignment vertical="center"/>
    </xf>
    <xf numFmtId="37" fontId="0" fillId="0" borderId="6" xfId="0" applyNumberFormat="1" applyBorder="1" applyAlignment="1">
      <alignment vertical="center"/>
    </xf>
    <xf numFmtId="167" fontId="0" fillId="0" borderId="0" xfId="0" applyNumberFormat="1" applyBorder="1" applyAlignment="1">
      <alignment vertical="center"/>
    </xf>
    <xf numFmtId="0" fontId="0" fillId="2" borderId="6" xfId="0" applyFill="1" applyBorder="1" applyAlignment="1">
      <alignment vertical="center"/>
    </xf>
    <xf numFmtId="37" fontId="0" fillId="2" borderId="0" xfId="0" applyNumberFormat="1" applyFill="1" applyBorder="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0" fontId="0" fillId="0" borderId="3" xfId="0" applyFont="1" applyFill="1" applyBorder="1" applyAlignment="1">
      <alignment vertical="center"/>
    </xf>
    <xf numFmtId="165" fontId="6" fillId="0" borderId="4" xfId="3" applyNumberFormat="1" applyFont="1" applyBorder="1" applyAlignment="1">
      <alignment vertical="center"/>
    </xf>
    <xf numFmtId="0" fontId="0" fillId="0" borderId="5" xfId="0" applyFont="1" applyFill="1" applyBorder="1" applyAlignment="1">
      <alignment vertical="center"/>
    </xf>
    <xf numFmtId="0" fontId="8" fillId="0" borderId="7" xfId="0" applyFont="1" applyFill="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Font="1" applyBorder="1" applyAlignment="1">
      <alignment vertical="center"/>
    </xf>
    <xf numFmtId="0" fontId="0" fillId="0" borderId="1" xfId="0" applyFont="1" applyBorder="1" applyAlignment="1">
      <alignment horizontal="center" vertical="center"/>
    </xf>
    <xf numFmtId="0" fontId="0" fillId="0" borderId="3" xfId="0" applyFont="1" applyBorder="1" applyAlignment="1">
      <alignment vertical="center"/>
    </xf>
    <xf numFmtId="0" fontId="0" fillId="0" borderId="2"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vertical="center"/>
    </xf>
    <xf numFmtId="39" fontId="0" fillId="0" borderId="6" xfId="0" applyNumberFormat="1" applyFont="1" applyBorder="1" applyAlignment="1">
      <alignment vertical="center"/>
    </xf>
    <xf numFmtId="0" fontId="0" fillId="0" borderId="0" xfId="0" applyFont="1" applyBorder="1" applyAlignment="1">
      <alignment vertical="center"/>
    </xf>
    <xf numFmtId="0" fontId="0" fillId="0" borderId="6" xfId="0" applyFont="1" applyBorder="1" applyAlignment="1">
      <alignment vertical="center"/>
    </xf>
    <xf numFmtId="37" fontId="0" fillId="0" borderId="0" xfId="0" applyNumberFormat="1"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37" fontId="0" fillId="0" borderId="8" xfId="0" applyNumberFormat="1" applyFont="1" applyBorder="1" applyAlignment="1">
      <alignment horizontal="center" vertical="center"/>
    </xf>
    <xf numFmtId="0" fontId="0" fillId="0" borderId="9" xfId="0" applyFont="1"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0" xfId="0" applyFont="1" applyBorder="1" applyAlignment="1">
      <alignment horizontal="center" vertical="center" wrapText="1"/>
    </xf>
    <xf numFmtId="0" fontId="0" fillId="0" borderId="1" xfId="0" applyFont="1" applyBorder="1" applyAlignment="1">
      <alignment horizontal="left" vertical="center" wrapText="1"/>
    </xf>
    <xf numFmtId="0" fontId="0" fillId="0" borderId="23" xfId="0" applyFont="1"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pplyProtection="1">
      <alignment horizontal="left" vertical="center"/>
    </xf>
    <xf numFmtId="0" fontId="0" fillId="2" borderId="0" xfId="0" applyFill="1" applyAlignment="1">
      <alignmen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pplyProtection="1">
      <alignment horizontal="left"/>
    </xf>
    <xf numFmtId="14" fontId="0" fillId="0" borderId="0" xfId="0" applyNumberFormat="1" applyProtection="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5" xfId="0" applyFill="1" applyBorder="1" applyAlignment="1">
      <alignment vertical="center"/>
    </xf>
    <xf numFmtId="0" fontId="0" fillId="0" borderId="7" xfId="0" applyFill="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14" fontId="0" fillId="2"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8" fillId="2" borderId="22" xfId="0" applyFont="1" applyFill="1" applyBorder="1" applyAlignment="1">
      <alignment horizontal="center" vertical="center"/>
    </xf>
    <xf numFmtId="168" fontId="20" fillId="0" borderId="0" xfId="0" applyNumberFormat="1" applyFont="1" applyBorder="1" applyAlignment="1" applyProtection="1">
      <alignment vertical="center"/>
    </xf>
    <xf numFmtId="0" fontId="12" fillId="0" borderId="0" xfId="0" applyFont="1" applyBorder="1" applyAlignment="1" applyProtection="1">
      <alignment vertical="center"/>
    </xf>
    <xf numFmtId="10" fontId="12"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Protection="1"/>
    <xf numFmtId="168" fontId="18" fillId="0" borderId="0" xfId="0" applyNumberFormat="1" applyFont="1" applyBorder="1" applyAlignment="1" applyProtection="1">
      <alignment vertical="center"/>
    </xf>
    <xf numFmtId="10" fontId="12" fillId="0" borderId="0" xfId="0" applyNumberFormat="1" applyFont="1" applyBorder="1" applyProtection="1"/>
    <xf numFmtId="14" fontId="10" fillId="0" borderId="0" xfId="0" applyNumberFormat="1" applyFont="1" applyBorder="1" applyAlignment="1" applyProtection="1">
      <alignment vertical="center"/>
    </xf>
    <xf numFmtId="0" fontId="18" fillId="0" borderId="27" xfId="0" applyNumberFormat="1" applyFont="1" applyBorder="1" applyAlignment="1" applyProtection="1">
      <alignment horizontal="center" vertical="center"/>
    </xf>
    <xf numFmtId="168" fontId="12" fillId="0" borderId="0" xfId="0" applyNumberFormat="1" applyFont="1" applyBorder="1" applyAlignment="1" applyProtection="1">
      <alignment horizontal="center" vertical="center"/>
    </xf>
    <xf numFmtId="10" fontId="12" fillId="0" borderId="0" xfId="0" applyNumberFormat="1" applyFont="1" applyBorder="1" applyAlignment="1" applyProtection="1">
      <alignment horizontal="center"/>
    </xf>
    <xf numFmtId="168" fontId="19" fillId="0" borderId="27" xfId="2" applyNumberFormat="1" applyFont="1" applyBorder="1" applyAlignment="1" applyProtection="1">
      <alignment horizontal="center" vertical="center"/>
    </xf>
    <xf numFmtId="0" fontId="19" fillId="0" borderId="27" xfId="2" applyFont="1" applyBorder="1" applyAlignment="1" applyProtection="1">
      <alignment vertical="center"/>
    </xf>
    <xf numFmtId="0" fontId="0" fillId="0" borderId="27" xfId="0" applyFill="1" applyBorder="1" applyAlignment="1" applyProtection="1">
      <alignment vertical="center"/>
    </xf>
    <xf numFmtId="168" fontId="19" fillId="0" borderId="27" xfId="2" applyNumberFormat="1" applyFont="1" applyFill="1" applyBorder="1" applyAlignment="1" applyProtection="1">
      <alignment horizontal="center" vertical="center"/>
    </xf>
    <xf numFmtId="168" fontId="12" fillId="0" borderId="27" xfId="2" applyNumberFormat="1" applyFont="1" applyBorder="1" applyAlignment="1" applyProtection="1">
      <alignment horizontal="center" vertical="center"/>
    </xf>
    <xf numFmtId="0" fontId="18" fillId="0" borderId="28" xfId="0" applyNumberFormat="1" applyFont="1" applyBorder="1" applyAlignment="1" applyProtection="1">
      <alignment horizontal="center" vertical="center"/>
    </xf>
    <xf numFmtId="0" fontId="25" fillId="0" borderId="8" xfId="0" applyFont="1" applyBorder="1" applyAlignment="1">
      <alignment horizontal="left" vertical="center"/>
    </xf>
    <xf numFmtId="0" fontId="0" fillId="0" borderId="0" xfId="0" applyAlignment="1">
      <alignment horizontal="left" vertical="center" wrapText="1"/>
    </xf>
    <xf numFmtId="0" fontId="25" fillId="0" borderId="0" xfId="0" applyFont="1" applyBorder="1" applyAlignment="1">
      <alignment horizontal="left" vertical="center"/>
    </xf>
    <xf numFmtId="0" fontId="13" fillId="0" borderId="0" xfId="0" applyFont="1" applyBorder="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8" fillId="0" borderId="0" xfId="0" applyFont="1" applyAlignment="1">
      <alignment horizontal="left" vertical="center"/>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0" fillId="0" borderId="11" xfId="0" applyBorder="1" applyAlignment="1">
      <alignment horizontal="center"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pplyProtection="1">
      <alignment vertical="center"/>
    </xf>
    <xf numFmtId="0" fontId="0" fillId="0" borderId="16" xfId="0" applyBorder="1" applyAlignment="1" applyProtection="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vertical="center"/>
    </xf>
    <xf numFmtId="0" fontId="0" fillId="0" borderId="16" xfId="0" applyBorder="1" applyAlignment="1">
      <alignment horizontal="left" vertical="center"/>
    </xf>
    <xf numFmtId="14" fontId="0" fillId="0" borderId="16" xfId="0" applyNumberFormat="1" applyBorder="1" applyAlignment="1">
      <alignment horizontal="left" vertical="center"/>
    </xf>
    <xf numFmtId="0" fontId="0" fillId="0" borderId="0" xfId="0" applyFont="1" applyBorder="1"/>
    <xf numFmtId="0" fontId="18" fillId="0" borderId="0" xfId="0" applyNumberFormat="1" applyFont="1" applyBorder="1" applyAlignment="1">
      <alignment horizontal="center"/>
    </xf>
    <xf numFmtId="168" fontId="19" fillId="0" borderId="0" xfId="2" applyNumberFormat="1" applyFont="1" applyBorder="1" applyAlignment="1">
      <alignment horizontal="center"/>
    </xf>
    <xf numFmtId="0" fontId="19" fillId="0" borderId="0" xfId="2" applyFont="1" applyBorder="1"/>
    <xf numFmtId="0" fontId="0" fillId="0" borderId="0" xfId="0" applyFill="1" applyBorder="1"/>
    <xf numFmtId="0" fontId="0" fillId="0" borderId="0" xfId="0" applyFill="1" applyBorder="1" applyAlignment="1" applyProtection="1">
      <alignment vertical="center"/>
    </xf>
    <xf numFmtId="168" fontId="19" fillId="0" borderId="0" xfId="2" applyNumberFormat="1" applyFont="1" applyFill="1" applyBorder="1" applyAlignment="1">
      <alignment horizontal="center"/>
    </xf>
    <xf numFmtId="168" fontId="12" fillId="0" borderId="0" xfId="2" applyNumberFormat="1" applyFont="1" applyBorder="1" applyAlignment="1">
      <alignment horizontal="center"/>
    </xf>
    <xf numFmtId="0" fontId="18" fillId="0" borderId="1" xfId="0" applyNumberFormat="1" applyFont="1" applyBorder="1" applyAlignment="1">
      <alignment horizontal="center" vertical="center"/>
    </xf>
    <xf numFmtId="0" fontId="18" fillId="0" borderId="1" xfId="0" applyNumberFormat="1"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8" xfId="0" applyFont="1" applyFill="1" applyBorder="1" applyAlignment="1" applyProtection="1">
      <alignment horizontal="center" vertical="center"/>
    </xf>
    <xf numFmtId="0" fontId="8" fillId="2" borderId="22" xfId="0" applyFont="1" applyFill="1" applyBorder="1" applyAlignment="1" applyProtection="1">
      <alignment horizontal="center" vertical="center"/>
    </xf>
    <xf numFmtId="0" fontId="8" fillId="2" borderId="16" xfId="0" applyFont="1" applyFill="1" applyBorder="1" applyAlignment="1" applyProtection="1">
      <alignment horizontal="center" vertical="center"/>
    </xf>
    <xf numFmtId="0" fontId="0" fillId="2" borderId="16" xfId="0" applyFill="1" applyBorder="1" applyAlignment="1" applyProtection="1">
      <alignment vertical="center"/>
    </xf>
    <xf numFmtId="0" fontId="17" fillId="2" borderId="16" xfId="0" applyFont="1" applyFill="1" applyBorder="1" applyAlignment="1" applyProtection="1">
      <alignment vertical="center"/>
    </xf>
    <xf numFmtId="0" fontId="17" fillId="2" borderId="16" xfId="0" applyFont="1" applyFill="1" applyBorder="1" applyAlignment="1" applyProtection="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Fill="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0" fillId="0" borderId="6" xfId="0" applyBorder="1" applyAlignment="1">
      <alignment vertical="center"/>
    </xf>
    <xf numFmtId="0" fontId="0" fillId="0" borderId="9" xfId="0" applyBorder="1" applyAlignment="1">
      <alignment vertical="center"/>
    </xf>
    <xf numFmtId="0" fontId="8" fillId="0" borderId="0" xfId="0" applyFont="1" applyFill="1" applyBorder="1" applyAlignment="1" applyProtection="1">
      <alignment vertical="center"/>
    </xf>
    <xf numFmtId="0" fontId="0" fillId="0" borderId="0" xfId="0" applyNumberFormat="1" applyFill="1" applyBorder="1" applyAlignment="1" applyProtection="1">
      <alignment vertical="center"/>
    </xf>
    <xf numFmtId="0" fontId="8" fillId="0" borderId="0" xfId="0" applyNumberFormat="1" applyFont="1" applyFill="1" applyBorder="1" applyAlignment="1" applyProtection="1">
      <alignment horizontal="centerContinuous" vertical="center"/>
    </xf>
    <xf numFmtId="0" fontId="10" fillId="0" borderId="0" xfId="0" applyNumberFormat="1" applyFont="1" applyFill="1" applyBorder="1" applyAlignment="1" applyProtection="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pplyProtection="1">
      <alignment horizontal="center" vertical="center"/>
    </xf>
    <xf numFmtId="0" fontId="0" fillId="0" borderId="0" xfId="0" applyBorder="1" applyAlignment="1"/>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0" xfId="0" applyFont="1" applyAlignment="1" applyProtection="1">
      <alignment horizontal="right" vertical="center"/>
    </xf>
    <xf numFmtId="0" fontId="8" fillId="2" borderId="0" xfId="0" applyFont="1" applyFill="1" applyAlignment="1" applyProtection="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14" fontId="0" fillId="0" borderId="0" xfId="0" applyNumberFormat="1"/>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Border="1" applyAlignment="1">
      <alignment horizontal="left" vertical="center" wrapText="1"/>
    </xf>
    <xf numFmtId="0" fontId="0" fillId="0" borderId="37" xfId="0" applyFont="1"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Font="1"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Font="1" applyBorder="1" applyAlignment="1">
      <alignment horizontal="center" vertical="center"/>
    </xf>
    <xf numFmtId="37" fontId="12" fillId="2" borderId="11" xfId="0" applyNumberFormat="1" applyFont="1" applyFill="1" applyBorder="1" applyAlignment="1" applyProtection="1">
      <alignment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Font="1" applyBorder="1" applyAlignment="1">
      <alignment horizontal="center" vertical="center"/>
    </xf>
    <xf numFmtId="37" fontId="12" fillId="0" borderId="41" xfId="0" applyNumberFormat="1" applyFont="1" applyFill="1" applyBorder="1" applyAlignment="1">
      <alignment horizontal="left" vertical="center" wrapText="1"/>
    </xf>
    <xf numFmtId="37" fontId="12" fillId="2" borderId="41" xfId="0" applyNumberFormat="1" applyFont="1" applyFill="1" applyBorder="1" applyAlignment="1" applyProtection="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37" fontId="12" fillId="0" borderId="11" xfId="0" applyNumberFormat="1" applyFont="1" applyFill="1" applyBorder="1" applyAlignment="1">
      <alignment horizontal="left" vertical="center" wrapText="1"/>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37" fontId="12" fillId="2" borderId="41" xfId="0" applyNumberFormat="1" applyFont="1" applyFill="1" applyBorder="1" applyAlignment="1">
      <alignment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37" fontId="12" fillId="2" borderId="44" xfId="0" applyNumberFormat="1" applyFont="1" applyFill="1" applyBorder="1" applyAlignment="1" applyProtection="1">
      <alignment horizontal="center" vertical="center" wrapText="1"/>
    </xf>
    <xf numFmtId="49" fontId="0" fillId="0" borderId="45" xfId="0" applyNumberFormat="1" applyFont="1" applyBorder="1" applyAlignment="1">
      <alignment horizontal="center" vertical="center"/>
    </xf>
    <xf numFmtId="37" fontId="12" fillId="0" borderId="10" xfId="0" applyNumberFormat="1" applyFont="1" applyFill="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pplyProtection="1">
      <alignment vertical="center"/>
    </xf>
    <xf numFmtId="49" fontId="0" fillId="0" borderId="46" xfId="0" applyNumberFormat="1" applyFont="1" applyBorder="1" applyAlignment="1">
      <alignment horizontal="center" vertical="center"/>
    </xf>
    <xf numFmtId="37" fontId="12" fillId="0" borderId="12" xfId="0" applyNumberFormat="1" applyFont="1" applyFill="1" applyBorder="1" applyAlignment="1">
      <alignment horizontal="left" vertical="center" wrapText="1"/>
    </xf>
    <xf numFmtId="37" fontId="12" fillId="2" borderId="12" xfId="0" applyNumberFormat="1" applyFont="1" applyFill="1" applyBorder="1" applyAlignment="1" applyProtection="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pplyProtection="1">
      <alignment vertical="center"/>
    </xf>
    <xf numFmtId="10" fontId="12" fillId="2" borderId="12" xfId="3" applyNumberFormat="1" applyFont="1" applyFill="1" applyBorder="1" applyAlignment="1" applyProtection="1">
      <alignment vertical="center"/>
    </xf>
    <xf numFmtId="49" fontId="0" fillId="0" borderId="0" xfId="0" applyNumberFormat="1" applyFont="1" applyBorder="1" applyAlignment="1">
      <alignment horizontal="center" vertical="center"/>
    </xf>
    <xf numFmtId="37" fontId="12" fillId="0" borderId="0" xfId="0" applyNumberFormat="1" applyFont="1" applyFill="1" applyBorder="1" applyAlignment="1">
      <alignment horizontal="left" vertical="center" wrapText="1"/>
    </xf>
    <xf numFmtId="37" fontId="12" fillId="0" borderId="0" xfId="0" applyNumberFormat="1" applyFont="1" applyFill="1" applyBorder="1" applyAlignment="1" applyProtection="1">
      <alignment horizontal="left" vertical="center" wrapText="1"/>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30" fillId="0" borderId="0" xfId="0" applyFont="1" applyAlignment="1" applyProtection="1">
      <alignment horizontal="left" vertical="center"/>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pplyProtection="1">
      <alignment horizontal="center" vertical="center" wrapText="1"/>
    </xf>
    <xf numFmtId="0" fontId="8" fillId="0" borderId="0" xfId="0" applyFont="1" applyFill="1" applyBorder="1" applyAlignment="1" applyProtection="1">
      <alignment vertical="center" wrapText="1"/>
    </xf>
    <xf numFmtId="165" fontId="0" fillId="0" borderId="0" xfId="3" applyNumberFormat="1" applyFont="1" applyBorder="1" applyAlignment="1">
      <alignment horizontal="center"/>
    </xf>
    <xf numFmtId="0" fontId="0" fillId="0" borderId="5" xfId="0" applyBorder="1" applyAlignment="1"/>
    <xf numFmtId="0" fontId="0" fillId="0" borderId="0" xfId="0" applyBorder="1"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applyAlignment="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xf>
    <xf numFmtId="0" fontId="18" fillId="0" borderId="9"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wrapText="1"/>
    </xf>
    <xf numFmtId="0" fontId="18" fillId="0" borderId="9" xfId="0" applyNumberFormat="1" applyFont="1" applyFill="1" applyBorder="1" applyAlignment="1" applyProtection="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165" fontId="0" fillId="0" borderId="0" xfId="0" applyNumberFormat="1" applyBorder="1"/>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ont="1" applyFill="1" applyAlignment="1" applyProtection="1">
      <alignment horizontal="left"/>
      <protection locked="0"/>
    </xf>
    <xf numFmtId="0" fontId="30" fillId="0" borderId="0" xfId="0" applyFont="1" applyAlignment="1" applyProtection="1">
      <alignment vertical="center"/>
    </xf>
    <xf numFmtId="166" fontId="18" fillId="0" borderId="12" xfId="0" applyNumberFormat="1" applyFont="1" applyBorder="1" applyAlignment="1" applyProtection="1">
      <alignment horizontal="center" vertical="center"/>
      <protection locked="0"/>
    </xf>
    <xf numFmtId="0" fontId="0" fillId="0" borderId="11" xfId="0" applyBorder="1" applyAlignment="1">
      <alignment horizontal="center" vertical="center"/>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pplyProtection="1">
      <alignment vertical="center"/>
    </xf>
    <xf numFmtId="0" fontId="0" fillId="0" borderId="19" xfId="0" applyBorder="1" applyAlignment="1" applyProtection="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pplyProtection="1">
      <alignment horizontal="center" vertical="center"/>
    </xf>
    <xf numFmtId="169" fontId="0" fillId="0" borderId="0" xfId="0" applyNumberFormat="1" applyFill="1" applyBorder="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Font="1" applyBorder="1" applyAlignment="1">
      <alignment vertical="center"/>
    </xf>
    <xf numFmtId="39" fontId="0" fillId="0" borderId="2" xfId="0" applyNumberFormat="1" applyFont="1" applyBorder="1" applyAlignment="1">
      <alignment vertical="center"/>
    </xf>
    <xf numFmtId="37" fontId="0" fillId="0" borderId="16" xfId="0" applyNumberFormat="1" applyFon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5" xfId="0" applyNumberFormat="1" applyFill="1" applyBorder="1"/>
    <xf numFmtId="169" fontId="0" fillId="0" borderId="6" xfId="0" applyNumberFormat="1" applyFill="1" applyBorder="1"/>
    <xf numFmtId="169" fontId="0" fillId="0" borderId="7" xfId="0" applyNumberFormat="1" applyFill="1" applyBorder="1"/>
    <xf numFmtId="169" fontId="0" fillId="0" borderId="9" xfId="0" applyNumberFormat="1" applyFill="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2" fillId="0" borderId="0" xfId="0" applyFont="1" applyAlignment="1">
      <alignment vertical="center"/>
    </xf>
    <xf numFmtId="0" fontId="16" fillId="0" borderId="0" xfId="0" applyFont="1" applyBorder="1" applyAlignment="1">
      <alignment horizontal="center" vertical="center"/>
    </xf>
    <xf numFmtId="0" fontId="0" fillId="0" borderId="0" xfId="0" applyBorder="1" applyAlignment="1">
      <alignment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Border="1" applyAlignment="1" applyProtection="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pplyProtection="1">
      <alignment vertical="center"/>
    </xf>
    <xf numFmtId="0" fontId="0" fillId="0" borderId="0" xfId="0" applyAlignment="1" applyProtection="1">
      <alignment horizontal="center"/>
      <protection locked="0"/>
    </xf>
    <xf numFmtId="0" fontId="0" fillId="0" borderId="0" xfId="0" applyAlignment="1">
      <alignment horizontal="left" vertical="center" wrapText="1"/>
    </xf>
    <xf numFmtId="0" fontId="30" fillId="0" borderId="0" xfId="0" applyFont="1" applyAlignment="1">
      <alignment horizontal="left" vertical="center" wrapText="1"/>
    </xf>
    <xf numFmtId="169" fontId="0" fillId="0" borderId="8" xfId="0" applyNumberFormat="1" applyFill="1" applyBorder="1"/>
    <xf numFmtId="37" fontId="0" fillId="0" borderId="22" xfId="0" applyNumberFormat="1" applyFont="1" applyBorder="1" applyAlignment="1">
      <alignment vertical="center"/>
    </xf>
    <xf numFmtId="37" fontId="0" fillId="0" borderId="19" xfId="0" applyNumberFormat="1" applyFon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0" fontId="0" fillId="0" borderId="19" xfId="0"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Border="1" applyAlignment="1" applyProtection="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pplyProtection="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37" fontId="12" fillId="2" borderId="10" xfId="0" applyNumberFormat="1" applyFont="1" applyFill="1" applyBorder="1" applyAlignment="1" applyProtection="1">
      <alignment vertical="center"/>
    </xf>
    <xf numFmtId="0" fontId="0" fillId="0" borderId="5" xfId="0" quotePrefix="1" applyFont="1" applyFill="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Border="1" applyAlignment="1">
      <alignment horizontal="left" vertical="center"/>
    </xf>
    <xf numFmtId="166" fontId="10" fillId="0" borderId="0" xfId="0" applyNumberFormat="1" applyFont="1" applyBorder="1" applyAlignment="1">
      <alignment horizontal="left" vertical="center"/>
    </xf>
    <xf numFmtId="166" fontId="10" fillId="0" borderId="0" xfId="0" applyNumberFormat="1" applyFont="1" applyBorder="1" applyAlignment="1" applyProtection="1">
      <alignment horizontal="left" vertical="center"/>
    </xf>
    <xf numFmtId="14" fontId="16" fillId="0" borderId="0" xfId="0" applyNumberFormat="1" applyFont="1" applyBorder="1" applyAlignment="1">
      <alignment horizontal="left" vertical="center"/>
    </xf>
    <xf numFmtId="10" fontId="10" fillId="0" borderId="0" xfId="0" applyNumberFormat="1" applyFont="1" applyBorder="1" applyAlignment="1">
      <alignment horizontal="left"/>
    </xf>
    <xf numFmtId="49" fontId="10" fillId="0" borderId="0" xfId="0" applyNumberFormat="1" applyFont="1" applyBorder="1" applyAlignment="1">
      <alignment horizontal="left"/>
    </xf>
    <xf numFmtId="14" fontId="16" fillId="0" borderId="0" xfId="0" applyNumberFormat="1" applyFont="1" applyFill="1" applyBorder="1" applyAlignment="1">
      <alignment horizontal="left" vertical="center"/>
    </xf>
    <xf numFmtId="10" fontId="10" fillId="0" borderId="0" xfId="0" applyNumberFormat="1" applyFont="1" applyBorder="1" applyAlignment="1" applyProtection="1">
      <alignment horizontal="left" vertical="center"/>
    </xf>
    <xf numFmtId="14" fontId="16" fillId="0" borderId="0" xfId="0" applyNumberFormat="1" applyFont="1" applyBorder="1" applyAlignment="1" applyProtection="1">
      <alignment horizontal="left" vertical="center"/>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pplyProtection="1">
      <alignment horizontal="center" vertical="center"/>
    </xf>
    <xf numFmtId="0" fontId="0" fillId="0" borderId="11" xfId="0"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Font="1" applyBorder="1" applyAlignment="1">
      <alignment horizontal="center" vertical="center"/>
    </xf>
    <xf numFmtId="37" fontId="12" fillId="0" borderId="12" xfId="0" applyNumberFormat="1" applyFont="1" applyBorder="1" applyAlignment="1">
      <alignment horizontal="left" vertical="center" wrapText="1"/>
    </xf>
    <xf numFmtId="0" fontId="0" fillId="0" borderId="45" xfId="0" applyFont="1"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49" fontId="0" fillId="0" borderId="39" xfId="0" applyNumberFormat="1" applyBorder="1" applyAlignment="1">
      <alignment horizontal="center" vertical="center"/>
    </xf>
    <xf numFmtId="49" fontId="0" fillId="0" borderId="46" xfId="0" applyNumberFormat="1" applyBorder="1" applyAlignment="1">
      <alignment horizontal="center" vertical="center"/>
    </xf>
    <xf numFmtId="0" fontId="0" fillId="0" borderId="12" xfId="0" applyBorder="1" applyAlignment="1">
      <alignment vertical="center" wrapText="1"/>
    </xf>
    <xf numFmtId="37" fontId="0" fillId="2" borderId="12" xfId="0" applyNumberFormat="1" applyFill="1" applyBorder="1" applyAlignment="1">
      <alignment vertical="center"/>
    </xf>
    <xf numFmtId="49" fontId="0" fillId="0" borderId="45" xfId="0" applyNumberFormat="1" applyBorder="1" applyAlignment="1">
      <alignment horizontal="center"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Fill="1" applyBorder="1" applyAlignment="1">
      <alignment horizontal="left" vertical="center"/>
    </xf>
    <xf numFmtId="0" fontId="15" fillId="0" borderId="0" xfId="0" applyFont="1" applyBorder="1"/>
    <xf numFmtId="0" fontId="15" fillId="0" borderId="0" xfId="0" applyFont="1"/>
    <xf numFmtId="39" fontId="0" fillId="0" borderId="0" xfId="0" applyNumberFormat="1" applyBorder="1" applyAlignment="1">
      <alignment vertical="center"/>
    </xf>
    <xf numFmtId="7" fontId="0" fillId="0" borderId="6" xfId="0" applyNumberFormat="1" applyBorder="1" applyAlignment="1">
      <alignment vertical="center"/>
    </xf>
    <xf numFmtId="7" fontId="0" fillId="0" borderId="0" xfId="0" applyNumberFormat="1" applyBorder="1" applyAlignment="1">
      <alignment vertical="center"/>
    </xf>
    <xf numFmtId="0" fontId="0" fillId="0" borderId="3" xfId="0" applyFont="1"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Font="1"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52" xfId="0" applyFont="1" applyBorder="1" applyAlignment="1">
      <alignment horizontal="center" vertical="center" wrapText="1"/>
    </xf>
    <xf numFmtId="49" fontId="12" fillId="0" borderId="65" xfId="0" applyNumberFormat="1" applyFont="1" applyBorder="1" applyAlignment="1" applyProtection="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Font="1" applyBorder="1" applyAlignment="1">
      <alignment horizontal="center" vertical="center"/>
    </xf>
    <xf numFmtId="10" fontId="19" fillId="0" borderId="0" xfId="3" applyNumberFormat="1" applyFont="1" applyBorder="1" applyAlignment="1" applyProtection="1">
      <alignment vertical="center"/>
    </xf>
    <xf numFmtId="0" fontId="49"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Border="1"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pplyProtection="1">
      <alignment vertical="center"/>
    </xf>
    <xf numFmtId="49" fontId="16" fillId="0" borderId="71" xfId="0" applyNumberFormat="1" applyFont="1" applyBorder="1" applyAlignment="1" applyProtection="1">
      <alignment horizontal="center" vertical="center"/>
      <protection locked="0"/>
    </xf>
    <xf numFmtId="0" fontId="17" fillId="0" borderId="16" xfId="0" applyFont="1" applyBorder="1" applyAlignment="1" applyProtection="1">
      <alignment vertical="center"/>
    </xf>
    <xf numFmtId="0" fontId="50" fillId="2" borderId="16" xfId="0" applyFont="1" applyFill="1" applyBorder="1" applyAlignment="1" applyProtection="1">
      <alignment vertical="center"/>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9" fontId="0" fillId="0" borderId="0" xfId="0" applyNumberFormat="1" applyBorder="1"/>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168" fontId="20" fillId="0" borderId="0" xfId="0" applyNumberFormat="1" applyFont="1" applyFill="1" applyBorder="1" applyAlignment="1">
      <alignment vertical="center"/>
    </xf>
    <xf numFmtId="0" fontId="12" fillId="0" borderId="0" xfId="0" applyFont="1" applyFill="1" applyBorder="1" applyAlignment="1">
      <alignment vertical="center"/>
    </xf>
    <xf numFmtId="10" fontId="12" fillId="0" borderId="0" xfId="0" applyNumberFormat="1" applyFont="1" applyFill="1" applyBorder="1" applyAlignment="1">
      <alignment vertical="center"/>
    </xf>
    <xf numFmtId="0" fontId="0" fillId="0" borderId="0" xfId="0" applyFill="1"/>
    <xf numFmtId="168" fontId="18" fillId="0" borderId="0" xfId="0" applyNumberFormat="1" applyFont="1" applyFill="1" applyBorder="1" applyAlignment="1">
      <alignment vertical="center"/>
    </xf>
    <xf numFmtId="10" fontId="10" fillId="0" borderId="0" xfId="0" applyNumberFormat="1" applyFont="1" applyFill="1" applyBorder="1" applyAlignment="1">
      <alignment horizontal="left"/>
    </xf>
    <xf numFmtId="168" fontId="18" fillId="0" borderId="0" xfId="0" applyNumberFormat="1" applyFont="1" applyFill="1" applyBorder="1"/>
    <xf numFmtId="166" fontId="10" fillId="0" borderId="0" xfId="0" applyNumberFormat="1" applyFont="1" applyFill="1" applyBorder="1" applyAlignment="1">
      <alignment horizontal="left" vertical="center"/>
    </xf>
    <xf numFmtId="10" fontId="10" fillId="0" borderId="0" xfId="0" applyNumberFormat="1" applyFont="1" applyFill="1" applyBorder="1" applyAlignment="1">
      <alignment horizontal="left" vertical="center"/>
    </xf>
    <xf numFmtId="0" fontId="8" fillId="0" borderId="0" xfId="0" applyFont="1" applyFill="1" applyBorder="1" applyAlignment="1">
      <alignment horizontal="center" vertical="center" wrapText="1"/>
    </xf>
    <xf numFmtId="37" fontId="10" fillId="0" borderId="0" xfId="4" applyNumberFormat="1" applyFont="1" applyFill="1" applyBorder="1" applyAlignment="1">
      <alignment horizontal="center"/>
    </xf>
    <xf numFmtId="168" fontId="12" fillId="0" borderId="0" xfId="2" applyNumberFormat="1" applyFont="1" applyFill="1" applyBorder="1" applyAlignment="1">
      <alignment horizontal="center"/>
    </xf>
    <xf numFmtId="0" fontId="0" fillId="0" borderId="0" xfId="0" applyFont="1" applyFill="1" applyBorder="1"/>
    <xf numFmtId="0" fontId="0" fillId="0" borderId="0" xfId="0" applyFill="1" applyBorder="1" applyAlignment="1">
      <alignment vertical="center"/>
    </xf>
    <xf numFmtId="0" fontId="0" fillId="0" borderId="0" xfId="0" applyFill="1" applyBorder="1" applyAlignment="1">
      <alignment horizontal="left" indent="1"/>
    </xf>
    <xf numFmtId="0" fontId="0" fillId="0" borderId="85" xfId="0" applyFill="1" applyBorder="1" applyAlignment="1">
      <alignment horizontal="left" vertical="center" wrapText="1"/>
    </xf>
    <xf numFmtId="0" fontId="0" fillId="0" borderId="38" xfId="0" applyNumberFormat="1" applyBorder="1" applyAlignment="1">
      <alignment horizontal="centerContinuous" vertical="center"/>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pplyProtection="1">
      <alignment vertical="center"/>
    </xf>
    <xf numFmtId="37" fontId="10" fillId="2" borderId="59" xfId="0" applyNumberFormat="1" applyFont="1" applyFill="1" applyBorder="1" applyAlignment="1" applyProtection="1">
      <alignment vertical="center"/>
    </xf>
    <xf numFmtId="37" fontId="10" fillId="2" borderId="63" xfId="0" applyNumberFormat="1" applyFont="1" applyFill="1" applyBorder="1" applyAlignment="1" applyProtection="1">
      <alignment vertical="center"/>
    </xf>
    <xf numFmtId="37" fontId="10" fillId="2" borderId="57" xfId="0" applyNumberFormat="1" applyFont="1" applyFill="1" applyBorder="1" applyAlignment="1" applyProtection="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Fill="1" applyBorder="1" applyAlignment="1">
      <alignment vertical="center" wrapText="1"/>
    </xf>
    <xf numFmtId="10" fontId="0" fillId="2" borderId="0" xfId="3" applyNumberFormat="1" applyFont="1" applyFill="1" applyAlignment="1" applyProtection="1">
      <alignment horizontal="left"/>
      <protection locked="0"/>
    </xf>
    <xf numFmtId="0" fontId="0" fillId="0" borderId="74" xfId="0" applyFill="1" applyBorder="1" applyAlignment="1">
      <alignment horizontal="left" vertical="center" wrapText="1"/>
    </xf>
    <xf numFmtId="0" fontId="8" fillId="0" borderId="87" xfId="0" applyFont="1" applyFill="1" applyBorder="1" applyAlignment="1">
      <alignment horizontal="center" vertical="center" wrapText="1"/>
    </xf>
    <xf numFmtId="166" fontId="12" fillId="0" borderId="45" xfId="0" applyNumberFormat="1" applyFont="1" applyFill="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Fill="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Fill="1" applyBorder="1" applyAlignment="1">
      <alignment horizontal="left" vertical="center" wrapText="1"/>
    </xf>
    <xf numFmtId="37" fontId="12" fillId="0" borderId="39" xfId="0" applyNumberFormat="1" applyFont="1" applyFill="1" applyBorder="1" applyAlignment="1">
      <alignment horizontal="left" vertical="center" wrapText="1"/>
    </xf>
    <xf numFmtId="37" fontId="12" fillId="0" borderId="69" xfId="0" applyNumberFormat="1" applyFont="1" applyFill="1" applyBorder="1" applyAlignment="1">
      <alignment horizontal="left" vertical="center" wrapText="1"/>
    </xf>
    <xf numFmtId="37" fontId="12" fillId="0" borderId="40" xfId="0" applyNumberFormat="1" applyFont="1" applyFill="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Fill="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Fill="1" applyBorder="1" applyAlignment="1" applyProtection="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1" fontId="0" fillId="0" borderId="0" xfId="0" applyNumberFormat="1" applyAlignment="1" applyProtection="1">
      <alignment vertical="center"/>
    </xf>
    <xf numFmtId="0" fontId="11" fillId="2" borderId="0" xfId="0" applyFont="1" applyFill="1" applyBorder="1" applyAlignment="1" applyProtection="1">
      <alignment horizontal="right" vertical="center"/>
    </xf>
    <xf numFmtId="0" fontId="82" fillId="2" borderId="0" xfId="0" applyFont="1" applyFill="1" applyBorder="1" applyAlignment="1" applyProtection="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Border="1" applyAlignment="1" applyProtection="1">
      <alignment horizontal="right" vertical="center"/>
    </xf>
    <xf numFmtId="1" fontId="83" fillId="2" borderId="0" xfId="0"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37" fontId="12" fillId="2" borderId="36" xfId="0"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42" xfId="0"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pplyProtection="1">
      <alignment horizontal="center" vertical="center" wrapText="1"/>
    </xf>
    <xf numFmtId="37" fontId="12" fillId="2" borderId="1" xfId="0" applyNumberFormat="1" applyFont="1" applyFill="1" applyBorder="1" applyAlignment="1" applyProtection="1">
      <alignment vertical="center"/>
    </xf>
    <xf numFmtId="37" fontId="12" fillId="2" borderId="96" xfId="0" applyNumberFormat="1" applyFont="1" applyFill="1" applyBorder="1" applyAlignment="1" applyProtection="1">
      <alignment vertical="center"/>
    </xf>
    <xf numFmtId="0" fontId="15" fillId="0" borderId="19" xfId="0" applyFont="1" applyBorder="1" applyAlignment="1">
      <alignment vertical="center"/>
    </xf>
    <xf numFmtId="0" fontId="15" fillId="0" borderId="0" xfId="0" applyFont="1" applyBorder="1" applyAlignment="1">
      <alignment vertical="center"/>
    </xf>
    <xf numFmtId="0" fontId="0" fillId="0" borderId="0" xfId="0" applyBorder="1"/>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applyProtection="1"/>
    <xf numFmtId="0" fontId="0" fillId="0" borderId="0" xfId="0" applyNumberFormat="1" applyProtection="1"/>
    <xf numFmtId="0"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Border="1" applyAlignment="1" applyProtection="1">
      <alignment horizontal="center" vertical="center" wrapText="1"/>
      <protection locked="0"/>
    </xf>
    <xf numFmtId="0" fontId="0" fillId="0" borderId="0" xfId="0" applyAlignment="1">
      <alignment horizontal="left" vertical="center" wrapText="1"/>
    </xf>
    <xf numFmtId="0" fontId="0" fillId="0" borderId="0" xfId="0" applyAlignment="1">
      <alignment horizontal="left" vertical="center" wrapText="1" indent="1"/>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Fill="1" applyBorder="1" applyAlignment="1" applyProtection="1">
      <alignment horizontal="center" vertical="center"/>
      <protection locked="0"/>
    </xf>
    <xf numFmtId="176" fontId="10" fillId="0" borderId="89" xfId="0" applyNumberFormat="1" applyFont="1" applyFill="1" applyBorder="1" applyAlignment="1">
      <alignment horizontal="center"/>
    </xf>
    <xf numFmtId="176" fontId="10" fillId="0" borderId="89" xfId="82" applyNumberFormat="1" applyFont="1" applyFill="1" applyBorder="1" applyAlignment="1">
      <alignment horizontal="center"/>
    </xf>
    <xf numFmtId="176" fontId="10" fillId="0" borderId="90" xfId="0" applyNumberFormat="1" applyFont="1" applyFill="1" applyBorder="1" applyAlignment="1">
      <alignment horizontal="center"/>
    </xf>
    <xf numFmtId="176" fontId="10" fillId="0" borderId="90" xfId="82" applyNumberFormat="1" applyFont="1" applyFill="1" applyBorder="1" applyAlignment="1">
      <alignment horizontal="center"/>
    </xf>
    <xf numFmtId="176" fontId="10" fillId="0" borderId="91" xfId="0" applyNumberFormat="1" applyFont="1" applyFill="1" applyBorder="1" applyAlignment="1">
      <alignment horizontal="center"/>
    </xf>
    <xf numFmtId="176" fontId="10" fillId="0" borderId="91" xfId="82" applyNumberFormat="1" applyFont="1" applyFill="1" applyBorder="1" applyAlignment="1">
      <alignment horizontal="center"/>
    </xf>
    <xf numFmtId="176" fontId="10" fillId="0" borderId="16" xfId="0" applyNumberFormat="1" applyFont="1" applyFill="1" applyBorder="1" applyAlignment="1">
      <alignment horizontal="center"/>
    </xf>
    <xf numFmtId="176" fontId="10" fillId="0" borderId="16" xfId="82" applyNumberFormat="1" applyFont="1" applyFill="1" applyBorder="1" applyAlignment="1">
      <alignment horizontal="center"/>
    </xf>
    <xf numFmtId="2" fontId="10" fillId="0" borderId="11" xfId="52" applyNumberFormat="1" applyFont="1" applyFill="1" applyBorder="1" applyAlignment="1">
      <alignment horizontal="center"/>
    </xf>
    <xf numFmtId="0" fontId="18" fillId="0" borderId="0" xfId="0" applyNumberFormat="1" applyFont="1" applyBorder="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0" fontId="0" fillId="0" borderId="0" xfId="0" applyBorder="1"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7"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1" val="0"/>
</file>

<file path=xl/ctrlProps/ctrlProp11.xml><?xml version="1.0" encoding="utf-8"?>
<formControlPr xmlns="http://schemas.microsoft.com/office/spreadsheetml/2009/9/main" objectType="Drop" dropLines="29" dropStyle="combo" dx="16" fmlaLink="'1.General'!$A$36" fmlaRange="List_DetailLine" sel="1"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2"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1543050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466725</xdr:colOff>
          <xdr:row>27</xdr:row>
          <xdr:rowOff>104775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238125</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238125</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238125</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238125</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238125</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238125</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1152525</xdr:colOff>
          <xdr:row>46</xdr:row>
          <xdr:rowOff>219075</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1152525</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542925</xdr:colOff>
          <xdr:row>47</xdr:row>
          <xdr:rowOff>19050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1581150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Latest"/>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
      <sheetName val="valu_bond"/>
      <sheetName val="gms_tdameritrade"/>
      <sheetName val="gms_vs_tdameritrad"/>
      <sheetName val="ibbotson_morning star"/>
      <sheetName val="fed_reserve"/>
      <sheetName val="Analyst Use Only"/>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federal reserve_1"/>
      <sheetName val="federal reserve (2)"/>
      <sheetName val="federal reserve"/>
      <sheetName val="corporate_municipal"/>
      <sheetName val="new_tax"/>
      <sheetName val="Mar2020"/>
      <sheetName val="Feb2020"/>
      <sheetName val="Jan2020"/>
      <sheetName val="Jan2021"/>
      <sheetName val="Dec2020"/>
      <sheetName val="Nov2020"/>
      <sheetName val="Oct2020"/>
      <sheetName val="Sep2020"/>
      <sheetName val="Aug2020"/>
      <sheetName val="Jul2020"/>
      <sheetName val="Jun2020"/>
      <sheetName val="May2020"/>
      <sheetName val="Apr2020"/>
      <sheetName val="July2020"/>
      <sheetName val="Apr2021"/>
      <sheetName val="Mar2021"/>
      <sheetName val="Feb2021"/>
      <sheetName val="ibbotson_morningstar_duffphelps"/>
      <sheetName val="Mar2022"/>
      <sheetName val="Feb2022"/>
      <sheetName val="Jan2022"/>
      <sheetName val="Dec2021"/>
      <sheetName val="Nov2021"/>
      <sheetName val="Oct2021"/>
      <sheetName val="Sep2021"/>
      <sheetName val="Aug2021"/>
      <sheetName val="Jul2021"/>
      <sheetName val="Jun2021"/>
      <sheetName val="May2021"/>
      <sheetName val="Apr 2021"/>
      <sheetName val="Apr2022"/>
      <sheetName val="Dec2022"/>
      <sheetName val="Nov2022"/>
      <sheetName val="Oct2022"/>
      <sheetName val="Sep2022"/>
      <sheetName val="Aug2022"/>
      <sheetName val="Jul2022"/>
      <sheetName val="Jun2022"/>
      <sheetName val="May2022"/>
    </sheetNames>
    <sheetDataSet>
      <sheetData sheetId="0" refreshError="1"/>
      <sheetData sheetId="1">
        <row r="1">
          <cell r="A1" t="str">
            <v>March 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refreshError="1"/>
      <sheetData sheetId="134"/>
      <sheetData sheetId="135"/>
      <sheetData sheetId="136" refreshError="1"/>
      <sheetData sheetId="137"/>
      <sheetData sheetId="138"/>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refreshError="1"/>
      <sheetData sheetId="212"/>
      <sheetData sheetId="213"/>
      <sheetData sheetId="214"/>
      <sheetData sheetId="215"/>
      <sheetData sheetId="216">
        <row r="6">
          <cell r="E6">
            <v>1.4111111111111111E-2</v>
          </cell>
        </row>
      </sheetData>
      <sheetData sheetId="217"/>
      <sheetData sheetId="218"/>
      <sheetData sheetId="219">
        <row r="6">
          <cell r="E6">
            <v>1.0677777777777777E-2</v>
          </cell>
        </row>
      </sheetData>
      <sheetData sheetId="220"/>
      <sheetData sheetId="221"/>
      <sheetData sheetId="222"/>
      <sheetData sheetId="223"/>
      <sheetData sheetId="224"/>
      <sheetData sheetId="225"/>
      <sheetData sheetId="226"/>
      <sheetData sheetId="227" refreshError="1"/>
      <sheetData sheetId="228"/>
      <sheetData sheetId="229">
        <row r="6">
          <cell r="E6">
            <v>3.9399999999999998E-2</v>
          </cell>
        </row>
      </sheetData>
      <sheetData sheetId="230"/>
      <sheetData sheetId="231"/>
      <sheetData sheetId="232"/>
      <sheetData sheetId="233"/>
      <sheetData sheetId="234"/>
      <sheetData sheetId="235">
        <row r="6">
          <cell r="E6">
            <v>2.2799999999999997E-2</v>
          </cell>
        </row>
      </sheetData>
      <sheetData sheetId="236">
        <row r="6">
          <cell r="E6">
            <v>1.9544444444444444E-2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232" t="s">
        <v>129</v>
      </c>
      <c r="B1" s="84"/>
      <c r="C1" s="84"/>
      <c r="D1" s="84"/>
      <c r="E1" s="84"/>
    </row>
    <row r="2" spans="1:5" x14ac:dyDescent="0.25">
      <c r="A2" s="84"/>
      <c r="B2" s="84"/>
      <c r="C2" s="84"/>
      <c r="D2" s="84"/>
      <c r="E2" s="84"/>
    </row>
    <row r="3" spans="1:5" x14ac:dyDescent="0.25">
      <c r="A3" s="84" t="s">
        <v>283</v>
      </c>
      <c r="B3" s="84"/>
      <c r="C3" s="84"/>
      <c r="D3" s="84"/>
      <c r="E3" s="84"/>
    </row>
    <row r="4" spans="1:5" x14ac:dyDescent="0.25">
      <c r="A4" s="233"/>
      <c r="B4" s="84"/>
      <c r="C4" s="84"/>
      <c r="D4" s="84"/>
      <c r="E4" s="84"/>
    </row>
    <row r="5" spans="1:5" x14ac:dyDescent="0.25">
      <c r="A5" s="233" t="s">
        <v>340</v>
      </c>
      <c r="B5" s="84" t="s">
        <v>756</v>
      </c>
      <c r="C5" s="84"/>
      <c r="D5" s="84"/>
      <c r="E5" s="84"/>
    </row>
    <row r="6" spans="1:5" x14ac:dyDescent="0.25">
      <c r="A6" s="233"/>
      <c r="B6" s="84"/>
      <c r="C6" s="84"/>
      <c r="D6" s="84"/>
      <c r="E6" s="84"/>
    </row>
    <row r="7" spans="1:5" x14ac:dyDescent="0.25">
      <c r="A7" s="84" t="s">
        <v>284</v>
      </c>
      <c r="B7" s="84"/>
      <c r="C7" s="84"/>
      <c r="D7" s="84"/>
      <c r="E7" s="84"/>
    </row>
    <row r="8" spans="1:5" x14ac:dyDescent="0.25">
      <c r="A8" s="233"/>
      <c r="B8" s="84"/>
      <c r="C8" s="84"/>
      <c r="D8" s="84"/>
      <c r="E8" s="84"/>
    </row>
    <row r="9" spans="1:5" x14ac:dyDescent="0.25">
      <c r="A9" s="233"/>
      <c r="B9" s="84"/>
      <c r="C9" s="84"/>
      <c r="D9" s="84"/>
      <c r="E9" s="84"/>
    </row>
    <row r="10" spans="1:5" x14ac:dyDescent="0.25">
      <c r="A10" s="84" t="s">
        <v>35</v>
      </c>
      <c r="B10" s="234" t="s">
        <v>750</v>
      </c>
      <c r="C10" s="84"/>
      <c r="D10" s="84"/>
      <c r="E10" s="84"/>
    </row>
    <row r="11" spans="1:5" x14ac:dyDescent="0.25">
      <c r="A11" s="84" t="s">
        <v>279</v>
      </c>
      <c r="B11" s="235"/>
      <c r="C11" s="84"/>
      <c r="D11" s="84"/>
      <c r="E11" s="84"/>
    </row>
    <row r="12" spans="1:5" x14ac:dyDescent="0.25">
      <c r="A12" s="84"/>
      <c r="B12" s="235"/>
      <c r="C12" s="84"/>
      <c r="D12" s="84"/>
      <c r="E12" s="84"/>
    </row>
    <row r="13" spans="1:5" x14ac:dyDescent="0.25">
      <c r="A13" s="84" t="s">
        <v>161</v>
      </c>
      <c r="B13" s="235"/>
      <c r="C13" s="84"/>
      <c r="D13" s="84"/>
      <c r="E13" s="84"/>
    </row>
    <row r="14" spans="1:5" x14ac:dyDescent="0.25">
      <c r="A14" s="84"/>
      <c r="B14" s="235"/>
      <c r="C14" s="84"/>
      <c r="D14" s="84"/>
      <c r="E14" s="84"/>
    </row>
    <row r="15" spans="1:5" x14ac:dyDescent="0.25">
      <c r="A15" s="84" t="s">
        <v>286</v>
      </c>
      <c r="B15" s="235"/>
      <c r="C15" s="84"/>
      <c r="D15" s="84"/>
      <c r="E15" s="84"/>
    </row>
    <row r="16" spans="1:5" x14ac:dyDescent="0.25">
      <c r="A16" s="84" t="s">
        <v>287</v>
      </c>
      <c r="B16" s="235"/>
      <c r="C16" s="84"/>
      <c r="D16" s="84"/>
      <c r="E16" s="84"/>
    </row>
    <row r="17" spans="1:5" x14ac:dyDescent="0.25">
      <c r="A17" s="84"/>
      <c r="B17" s="235"/>
      <c r="C17" s="84"/>
      <c r="D17" s="84"/>
      <c r="E17" s="84"/>
    </row>
    <row r="18" spans="1:5" x14ac:dyDescent="0.25">
      <c r="A18" s="84"/>
      <c r="B18" s="235"/>
      <c r="C18" s="84"/>
      <c r="D18" s="84"/>
      <c r="E18" s="84"/>
    </row>
    <row r="19" spans="1:5" x14ac:dyDescent="0.25">
      <c r="A19" s="396" t="s">
        <v>288</v>
      </c>
      <c r="B19" s="397"/>
      <c r="C19" s="398"/>
      <c r="D19" s="398"/>
      <c r="E19" s="398"/>
    </row>
    <row r="20" spans="1:5" x14ac:dyDescent="0.25">
      <c r="A20" s="84" t="s">
        <v>30</v>
      </c>
      <c r="B20" s="203" t="str">
        <f>B10&amp;" Edition"</f>
        <v>1/3/2023 Edition</v>
      </c>
      <c r="C20" s="84"/>
      <c r="D20" s="84" t="s">
        <v>141</v>
      </c>
      <c r="E20" s="204" t="str">
        <f>IF(ISBLANK('1.General'!$C$10),"",'1.General'!$C$10)</f>
        <v/>
      </c>
    </row>
    <row r="21" spans="1:5" x14ac:dyDescent="0.25">
      <c r="A21" s="84" t="s">
        <v>28</v>
      </c>
      <c r="B21" s="204" t="str">
        <f>IF(ISBLANK('1.General'!$C$13),"",'1.General'!$C$13)</f>
        <v>State Farm General Insurance Company</v>
      </c>
      <c r="C21" s="84"/>
      <c r="D21" s="84" t="s">
        <v>186</v>
      </c>
      <c r="E21" s="206" t="str">
        <f>IF(ISBLANK('1.General'!$C$8),"",'1.General'!$C$8)</f>
        <v>Nicole Pettis</v>
      </c>
    </row>
    <row r="22" spans="1:5" x14ac:dyDescent="0.25">
      <c r="A22" s="84" t="s">
        <v>29</v>
      </c>
      <c r="B22" s="204" t="str">
        <f>INDEX(List_GeneralLine,References!$F$5,1)</f>
        <v>Homeowners Multiple Peril</v>
      </c>
      <c r="C22" s="84"/>
      <c r="D22" s="84" t="s">
        <v>187</v>
      </c>
      <c r="E22" s="205">
        <f>IF(ISBLANK('1.General'!$F$8),"",'1.General'!$F$8)</f>
        <v>44981</v>
      </c>
    </row>
    <row r="23" spans="1:5" x14ac:dyDescent="0.25">
      <c r="A23" s="84" t="s">
        <v>165</v>
      </c>
      <c r="B23" s="405">
        <f>IFERROR('3.2YieldFIT'!$D$42,"")</f>
        <v>4.3359497935155651E-2</v>
      </c>
      <c r="C23" s="84"/>
      <c r="D23" s="84" t="s">
        <v>168</v>
      </c>
      <c r="E23" s="205">
        <f>IF(ISBLANK('1.General'!$D$23),"",'1.General'!$D$23)</f>
        <v>45323</v>
      </c>
    </row>
    <row r="24" spans="1:5" x14ac:dyDescent="0.25">
      <c r="A24" s="84" t="s">
        <v>166</v>
      </c>
      <c r="B24" s="405">
        <f>IFERROR('3.2YieldFIT'!$F$34,"")</f>
        <v>0.15389771415501849</v>
      </c>
      <c r="C24" s="84"/>
      <c r="D24" s="84" t="s">
        <v>379</v>
      </c>
      <c r="E24" s="206" t="b">
        <v>0</v>
      </c>
    </row>
    <row r="25" spans="1:5" x14ac:dyDescent="0.25">
      <c r="A25" s="84" t="s">
        <v>281</v>
      </c>
      <c r="B25" s="206" t="b">
        <v>0</v>
      </c>
      <c r="C25" s="84"/>
      <c r="D25" s="84" t="s">
        <v>613</v>
      </c>
      <c r="E25" s="206"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84" t="s">
        <v>743</v>
      </c>
      <c r="B26" s="206" t="b">
        <v>0</v>
      </c>
      <c r="C26" s="84"/>
      <c r="D26" s="84" t="s">
        <v>741</v>
      </c>
      <c r="E26" s="206">
        <f>IF(ISBLANK('1.General'!$F$10),"",'1.General'!$F$10)</f>
        <v>44985</v>
      </c>
    </row>
    <row r="27" spans="1:5" x14ac:dyDescent="0.25">
      <c r="A27" s="84" t="s">
        <v>185</v>
      </c>
      <c r="B27" s="405">
        <f>IFERROR('4.2Excluded Exp'!$E$20,0)</f>
        <v>1.3597266477453115E-2</v>
      </c>
      <c r="C27" s="84"/>
      <c r="D27" s="84"/>
      <c r="E27" s="206"/>
    </row>
    <row r="28" spans="1:5" x14ac:dyDescent="0.25">
      <c r="A28" s="530"/>
      <c r="B28" s="531"/>
      <c r="C28" s="84"/>
      <c r="D28" s="84"/>
      <c r="E28" s="84"/>
    </row>
    <row r="29" spans="1:5" x14ac:dyDescent="0.25">
      <c r="A29" s="84"/>
      <c r="B29" s="204"/>
      <c r="C29" s="84"/>
      <c r="D29" s="410" t="s">
        <v>588</v>
      </c>
      <c r="E29" s="84"/>
    </row>
    <row r="30" spans="1:5" x14ac:dyDescent="0.25">
      <c r="A30" s="410" t="s">
        <v>589</v>
      </c>
      <c r="B30" s="204"/>
      <c r="C30" s="84"/>
      <c r="D30" s="84" t="s">
        <v>347</v>
      </c>
      <c r="E30" s="204">
        <f ca="1">IF(OR(Covg01="",ISERR(Detailed_LineDesc01)),"",VLOOKUP($B31,List_DetailLine,2,FALSE))</f>
        <v>4</v>
      </c>
    </row>
    <row r="31" spans="1:5" x14ac:dyDescent="0.25">
      <c r="A31" s="84" t="s">
        <v>346</v>
      </c>
      <c r="B31" s="204" t="str">
        <f>IF(Covg01="","",INDEX(List_DetailLine,'1.General'!$A34,1))</f>
        <v>Homeowners Multiple Peril</v>
      </c>
      <c r="C31" s="84"/>
      <c r="D31" s="84" t="s">
        <v>349</v>
      </c>
      <c r="E31" s="204" t="str">
        <f>IF(OR(Covg02="",ISERR(Detailed_LineDesc02)),"",VLOOKUP($B32,List_DetailLine,2,FALSE))</f>
        <v/>
      </c>
    </row>
    <row r="32" spans="1:5" x14ac:dyDescent="0.25">
      <c r="A32" s="84" t="s">
        <v>348</v>
      </c>
      <c r="B32" s="204" t="str">
        <f>IF(Covg02="","",INDEX(List_DetailLine,'1.General'!$A35,1))</f>
        <v/>
      </c>
      <c r="C32" s="84"/>
      <c r="D32" s="84" t="s">
        <v>350</v>
      </c>
      <c r="E32" s="204" t="str">
        <f>IF(OR(Covg03="",ISERR(Detailed_LineDesc03)),"",VLOOKUP($B33,List_DetailLine,2,FALSE))</f>
        <v/>
      </c>
    </row>
    <row r="33" spans="1:5" x14ac:dyDescent="0.25">
      <c r="A33" s="84" t="s">
        <v>357</v>
      </c>
      <c r="B33" s="204" t="str">
        <f>IF(Covg03="","",INDEX(List_DetailLine,'1.General'!$A36,1))</f>
        <v/>
      </c>
      <c r="C33" s="84"/>
      <c r="D33" s="84" t="s">
        <v>351</v>
      </c>
      <c r="E33" s="204" t="str">
        <f>IF(OR(Covg04="",ISERR(Detailed_LineDesc03)),"",VLOOKUP($B34,List_DetailLine,2,FALSE))</f>
        <v/>
      </c>
    </row>
    <row r="34" spans="1:5" x14ac:dyDescent="0.25">
      <c r="A34" s="84" t="s">
        <v>358</v>
      </c>
      <c r="B34" s="204" t="str">
        <f>IF(Covg04="","",INDEX(List_DetailLine,'1.General'!$A37,1))</f>
        <v/>
      </c>
      <c r="C34" s="84"/>
      <c r="D34" s="84" t="s">
        <v>352</v>
      </c>
      <c r="E34" s="204" t="str">
        <f>IF(OR(Covg05="",ISERR(Detailed_LineDesc05)),"",VLOOKUP($B35,List_DetailLine,2,FALSE))</f>
        <v/>
      </c>
    </row>
    <row r="35" spans="1:5" x14ac:dyDescent="0.25">
      <c r="A35" s="84" t="s">
        <v>359</v>
      </c>
      <c r="B35" s="204" t="str">
        <f>IF(Covg05="","",INDEX(List_DetailLine,'1.General'!$A38,1))</f>
        <v/>
      </c>
      <c r="C35" s="84"/>
      <c r="D35" s="84" t="s">
        <v>353</v>
      </c>
      <c r="E35" s="204" t="str">
        <f>IF(OR(Covg06="",ISERR(Detailed_LineDesc06)),"",VLOOKUP($B36,List_DetailLine,2,FALSE))</f>
        <v/>
      </c>
    </row>
    <row r="36" spans="1:5" x14ac:dyDescent="0.25">
      <c r="A36" s="84" t="s">
        <v>360</v>
      </c>
      <c r="B36" s="204" t="str">
        <f>IF(Covg06="","",INDEX(List_DetailLine,'1.General'!$A39,1))</f>
        <v/>
      </c>
      <c r="C36" s="84"/>
      <c r="D36" s="84" t="s">
        <v>354</v>
      </c>
      <c r="E36" s="204" t="str">
        <f>IF(OR(Covg07="",ISERR(Detailed_LineDesc07)),"",VLOOKUP($B37,List_DetailLine,2,FALSE))</f>
        <v/>
      </c>
    </row>
    <row r="37" spans="1:5" x14ac:dyDescent="0.25">
      <c r="A37" s="84" t="s">
        <v>361</v>
      </c>
      <c r="B37" s="204" t="str">
        <f>IF(Covg07="","",INDEX(List_DetailLine,'1.General'!$A40,1))</f>
        <v/>
      </c>
      <c r="C37" s="84"/>
      <c r="D37" s="84" t="s">
        <v>355</v>
      </c>
      <c r="E37" s="204" t="str">
        <f>IF(OR(Covg08="",ISERR(Detailed_LineDesc08)),"",VLOOKUP($B38,List_DetailLine,2,FALSE))</f>
        <v/>
      </c>
    </row>
    <row r="38" spans="1:5" x14ac:dyDescent="0.25">
      <c r="A38" s="84" t="s">
        <v>362</v>
      </c>
      <c r="B38" s="204" t="str">
        <f>IF(Covg08="","",INDEX(List_DetailLine,'1.General'!$A41,1))</f>
        <v/>
      </c>
      <c r="C38" s="84"/>
      <c r="D38" s="84" t="s">
        <v>356</v>
      </c>
      <c r="E38" s="204" t="str">
        <f>IF(OR(Covg09="",ISERR(Detailed_LineDesc09)),"",VLOOKUP($B39,List_DetailLine,2,FALSE))</f>
        <v/>
      </c>
    </row>
    <row r="39" spans="1:5" x14ac:dyDescent="0.25">
      <c r="A39" s="84" t="s">
        <v>363</v>
      </c>
      <c r="B39" s="204" t="str">
        <f>IF(Covg09="","",INDEX(List_DetailLine,'1.General'!$A42,1))</f>
        <v/>
      </c>
      <c r="C39" s="84"/>
      <c r="D39" s="84" t="s">
        <v>345</v>
      </c>
      <c r="E39" s="204" t="str">
        <f>IF(OR(Covg10="",ISERR(Detailed_LineDesc10)),"",VLOOKUP($B40,List_DetailLine,2,FALSE))</f>
        <v/>
      </c>
    </row>
    <row r="40" spans="1:5" x14ac:dyDescent="0.25">
      <c r="A40" s="84" t="s">
        <v>344</v>
      </c>
      <c r="B40" s="204" t="str">
        <f>IF(Covg10="","",INDEX(List_DetailLine,'1.General'!$A43,1))</f>
        <v/>
      </c>
      <c r="C40" s="84"/>
      <c r="D40" s="84"/>
      <c r="E40" s="84"/>
    </row>
    <row r="41" spans="1:5" x14ac:dyDescent="0.25">
      <c r="A41" s="84"/>
      <c r="B41" s="204"/>
      <c r="C41" s="84"/>
      <c r="D41" s="410" t="s">
        <v>557</v>
      </c>
      <c r="E41" s="84"/>
    </row>
    <row r="42" spans="1:5" x14ac:dyDescent="0.25">
      <c r="A42" s="410" t="s">
        <v>559</v>
      </c>
      <c r="B42" s="204"/>
      <c r="C42" s="408"/>
      <c r="D42" s="408" t="s">
        <v>537</v>
      </c>
      <c r="E42" s="407">
        <f ca="1">IF(ISBLANK('5.CDI Parameters'!$J11),"",'5.CDI Parameters'!$J11)</f>
        <v>0.3398944252272284</v>
      </c>
    </row>
    <row r="43" spans="1:5" x14ac:dyDescent="0.25">
      <c r="A43" s="408" t="s">
        <v>368</v>
      </c>
      <c r="B43" s="412" t="str">
        <f>IF(ISBLANK('1.General'!$C34),"",'1.General'!$C34)</f>
        <v>Rental Dwelling</v>
      </c>
      <c r="C43" s="408"/>
      <c r="D43" s="408" t="s">
        <v>538</v>
      </c>
      <c r="E43" s="407" t="str">
        <f>IF(ISBLANK('5.CDI Parameters'!$J12),"",'5.CDI Parameters'!$J12)</f>
        <v/>
      </c>
    </row>
    <row r="44" spans="1:5" x14ac:dyDescent="0.25">
      <c r="A44" s="408" t="s">
        <v>369</v>
      </c>
      <c r="B44" s="412" t="str">
        <f>IF(ISBLANK('1.General'!$C35),"",'1.General'!$C35)</f>
        <v/>
      </c>
      <c r="C44" s="408"/>
      <c r="D44" s="408" t="s">
        <v>539</v>
      </c>
      <c r="E44" s="407" t="str">
        <f>IF(ISBLANK('5.CDI Parameters'!$J13),"",'5.CDI Parameters'!$J13)</f>
        <v/>
      </c>
    </row>
    <row r="45" spans="1:5" x14ac:dyDescent="0.25">
      <c r="A45" s="408" t="s">
        <v>370</v>
      </c>
      <c r="B45" s="412" t="str">
        <f>IF(ISBLANK('1.General'!$C36),"",'1.General'!$C36)</f>
        <v/>
      </c>
      <c r="C45" s="408"/>
      <c r="D45" s="408" t="s">
        <v>540</v>
      </c>
      <c r="E45" s="407" t="str">
        <f>IF(ISBLANK('5.CDI Parameters'!$J14),"",'5.CDI Parameters'!$J14)</f>
        <v/>
      </c>
    </row>
    <row r="46" spans="1:5" x14ac:dyDescent="0.25">
      <c r="A46" s="408" t="s">
        <v>371</v>
      </c>
      <c r="B46" s="412" t="str">
        <f>IF(ISBLANK('1.General'!$C37),"",'1.General'!$C37)</f>
        <v/>
      </c>
      <c r="C46" s="408"/>
      <c r="D46" s="408" t="s">
        <v>541</v>
      </c>
      <c r="E46" s="407" t="str">
        <f>IF(ISBLANK('5.CDI Parameters'!$J15),"",'5.CDI Parameters'!$J15)</f>
        <v/>
      </c>
    </row>
    <row r="47" spans="1:5" x14ac:dyDescent="0.25">
      <c r="A47" s="408" t="s">
        <v>372</v>
      </c>
      <c r="B47" s="412" t="str">
        <f>IF(ISBLANK('1.General'!$C38),"",'1.General'!$C38)</f>
        <v/>
      </c>
      <c r="C47" s="408"/>
      <c r="D47" s="408" t="s">
        <v>542</v>
      </c>
      <c r="E47" s="407" t="str">
        <f>IF(ISBLANK('5.CDI Parameters'!$J16),"",'5.CDI Parameters'!$J16)</f>
        <v/>
      </c>
    </row>
    <row r="48" spans="1:5" x14ac:dyDescent="0.25">
      <c r="A48" s="408" t="s">
        <v>373</v>
      </c>
      <c r="B48" s="412" t="str">
        <f>IF(ISBLANK('1.General'!$C39),"",'1.General'!$C39)</f>
        <v/>
      </c>
      <c r="C48" s="408"/>
      <c r="D48" s="408" t="s">
        <v>543</v>
      </c>
      <c r="E48" s="407" t="str">
        <f>IF(ISBLANK('5.CDI Parameters'!$J17),"",'5.CDI Parameters'!$J17)</f>
        <v/>
      </c>
    </row>
    <row r="49" spans="1:5" x14ac:dyDescent="0.25">
      <c r="A49" s="408" t="s">
        <v>374</v>
      </c>
      <c r="B49" s="412" t="str">
        <f>IF(ISBLANK('1.General'!$C40),"",'1.General'!$C40)</f>
        <v/>
      </c>
      <c r="C49" s="408"/>
      <c r="D49" s="408" t="s">
        <v>544</v>
      </c>
      <c r="E49" s="407" t="str">
        <f>IF(ISBLANK('5.CDI Parameters'!$J18),"",'5.CDI Parameters'!$J18)</f>
        <v/>
      </c>
    </row>
    <row r="50" spans="1:5" x14ac:dyDescent="0.25">
      <c r="A50" s="408" t="s">
        <v>375</v>
      </c>
      <c r="B50" s="412" t="str">
        <f>IF(ISBLANK('1.General'!$C41),"",'1.General'!$C41)</f>
        <v/>
      </c>
      <c r="C50" s="408"/>
      <c r="D50" s="408" t="s">
        <v>545</v>
      </c>
      <c r="E50" s="407" t="str">
        <f>IF(ISBLANK('5.CDI Parameters'!$J19),"",'5.CDI Parameters'!$J19)</f>
        <v/>
      </c>
    </row>
    <row r="51" spans="1:5" x14ac:dyDescent="0.25">
      <c r="A51" s="408" t="s">
        <v>376</v>
      </c>
      <c r="B51" s="412" t="str">
        <f>IF(ISBLANK('1.General'!$C42),"",'1.General'!$C42)</f>
        <v/>
      </c>
      <c r="C51" s="408"/>
      <c r="D51" s="408" t="s">
        <v>546</v>
      </c>
      <c r="E51" s="407" t="str">
        <f>IF(ISBLANK('5.CDI Parameters'!$J20),"",'5.CDI Parameters'!$J20)</f>
        <v/>
      </c>
    </row>
    <row r="52" spans="1:5" x14ac:dyDescent="0.25">
      <c r="A52" s="408" t="s">
        <v>377</v>
      </c>
      <c r="B52" s="412" t="str">
        <f>IF(ISBLANK('1.General'!$C43),"",'1.General'!$C43)</f>
        <v/>
      </c>
      <c r="C52" s="408"/>
      <c r="D52" s="408"/>
      <c r="E52" s="84"/>
    </row>
    <row r="53" spans="1:5" x14ac:dyDescent="0.25">
      <c r="A53" s="408"/>
      <c r="B53" s="412"/>
      <c r="C53" s="408"/>
      <c r="D53" s="411" t="s">
        <v>586</v>
      </c>
      <c r="E53" s="84"/>
    </row>
    <row r="54" spans="1:5" x14ac:dyDescent="0.25">
      <c r="A54" s="411" t="s">
        <v>587</v>
      </c>
      <c r="B54" s="412"/>
      <c r="C54" s="408"/>
      <c r="D54" s="408" t="s">
        <v>517</v>
      </c>
      <c r="E54" s="409">
        <f>IF(ISBLANK('6.1Ratemaking Data'!$J$39),0,'6.1Ratemaking Data'!$J$39)</f>
        <v>0</v>
      </c>
    </row>
    <row r="55" spans="1:5" x14ac:dyDescent="0.25">
      <c r="A55" s="408" t="s">
        <v>507</v>
      </c>
      <c r="B55" s="409">
        <f ca="1">IF(ISBLANK('5.CDI Parameters'!$G11),"",'5.CDI Parameters'!$G11)</f>
        <v>0.35349169170468153</v>
      </c>
      <c r="C55" s="408"/>
      <c r="D55" s="408" t="s">
        <v>518</v>
      </c>
      <c r="E55" s="409">
        <f>IF(ISBLANK('6.2Ratemaking Data'!$J$39),0,'6.2Ratemaking Data'!$J$39)</f>
        <v>0</v>
      </c>
    </row>
    <row r="56" spans="1:5" x14ac:dyDescent="0.25">
      <c r="A56" s="408" t="s">
        <v>508</v>
      </c>
      <c r="B56" s="409" t="str">
        <f>IF(ISBLANK('5.CDI Parameters'!$G12),"",'5.CDI Parameters'!$G12)</f>
        <v/>
      </c>
      <c r="C56" s="84"/>
      <c r="D56" s="408" t="s">
        <v>519</v>
      </c>
      <c r="E56" s="409">
        <f>IF(ISBLANK('6.3Ratemaking Data'!$J$39),0,'6.3Ratemaking Data'!$J$39)</f>
        <v>0</v>
      </c>
    </row>
    <row r="57" spans="1:5" x14ac:dyDescent="0.25">
      <c r="A57" s="84" t="s">
        <v>509</v>
      </c>
      <c r="B57" s="405" t="str">
        <f>IF(ISBLANK('5.CDI Parameters'!$G13),"",'5.CDI Parameters'!$G13)</f>
        <v/>
      </c>
      <c r="C57" s="84"/>
      <c r="D57" s="408" t="s">
        <v>520</v>
      </c>
      <c r="E57" s="409">
        <f>IF(ISBLANK('6.4Ratemaking Data'!$J$39),0,'6.4Ratemaking Data'!$J$39)</f>
        <v>0</v>
      </c>
    </row>
    <row r="58" spans="1:5" x14ac:dyDescent="0.25">
      <c r="A58" s="84" t="s">
        <v>510</v>
      </c>
      <c r="B58" s="405" t="str">
        <f>IF(ISBLANK('5.CDI Parameters'!$G14),"",'5.CDI Parameters'!$G14)</f>
        <v/>
      </c>
      <c r="C58" s="84"/>
      <c r="D58" s="408" t="s">
        <v>521</v>
      </c>
      <c r="E58" s="409">
        <f>IF(ISBLANK('6.5Ratemaking Data'!$J$39),0,'6.5Ratemaking Data'!$J$39)</f>
        <v>0</v>
      </c>
    </row>
    <row r="59" spans="1:5" x14ac:dyDescent="0.25">
      <c r="A59" s="84" t="s">
        <v>511</v>
      </c>
      <c r="B59" s="405" t="str">
        <f>IF(ISBLANK('5.CDI Parameters'!$G15),"",'5.CDI Parameters'!$G15)</f>
        <v/>
      </c>
      <c r="C59" s="84"/>
      <c r="D59" s="408" t="s">
        <v>522</v>
      </c>
      <c r="E59" s="409">
        <f>IF(ISBLANK('6.6Ratemaking Data'!$J$39),0,'6.6Ratemaking Data'!$J$39)</f>
        <v>0</v>
      </c>
    </row>
    <row r="60" spans="1:5" x14ac:dyDescent="0.25">
      <c r="A60" s="84" t="s">
        <v>512</v>
      </c>
      <c r="B60" s="405" t="str">
        <f>IF(ISBLANK('5.CDI Parameters'!$G16),"",'5.CDI Parameters'!$G16)</f>
        <v/>
      </c>
      <c r="C60" s="84"/>
      <c r="D60" s="408" t="s">
        <v>523</v>
      </c>
      <c r="E60" s="409">
        <f>IF(ISBLANK('6.7Ratemaking Data'!$J$39),0,'6.7Ratemaking Data'!$J$39)</f>
        <v>0</v>
      </c>
    </row>
    <row r="61" spans="1:5" x14ac:dyDescent="0.25">
      <c r="A61" s="84" t="s">
        <v>513</v>
      </c>
      <c r="B61" s="405" t="str">
        <f>IF(ISBLANK('5.CDI Parameters'!$G17),"",'5.CDI Parameters'!$G17)</f>
        <v/>
      </c>
      <c r="C61" s="84"/>
      <c r="D61" s="408" t="s">
        <v>524</v>
      </c>
      <c r="E61" s="409">
        <f>IF(ISBLANK('6.8Ratemaking Data'!$J$39),0,'6.8Ratemaking Data'!$J$39)</f>
        <v>0</v>
      </c>
    </row>
    <row r="62" spans="1:5" x14ac:dyDescent="0.25">
      <c r="A62" s="84" t="s">
        <v>514</v>
      </c>
      <c r="B62" s="405" t="str">
        <f>IF(ISBLANK('5.CDI Parameters'!$G18),"",'5.CDI Parameters'!$G18)</f>
        <v/>
      </c>
      <c r="C62" s="84"/>
      <c r="D62" s="408" t="s">
        <v>525</v>
      </c>
      <c r="E62" s="409">
        <f>IF(ISBLANK('6.9Ratemaking Data'!$J$39),0,'6.9Ratemaking Data'!$J$39)</f>
        <v>0</v>
      </c>
    </row>
    <row r="63" spans="1:5" x14ac:dyDescent="0.25">
      <c r="A63" s="84" t="s">
        <v>515</v>
      </c>
      <c r="B63" s="405" t="str">
        <f>IF(ISBLANK('5.CDI Parameters'!$G19),"",'5.CDI Parameters'!$G19)</f>
        <v/>
      </c>
      <c r="C63" s="84"/>
      <c r="D63" s="408" t="s">
        <v>526</v>
      </c>
      <c r="E63" s="409">
        <f>IF(ISBLANK('6.10Ratemaking Data'!$J$39),0,'6.10Ratemaking Data'!$J$39)</f>
        <v>0</v>
      </c>
    </row>
    <row r="64" spans="1:5" x14ac:dyDescent="0.25">
      <c r="A64" s="84" t="s">
        <v>516</v>
      </c>
      <c r="B64" s="405" t="str">
        <f>IF(ISBLANK('5.CDI Parameters'!$G20),"",'5.CDI Parameters'!$G20)</f>
        <v/>
      </c>
      <c r="C64" s="84"/>
      <c r="D64" s="408"/>
      <c r="E64" s="406"/>
    </row>
    <row r="65" spans="1:5" x14ac:dyDescent="0.25">
      <c r="A65" s="84"/>
      <c r="B65" s="204"/>
      <c r="C65" s="84"/>
      <c r="D65" s="411"/>
      <c r="E65" s="406"/>
    </row>
    <row r="66" spans="1:5" x14ac:dyDescent="0.25">
      <c r="A66" s="410" t="s">
        <v>584</v>
      </c>
      <c r="B66" s="204"/>
      <c r="C66" s="84"/>
      <c r="D66" s="411" t="s">
        <v>558</v>
      </c>
      <c r="E66" s="406"/>
    </row>
    <row r="67" spans="1:5" x14ac:dyDescent="0.25">
      <c r="A67" s="410" t="s">
        <v>560</v>
      </c>
      <c r="B67" s="204"/>
      <c r="C67" s="84"/>
      <c r="D67" s="408" t="s">
        <v>547</v>
      </c>
      <c r="E67" s="409">
        <f>IF(ISBLANK('6.1Ratemaking Data'!$J$40),0,'6.1Ratemaking Data'!$J$40)</f>
        <v>0</v>
      </c>
    </row>
    <row r="68" spans="1:5" x14ac:dyDescent="0.25">
      <c r="A68" s="408" t="s">
        <v>527</v>
      </c>
      <c r="B68" s="409">
        <f ca="1">IF(ExpRatio_Actual01&gt;EffStd_Wtd01,MIN(ExpRatio_Actual01-EffStd_Wtd01,EffStd_VarReq01),0)</f>
        <v>0</v>
      </c>
      <c r="C68" s="84"/>
      <c r="D68" s="408" t="s">
        <v>548</v>
      </c>
      <c r="E68" s="409">
        <f>IF(ISBLANK('6.2Ratemaking Data'!$J$40),0,'6.2Ratemaking Data'!$J$40)</f>
        <v>0</v>
      </c>
    </row>
    <row r="69" spans="1:5" x14ac:dyDescent="0.25">
      <c r="A69" s="408" t="s">
        <v>528</v>
      </c>
      <c r="B69" s="409">
        <f>IF(ExpRatio_Actual02&gt;EffStd_Wtd02,MIN(ExpRatio_Actual02-EffStd_Wtd02,EffStd_VarReq02),0)</f>
        <v>0</v>
      </c>
      <c r="C69" s="84"/>
      <c r="D69" s="408" t="s">
        <v>549</v>
      </c>
      <c r="E69" s="409">
        <f>IF(ISBLANK('6.3Ratemaking Data'!$J$40),0,'6.3Ratemaking Data'!$J$40)</f>
        <v>0</v>
      </c>
    </row>
    <row r="70" spans="1:5" x14ac:dyDescent="0.25">
      <c r="A70" s="408" t="s">
        <v>529</v>
      </c>
      <c r="B70" s="409">
        <f>IF(ExpRatio_Actual03&gt;EffStd_Wtd03,MIN(ExpRatio_Actual03-EffStd_Wtd03,EffStd_VarReq03),0)</f>
        <v>0</v>
      </c>
      <c r="C70" s="84"/>
      <c r="D70" s="408" t="s">
        <v>550</v>
      </c>
      <c r="E70" s="409">
        <f>IF(ISBLANK('6.4Ratemaking Data'!$J$40),0,'6.4Ratemaking Data'!$J$40)</f>
        <v>0</v>
      </c>
    </row>
    <row r="71" spans="1:5" x14ac:dyDescent="0.25">
      <c r="A71" s="408" t="s">
        <v>530</v>
      </c>
      <c r="B71" s="409">
        <f>IF(ExpRatio_Actual04&gt;EffStd_Wtd04,MIN(ExpRatio_Actual04-EffStd_Wtd04,EffStd_VarReq04),0)</f>
        <v>0</v>
      </c>
      <c r="C71" s="84"/>
      <c r="D71" s="408" t="s">
        <v>551</v>
      </c>
      <c r="E71" s="409">
        <f>IF(ISBLANK('6.5Ratemaking Data'!$J$40),0,'6.5Ratemaking Data'!$J$40)</f>
        <v>0</v>
      </c>
    </row>
    <row r="72" spans="1:5" x14ac:dyDescent="0.25">
      <c r="A72" s="408" t="s">
        <v>531</v>
      </c>
      <c r="B72" s="409">
        <f>IF(ExpRatio_Actual05&gt;EffStd_Wtd05,MIN(ExpRatio_Actual05-EffStd_Wtd05,EffStd_VarReq05),0)</f>
        <v>0</v>
      </c>
      <c r="C72" s="84"/>
      <c r="D72" s="408" t="s">
        <v>552</v>
      </c>
      <c r="E72" s="409">
        <f>IF(ISBLANK('6.6Ratemaking Data'!$J$40),0,'6.6Ratemaking Data'!$J$40)</f>
        <v>0</v>
      </c>
    </row>
    <row r="73" spans="1:5" x14ac:dyDescent="0.25">
      <c r="A73" s="408" t="s">
        <v>532</v>
      </c>
      <c r="B73" s="409">
        <f>IF(ExpRatio_Actual06&gt;EffStd_Wtd06,MIN(ExpRatio_Actual06-EffStd_Wtd06,EffStd_VarReq06),0)</f>
        <v>0</v>
      </c>
      <c r="C73" s="84"/>
      <c r="D73" s="408" t="s">
        <v>553</v>
      </c>
      <c r="E73" s="409">
        <f>IF(ISBLANK('6.7Ratemaking Data'!$J$40),0,'6.7Ratemaking Data'!$J$40)</f>
        <v>0</v>
      </c>
    </row>
    <row r="74" spans="1:5" x14ac:dyDescent="0.25">
      <c r="A74" s="408" t="s">
        <v>533</v>
      </c>
      <c r="B74" s="409">
        <f>IF(ExpRatio_Actual07&gt;EffStd_Wtd07,MIN(ExpRatio_Actual07-EffStd_Wtd07,EffStd_VarReq07),0)</f>
        <v>0</v>
      </c>
      <c r="C74" s="84"/>
      <c r="D74" s="408" t="s">
        <v>554</v>
      </c>
      <c r="E74" s="409">
        <f>IF(ISBLANK('6.8Ratemaking Data'!$J$40),0,'6.8Ratemaking Data'!$J$40)</f>
        <v>0</v>
      </c>
    </row>
    <row r="75" spans="1:5" x14ac:dyDescent="0.25">
      <c r="A75" s="408" t="s">
        <v>534</v>
      </c>
      <c r="B75" s="409">
        <f>IF(ExpRatio_Actual08&gt;EffStd_Wtd08,MIN(ExpRatio_Actual08-EffStd_Wtd08,EffStd_VarReq08),0)</f>
        <v>0</v>
      </c>
      <c r="C75" s="84"/>
      <c r="D75" s="408" t="s">
        <v>555</v>
      </c>
      <c r="E75" s="409">
        <f>IF(ISBLANK('6.9Ratemaking Data'!$J$40),0,'6.9Ratemaking Data'!$J$40)</f>
        <v>0</v>
      </c>
    </row>
    <row r="76" spans="1:5" x14ac:dyDescent="0.25">
      <c r="A76" s="408" t="s">
        <v>535</v>
      </c>
      <c r="B76" s="409">
        <f>IF(ExpRatio_Actual09&gt;EffStd_Wtd09,MIN(ExpRatio_Actual09-EffStd_Wtd09,EffStd_VarReq09),0)</f>
        <v>0</v>
      </c>
      <c r="C76" s="84"/>
      <c r="D76" s="408" t="s">
        <v>556</v>
      </c>
      <c r="E76" s="409">
        <f>IF(ISBLANK('6.10Ratemaking Data'!$J$40),0,'6.10Ratemaking Data'!$J$40)</f>
        <v>0</v>
      </c>
    </row>
    <row r="77" spans="1:5" x14ac:dyDescent="0.25">
      <c r="A77" s="408" t="s">
        <v>536</v>
      </c>
      <c r="B77" s="409">
        <f>IF(ExpRatio_Actual10&gt;EffStd_Wtd10,MIN(ExpRatio_Actual10-EffStd_Wtd10,EffStd_VarReq10),0)</f>
        <v>0</v>
      </c>
      <c r="C77" s="84"/>
      <c r="D77" s="408"/>
      <c r="E77" s="409"/>
    </row>
    <row r="78" spans="1:5" x14ac:dyDescent="0.25">
      <c r="A78" s="408"/>
      <c r="B78" s="409"/>
      <c r="C78" s="84"/>
      <c r="D78" s="410" t="s">
        <v>583</v>
      </c>
      <c r="E78" s="84"/>
    </row>
    <row r="79" spans="1:5" x14ac:dyDescent="0.25">
      <c r="A79" s="410" t="s">
        <v>585</v>
      </c>
      <c r="B79" s="204"/>
      <c r="C79" s="84"/>
      <c r="D79" s="84" t="s">
        <v>573</v>
      </c>
      <c r="E79" s="467">
        <f ca="1">IF(ISBLANK('5.CDI Parameters'!$E26),"",'5.CDI Parameters'!$E26)</f>
        <v>1.3010095886105004</v>
      </c>
    </row>
    <row r="80" spans="1:5" x14ac:dyDescent="0.25">
      <c r="A80" s="84" t="s">
        <v>563</v>
      </c>
      <c r="B80" s="467">
        <f ca="1">IF(ISBLANK('5.CDI Parameters'!$D26),"",'5.CDI Parameters'!$D26)</f>
        <v>0.52182970801271056</v>
      </c>
      <c r="C80" s="84"/>
      <c r="D80" s="84" t="s">
        <v>574</v>
      </c>
      <c r="E80" s="467" t="str">
        <f>IF(ISBLANK('5.CDI Parameters'!$E27),"",'5.CDI Parameters'!$E27)</f>
        <v/>
      </c>
    </row>
    <row r="81" spans="1:5" x14ac:dyDescent="0.25">
      <c r="A81" s="84" t="s">
        <v>564</v>
      </c>
      <c r="B81" s="467" t="str">
        <f>IF(ISBLANK('5.CDI Parameters'!$D27),"",'5.CDI Parameters'!$D27)</f>
        <v/>
      </c>
      <c r="C81" s="84"/>
      <c r="D81" s="84" t="s">
        <v>575</v>
      </c>
      <c r="E81" s="467" t="str">
        <f>IF(ISBLANK('5.CDI Parameters'!$E28),"",'5.CDI Parameters'!$E28)</f>
        <v/>
      </c>
    </row>
    <row r="82" spans="1:5" x14ac:dyDescent="0.25">
      <c r="A82" s="84" t="s">
        <v>565</v>
      </c>
      <c r="B82" s="467" t="str">
        <f>IF(ISBLANK('5.CDI Parameters'!$D28),"",'5.CDI Parameters'!$D28)</f>
        <v/>
      </c>
      <c r="C82" s="84"/>
      <c r="D82" s="84" t="s">
        <v>576</v>
      </c>
      <c r="E82" s="467" t="str">
        <f>IF(ISBLANK('5.CDI Parameters'!$E29),"",'5.CDI Parameters'!$E29)</f>
        <v/>
      </c>
    </row>
    <row r="83" spans="1:5" x14ac:dyDescent="0.25">
      <c r="A83" s="84" t="s">
        <v>566</v>
      </c>
      <c r="B83" s="467" t="str">
        <f>IF(ISBLANK('5.CDI Parameters'!$D29),"",'5.CDI Parameters'!$D29)</f>
        <v/>
      </c>
      <c r="C83" s="84"/>
      <c r="D83" s="84" t="s">
        <v>577</v>
      </c>
      <c r="E83" s="467" t="str">
        <f>IF(ISBLANK('5.CDI Parameters'!$E30),"",'5.CDI Parameters'!$E30)</f>
        <v/>
      </c>
    </row>
    <row r="84" spans="1:5" x14ac:dyDescent="0.25">
      <c r="A84" s="84" t="s">
        <v>567</v>
      </c>
      <c r="B84" s="467" t="str">
        <f>IF(ISBLANK('5.CDI Parameters'!$D30),"",'5.CDI Parameters'!$D30)</f>
        <v/>
      </c>
      <c r="C84" s="84"/>
      <c r="D84" s="84" t="s">
        <v>578</v>
      </c>
      <c r="E84" s="467" t="str">
        <f>IF(ISBLANK('5.CDI Parameters'!$E31),"",'5.CDI Parameters'!$E31)</f>
        <v/>
      </c>
    </row>
    <row r="85" spans="1:5" x14ac:dyDescent="0.25">
      <c r="A85" s="84" t="s">
        <v>568</v>
      </c>
      <c r="B85" s="467" t="str">
        <f>IF(ISBLANK('5.CDI Parameters'!$D31),"",'5.CDI Parameters'!$D31)</f>
        <v/>
      </c>
      <c r="C85" s="84"/>
      <c r="D85" s="84" t="s">
        <v>579</v>
      </c>
      <c r="E85" s="467" t="str">
        <f>IF(ISBLANK('5.CDI Parameters'!$E32),"",'5.CDI Parameters'!$E32)</f>
        <v/>
      </c>
    </row>
    <row r="86" spans="1:5" x14ac:dyDescent="0.25">
      <c r="A86" s="84" t="s">
        <v>569</v>
      </c>
      <c r="B86" s="467" t="str">
        <f>IF(ISBLANK('5.CDI Parameters'!$D32),"",'5.CDI Parameters'!$D32)</f>
        <v/>
      </c>
      <c r="C86" s="84"/>
      <c r="D86" s="84" t="s">
        <v>580</v>
      </c>
      <c r="E86" s="467" t="str">
        <f>IF(ISBLANK('5.CDI Parameters'!$E33),"",'5.CDI Parameters'!$E33)</f>
        <v/>
      </c>
    </row>
    <row r="87" spans="1:5" x14ac:dyDescent="0.25">
      <c r="A87" s="84" t="s">
        <v>570</v>
      </c>
      <c r="B87" s="467" t="str">
        <f>IF(ISBLANK('5.CDI Parameters'!$D33),"",'5.CDI Parameters'!$D33)</f>
        <v/>
      </c>
      <c r="C87" s="84"/>
      <c r="D87" s="84" t="s">
        <v>581</v>
      </c>
      <c r="E87" s="467" t="str">
        <f>IF(ISBLANK('5.CDI Parameters'!$E34),"",'5.CDI Parameters'!$E34)</f>
        <v/>
      </c>
    </row>
    <row r="88" spans="1:5" x14ac:dyDescent="0.25">
      <c r="A88" s="84" t="s">
        <v>571</v>
      </c>
      <c r="B88" s="467" t="str">
        <f>IF(ISBLANK('5.CDI Parameters'!$D34),"",'5.CDI Parameters'!$D34)</f>
        <v/>
      </c>
      <c r="C88" s="84"/>
      <c r="D88" s="84" t="s">
        <v>582</v>
      </c>
      <c r="E88" s="467" t="str">
        <f>IF(ISBLANK('5.CDI Parameters'!$E35),"",'5.CDI Parameters'!$E35)</f>
        <v/>
      </c>
    </row>
    <row r="89" spans="1:5" x14ac:dyDescent="0.25">
      <c r="A89" s="84" t="s">
        <v>572</v>
      </c>
      <c r="B89" s="467" t="str">
        <f>IF(ISBLANK('5.CDI Parameters'!$D35),"",'5.CDI Parameters'!$D35)</f>
        <v/>
      </c>
      <c r="C89" s="84"/>
      <c r="D89" s="84"/>
      <c r="E89" s="84"/>
    </row>
    <row r="90" spans="1:5" x14ac:dyDescent="0.25">
      <c r="A90" s="84"/>
      <c r="B90" s="204"/>
      <c r="C90" s="84"/>
      <c r="D90" s="410" t="s">
        <v>691</v>
      </c>
      <c r="E90" s="84"/>
    </row>
    <row r="91" spans="1:5" x14ac:dyDescent="0.25">
      <c r="A91" s="410" t="s">
        <v>603</v>
      </c>
      <c r="B91" s="204"/>
      <c r="C91" s="84"/>
      <c r="D91" s="84" t="s">
        <v>681</v>
      </c>
      <c r="E91" s="205">
        <f>IF(ISBLANK('1.General'!$E$34),"",'1.General'!$E$34)</f>
        <v>44287</v>
      </c>
    </row>
    <row r="92" spans="1:5" x14ac:dyDescent="0.25">
      <c r="A92" s="84" t="s">
        <v>590</v>
      </c>
      <c r="B92" s="467">
        <f ca="1">IF(ISBLANK('5.CDI Parameters'!$H26),"",'5.CDI Parameters'!$H26)</f>
        <v>0.91552166118720324</v>
      </c>
      <c r="C92" s="84"/>
      <c r="D92" s="84" t="s">
        <v>682</v>
      </c>
      <c r="E92" s="205" t="str">
        <f>IF(ISBLANK('1.General'!$E$35),"",'1.General'!$E$35)</f>
        <v/>
      </c>
    </row>
    <row r="93" spans="1:5" x14ac:dyDescent="0.25">
      <c r="A93" s="84" t="s">
        <v>591</v>
      </c>
      <c r="B93" s="467" t="str">
        <f>IF(ISBLANK('5.CDI Parameters'!$H27),"",'5.CDI Parameters'!$H27)</f>
        <v/>
      </c>
      <c r="C93" s="84"/>
      <c r="D93" s="84" t="s">
        <v>683</v>
      </c>
      <c r="E93" s="205" t="str">
        <f>IF(ISBLANK('1.General'!$E$36),"",'1.General'!$E$36)</f>
        <v/>
      </c>
    </row>
    <row r="94" spans="1:5" x14ac:dyDescent="0.25">
      <c r="A94" s="84" t="s">
        <v>592</v>
      </c>
      <c r="B94" s="467" t="str">
        <f>IF(ISBLANK('5.CDI Parameters'!$H28),"",'5.CDI Parameters'!$H28)</f>
        <v/>
      </c>
      <c r="C94" s="84"/>
      <c r="D94" s="84" t="s">
        <v>684</v>
      </c>
      <c r="E94" s="205" t="str">
        <f>IF(ISBLANK('1.General'!$E$37),"",'1.General'!$E$37)</f>
        <v/>
      </c>
    </row>
    <row r="95" spans="1:5" x14ac:dyDescent="0.25">
      <c r="A95" s="84" t="s">
        <v>593</v>
      </c>
      <c r="B95" s="467" t="str">
        <f>IF(ISBLANK('5.CDI Parameters'!$H29),"",'5.CDI Parameters'!$H29)</f>
        <v/>
      </c>
      <c r="C95" s="84"/>
      <c r="D95" s="84" t="s">
        <v>685</v>
      </c>
      <c r="E95" s="205" t="str">
        <f>IF(ISBLANK('1.General'!$E$38),"",'1.General'!$E$38)</f>
        <v/>
      </c>
    </row>
    <row r="96" spans="1:5" x14ac:dyDescent="0.25">
      <c r="A96" s="84" t="s">
        <v>594</v>
      </c>
      <c r="B96" s="467" t="str">
        <f>IF(ISBLANK('5.CDI Parameters'!$H30),"",'5.CDI Parameters'!$H30)</f>
        <v/>
      </c>
      <c r="C96" s="84"/>
      <c r="D96" s="84" t="s">
        <v>686</v>
      </c>
      <c r="E96" s="205" t="str">
        <f>IF(ISBLANK('1.General'!$E$39),"",'1.General'!$E$39)</f>
        <v/>
      </c>
    </row>
    <row r="97" spans="1:5" x14ac:dyDescent="0.25">
      <c r="A97" s="84" t="s">
        <v>595</v>
      </c>
      <c r="B97" s="467" t="str">
        <f>IF(ISBLANK('5.CDI Parameters'!$H31),"",'5.CDI Parameters'!$H31)</f>
        <v/>
      </c>
      <c r="C97" s="84"/>
      <c r="D97" s="84" t="s">
        <v>687</v>
      </c>
      <c r="E97" s="205" t="str">
        <f>IF(ISBLANK('1.General'!$E$40),"",'1.General'!$E$40)</f>
        <v/>
      </c>
    </row>
    <row r="98" spans="1:5" x14ac:dyDescent="0.25">
      <c r="A98" s="84" t="s">
        <v>596</v>
      </c>
      <c r="B98" s="467" t="str">
        <f>IF(ISBLANK('5.CDI Parameters'!$H32),"",'5.CDI Parameters'!$H32)</f>
        <v/>
      </c>
      <c r="C98" s="84"/>
      <c r="D98" s="84" t="s">
        <v>688</v>
      </c>
      <c r="E98" s="205" t="str">
        <f>IF(ISBLANK('1.General'!$E$41),"",'1.General'!$E$41)</f>
        <v/>
      </c>
    </row>
    <row r="99" spans="1:5" x14ac:dyDescent="0.25">
      <c r="A99" s="84" t="s">
        <v>597</v>
      </c>
      <c r="B99" s="467" t="str">
        <f>IF(ISBLANK('5.CDI Parameters'!$H33),"",'5.CDI Parameters'!$H33)</f>
        <v/>
      </c>
      <c r="C99" s="84"/>
      <c r="D99" s="84" t="s">
        <v>689</v>
      </c>
      <c r="E99" s="205" t="str">
        <f>IF(ISBLANK('1.General'!$E$42),"",'1.General'!$E$42)</f>
        <v/>
      </c>
    </row>
    <row r="100" spans="1:5" x14ac:dyDescent="0.25">
      <c r="A100" s="84" t="s">
        <v>598</v>
      </c>
      <c r="B100" s="467" t="str">
        <f>IF(ISBLANK('5.CDI Parameters'!$H34),"",'5.CDI Parameters'!$H34)</f>
        <v/>
      </c>
      <c r="C100" s="84"/>
      <c r="D100" s="84" t="s">
        <v>690</v>
      </c>
      <c r="E100" s="205" t="str">
        <f>IF(ISBLANK('1.General'!$E$43),"",'1.General'!$E$43)</f>
        <v/>
      </c>
    </row>
    <row r="101" spans="1:5" x14ac:dyDescent="0.25">
      <c r="A101" s="84" t="s">
        <v>599</v>
      </c>
      <c r="B101" s="467" t="str">
        <f>IF(ISBLANK('5.CDI Parameters'!$H35),"",'5.CDI Parameters'!$H35)</f>
        <v/>
      </c>
      <c r="C101" s="84"/>
      <c r="D101" s="84"/>
      <c r="E101" s="205"/>
    </row>
    <row r="102" spans="1:5" x14ac:dyDescent="0.25">
      <c r="A102" s="84"/>
      <c r="B102" s="467"/>
      <c r="C102" s="84"/>
      <c r="D102" s="84"/>
      <c r="E102" s="205"/>
    </row>
    <row r="103" spans="1:5" x14ac:dyDescent="0.25">
      <c r="A103" s="84" t="s">
        <v>167</v>
      </c>
      <c r="B103" s="670">
        <f>'Federal Income Tax Rate'!B9</f>
        <v>0.21</v>
      </c>
      <c r="C103" s="84"/>
      <c r="D103" s="84"/>
      <c r="E103" s="205"/>
    </row>
    <row r="104" spans="1:5" x14ac:dyDescent="0.25">
      <c r="A104" s="84" t="s">
        <v>192</v>
      </c>
      <c r="B104" s="670">
        <f>'5.CDI Parameters'!$J$28</f>
        <v>2.35E-2</v>
      </c>
      <c r="C104" s="84"/>
      <c r="D104" s="84" t="s">
        <v>729</v>
      </c>
      <c r="E104" s="205" t="str">
        <f>'3.2YieldFIT'!$G$48</f>
        <v>December 2022</v>
      </c>
    </row>
    <row r="105" spans="1:5" x14ac:dyDescent="0.25">
      <c r="A105" s="84" t="s">
        <v>195</v>
      </c>
      <c r="B105" s="670">
        <f>'5.CDI Parameters'!$J$31</f>
        <v>3.9399999999999998E-2</v>
      </c>
      <c r="C105" s="84"/>
      <c r="D105" s="84"/>
      <c r="E105" s="205"/>
    </row>
    <row r="106" spans="1:5" x14ac:dyDescent="0.25">
      <c r="A106" s="84" t="s">
        <v>197</v>
      </c>
      <c r="B106" s="670">
        <v>-0.06</v>
      </c>
      <c r="C106" s="84"/>
      <c r="D106" s="84"/>
      <c r="E106" s="205"/>
    </row>
    <row r="107" spans="1:5" x14ac:dyDescent="0.25">
      <c r="A107" s="84" t="s">
        <v>196</v>
      </c>
      <c r="B107" s="670">
        <f>ROR_RiskFree+0.06</f>
        <v>9.9399999999999988E-2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14" customWidth="1"/>
    <col min="2" max="2" width="15.85546875" style="14" bestFit="1" customWidth="1"/>
    <col min="3" max="3" width="5.7109375" style="14" customWidth="1"/>
    <col min="4" max="4" width="11.5703125" style="14" bestFit="1" customWidth="1"/>
    <col min="5" max="5" width="5.7109375" style="14" customWidth="1"/>
    <col min="6" max="6" width="32.28515625" style="14" bestFit="1" customWidth="1"/>
    <col min="7" max="7" width="7.5703125" style="14" bestFit="1" customWidth="1"/>
    <col min="8" max="8" width="54.7109375" style="14" bestFit="1" customWidth="1"/>
    <col min="9" max="9" width="5.7109375" style="14" bestFit="1" customWidth="1"/>
    <col min="10" max="10" width="5.7109375" style="14" customWidth="1"/>
    <col min="11" max="11" width="41.42578125" style="14" customWidth="1"/>
    <col min="12" max="12" width="5.7109375" style="14" customWidth="1"/>
    <col min="13" max="13" width="18.7109375" style="14" customWidth="1"/>
    <col min="14" max="14" width="117.85546875" style="14" customWidth="1"/>
    <col min="15" max="15" width="5.7109375" style="14" customWidth="1"/>
    <col min="16" max="16" width="34" style="14" bestFit="1" customWidth="1"/>
    <col min="17" max="17" width="5.7109375" style="14" customWidth="1"/>
    <col min="18" max="18" width="9.140625" style="14"/>
    <col min="19" max="19" width="41.42578125" style="14" customWidth="1"/>
    <col min="20" max="20" width="9.140625" style="14"/>
    <col min="21" max="21" width="14.5703125" style="14" bestFit="1" customWidth="1"/>
    <col min="22" max="22" width="18" style="14" bestFit="1" customWidth="1"/>
    <col min="23" max="16384" width="9.140625" style="14"/>
  </cols>
  <sheetData>
    <row r="1" spans="1:22" ht="15.75" thickBot="1" x14ac:dyDescent="0.3">
      <c r="A1" s="232" t="s">
        <v>129</v>
      </c>
    </row>
    <row r="2" spans="1:22" x14ac:dyDescent="0.25">
      <c r="B2" s="104" t="s">
        <v>105</v>
      </c>
      <c r="C2" s="105"/>
      <c r="D2" s="106" t="s">
        <v>106</v>
      </c>
      <c r="E2" s="105"/>
      <c r="F2" s="104" t="s">
        <v>158</v>
      </c>
      <c r="G2" s="105"/>
      <c r="H2" s="120" t="s">
        <v>503</v>
      </c>
      <c r="I2" s="121"/>
      <c r="J2" s="105"/>
      <c r="K2" s="106" t="s">
        <v>504</v>
      </c>
      <c r="L2" s="105"/>
      <c r="M2" s="107" t="s">
        <v>107</v>
      </c>
      <c r="N2" s="108" t="s">
        <v>506</v>
      </c>
      <c r="P2" s="106" t="s">
        <v>505</v>
      </c>
      <c r="S2" s="106" t="s">
        <v>625</v>
      </c>
    </row>
    <row r="3" spans="1:22" ht="15.75" thickBot="1" x14ac:dyDescent="0.3">
      <c r="B3" s="109" t="s">
        <v>108</v>
      </c>
      <c r="C3" s="105"/>
      <c r="D3" s="122" t="s">
        <v>160</v>
      </c>
      <c r="F3" s="111"/>
      <c r="H3" s="112"/>
      <c r="I3" s="113"/>
      <c r="K3" s="110"/>
      <c r="M3" s="114"/>
      <c r="N3" s="115"/>
      <c r="P3" s="110"/>
      <c r="S3" s="110"/>
    </row>
    <row r="4" spans="1:22" ht="30" x14ac:dyDescent="0.25">
      <c r="B4" s="109" t="s">
        <v>159</v>
      </c>
      <c r="C4" s="183"/>
      <c r="D4" s="110"/>
      <c r="F4" s="111"/>
      <c r="H4" s="112"/>
      <c r="I4" s="113"/>
      <c r="K4" s="110"/>
      <c r="M4" s="114"/>
      <c r="N4" s="115"/>
      <c r="P4" s="110"/>
      <c r="S4" s="110"/>
      <c r="U4" s="723" t="s">
        <v>736</v>
      </c>
      <c r="V4" s="724" t="s">
        <v>737</v>
      </c>
    </row>
    <row r="5" spans="1:22" ht="90" x14ac:dyDescent="0.25">
      <c r="A5" s="240" t="s">
        <v>502</v>
      </c>
      <c r="B5" s="241"/>
      <c r="C5" s="130"/>
      <c r="D5" s="242">
        <v>2</v>
      </c>
      <c r="E5" s="243"/>
      <c r="F5" s="244">
        <v>17</v>
      </c>
      <c r="G5" s="243"/>
      <c r="H5" s="245"/>
      <c r="I5" s="246"/>
      <c r="J5" s="130"/>
      <c r="K5" s="242">
        <v>1</v>
      </c>
      <c r="L5" s="130"/>
      <c r="M5" s="247"/>
      <c r="N5" s="248"/>
      <c r="O5" s="243"/>
      <c r="P5" s="242">
        <v>3</v>
      </c>
      <c r="S5" s="244">
        <v>9</v>
      </c>
      <c r="U5" s="727" t="s">
        <v>735</v>
      </c>
      <c r="V5" s="728" t="s">
        <v>738</v>
      </c>
    </row>
    <row r="6" spans="1:22" ht="30" x14ac:dyDescent="0.25">
      <c r="B6" s="116" t="s">
        <v>2</v>
      </c>
      <c r="C6" s="16"/>
      <c r="D6" s="110" t="s">
        <v>5</v>
      </c>
      <c r="F6" s="111"/>
      <c r="H6" s="112"/>
      <c r="I6" s="113"/>
      <c r="K6" s="110" t="s">
        <v>38</v>
      </c>
      <c r="M6" s="99" t="s">
        <v>84</v>
      </c>
      <c r="N6" s="100" t="s">
        <v>257</v>
      </c>
      <c r="P6" s="110"/>
      <c r="S6" s="110" t="s">
        <v>626</v>
      </c>
      <c r="U6" s="114" t="str">
        <f>TEXT(V6,"mmm")&amp;YEAR(V6)</f>
        <v>Dec2022</v>
      </c>
      <c r="V6" s="115" t="str">
        <f>'3.2YieldFIT'!G48</f>
        <v>December 2022</v>
      </c>
    </row>
    <row r="7" spans="1:22" ht="30" x14ac:dyDescent="0.25">
      <c r="B7" s="116" t="s">
        <v>3</v>
      </c>
      <c r="C7" s="16"/>
      <c r="D7" s="110" t="s">
        <v>6</v>
      </c>
      <c r="F7" s="111" t="s">
        <v>8</v>
      </c>
      <c r="H7" s="112" t="s">
        <v>8</v>
      </c>
      <c r="I7" s="113">
        <v>22</v>
      </c>
      <c r="K7" s="110" t="s">
        <v>74</v>
      </c>
      <c r="M7" s="99" t="s">
        <v>85</v>
      </c>
      <c r="N7" s="100" t="s">
        <v>258</v>
      </c>
      <c r="P7" s="110" t="s">
        <v>240</v>
      </c>
      <c r="S7" s="110" t="s">
        <v>627</v>
      </c>
      <c r="U7" s="114" t="str">
        <f>TEXT(V7,"mmm")&amp;YEAR(V7)</f>
        <v>Mar2022</v>
      </c>
      <c r="V7" s="115" t="str">
        <f>[1]Latest!$A$1</f>
        <v>March 2022</v>
      </c>
    </row>
    <row r="8" spans="1:22" ht="30.75" thickBot="1" x14ac:dyDescent="0.3">
      <c r="B8" s="118" t="s">
        <v>26</v>
      </c>
      <c r="C8" s="16"/>
      <c r="D8" s="117"/>
      <c r="F8" s="111" t="s">
        <v>9</v>
      </c>
      <c r="H8" s="112" t="s">
        <v>9</v>
      </c>
      <c r="I8" s="113">
        <v>2.1</v>
      </c>
      <c r="K8" s="117" t="s">
        <v>75</v>
      </c>
      <c r="M8" s="99" t="s">
        <v>86</v>
      </c>
      <c r="N8" s="100" t="s">
        <v>259</v>
      </c>
      <c r="P8" s="110" t="s">
        <v>241</v>
      </c>
      <c r="S8" s="110" t="s">
        <v>628</v>
      </c>
      <c r="U8" s="114" t="str">
        <f t="shared" ref="U8:U30" si="0">TEXT(EOMONTH(U7,-1),"mmm")&amp;YEAR(EOMONTH(U7,-1))</f>
        <v>Feb2022</v>
      </c>
      <c r="V8" s="115" t="str">
        <f t="shared" ref="V8:V30" si="1">TEXT(U8,"mmmm ")&amp;YEAR(U8)</f>
        <v>February 2022</v>
      </c>
    </row>
    <row r="9" spans="1:22" ht="30.75" thickBot="1" x14ac:dyDescent="0.3">
      <c r="F9" s="111" t="s">
        <v>745</v>
      </c>
      <c r="H9" s="112" t="s">
        <v>11</v>
      </c>
      <c r="I9" s="113">
        <v>17</v>
      </c>
      <c r="M9" s="99" t="s">
        <v>87</v>
      </c>
      <c r="N9" s="100" t="s">
        <v>260</v>
      </c>
      <c r="P9" s="117" t="s">
        <v>242</v>
      </c>
      <c r="S9" s="110" t="s">
        <v>629</v>
      </c>
      <c r="U9" s="114" t="str">
        <f t="shared" si="0"/>
        <v>Jan2022</v>
      </c>
      <c r="V9" s="115" t="str">
        <f t="shared" si="1"/>
        <v>January 2022</v>
      </c>
    </row>
    <row r="10" spans="1:22" ht="30" x14ac:dyDescent="0.25">
      <c r="F10" s="111" t="s">
        <v>10</v>
      </c>
      <c r="H10" s="112" t="s">
        <v>12</v>
      </c>
      <c r="I10" s="113">
        <v>27</v>
      </c>
      <c r="M10" s="99" t="s">
        <v>88</v>
      </c>
      <c r="N10" s="100" t="s">
        <v>261</v>
      </c>
      <c r="P10" s="399" t="s">
        <v>623</v>
      </c>
      <c r="Q10" s="400"/>
      <c r="S10" s="110" t="s">
        <v>630</v>
      </c>
      <c r="U10" s="114" t="str">
        <f t="shared" si="0"/>
        <v>Dec2021</v>
      </c>
      <c r="V10" s="115" t="str">
        <f t="shared" si="1"/>
        <v>December 2021</v>
      </c>
    </row>
    <row r="11" spans="1:22" ht="45" x14ac:dyDescent="0.25">
      <c r="F11" s="111" t="s">
        <v>11</v>
      </c>
      <c r="H11" s="112" t="s">
        <v>13</v>
      </c>
      <c r="I11" s="113">
        <v>26</v>
      </c>
      <c r="M11" s="99" t="s">
        <v>91</v>
      </c>
      <c r="N11" s="100" t="s">
        <v>262</v>
      </c>
      <c r="P11" s="401" t="s">
        <v>346</v>
      </c>
      <c r="Q11" s="402">
        <v>1</v>
      </c>
      <c r="S11" s="110" t="s">
        <v>631</v>
      </c>
      <c r="U11" s="114" t="str">
        <f t="shared" si="0"/>
        <v>Nov2021</v>
      </c>
      <c r="V11" s="115" t="str">
        <f t="shared" si="1"/>
        <v>November 2021</v>
      </c>
    </row>
    <row r="12" spans="1:22" ht="30" x14ac:dyDescent="0.25">
      <c r="F12" s="111" t="s">
        <v>12</v>
      </c>
      <c r="H12" s="112" t="s">
        <v>39</v>
      </c>
      <c r="I12" s="113">
        <v>19.399999999999999</v>
      </c>
      <c r="M12" s="99" t="s">
        <v>89</v>
      </c>
      <c r="N12" s="100" t="s">
        <v>263</v>
      </c>
      <c r="P12" s="401" t="s">
        <v>348</v>
      </c>
      <c r="Q12" s="402">
        <v>2</v>
      </c>
      <c r="S12" s="110" t="s">
        <v>695</v>
      </c>
      <c r="U12" s="114" t="str">
        <f t="shared" si="0"/>
        <v>Oct2021</v>
      </c>
      <c r="V12" s="115" t="str">
        <f t="shared" si="1"/>
        <v>October 2021</v>
      </c>
    </row>
    <row r="13" spans="1:22" ht="30" x14ac:dyDescent="0.25">
      <c r="F13" s="111" t="s">
        <v>13</v>
      </c>
      <c r="H13" s="112" t="s">
        <v>40</v>
      </c>
      <c r="I13" s="113">
        <v>21.2</v>
      </c>
      <c r="M13" s="99" t="s">
        <v>90</v>
      </c>
      <c r="N13" s="100" t="s">
        <v>264</v>
      </c>
      <c r="P13" s="401" t="s">
        <v>357</v>
      </c>
      <c r="Q13" s="402">
        <v>1</v>
      </c>
      <c r="S13" s="110" t="s">
        <v>694</v>
      </c>
      <c r="U13" s="114" t="str">
        <f t="shared" si="0"/>
        <v>Sep2021</v>
      </c>
      <c r="V13" s="115" t="str">
        <f t="shared" si="1"/>
        <v>September 2021</v>
      </c>
    </row>
    <row r="14" spans="1:22" ht="30.75" thickBot="1" x14ac:dyDescent="0.3">
      <c r="F14" s="111" t="s">
        <v>14</v>
      </c>
      <c r="H14" s="112" t="s">
        <v>41</v>
      </c>
      <c r="I14" s="113">
        <v>5</v>
      </c>
      <c r="M14" s="99" t="s">
        <v>116</v>
      </c>
      <c r="N14" s="100" t="s">
        <v>265</v>
      </c>
      <c r="P14" s="401" t="s">
        <v>358</v>
      </c>
      <c r="Q14" s="402">
        <v>1</v>
      </c>
      <c r="S14" s="117" t="s">
        <v>632</v>
      </c>
      <c r="U14" s="114" t="str">
        <f t="shared" si="0"/>
        <v>Aug2021</v>
      </c>
      <c r="V14" s="115" t="str">
        <f t="shared" si="1"/>
        <v>August 2021</v>
      </c>
    </row>
    <row r="15" spans="1:22" ht="30" x14ac:dyDescent="0.25">
      <c r="F15" s="111" t="s">
        <v>15</v>
      </c>
      <c r="H15" s="112" t="s">
        <v>42</v>
      </c>
      <c r="I15" s="113">
        <v>5.2</v>
      </c>
      <c r="M15" s="99" t="s">
        <v>92</v>
      </c>
      <c r="N15" s="100" t="s">
        <v>266</v>
      </c>
      <c r="P15" s="401" t="s">
        <v>359</v>
      </c>
      <c r="Q15" s="402">
        <v>1</v>
      </c>
      <c r="U15" s="114" t="str">
        <f t="shared" si="0"/>
        <v>Jul2021</v>
      </c>
      <c r="V15" s="115" t="str">
        <f t="shared" si="1"/>
        <v>July 2021</v>
      </c>
    </row>
    <row r="16" spans="1:22" ht="30" x14ac:dyDescent="0.25">
      <c r="F16" s="111" t="s">
        <v>16</v>
      </c>
      <c r="H16" s="112" t="s">
        <v>43</v>
      </c>
      <c r="I16" s="113">
        <v>5.0999999999999996</v>
      </c>
      <c r="M16" s="99" t="s">
        <v>93</v>
      </c>
      <c r="N16" s="100" t="s">
        <v>267</v>
      </c>
      <c r="P16" s="401" t="s">
        <v>360</v>
      </c>
      <c r="Q16" s="402">
        <v>1</v>
      </c>
      <c r="U16" s="114" t="str">
        <f t="shared" si="0"/>
        <v>Jun2021</v>
      </c>
      <c r="V16" s="115" t="str">
        <f t="shared" si="1"/>
        <v>June 2021</v>
      </c>
    </row>
    <row r="17" spans="6:22" ht="30" x14ac:dyDescent="0.25">
      <c r="F17" s="111" t="s">
        <v>17</v>
      </c>
      <c r="H17" s="112" t="s">
        <v>14</v>
      </c>
      <c r="I17" s="113">
        <v>12</v>
      </c>
      <c r="M17" s="99" t="s">
        <v>94</v>
      </c>
      <c r="N17" s="100" t="s">
        <v>268</v>
      </c>
      <c r="P17" s="401" t="s">
        <v>361</v>
      </c>
      <c r="Q17" s="402">
        <v>1</v>
      </c>
      <c r="U17" s="114" t="str">
        <f t="shared" si="0"/>
        <v>May2021</v>
      </c>
      <c r="V17" s="115" t="str">
        <f t="shared" si="1"/>
        <v>May 2021</v>
      </c>
    </row>
    <row r="18" spans="6:22" ht="30" x14ac:dyDescent="0.25">
      <c r="F18" s="111" t="s">
        <v>712</v>
      </c>
      <c r="H18" s="112" t="s">
        <v>325</v>
      </c>
      <c r="I18" s="113" t="s">
        <v>331</v>
      </c>
      <c r="M18" s="99" t="s">
        <v>95</v>
      </c>
      <c r="N18" s="100" t="s">
        <v>269</v>
      </c>
      <c r="P18" s="401" t="s">
        <v>362</v>
      </c>
      <c r="Q18" s="402">
        <v>1</v>
      </c>
      <c r="U18" s="114" t="str">
        <f t="shared" si="0"/>
        <v>Apr2021</v>
      </c>
      <c r="V18" s="115" t="str">
        <f t="shared" si="1"/>
        <v>April 2021</v>
      </c>
    </row>
    <row r="19" spans="6:22" ht="30" x14ac:dyDescent="0.25">
      <c r="F19" s="111" t="s">
        <v>744</v>
      </c>
      <c r="H19" s="112" t="s">
        <v>44</v>
      </c>
      <c r="I19" s="113">
        <v>3</v>
      </c>
      <c r="M19" s="99" t="s">
        <v>96</v>
      </c>
      <c r="N19" s="101" t="s">
        <v>270</v>
      </c>
      <c r="P19" s="401" t="s">
        <v>363</v>
      </c>
      <c r="Q19" s="402">
        <v>1</v>
      </c>
      <c r="U19" s="114" t="str">
        <f t="shared" si="0"/>
        <v>Mar2021</v>
      </c>
      <c r="V19" s="115" t="str">
        <f t="shared" si="1"/>
        <v>March 2021</v>
      </c>
    </row>
    <row r="20" spans="6:22" ht="30" x14ac:dyDescent="0.25">
      <c r="F20" s="111" t="s">
        <v>746</v>
      </c>
      <c r="H20" s="112" t="s">
        <v>16</v>
      </c>
      <c r="I20" s="113">
        <v>23</v>
      </c>
      <c r="M20" s="99" t="s">
        <v>97</v>
      </c>
      <c r="N20" s="100" t="s">
        <v>271</v>
      </c>
      <c r="P20" s="403" t="s">
        <v>344</v>
      </c>
      <c r="Q20" s="404">
        <v>1</v>
      </c>
      <c r="U20" s="114" t="str">
        <f t="shared" si="0"/>
        <v>Feb2021</v>
      </c>
      <c r="V20" s="115" t="str">
        <f t="shared" si="1"/>
        <v>February 2021</v>
      </c>
    </row>
    <row r="21" spans="6:22" ht="30" x14ac:dyDescent="0.25">
      <c r="F21" s="111" t="s">
        <v>18</v>
      </c>
      <c r="H21" s="112" t="s">
        <v>17</v>
      </c>
      <c r="I21" s="113">
        <v>1</v>
      </c>
      <c r="M21" s="99" t="s">
        <v>98</v>
      </c>
      <c r="N21" s="100" t="s">
        <v>272</v>
      </c>
      <c r="U21" s="114" t="str">
        <f t="shared" si="0"/>
        <v>Jan2021</v>
      </c>
      <c r="V21" s="115" t="str">
        <f t="shared" si="1"/>
        <v>January 2021</v>
      </c>
    </row>
    <row r="22" spans="6:22" ht="30" x14ac:dyDescent="0.25">
      <c r="F22" s="111" t="s">
        <v>45</v>
      </c>
      <c r="H22" s="112" t="s">
        <v>19</v>
      </c>
      <c r="I22" s="113">
        <v>9</v>
      </c>
      <c r="M22" s="99" t="s">
        <v>99</v>
      </c>
      <c r="N22" s="100" t="s">
        <v>273</v>
      </c>
      <c r="U22" s="114" t="str">
        <f t="shared" si="0"/>
        <v>Dec2020</v>
      </c>
      <c r="V22" s="115" t="str">
        <f t="shared" si="1"/>
        <v>December 2020</v>
      </c>
    </row>
    <row r="23" spans="6:22" ht="30" x14ac:dyDescent="0.25">
      <c r="F23" s="111" t="s">
        <v>19</v>
      </c>
      <c r="H23" s="112" t="s">
        <v>45</v>
      </c>
      <c r="I23" s="113">
        <v>4</v>
      </c>
      <c r="M23" s="99" t="s">
        <v>100</v>
      </c>
      <c r="N23" s="100" t="s">
        <v>274</v>
      </c>
      <c r="U23" s="114" t="str">
        <f t="shared" si="0"/>
        <v>Nov2020</v>
      </c>
      <c r="V23" s="115" t="str">
        <f t="shared" si="1"/>
        <v>November 2020</v>
      </c>
    </row>
    <row r="24" spans="6:22" ht="45" x14ac:dyDescent="0.25">
      <c r="F24" s="111" t="s">
        <v>20</v>
      </c>
      <c r="H24" s="112" t="s">
        <v>20</v>
      </c>
      <c r="I24" s="113">
        <v>9</v>
      </c>
      <c r="M24" s="99" t="s">
        <v>101</v>
      </c>
      <c r="N24" s="100" t="s">
        <v>275</v>
      </c>
      <c r="U24" s="114" t="str">
        <f t="shared" si="0"/>
        <v>Oct2020</v>
      </c>
      <c r="V24" s="115" t="str">
        <f t="shared" si="1"/>
        <v>October 2020</v>
      </c>
    </row>
    <row r="25" spans="6:22" ht="30" x14ac:dyDescent="0.25">
      <c r="F25" s="111" t="s">
        <v>21</v>
      </c>
      <c r="H25" s="112" t="s">
        <v>21</v>
      </c>
      <c r="I25" s="113">
        <v>11</v>
      </c>
      <c r="M25" s="99" t="s">
        <v>102</v>
      </c>
      <c r="N25" s="100" t="s">
        <v>276</v>
      </c>
      <c r="U25" s="114" t="str">
        <f t="shared" si="0"/>
        <v>Sep2020</v>
      </c>
      <c r="V25" s="115" t="str">
        <f t="shared" si="1"/>
        <v>September 2020</v>
      </c>
    </row>
    <row r="26" spans="6:22" ht="30" x14ac:dyDescent="0.25">
      <c r="F26" s="111" t="s">
        <v>22</v>
      </c>
      <c r="H26" s="112" t="s">
        <v>46</v>
      </c>
      <c r="I26" s="113">
        <v>11.2</v>
      </c>
      <c r="M26" s="99" t="s">
        <v>103</v>
      </c>
      <c r="N26" s="100" t="s">
        <v>277</v>
      </c>
      <c r="U26" s="114" t="str">
        <f t="shared" si="0"/>
        <v>Aug2020</v>
      </c>
      <c r="V26" s="115" t="str">
        <f t="shared" si="1"/>
        <v>August 2020</v>
      </c>
    </row>
    <row r="27" spans="6:22" ht="30.75" customHeight="1" x14ac:dyDescent="0.25">
      <c r="F27" s="111" t="s">
        <v>23</v>
      </c>
      <c r="H27" s="112" t="s">
        <v>47</v>
      </c>
      <c r="I27" s="113">
        <v>11.1</v>
      </c>
      <c r="M27" s="99" t="s">
        <v>104</v>
      </c>
      <c r="N27" s="100" t="s">
        <v>278</v>
      </c>
      <c r="U27" s="114" t="str">
        <f t="shared" si="0"/>
        <v>Jul2020</v>
      </c>
      <c r="V27" s="115" t="str">
        <f t="shared" si="1"/>
        <v>July 2020</v>
      </c>
    </row>
    <row r="28" spans="6:22" ht="30.75" customHeight="1" x14ac:dyDescent="0.25">
      <c r="F28" s="111" t="s">
        <v>24</v>
      </c>
      <c r="H28" s="112" t="s">
        <v>326</v>
      </c>
      <c r="I28" s="113" t="s">
        <v>328</v>
      </c>
      <c r="M28" s="541" t="s">
        <v>26</v>
      </c>
      <c r="N28" s="542" t="str">
        <f>""</f>
        <v/>
      </c>
      <c r="U28" s="114" t="str">
        <f t="shared" si="0"/>
        <v>Jun2020</v>
      </c>
      <c r="V28" s="115" t="str">
        <f t="shared" si="1"/>
        <v>June 2020</v>
      </c>
    </row>
    <row r="29" spans="6:22" ht="30.75" customHeight="1" thickBot="1" x14ac:dyDescent="0.3">
      <c r="F29" s="111" t="s">
        <v>747</v>
      </c>
      <c r="H29" s="112" t="s">
        <v>324</v>
      </c>
      <c r="I29" s="113" t="s">
        <v>330</v>
      </c>
      <c r="M29" s="102" t="s">
        <v>378</v>
      </c>
      <c r="N29" s="103" t="str">
        <f>""</f>
        <v/>
      </c>
      <c r="U29" s="114" t="str">
        <f t="shared" si="0"/>
        <v>May2020</v>
      </c>
      <c r="V29" s="115" t="str">
        <f t="shared" si="1"/>
        <v>May 2020</v>
      </c>
    </row>
    <row r="30" spans="6:22" ht="30.75" customHeight="1" thickBot="1" x14ac:dyDescent="0.3">
      <c r="F30" s="119" t="s">
        <v>25</v>
      </c>
      <c r="H30" s="112" t="s">
        <v>327</v>
      </c>
      <c r="I30" s="113" t="s">
        <v>329</v>
      </c>
      <c r="N30" s="18"/>
      <c r="U30" s="725" t="str">
        <f t="shared" si="0"/>
        <v>Apr2020</v>
      </c>
      <c r="V30" s="726" t="str">
        <f t="shared" si="1"/>
        <v>April 2020</v>
      </c>
    </row>
    <row r="31" spans="6:22" ht="30.75" customHeight="1" x14ac:dyDescent="0.25">
      <c r="H31" s="112" t="s">
        <v>23</v>
      </c>
      <c r="I31" s="113">
        <v>17</v>
      </c>
      <c r="N31" s="18"/>
    </row>
    <row r="32" spans="6:22" ht="30.75" customHeight="1" x14ac:dyDescent="0.25">
      <c r="H32" s="112" t="s">
        <v>48</v>
      </c>
      <c r="I32" s="113">
        <v>17.2</v>
      </c>
      <c r="N32" s="18"/>
    </row>
    <row r="33" spans="8:14" ht="30.75" customHeight="1" x14ac:dyDescent="0.25">
      <c r="H33" s="112" t="s">
        <v>49</v>
      </c>
      <c r="I33" s="113">
        <v>17.100000000000001</v>
      </c>
      <c r="N33" s="18"/>
    </row>
    <row r="34" spans="8:14" ht="30.75" customHeight="1" x14ac:dyDescent="0.25">
      <c r="H34" s="112" t="s">
        <v>50</v>
      </c>
      <c r="I34" s="113">
        <v>19.2</v>
      </c>
      <c r="N34" s="18"/>
    </row>
    <row r="35" spans="8:14" ht="30.75" customHeight="1" x14ac:dyDescent="0.25">
      <c r="H35" s="112" t="s">
        <v>51</v>
      </c>
      <c r="I35" s="113">
        <v>21.1</v>
      </c>
      <c r="N35" s="18"/>
    </row>
    <row r="36" spans="8:14" ht="30.75" customHeight="1" x14ac:dyDescent="0.25">
      <c r="H36" s="112" t="s">
        <v>24</v>
      </c>
      <c r="I36" s="113">
        <v>18</v>
      </c>
      <c r="N36" s="18"/>
    </row>
    <row r="37" spans="8:14" ht="30.75" customHeight="1" x14ac:dyDescent="0.25">
      <c r="H37" s="112" t="s">
        <v>52</v>
      </c>
      <c r="I37" s="113">
        <v>18.2</v>
      </c>
      <c r="N37" s="18"/>
    </row>
    <row r="38" spans="8:14" ht="30.75" customHeight="1" x14ac:dyDescent="0.25">
      <c r="H38" s="112" t="s">
        <v>53</v>
      </c>
      <c r="I38" s="113">
        <v>18.100000000000001</v>
      </c>
      <c r="N38" s="18"/>
    </row>
    <row r="39" spans="8:14" ht="30.75" customHeight="1" x14ac:dyDescent="0.25">
      <c r="H39" s="112" t="s">
        <v>25</v>
      </c>
      <c r="I39" s="113">
        <v>24</v>
      </c>
      <c r="N39" s="18"/>
    </row>
    <row r="40" spans="8:14" ht="30" customHeight="1" x14ac:dyDescent="0.25">
      <c r="H40" s="399" t="s">
        <v>679</v>
      </c>
      <c r="I40" s="400"/>
      <c r="N40" s="18"/>
    </row>
    <row r="41" spans="8:14" ht="30" customHeight="1" x14ac:dyDescent="0.25">
      <c r="H41" s="401"/>
      <c r="I41" s="506"/>
      <c r="N41" s="18"/>
    </row>
    <row r="42" spans="8:14" ht="30" customHeight="1" x14ac:dyDescent="0.25">
      <c r="H42" s="401" t="s">
        <v>45</v>
      </c>
      <c r="I42" s="506">
        <f ca="1">IF(ISNA(OFFSET($I$6,MATCH($H42,$H$7:$H$39),0)),"",OFFSET($I$6,MATCH($H42,$H$7:$H$39),0))</f>
        <v>4</v>
      </c>
      <c r="N42" s="18"/>
    </row>
    <row r="43" spans="8:14" ht="30" customHeight="1" x14ac:dyDescent="0.25">
      <c r="H43" s="401"/>
      <c r="I43" s="506" t="str">
        <f ca="1">IF(ISNA(OFFSET($I$6,MATCH($H43,$H$7:$H$39),0)),"",OFFSET($I$6,MATCH($H43,$H$7:$H$39),0))</f>
        <v/>
      </c>
      <c r="N43" s="18"/>
    </row>
    <row r="44" spans="8:14" ht="30" customHeight="1" x14ac:dyDescent="0.25">
      <c r="H44" s="401"/>
      <c r="I44" s="506" t="str">
        <f ca="1">IF(ISNA(OFFSET($I$6,MATCH($H44,$H$7:$H$39),0)),"",OFFSET($I$6,MATCH($H44,$H$7:$H$39),0))</f>
        <v/>
      </c>
      <c r="N44" s="18"/>
    </row>
    <row r="45" spans="8:14" ht="30" customHeight="1" x14ac:dyDescent="0.25">
      <c r="H45" s="401"/>
      <c r="I45" s="506" t="str">
        <f t="shared" ref="I45:I50" ca="1" si="2">IF(ISNA(OFFSET($I$6,MATCH($H45,$H$7:$H$39),0)),"",OFFSET($I$6,MATCH($H45,$H$7:$H$39),0))</f>
        <v/>
      </c>
      <c r="N45" s="18"/>
    </row>
    <row r="46" spans="8:14" ht="30" customHeight="1" x14ac:dyDescent="0.25">
      <c r="H46" s="401"/>
      <c r="I46" s="506" t="str">
        <f t="shared" ca="1" si="2"/>
        <v/>
      </c>
      <c r="N46" s="18"/>
    </row>
    <row r="47" spans="8:14" ht="30" customHeight="1" x14ac:dyDescent="0.25">
      <c r="H47" s="401"/>
      <c r="I47" s="506" t="str">
        <f t="shared" ca="1" si="2"/>
        <v/>
      </c>
      <c r="N47" s="18"/>
    </row>
    <row r="48" spans="8:14" ht="30" customHeight="1" x14ac:dyDescent="0.25">
      <c r="H48" s="401"/>
      <c r="I48" s="506" t="str">
        <f t="shared" ca="1" si="2"/>
        <v/>
      </c>
      <c r="N48" s="18"/>
    </row>
    <row r="49" spans="8:14" ht="30" customHeight="1" x14ac:dyDescent="0.25">
      <c r="H49" s="401"/>
      <c r="I49" s="506" t="str">
        <f t="shared" ca="1" si="2"/>
        <v/>
      </c>
      <c r="N49" s="18"/>
    </row>
    <row r="50" spans="8:14" ht="30" customHeight="1" x14ac:dyDescent="0.25">
      <c r="H50" s="403"/>
      <c r="I50" s="544" t="str">
        <f t="shared" ca="1" si="2"/>
        <v/>
      </c>
      <c r="N50" s="18"/>
    </row>
    <row r="51" spans="8:14" ht="30" customHeight="1" x14ac:dyDescent="0.25">
      <c r="N51" s="18"/>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Ph39A3VOhISu6H8kekihn7Jio+xEV+XbcbGjO153RJU08J4ixOqVxUJXGzkTECaysgqu7lLt+Sa7MWYt/nZcYQ==" saltValue="r5fKJRdiRhAsMfqgqEHWsw=="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230" t="s">
        <v>285</v>
      </c>
      <c r="B1" s="230"/>
      <c r="C1" s="230" t="s">
        <v>704</v>
      </c>
      <c r="D1" s="123"/>
    </row>
    <row r="2" spans="1:4" ht="26.25" x14ac:dyDescent="0.25">
      <c r="A2" s="230" t="s">
        <v>380</v>
      </c>
      <c r="B2" s="3"/>
      <c r="C2" s="230" t="s">
        <v>500</v>
      </c>
      <c r="D2" s="123"/>
    </row>
    <row r="3" spans="1:4" ht="26.25" customHeight="1" x14ac:dyDescent="0.25">
      <c r="A3" s="230"/>
      <c r="B3" s="3"/>
      <c r="C3" s="3"/>
    </row>
    <row r="4" spans="1:4" ht="47.25" x14ac:dyDescent="0.25">
      <c r="A4" s="227"/>
      <c r="B4" s="228" t="s">
        <v>651</v>
      </c>
      <c r="C4" s="228"/>
    </row>
    <row r="5" spans="1:4" ht="27" thickBot="1" x14ac:dyDescent="0.3">
      <c r="A5" s="225"/>
      <c r="B5" s="229" t="s">
        <v>27</v>
      </c>
      <c r="C5" s="229"/>
      <c r="D5" s="97"/>
    </row>
    <row r="6" spans="1:4" ht="15" customHeight="1" x14ac:dyDescent="0.25">
      <c r="A6" s="227"/>
      <c r="B6" s="231"/>
      <c r="C6" s="231"/>
    </row>
    <row r="7" spans="1:4" ht="75" customHeight="1" x14ac:dyDescent="0.25">
      <c r="A7" s="130" t="s">
        <v>641</v>
      </c>
      <c r="B7" s="194" t="s">
        <v>657</v>
      </c>
      <c r="C7" s="130" t="s">
        <v>641</v>
      </c>
      <c r="D7" s="511" t="s">
        <v>693</v>
      </c>
    </row>
    <row r="8" spans="1:4" ht="32.25" x14ac:dyDescent="0.25">
      <c r="A8" s="130" t="s">
        <v>642</v>
      </c>
      <c r="B8" s="511" t="s">
        <v>635</v>
      </c>
      <c r="C8" s="130" t="s">
        <v>642</v>
      </c>
      <c r="D8" s="15" t="s">
        <v>659</v>
      </c>
    </row>
    <row r="9" spans="1:4" ht="99.95" customHeight="1" x14ac:dyDescent="0.25">
      <c r="A9" s="130" t="s">
        <v>643</v>
      </c>
      <c r="B9" s="511" t="s">
        <v>653</v>
      </c>
      <c r="C9" s="130" t="s">
        <v>643</v>
      </c>
      <c r="D9" s="15" t="s">
        <v>307</v>
      </c>
    </row>
    <row r="10" spans="1:4" ht="75" x14ac:dyDescent="0.25">
      <c r="A10" s="130" t="s">
        <v>644</v>
      </c>
      <c r="B10" s="511" t="s">
        <v>636</v>
      </c>
      <c r="C10" s="130" t="s">
        <v>644</v>
      </c>
      <c r="D10" s="15" t="s">
        <v>308</v>
      </c>
    </row>
    <row r="11" spans="1:4" ht="69.95" customHeight="1" x14ac:dyDescent="0.25">
      <c r="A11" s="130" t="s">
        <v>645</v>
      </c>
      <c r="B11" s="511" t="s">
        <v>637</v>
      </c>
      <c r="C11" s="130" t="s">
        <v>645</v>
      </c>
      <c r="D11" s="15" t="s">
        <v>309</v>
      </c>
    </row>
    <row r="12" spans="1:4" ht="60" x14ac:dyDescent="0.25">
      <c r="A12" s="130" t="s">
        <v>646</v>
      </c>
      <c r="B12" s="511" t="s">
        <v>638</v>
      </c>
      <c r="C12" s="130"/>
    </row>
    <row r="13" spans="1:4" ht="54.95" customHeight="1" x14ac:dyDescent="0.25">
      <c r="A13" s="130" t="s">
        <v>647</v>
      </c>
      <c r="B13" s="511" t="s">
        <v>639</v>
      </c>
      <c r="C13" s="130"/>
    </row>
    <row r="14" spans="1:4" ht="54.95" customHeight="1" x14ac:dyDescent="0.25">
      <c r="A14" s="130" t="s">
        <v>648</v>
      </c>
      <c r="B14" s="511" t="s">
        <v>658</v>
      </c>
      <c r="C14" s="130"/>
    </row>
    <row r="15" spans="1:4" ht="39.950000000000003" customHeight="1" x14ac:dyDescent="0.25">
      <c r="A15" s="130" t="s">
        <v>649</v>
      </c>
      <c r="B15" s="511" t="s">
        <v>640</v>
      </c>
      <c r="C15" s="130"/>
      <c r="D15" s="299"/>
    </row>
    <row r="16" spans="1:4" ht="24.95" customHeight="1" x14ac:dyDescent="0.25">
      <c r="A16" s="130" t="s">
        <v>650</v>
      </c>
      <c r="B16" s="15" t="s">
        <v>309</v>
      </c>
      <c r="C16" s="226"/>
      <c r="D16" s="28" t="str">
        <f>Edition_Date</f>
        <v>1/3/2023 Edition</v>
      </c>
    </row>
    <row r="17" spans="1:3" ht="90" customHeight="1" x14ac:dyDescent="0.25">
      <c r="A17" s="130"/>
      <c r="B17" s="194"/>
      <c r="C17" s="226"/>
    </row>
    <row r="19" spans="1:3" x14ac:dyDescent="0.25">
      <c r="B19" s="511"/>
    </row>
    <row r="22" spans="1:3" x14ac:dyDescent="0.25">
      <c r="B22" s="511"/>
    </row>
  </sheetData>
  <sheetProtection algorithmName="SHA-512" hashValue="5m+3gzCo0IJ9QCveAZ+h9qE5MW7MeN98Q/IJzPXLcJg5HoW41ig2YZZX90H5GNh2/vfgFgkfi3V/HBXMLfoBPA==" saltValue="pj6dS/cvgjB3FuyEhdWiMg=="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3"/>
  <sheetViews>
    <sheetView showGridLines="0" tabSelected="1" view="pageBreakPreview" zoomScaleNormal="100" zoomScaleSheetLayoutView="100" workbookViewId="0">
      <selection activeCell="D24" sqref="D24"/>
    </sheetView>
  </sheetViews>
  <sheetFormatPr defaultColWidth="9.140625" defaultRowHeight="15" x14ac:dyDescent="0.25"/>
  <cols>
    <col min="1" max="1" width="44.7109375" style="7" customWidth="1"/>
    <col min="2" max="2" width="5.7109375" style="7" customWidth="1"/>
    <col min="3" max="3" width="23.85546875" style="7" customWidth="1"/>
    <col min="4" max="6" width="12.7109375" style="7" customWidth="1"/>
    <col min="7" max="7" width="23.140625" style="7" customWidth="1"/>
    <col min="8" max="8" width="0.85546875" style="7" customWidth="1"/>
    <col min="9" max="9" width="5.28515625" style="7" hidden="1" customWidth="1"/>
    <col min="10" max="10" width="195.42578125" style="6" bestFit="1" customWidth="1"/>
    <col min="11" max="16384" width="9.140625" style="7"/>
  </cols>
  <sheetData>
    <row r="1" spans="1:10" ht="15.75" thickBot="1" x14ac:dyDescent="0.3">
      <c r="A1" s="10" t="s">
        <v>31</v>
      </c>
      <c r="B1" s="10"/>
      <c r="E1" s="10" t="s">
        <v>33</v>
      </c>
      <c r="G1" s="12" t="str">
        <f>Co_Name</f>
        <v>State Farm General Insurance Company</v>
      </c>
      <c r="H1" s="12"/>
      <c r="J1" s="86" t="s">
        <v>661</v>
      </c>
    </row>
    <row r="2" spans="1:10" x14ac:dyDescent="0.25">
      <c r="A2" s="10" t="s">
        <v>32</v>
      </c>
      <c r="B2" s="10"/>
      <c r="E2" s="10" t="s">
        <v>34</v>
      </c>
      <c r="G2" s="12" t="str">
        <f>General_Line</f>
        <v>Homeowners Multiple Peril</v>
      </c>
      <c r="H2" s="12"/>
      <c r="J2" s="207" t="s">
        <v>113</v>
      </c>
    </row>
    <row r="3" spans="1:10" ht="18" customHeight="1" x14ac:dyDescent="0.25">
      <c r="A3" s="10"/>
      <c r="B3" s="10"/>
      <c r="C3" s="186"/>
      <c r="I3" s="12"/>
      <c r="J3" s="262"/>
    </row>
    <row r="4" spans="1:10" ht="23.25" x14ac:dyDescent="0.25">
      <c r="A4" s="4" t="s">
        <v>655</v>
      </c>
      <c r="B4" s="4"/>
      <c r="C4" s="5"/>
      <c r="D4" s="5"/>
      <c r="E4" s="5"/>
      <c r="F4" s="5"/>
      <c r="G4" s="5"/>
      <c r="H4" s="5"/>
      <c r="I4" s="5"/>
      <c r="J4" s="262"/>
    </row>
    <row r="5" spans="1:10" ht="23.25" x14ac:dyDescent="0.25">
      <c r="A5" s="4" t="s">
        <v>656</v>
      </c>
      <c r="B5" s="4"/>
      <c r="C5" s="5"/>
      <c r="D5" s="5"/>
      <c r="E5" s="5"/>
      <c r="F5" s="5"/>
      <c r="G5" s="5"/>
      <c r="H5" s="5"/>
      <c r="I5" s="5"/>
      <c r="J5" s="263"/>
    </row>
    <row r="6" spans="1:10" ht="18" customHeight="1" x14ac:dyDescent="0.25">
      <c r="A6" s="8"/>
      <c r="B6" s="4"/>
      <c r="C6" s="5"/>
      <c r="D6" s="5"/>
      <c r="E6" s="5"/>
      <c r="F6" s="5"/>
      <c r="G6" s="5"/>
      <c r="H6" s="5"/>
      <c r="I6" s="5"/>
      <c r="J6" s="262"/>
    </row>
    <row r="7" spans="1:10" ht="18" customHeight="1" x14ac:dyDescent="0.25">
      <c r="A7" s="4"/>
      <c r="B7" s="4"/>
      <c r="C7" s="5"/>
      <c r="D7" s="5"/>
      <c r="E7" s="5"/>
      <c r="F7" s="5"/>
      <c r="G7" s="5"/>
      <c r="H7" s="5"/>
      <c r="I7" s="5"/>
      <c r="J7" s="262"/>
    </row>
    <row r="8" spans="1:10" ht="18" customHeight="1" x14ac:dyDescent="0.25">
      <c r="A8" s="8" t="s">
        <v>1</v>
      </c>
      <c r="B8" s="8"/>
      <c r="C8" s="296" t="s">
        <v>751</v>
      </c>
      <c r="D8" s="6"/>
      <c r="E8" s="311" t="s">
        <v>740</v>
      </c>
      <c r="F8" s="303">
        <v>44981</v>
      </c>
      <c r="G8" s="6"/>
      <c r="H8" s="6"/>
      <c r="I8" s="6"/>
      <c r="J8" s="283"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63"/>
    </row>
    <row r="10" spans="1:10" ht="18" customHeight="1" x14ac:dyDescent="0.25">
      <c r="A10" s="8" t="s">
        <v>365</v>
      </c>
      <c r="B10" s="8"/>
      <c r="C10" s="478"/>
      <c r="D10" s="6"/>
      <c r="E10" s="311" t="s">
        <v>739</v>
      </c>
      <c r="F10" s="303">
        <v>44985</v>
      </c>
      <c r="G10" s="6"/>
      <c r="H10" s="6"/>
      <c r="I10" s="6"/>
      <c r="J10" s="283"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97"/>
      <c r="D11" s="6"/>
      <c r="E11" s="6"/>
      <c r="F11" s="6"/>
      <c r="I11" s="9"/>
      <c r="J11" s="263"/>
    </row>
    <row r="12" spans="1:10" ht="15" customHeight="1" x14ac:dyDescent="0.25">
      <c r="A12" s="6"/>
      <c r="B12" s="6"/>
      <c r="C12" s="6"/>
      <c r="D12" s="6"/>
      <c r="E12" s="6"/>
      <c r="F12" s="6"/>
      <c r="G12" s="293"/>
      <c r="H12" s="293"/>
      <c r="I12" s="273"/>
      <c r="J12" s="263"/>
    </row>
    <row r="13" spans="1:10" ht="15" customHeight="1" x14ac:dyDescent="0.25">
      <c r="A13" s="8" t="s">
        <v>0</v>
      </c>
      <c r="B13" s="8"/>
      <c r="C13" s="742" t="s">
        <v>752</v>
      </c>
      <c r="D13" s="743"/>
      <c r="E13" s="743"/>
      <c r="F13" s="744"/>
      <c r="G13" s="293"/>
      <c r="H13" s="293"/>
      <c r="I13" s="273"/>
      <c r="J13" s="263"/>
    </row>
    <row r="14" spans="1:10" ht="15" customHeight="1" x14ac:dyDescent="0.25">
      <c r="A14" s="8"/>
      <c r="B14" s="8"/>
      <c r="C14" s="8"/>
      <c r="D14" s="8"/>
      <c r="E14" s="8"/>
      <c r="F14" s="8"/>
      <c r="G14" s="293"/>
      <c r="H14" s="293"/>
      <c r="I14" s="273"/>
      <c r="J14" s="263"/>
    </row>
    <row r="15" spans="1:10" ht="15" customHeight="1" x14ac:dyDescent="0.25">
      <c r="A15" s="130" t="s">
        <v>155</v>
      </c>
      <c r="B15" s="130"/>
      <c r="C15" s="1"/>
      <c r="D15" s="301" t="s">
        <v>79</v>
      </c>
      <c r="E15" s="301" t="s">
        <v>80</v>
      </c>
      <c r="F15" s="301" t="s">
        <v>81</v>
      </c>
      <c r="G15" s="293"/>
      <c r="H15" s="293"/>
      <c r="I15" s="273"/>
      <c r="J15" s="263"/>
    </row>
    <row r="16" spans="1:10" ht="15" customHeight="1" x14ac:dyDescent="0.25">
      <c r="A16" s="130"/>
      <c r="B16" s="130"/>
      <c r="C16" s="130"/>
      <c r="D16" s="302">
        <v>1</v>
      </c>
      <c r="E16" s="302"/>
      <c r="F16" s="302"/>
      <c r="G16" s="294"/>
      <c r="H16" s="294"/>
      <c r="I16" s="292"/>
      <c r="J16" s="283" t="str">
        <f>IF(SUM($D$16:$F$16)&lt;&gt;1,"← ERROR! Sum of all marketing systems must add to 100%.","")</f>
        <v/>
      </c>
    </row>
    <row r="17" spans="1:10" ht="15" customHeight="1" x14ac:dyDescent="0.25">
      <c r="A17" s="8"/>
      <c r="B17" s="8"/>
      <c r="C17" s="8"/>
      <c r="D17" s="8"/>
      <c r="E17" s="8"/>
      <c r="F17" s="8"/>
      <c r="G17" s="295"/>
      <c r="H17" s="295"/>
      <c r="I17" s="273"/>
      <c r="J17" s="263"/>
    </row>
    <row r="18" spans="1:10" ht="15" customHeight="1" x14ac:dyDescent="0.25">
      <c r="A18" s="8" t="s">
        <v>4</v>
      </c>
      <c r="B18" s="8"/>
      <c r="C18" s="8"/>
      <c r="D18" s="8"/>
      <c r="E18" s="8"/>
      <c r="F18" s="8"/>
      <c r="G18" s="295"/>
      <c r="H18" s="295"/>
      <c r="I18" s="273"/>
      <c r="J18" s="283" t="str">
        <f>IF(INDEX(List_LineType,References!$D$5,1)="","← ERROR! Select a Line Type from the pull-down menu.","")</f>
        <v/>
      </c>
    </row>
    <row r="19" spans="1:10" ht="15" customHeight="1" x14ac:dyDescent="0.25">
      <c r="A19" s="8"/>
      <c r="B19" s="8"/>
      <c r="C19" s="8"/>
      <c r="D19" s="8"/>
      <c r="E19" s="8"/>
      <c r="F19" s="8"/>
      <c r="G19" s="295"/>
      <c r="H19" s="295"/>
      <c r="I19" s="273"/>
      <c r="J19" s="263"/>
    </row>
    <row r="20" spans="1:10" ht="15" customHeight="1" x14ac:dyDescent="0.25">
      <c r="A20" s="8" t="s">
        <v>7</v>
      </c>
      <c r="B20" s="8"/>
      <c r="C20" s="8"/>
      <c r="D20" s="8"/>
      <c r="E20" s="8"/>
      <c r="F20" s="8"/>
      <c r="G20" s="293"/>
      <c r="H20" s="293"/>
      <c r="I20" s="273"/>
      <c r="J20" s="283" t="str">
        <f>IF(INDEX(List_GeneralLine,References!$F$5,1)="","← ERROR! Select a General Line from the pull-down menu.","")</f>
        <v/>
      </c>
    </row>
    <row r="21" spans="1:10" ht="15" customHeight="1" x14ac:dyDescent="0.25">
      <c r="A21" s="8"/>
      <c r="B21" s="8"/>
      <c r="C21" s="8"/>
      <c r="D21" s="8"/>
      <c r="E21" s="8"/>
      <c r="F21" s="8"/>
      <c r="G21" s="295"/>
      <c r="H21" s="295"/>
      <c r="I21" s="273"/>
      <c r="J21" s="263"/>
    </row>
    <row r="22" spans="1:10" ht="15" customHeight="1" x14ac:dyDescent="0.25">
      <c r="A22" s="8"/>
      <c r="B22" s="8"/>
      <c r="C22" s="8"/>
      <c r="D22" s="8"/>
      <c r="E22" s="8"/>
      <c r="F22" s="8"/>
      <c r="G22" s="295"/>
      <c r="H22" s="295"/>
      <c r="I22" s="273"/>
      <c r="J22" s="283"/>
    </row>
    <row r="23" spans="1:10" ht="15" customHeight="1" x14ac:dyDescent="0.25">
      <c r="A23" s="130" t="s">
        <v>82</v>
      </c>
      <c r="B23" s="130"/>
      <c r="C23" s="130"/>
      <c r="D23" s="303">
        <v>45323</v>
      </c>
      <c r="E23" s="8"/>
      <c r="F23" s="8"/>
      <c r="G23" s="295"/>
      <c r="H23" s="295"/>
      <c r="I23" s="273"/>
      <c r="J23" s="475" t="str">
        <f>IF(ISBLANK($D$23),"← ERROR! Enter a proposed effective date.",IF($D$23&lt;=$D$22,"← ERROR! Proposed effective date must be after prior effective date.",""))</f>
        <v/>
      </c>
    </row>
    <row r="24" spans="1:10" ht="15" customHeight="1" x14ac:dyDescent="0.25">
      <c r="A24" s="8"/>
      <c r="B24" s="8"/>
      <c r="C24" s="8"/>
      <c r="D24" s="8"/>
      <c r="E24" s="8"/>
      <c r="F24" s="8"/>
      <c r="G24" s="295"/>
      <c r="H24" s="295"/>
      <c r="I24" s="273"/>
      <c r="J24" s="263"/>
    </row>
    <row r="25" spans="1:10" ht="15" customHeight="1" x14ac:dyDescent="0.25">
      <c r="A25" s="8" t="s">
        <v>364</v>
      </c>
      <c r="B25" s="8"/>
      <c r="C25" s="8" t="s">
        <v>702</v>
      </c>
      <c r="D25" s="8"/>
      <c r="E25" s="395" t="str">
        <f>IF(Settings!$E$24=FALSE,"(LCM Calculation(s) is(are) hidden unless this box is checked.)","")</f>
        <v>(LCM Calculation(s) is(are) hidden unless this box is checked.)</v>
      </c>
      <c r="F25" s="8"/>
      <c r="G25" s="295"/>
      <c r="H25" s="295"/>
      <c r="I25" s="273"/>
      <c r="J25" s="263"/>
    </row>
    <row r="26" spans="1:10" ht="4.9000000000000004" hidden="1" customHeight="1" x14ac:dyDescent="0.25">
      <c r="A26" s="6"/>
      <c r="B26" s="6"/>
      <c r="C26" s="6"/>
      <c r="D26" s="6"/>
      <c r="E26" s="6"/>
      <c r="F26" s="6"/>
      <c r="G26" s="295"/>
      <c r="H26" s="295"/>
      <c r="I26" s="273"/>
      <c r="J26" s="263"/>
    </row>
    <row r="27" spans="1:10" ht="18" hidden="1" customHeight="1" x14ac:dyDescent="0.25">
      <c r="A27" s="130" t="s">
        <v>748</v>
      </c>
      <c r="B27" s="6"/>
      <c r="C27" s="6"/>
      <c r="D27" s="6"/>
      <c r="E27" s="6"/>
      <c r="F27" s="6"/>
      <c r="G27" s="295"/>
      <c r="H27" s="295"/>
      <c r="I27" s="273"/>
      <c r="J27" s="263"/>
    </row>
    <row r="28" spans="1:10" ht="15" customHeight="1" x14ac:dyDescent="0.25">
      <c r="A28" s="8"/>
      <c r="B28" s="8"/>
      <c r="C28" s="6"/>
      <c r="D28" s="6"/>
      <c r="E28" s="6"/>
      <c r="F28" s="6"/>
      <c r="G28" s="295"/>
      <c r="H28" s="295"/>
      <c r="I28" s="273"/>
      <c r="J28" s="263"/>
    </row>
    <row r="29" spans="1:10" ht="15" customHeight="1" x14ac:dyDescent="0.25">
      <c r="A29" s="8" t="s">
        <v>386</v>
      </c>
      <c r="B29" s="8"/>
      <c r="C29" s="413">
        <v>20222</v>
      </c>
      <c r="D29" s="6"/>
      <c r="E29" s="6"/>
      <c r="F29" s="6"/>
      <c r="G29" s="295"/>
      <c r="H29" s="295"/>
      <c r="I29" s="273"/>
      <c r="J29" s="62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468" t="s">
        <v>601</v>
      </c>
      <c r="B30" s="8"/>
      <c r="C30" s="520"/>
      <c r="D30" s="6"/>
      <c r="E30" s="6"/>
      <c r="F30" s="6"/>
      <c r="G30" s="295"/>
      <c r="H30" s="295"/>
      <c r="I30" s="273"/>
      <c r="J30" s="620"/>
    </row>
    <row r="31" spans="1:10" ht="30" customHeight="1" x14ac:dyDescent="0.25">
      <c r="A31" s="8"/>
      <c r="B31" s="8"/>
      <c r="C31" s="745" t="s">
        <v>660</v>
      </c>
      <c r="D31" s="745"/>
      <c r="E31" s="745"/>
      <c r="F31" s="6"/>
      <c r="G31" s="295"/>
      <c r="H31" s="295"/>
      <c r="I31" s="273"/>
      <c r="J31" s="263"/>
    </row>
    <row r="32" spans="1:10" ht="60" x14ac:dyDescent="0.25">
      <c r="A32" s="415" t="s">
        <v>382</v>
      </c>
      <c r="B32" s="415"/>
      <c r="C32" s="414" t="s">
        <v>634</v>
      </c>
      <c r="D32" s="414" t="s">
        <v>561</v>
      </c>
      <c r="E32" s="414" t="s">
        <v>680</v>
      </c>
      <c r="G32" s="295"/>
      <c r="H32" s="9"/>
      <c r="I32" s="9"/>
      <c r="J32" s="263"/>
    </row>
    <row r="33" spans="1:10" ht="5.0999999999999996" customHeight="1" x14ac:dyDescent="0.25">
      <c r="G33" s="295"/>
      <c r="J33" s="509"/>
    </row>
    <row r="34" spans="1:10" ht="20.100000000000001" customHeight="1" x14ac:dyDescent="0.25">
      <c r="A34" s="300">
        <v>2</v>
      </c>
      <c r="C34" s="609" t="s">
        <v>754</v>
      </c>
      <c r="D34" s="302">
        <v>0.114</v>
      </c>
      <c r="E34" s="303">
        <v>44287</v>
      </c>
      <c r="G34" s="295"/>
      <c r="J34" s="50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300">
        <v>1</v>
      </c>
      <c r="C35" s="609"/>
      <c r="D35" s="302"/>
      <c r="E35" s="303"/>
      <c r="G35" s="295"/>
      <c r="J35" s="509" t="str">
        <f t="shared" si="0"/>
        <v/>
      </c>
    </row>
    <row r="36" spans="1:10" ht="20.100000000000001" customHeight="1" x14ac:dyDescent="0.25">
      <c r="A36" s="300">
        <v>1</v>
      </c>
      <c r="C36" s="609"/>
      <c r="D36" s="302"/>
      <c r="E36" s="303"/>
      <c r="G36" s="295"/>
      <c r="J36" s="509" t="str">
        <f t="shared" si="0"/>
        <v/>
      </c>
    </row>
    <row r="37" spans="1:10" ht="20.100000000000001" customHeight="1" x14ac:dyDescent="0.25">
      <c r="A37" s="300">
        <v>1</v>
      </c>
      <c r="C37" s="609"/>
      <c r="D37" s="302"/>
      <c r="E37" s="303"/>
      <c r="G37" s="295"/>
      <c r="J37" s="509" t="str">
        <f t="shared" si="0"/>
        <v/>
      </c>
    </row>
    <row r="38" spans="1:10" ht="20.100000000000001" customHeight="1" x14ac:dyDescent="0.25">
      <c r="A38" s="300">
        <v>1</v>
      </c>
      <c r="C38" s="609"/>
      <c r="D38" s="302"/>
      <c r="E38" s="303"/>
      <c r="G38" s="295"/>
      <c r="J38" s="509" t="str">
        <f t="shared" si="0"/>
        <v/>
      </c>
    </row>
    <row r="39" spans="1:10" ht="20.100000000000001" customHeight="1" x14ac:dyDescent="0.25">
      <c r="A39" s="300">
        <v>1</v>
      </c>
      <c r="C39" s="609"/>
      <c r="D39" s="302"/>
      <c r="E39" s="303"/>
      <c r="G39" s="295"/>
      <c r="J39" s="509" t="str">
        <f t="shared" si="0"/>
        <v/>
      </c>
    </row>
    <row r="40" spans="1:10" ht="20.100000000000001" customHeight="1" x14ac:dyDescent="0.25">
      <c r="A40" s="300">
        <v>1</v>
      </c>
      <c r="C40" s="609"/>
      <c r="D40" s="302"/>
      <c r="E40" s="303"/>
      <c r="G40" s="295"/>
      <c r="J40" s="509" t="str">
        <f t="shared" si="0"/>
        <v/>
      </c>
    </row>
    <row r="41" spans="1:10" ht="20.100000000000001" customHeight="1" x14ac:dyDescent="0.25">
      <c r="A41" s="300">
        <v>1</v>
      </c>
      <c r="C41" s="609"/>
      <c r="D41" s="302"/>
      <c r="E41" s="303"/>
      <c r="G41" s="295"/>
      <c r="J41" s="509" t="str">
        <f t="shared" si="0"/>
        <v/>
      </c>
    </row>
    <row r="42" spans="1:10" ht="20.100000000000001" customHeight="1" x14ac:dyDescent="0.25">
      <c r="A42" s="300">
        <v>1</v>
      </c>
      <c r="C42" s="609"/>
      <c r="D42" s="302"/>
      <c r="E42" s="303"/>
      <c r="G42" s="295"/>
      <c r="J42" s="509" t="str">
        <f t="shared" si="0"/>
        <v/>
      </c>
    </row>
    <row r="43" spans="1:10" ht="20.100000000000001" customHeight="1" x14ac:dyDescent="0.25">
      <c r="A43" s="300">
        <v>1</v>
      </c>
      <c r="C43" s="609"/>
      <c r="D43" s="302"/>
      <c r="E43" s="303"/>
      <c r="G43" s="295"/>
      <c r="J43" s="509" t="str">
        <f t="shared" si="0"/>
        <v/>
      </c>
    </row>
    <row r="44" spans="1:10" ht="20.100000000000001" customHeight="1" x14ac:dyDescent="0.25">
      <c r="A44" s="329"/>
      <c r="B44" s="329"/>
      <c r="C44" s="329"/>
      <c r="G44" s="295"/>
      <c r="J44" s="475"/>
    </row>
    <row r="45" spans="1:10" ht="20.100000000000001" customHeight="1" x14ac:dyDescent="0.25">
      <c r="A45" s="512"/>
      <c r="B45" s="512"/>
      <c r="C45" s="512"/>
      <c r="J45" s="475"/>
    </row>
    <row r="46" spans="1:10" x14ac:dyDescent="0.25">
      <c r="A46" s="10" t="s">
        <v>602</v>
      </c>
      <c r="J46" s="263"/>
    </row>
    <row r="47" spans="1:10" ht="18" customHeight="1" x14ac:dyDescent="0.25">
      <c r="A47" s="7" t="s">
        <v>604</v>
      </c>
      <c r="D47" s="28" t="s">
        <v>83</v>
      </c>
      <c r="E47" s="504" t="s">
        <v>654</v>
      </c>
      <c r="I47" s="510">
        <v>2</v>
      </c>
      <c r="J47" s="475"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7" t="s">
        <v>610</v>
      </c>
      <c r="E48" s="505"/>
      <c r="I48" s="510">
        <v>2</v>
      </c>
      <c r="J48" s="475"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8"/>
      <c r="E49" s="505"/>
      <c r="J49" s="476"/>
    </row>
    <row r="51" spans="1:10" x14ac:dyDescent="0.25">
      <c r="A51" s="1" t="s">
        <v>624</v>
      </c>
      <c r="B51" s="1"/>
      <c r="C51" s="507"/>
    </row>
    <row r="52" spans="1:10" x14ac:dyDescent="0.25">
      <c r="A52"/>
      <c r="B52"/>
      <c r="C52"/>
    </row>
    <row r="53" spans="1:10" x14ac:dyDescent="0.25">
      <c r="A53"/>
      <c r="B53"/>
      <c r="C53"/>
    </row>
  </sheetData>
  <sheetProtection algorithmName="SHA-512" hashValue="HlMEaBSgTMzn9XWpK6EWakmfV+U1hOBo7iqWYJ1IKxXX2DL1T+WJIMA//wSxk/IPccCN2D14MRO/mqHRBZ8/3g==" saltValue="3dfvtIrcAnky/wM0ieDCvA=="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&amp;L1/3/2023 Edition
&amp;CPrior Approval Rate Template
Portions of the material contained in this document are protected by copyright owned by the State Farm Mutual Automobile Insurance Company, 2023&amp;RPage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election activeCell="E25" sqref="E25"/>
    </sheetView>
  </sheetViews>
  <sheetFormatPr defaultColWidth="9.140625" defaultRowHeight="15" x14ac:dyDescent="0.25"/>
  <cols>
    <col min="1" max="1" width="30" style="14" customWidth="1"/>
    <col min="2" max="4" width="18.7109375" style="14" customWidth="1"/>
    <col min="5" max="6" width="17.7109375" style="68" customWidth="1"/>
    <col min="7" max="7" width="15.7109375" style="14" customWidth="1"/>
    <col min="8" max="8" width="18.7109375" style="14" hidden="1" customWidth="1"/>
    <col min="9" max="9" width="102.42578125" style="14" bestFit="1" customWidth="1"/>
    <col min="10" max="16384" width="9.140625" style="14"/>
  </cols>
  <sheetData>
    <row r="1" spans="1:9" ht="15.75" thickBot="1" x14ac:dyDescent="0.3">
      <c r="A1" s="8" t="s">
        <v>31</v>
      </c>
      <c r="B1" s="6"/>
      <c r="C1" s="6"/>
      <c r="D1" s="8" t="s">
        <v>33</v>
      </c>
      <c r="E1" s="211"/>
      <c r="G1" s="311" t="str">
        <f>Co_Name</f>
        <v>State Farm General Insurance Company</v>
      </c>
      <c r="I1" s="86" t="s">
        <v>662</v>
      </c>
    </row>
    <row r="2" spans="1:9" x14ac:dyDescent="0.25">
      <c r="A2" s="8" t="s">
        <v>32</v>
      </c>
      <c r="B2" s="689"/>
      <c r="C2" s="6"/>
      <c r="D2" s="8" t="s">
        <v>34</v>
      </c>
      <c r="E2" s="211"/>
      <c r="G2" s="311" t="str">
        <f>General_Line</f>
        <v>Homeowners Multiple Peril</v>
      </c>
      <c r="I2" s="207" t="s">
        <v>113</v>
      </c>
    </row>
    <row r="3" spans="1:9" x14ac:dyDescent="0.25">
      <c r="B3" s="688"/>
      <c r="D3" s="181" t="s">
        <v>142</v>
      </c>
      <c r="E3" s="182"/>
      <c r="F3" s="182"/>
      <c r="G3" s="312" t="str">
        <f>CDI_FileNo</f>
        <v/>
      </c>
      <c r="I3" s="265"/>
    </row>
    <row r="4" spans="1:9" ht="18" customHeight="1" x14ac:dyDescent="0.25">
      <c r="D4" s="8"/>
      <c r="G4" s="311"/>
      <c r="I4" s="265"/>
    </row>
    <row r="5" spans="1:9" ht="23.25" x14ac:dyDescent="0.25">
      <c r="A5" s="4" t="s">
        <v>655</v>
      </c>
      <c r="B5" s="4"/>
      <c r="C5" s="5"/>
      <c r="D5" s="5"/>
      <c r="E5" s="5"/>
      <c r="F5" s="5"/>
      <c r="G5" s="5"/>
      <c r="I5" s="265"/>
    </row>
    <row r="6" spans="1:9" ht="23.25" x14ac:dyDescent="0.25">
      <c r="A6" s="4" t="s">
        <v>381</v>
      </c>
      <c r="B6" s="4"/>
      <c r="C6" s="5"/>
      <c r="D6" s="5"/>
      <c r="E6" s="5"/>
      <c r="F6" s="5"/>
      <c r="G6" s="5"/>
      <c r="I6" s="265"/>
    </row>
    <row r="7" spans="1:9" ht="15.75" thickBot="1" x14ac:dyDescent="0.3">
      <c r="I7" s="265"/>
    </row>
    <row r="8" spans="1:9" ht="45.75" thickBot="1" x14ac:dyDescent="0.3">
      <c r="A8" s="306" t="s">
        <v>634</v>
      </c>
      <c r="B8" s="307" t="str">
        <f>IF(New_Program=TRUE,"Projected ","Latest Year Adjusted ")&amp;"Annual Premium ($)"</f>
        <v>Latest Year Adjusted Annual Premium ($)</v>
      </c>
      <c r="C8" s="308" t="s">
        <v>383</v>
      </c>
      <c r="D8" s="309" t="s">
        <v>384</v>
      </c>
      <c r="E8" s="308" t="s">
        <v>696</v>
      </c>
      <c r="F8" s="309" t="s">
        <v>697</v>
      </c>
      <c r="G8" s="309" t="s">
        <v>367</v>
      </c>
      <c r="H8" s="308" t="s">
        <v>612</v>
      </c>
      <c r="I8" s="622"/>
    </row>
    <row r="9" spans="1:9" x14ac:dyDescent="0.25">
      <c r="A9" s="612" t="str">
        <f>IF(Covg01="","",Covg01)</f>
        <v>Rental Dwelling</v>
      </c>
      <c r="B9" s="313">
        <f>IF(Covg01="","",IF(New_Program=TRUE,'7.1Rate Change Calculation'!$H$48,'7.1Rate Change Calculation'!$G$48))</f>
        <v>250983585.71184143</v>
      </c>
      <c r="C9" s="496">
        <f ca="1">IF(Covg01="","",IF(Rein_Indicator=TRUE,"NA",(1+E9)*$B9))</f>
        <v>231776674.61747023</v>
      </c>
      <c r="D9" s="497">
        <f ca="1">IF(Covg01="","",(1+F9)*$B9)</f>
        <v>317249936.32498246</v>
      </c>
      <c r="E9" s="486">
        <f ca="1">IF(Covg01="","",IF(Rein_Indicator=TRUE,"NA",'7.1Rate Change Calculation'!CHANGE_AT_MIN))</f>
        <v>-7.65265626431164E-2</v>
      </c>
      <c r="F9" s="487">
        <f ca="1">IF(Covg01="","",IF(Rein_Indicator=TRUE,'7.1Rate Change Calculation'!Rein_CHANGE_AT_MAX,'7.1Rate Change Calculation'!CHANGE_AT_MAX))</f>
        <v>0.26402663116472708</v>
      </c>
      <c r="G9" s="487">
        <f t="array" ref="G9:G18">IF('1.General'!$C$34:$C$43="","",'1.General'!$D$34:$D$43)</f>
        <v>0.114</v>
      </c>
      <c r="H9" s="314">
        <f>IF(Covg01="","",IF(New_Program=TRUE,$B9,(1+$G9)*$B9))</f>
        <v>279595714.4829914</v>
      </c>
      <c r="I9" s="621" t="str">
        <f ca="1">IF(Covg01="","",IF(AND(ROUND($G9,3)&gt;=ROUND($E9,3),ROUND($G9,3)&lt;=ROUND($F9,3)),"","← WARNING! Proposed % is outside of range of permitted rate changes."))</f>
        <v/>
      </c>
    </row>
    <row r="10" spans="1:9" x14ac:dyDescent="0.25">
      <c r="A10" s="612" t="str">
        <f>IF(Covg02="","",Covg02)</f>
        <v/>
      </c>
      <c r="B10" s="313" t="str">
        <f>IF(Covg02="","",IF(New_Program=TRUE,'7.2Rate Change Calculation'!$H$48,'7.2Rate Change Calculation'!$G$48))</f>
        <v/>
      </c>
      <c r="C10" s="496" t="str">
        <f>IF(Covg02="","",IF(Rein_Indicator=TRUE,"NA",(1+E10)*$B10))</f>
        <v/>
      </c>
      <c r="D10" s="497" t="str">
        <f>IF(Covg02="","",(1+F10)*$B10)</f>
        <v/>
      </c>
      <c r="E10" s="486" t="str">
        <f>IF(Covg02="","",IF(Rein_Indicator=TRUE,"NA",'7.2Rate Change Calculation'!CHANGE_AT_MIN))</f>
        <v/>
      </c>
      <c r="F10" s="487" t="str">
        <f>IF(Covg02="","",IF(Rein_Indicator=TRUE,'7.2Rate Change Calculation'!Rein_CHANGE_AT_MAX,'7.2Rate Change Calculation'!CHANGE_AT_MAX))</f>
        <v/>
      </c>
      <c r="G10" s="487" t="str">
        <v/>
      </c>
      <c r="H10" s="314" t="str">
        <f>IF(Covg02="","",IF(New_Program=TRUE,$B10,(1+$G10)*$B10))</f>
        <v/>
      </c>
      <c r="I10" s="621" t="str">
        <f>IF(Covg02="","",IF(AND(ROUND($G10,3)&gt;=ROUND($E10,3),ROUND($G10,3)&lt;=ROUND($F10,3)),"","← WARNING! Proposed % is outside of range of permitted rate changes."))</f>
        <v/>
      </c>
    </row>
    <row r="11" spans="1:9" x14ac:dyDescent="0.25">
      <c r="A11" s="612" t="str">
        <f>IF(Covg03="","",Covg03)</f>
        <v/>
      </c>
      <c r="B11" s="313" t="str">
        <f>IF(Covg03="","",IF(New_Program=TRUE,'7.3Rate Change Calculation'!$H$48,'7.3Rate Change Calculation'!$G$48))</f>
        <v/>
      </c>
      <c r="C11" s="496" t="str">
        <f>IF(Covg03="","",IF(Rein_Indicator=TRUE,"NA",(1+E11)*$B11))</f>
        <v/>
      </c>
      <c r="D11" s="497" t="str">
        <f>IF(Covg03="","",(1+F11)*$B11)</f>
        <v/>
      </c>
      <c r="E11" s="486" t="str">
        <f>IF(Covg03="","",IF(Rein_Indicator=TRUE,"NA",'7.3Rate Change Calculation'!CHANGE_AT_MIN))</f>
        <v/>
      </c>
      <c r="F11" s="487" t="str">
        <f>IF(Covg03="","",IF(Rein_Indicator=TRUE,'7.3Rate Change Calculation'!Rein_CHANGE_AT_MAX,'7.3Rate Change Calculation'!CHANGE_AT_MAX))</f>
        <v/>
      </c>
      <c r="G11" s="487" t="str">
        <v/>
      </c>
      <c r="H11" s="314" t="str">
        <f>IF(Covg03="","",IF(New_Program=TRUE,$B11,(1+$G11)*$B11))</f>
        <v/>
      </c>
      <c r="I11" s="621" t="str">
        <f>IF(Covg03="","",IF(AND(ROUND($G11,3)&gt;=ROUND($E11,3),ROUND($G11,3)&lt;=ROUND($F11,3)),"","← WARNING! Proposed % is outside of range of permitted rate changes."))</f>
        <v/>
      </c>
    </row>
    <row r="12" spans="1:9" x14ac:dyDescent="0.25">
      <c r="A12" s="612" t="str">
        <f>IF(Covg04="","",Covg04)</f>
        <v/>
      </c>
      <c r="B12" s="313" t="str">
        <f>IF(Covg04="","",IF(New_Program=TRUE,'7.4Rate Change Calculation'!$H$48,'7.4Rate Change Calculation'!$G$48))</f>
        <v/>
      </c>
      <c r="C12" s="496" t="str">
        <f>IF(Covg04="","",IF(Rein_Indicator=TRUE,"NA",(1+E12)*$B12))</f>
        <v/>
      </c>
      <c r="D12" s="497" t="str">
        <f>IF(Covg04="","",(1+F12)*$B12)</f>
        <v/>
      </c>
      <c r="E12" s="486" t="str">
        <f>IF(Covg04="","",IF(Rein_Indicator=TRUE,"NA",'7.4Rate Change Calculation'!CHANGE_AT_MIN))</f>
        <v/>
      </c>
      <c r="F12" s="487" t="str">
        <f>IF(Covg04="","",IF(Rein_Indicator=TRUE,'7.4Rate Change Calculation'!Rein_CHANGE_AT_MAX,'7.4Rate Change Calculation'!CHANGE_AT_MAX))</f>
        <v/>
      </c>
      <c r="G12" s="487" t="str">
        <v/>
      </c>
      <c r="H12" s="314" t="str">
        <f>IF(Covg04="","",IF(New_Program=TRUE,$B12,(1+$G12)*$B12))</f>
        <v/>
      </c>
      <c r="I12" s="621" t="str">
        <f>IF(Covg04="","",IF(AND(ROUND($G12,3)&gt;=ROUND($E12,3),ROUND($G12,3)&lt;=ROUND($F12,3)),"","← WARNING! Proposed % is outside of range of permitted rate changes."))</f>
        <v/>
      </c>
    </row>
    <row r="13" spans="1:9" x14ac:dyDescent="0.25">
      <c r="A13" s="612" t="str">
        <f>IF(Covg05="","",Covg05)</f>
        <v/>
      </c>
      <c r="B13" s="313" t="str">
        <f>IF(Covg05="","",IF(New_Program=TRUE,'7.5Rate Change Calculation'!$H$48,'7.5Rate Change Calculation'!$G$48))</f>
        <v/>
      </c>
      <c r="C13" s="496" t="str">
        <f>IF(Covg05="","",IF(Rein_Indicator=TRUE,"NA",(1+E13)*$B13))</f>
        <v/>
      </c>
      <c r="D13" s="497" t="str">
        <f>IF(Covg05="","",(1+F13)*$B13)</f>
        <v/>
      </c>
      <c r="E13" s="486" t="str">
        <f>IF(Covg05="","",IF(Rein_Indicator=TRUE,"NA",'7.5Rate Change Calculation'!CHANGE_AT_MIN))</f>
        <v/>
      </c>
      <c r="F13" s="487" t="str">
        <f>IF(Covg05="","",IF(Rein_Indicator=TRUE,'7.5Rate Change Calculation'!Rein_CHANGE_AT_MAX,'7.5Rate Change Calculation'!CHANGE_AT_MAX))</f>
        <v/>
      </c>
      <c r="G13" s="487" t="str">
        <v/>
      </c>
      <c r="H13" s="314" t="str">
        <f>IF(Covg05="","",IF(New_Program=TRUE,$B13,(1+$G13)*$B13))</f>
        <v/>
      </c>
      <c r="I13" s="621" t="str">
        <f>IF(Covg05="","",IF(AND(ROUND($G13,3)&gt;=ROUND($E13,3),ROUND($G13,3)&lt;=ROUND($F13,3)),"","← WARNING! Proposed % is outside of range of permitted rate changes."))</f>
        <v/>
      </c>
    </row>
    <row r="14" spans="1:9" x14ac:dyDescent="0.25">
      <c r="A14" s="612" t="str">
        <f>IF(Covg06="","",Covg06)</f>
        <v/>
      </c>
      <c r="B14" s="313" t="str">
        <f>IF(Covg06="","",IF(New_Program=TRUE,'7.6Rate Change Calculation'!$H$48,'7.6Rate Change Calculation'!$G$48))</f>
        <v/>
      </c>
      <c r="C14" s="496" t="str">
        <f>IF(Covg06="","",IF(Rein_Indicator=TRUE,"NA",(1+E14)*$B14))</f>
        <v/>
      </c>
      <c r="D14" s="497" t="str">
        <f>IF(Covg06="","",(1+F14)*$B14)</f>
        <v/>
      </c>
      <c r="E14" s="486" t="str">
        <f>IF(Covg06="","",IF(Rein_Indicator=TRUE,"NA",'7.6Rate Change Calculation'!CHANGE_AT_MIN))</f>
        <v/>
      </c>
      <c r="F14" s="487" t="str">
        <f>IF(Covg06="","",IF(Rein_Indicator=TRUE,'7.6Rate Change Calculation'!Rein_CHANGE_AT_MAX,'7.6Rate Change Calculation'!CHANGE_AT_MAX))</f>
        <v/>
      </c>
      <c r="G14" s="487" t="str">
        <v/>
      </c>
      <c r="H14" s="314" t="str">
        <f>IF(Covg06="","",IF(New_Program=TRUE,$B14,(1+$G14)*$B14))</f>
        <v/>
      </c>
      <c r="I14" s="621" t="str">
        <f>IF(Covg06="","",IF(AND(ROUND($G14,3)&gt;=ROUND($E14,3),ROUND($G14,3)&lt;=ROUND($F14,3)),"","← WARNING! Proposed % is outside of range of permitted rate changes."))</f>
        <v/>
      </c>
    </row>
    <row r="15" spans="1:9" x14ac:dyDescent="0.25">
      <c r="A15" s="612" t="str">
        <f>IF(Covg07="","",Covg07)</f>
        <v/>
      </c>
      <c r="B15" s="313" t="str">
        <f>IF(Covg07="","",IF(New_Program=TRUE,'7.7Rate Change Calculation'!$H$48,'7.7Rate Change Calculation'!$G$48))</f>
        <v/>
      </c>
      <c r="C15" s="496" t="str">
        <f>IF(Covg07="","",IF(Rein_Indicator=TRUE,"NA",(1+E15)*$B15))</f>
        <v/>
      </c>
      <c r="D15" s="497" t="str">
        <f>IF(Covg07="","",(1+F15)*$B15)</f>
        <v/>
      </c>
      <c r="E15" s="486" t="str">
        <f>IF(Covg07="","",IF(Rein_Indicator=TRUE,"NA",'7.7Rate Change Calculation'!CHANGE_AT_MIN))</f>
        <v/>
      </c>
      <c r="F15" s="487" t="str">
        <f>IF(Covg07="","",IF(Rein_Indicator=TRUE,'7.7Rate Change Calculation'!Rein_CHANGE_AT_MAX,'7.7Rate Change Calculation'!CHANGE_AT_MAX))</f>
        <v/>
      </c>
      <c r="G15" s="487" t="str">
        <v/>
      </c>
      <c r="H15" s="314" t="str">
        <f>IF(Covg07="","",IF(New_Program=TRUE,$B15,(1+$G15)*$B15))</f>
        <v/>
      </c>
      <c r="I15" s="621" t="str">
        <f>IF(Covg07="","",IF(AND(ROUND($G15,3)&gt;=ROUND($E15,3),ROUND($G15,3)&lt;=ROUND($F15,3)),"","← WARNING! Proposed % is outside of range of permitted rate changes."))</f>
        <v/>
      </c>
    </row>
    <row r="16" spans="1:9" x14ac:dyDescent="0.25">
      <c r="A16" s="612" t="str">
        <f>IF(Covg08="","",Covg08)</f>
        <v/>
      </c>
      <c r="B16" s="313" t="str">
        <f>IF(Covg08="","",IF(New_Program=TRUE,'7.8Rate Change Calculation'!$H$48,'7.8Rate Change Calculation'!$G$48))</f>
        <v/>
      </c>
      <c r="C16" s="496" t="str">
        <f>IF(Covg08="","",IF(Rein_Indicator=TRUE,"NA",(1+E16)*$B16))</f>
        <v/>
      </c>
      <c r="D16" s="497" t="str">
        <f>IF(Covg08="","",(1+F16)*$B16)</f>
        <v/>
      </c>
      <c r="E16" s="486" t="str">
        <f>IF(Covg08="","",IF(Rein_Indicator=TRUE,"NA",'7.8Rate Change Calculation'!CHANGE_AT_MIN))</f>
        <v/>
      </c>
      <c r="F16" s="487" t="str">
        <f>IF(Covg08="","",IF(Rein_Indicator=TRUE,'7.8Rate Change Calculation'!Rein_CHANGE_AT_MAX,'7.8Rate Change Calculation'!CHANGE_AT_MAX))</f>
        <v/>
      </c>
      <c r="G16" s="487" t="str">
        <v/>
      </c>
      <c r="H16" s="314" t="str">
        <f>IF(Covg08="","",IF(New_Program=TRUE,$B16,(1+$G16)*$B16))</f>
        <v/>
      </c>
      <c r="I16" s="621" t="str">
        <f>IF(Covg08="","",IF(AND(ROUND($G16,3)&gt;=ROUND($E16,3),ROUND($G16,3)&lt;=ROUND($F16,3)),"","← WARNING! Proposed % is outside of range of permitted rate changes."))</f>
        <v/>
      </c>
    </row>
    <row r="17" spans="1:9" x14ac:dyDescent="0.25">
      <c r="A17" s="612" t="str">
        <f>IF(Covg09="","",Covg09)</f>
        <v/>
      </c>
      <c r="B17" s="313" t="str">
        <f>IF(Covg09="","",IF(New_Program=TRUE,'7.9Rate Change Calculation'!$H$48,'7.9Rate Change Calculation'!$G$48))</f>
        <v/>
      </c>
      <c r="C17" s="496" t="str">
        <f>IF(Covg09="","",IF(Rein_Indicator=TRUE,"NA",(1+E17)*$B17))</f>
        <v/>
      </c>
      <c r="D17" s="497" t="str">
        <f>IF(Covg09="","",(1+F17)*$B17)</f>
        <v/>
      </c>
      <c r="E17" s="486" t="str">
        <f>IF(Covg09="","",IF(Rein_Indicator=TRUE,"NA",'7.9Rate Change Calculation'!CHANGE_AT_MIN))</f>
        <v/>
      </c>
      <c r="F17" s="487" t="str">
        <f>IF(Covg09="","",IF(Rein_Indicator=TRUE,'7.9Rate Change Calculation'!Rein_CHANGE_AT_MAX,'7.9Rate Change Calculation'!CHANGE_AT_MAX))</f>
        <v/>
      </c>
      <c r="G17" s="487" t="str">
        <v/>
      </c>
      <c r="H17" s="314" t="str">
        <f>IF(Covg09="","",IF(New_Program=TRUE,$B17,(1+$G17)*$B17))</f>
        <v/>
      </c>
      <c r="I17" s="621" t="str">
        <f>IF(Covg09="","",IF(AND(ROUND($G17,3)&gt;=ROUND($E17,3),ROUND($G17,3)&lt;=ROUND($F17,3)),"","← WARNING! Proposed % is outside of range of permitted rate changes."))</f>
        <v/>
      </c>
    </row>
    <row r="18" spans="1:9" ht="15.75" thickBot="1" x14ac:dyDescent="0.3">
      <c r="A18" s="613" t="str">
        <f>IF(Covg10="","",Covg10)</f>
        <v/>
      </c>
      <c r="B18" s="316" t="str">
        <f>IF(Covg10="","",IF(New_Program=TRUE,'7.10Rate Change Calculation'!$H$48,'7.10Rate Change Calculation'!$G$48))</f>
        <v/>
      </c>
      <c r="C18" s="498" t="str">
        <f>IF(Covg10="","",IF(Rein_Indicator=TRUE,"NA",(1+E18)*$B18))</f>
        <v/>
      </c>
      <c r="D18" s="499" t="str">
        <f>IF(Covg10="","",(1+F18)*$B18)</f>
        <v/>
      </c>
      <c r="E18" s="488" t="str">
        <f>IF(Covg10="","",IF(Rein_Indicator=TRUE,"NA",'7.10Rate Change Calculation'!CHANGE_AT_MIN))</f>
        <v/>
      </c>
      <c r="F18" s="489" t="str">
        <f>IF(Covg10="","",IF(Rein_Indicator=TRUE,'7.10Rate Change Calculation'!Rein_CHANGE_AT_MAX,'7.10Rate Change Calculation'!CHANGE_AT_MAX))</f>
        <v/>
      </c>
      <c r="G18" s="489" t="str">
        <v/>
      </c>
      <c r="H18" s="516" t="str">
        <f>IF(Covg10="","",IF(New_Program=TRUE,$B18,(1+$G18)*$B18))</f>
        <v/>
      </c>
      <c r="I18" s="621" t="str">
        <f>IF(Covg10="","",IF(AND(ROUND($G18,3)&gt;=ROUND($E18,3),ROUND($G18,3)&lt;=ROUND($F18,3)),"","← WARNING! Proposed % is outside of range of permitted rate changes."))</f>
        <v/>
      </c>
    </row>
    <row r="19" spans="1:9" ht="21.75" thickBot="1" x14ac:dyDescent="0.3">
      <c r="A19" s="318" t="s">
        <v>378</v>
      </c>
      <c r="B19" s="319">
        <f>IF(AND(Covg01="",Covg02="",Covg03="",Covg04="",Covg05="",Covg06="",Covg07="",Covg08="",Covg09="",Covg10=""),"",SUM(B9:B18))</f>
        <v>250983585.71184143</v>
      </c>
      <c r="C19" s="320">
        <f ca="1">IF(AND(Covg01="",Covg02="",Covg03="",Covg04="",Covg05="",Covg06="",Covg07="",Covg08="",Covg09="",Covg10=""),"",SUM(C9:C18))</f>
        <v>231776674.61747023</v>
      </c>
      <c r="D19" s="321">
        <f ca="1">IF(AND(Covg01="",Covg02="",Covg03="",Covg04="",Covg05="",Covg06="",Covg07="",Covg08="",Covg09="",Covg10=""),"",SUM(D9:D18))</f>
        <v>317249936.32498246</v>
      </c>
      <c r="E19" s="490">
        <f ca="1">IF(AND(Covg01="",Covg02="",Covg03="",Covg04="",Covg05="",Covg06="",Covg07="",Covg08="",Covg09="",Covg10=""),"",IF(Rein_Indicator=TRUE,"NA",SUMPRODUCT(E9:E18,$B$9:$B$18)/$B$19))</f>
        <v>-7.65265626431164E-2</v>
      </c>
      <c r="F19" s="491">
        <f ca="1">IF(AND(Covg01="",Covg02="",Covg03="",Covg04="",Covg05="",Covg06="",Covg07="",Covg08="",Covg09="",Covg10=""),"",SUMPRODUCT(F9:F18,$B$9:$B$18)/$B$19)</f>
        <v>0.26402663116472708</v>
      </c>
      <c r="G19" s="491">
        <f>IF(AND(Covg01="",Covg02="",Covg03="",Covg04="",Covg05="",Covg06="",Covg07="",Covg08="",Covg09="",Covg10=""),"",SUMPRODUCT(G9:G18,$B$9:$B$18)/$B$19)</f>
        <v>0.114</v>
      </c>
      <c r="H19" s="320">
        <f>IF(AND(Covg01="",Covg02="",Covg03="",Covg04="",Covg05="",Covg06="",Covg07="",Covg08="",Covg09="",Covg10=""),"",SUM(H9:H18))</f>
        <v>279595714.4829914</v>
      </c>
      <c r="I19" s="621" t="str">
        <f ca="1">IF(AND(Covg01="",Covg02="",Covg03="",Covg04="",Covg05="",Covg06="",Covg07="",Covg08="",Covg09="",Covg10=""),"",IF(AND(ROUND($G19,3)&gt;=ROUND($E19,3),ROUND($G19,3)&lt;=ROUND($F19,3)),"","← WARNING! Proposed % is outside of range of permitted rate changes."))</f>
        <v/>
      </c>
    </row>
    <row r="20" spans="1:9" ht="30" customHeight="1" x14ac:dyDescent="0.25">
      <c r="I20" s="265"/>
    </row>
    <row r="21" spans="1:9" x14ac:dyDescent="0.25">
      <c r="A21" s="130" t="s">
        <v>652</v>
      </c>
      <c r="C21" s="519">
        <f>'6.1Ratemaking Data'!I20</f>
        <v>269985.01</v>
      </c>
      <c r="I21" s="283"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65"/>
    </row>
    <row r="23" spans="1:9" ht="15.75" thickBot="1" x14ac:dyDescent="0.3">
      <c r="A23" s="746" t="s">
        <v>634</v>
      </c>
      <c r="B23" s="477" t="s">
        <v>385</v>
      </c>
      <c r="C23" s="304"/>
      <c r="D23" s="304"/>
      <c r="E23" s="305"/>
      <c r="F23" s="749" t="str">
        <f>IF(New_Program=TRUE,"Projected ","Latest Year ")&amp;"Earned Exposures"</f>
        <v>Latest Year Earned Exposures</v>
      </c>
      <c r="G23" s="748"/>
      <c r="I23" s="265"/>
    </row>
    <row r="24" spans="1:9" ht="52.5" customHeight="1" thickBot="1" x14ac:dyDescent="0.3">
      <c r="A24" s="747"/>
      <c r="B24" s="308" t="str">
        <f>IF(New_Program=TRUE,"Projected ","Latest Year Adjusted ")</f>
        <v xml:space="preserve">Latest Year Adjusted </v>
      </c>
      <c r="C24" s="310" t="s">
        <v>707</v>
      </c>
      <c r="D24" s="310" t="s">
        <v>708</v>
      </c>
      <c r="E24" s="309" t="s">
        <v>609</v>
      </c>
      <c r="F24" s="750"/>
      <c r="G24" s="748"/>
      <c r="I24" s="265"/>
    </row>
    <row r="25" spans="1:9" x14ac:dyDescent="0.25">
      <c r="A25" s="612" t="str">
        <f>IF(Covg01="","",Covg01)</f>
        <v>Rental Dwelling</v>
      </c>
      <c r="B25" s="317">
        <f>IF(Covg01="","",$B9/$F25)</f>
        <v>929.62044711979172</v>
      </c>
      <c r="C25" s="482">
        <f ca="1">IF(Covg01="","",'7.1Rate Change Calculation'!H66)</f>
        <v>845.30884791197514</v>
      </c>
      <c r="D25" s="483">
        <f ca="1">IF(Covg01="","",'7.1Rate Change Calculation'!H67)</f>
        <v>1157.0369564479233</v>
      </c>
      <c r="E25" s="166">
        <f>IF(Covg01="","",$H9/$F25)</f>
        <v>1035.5971780914481</v>
      </c>
      <c r="F25" s="514">
        <f>IF(Covg01="","",IF(New_Program=TRUE,'7.1Rate Change Calculation'!$H$21,'7.1Rate Change Calculation'!$G$21))</f>
        <v>269985.01</v>
      </c>
      <c r="G25" s="501"/>
      <c r="I25" s="265"/>
    </row>
    <row r="26" spans="1:9" x14ac:dyDescent="0.25">
      <c r="A26" s="612" t="str">
        <f>IF(Covg02="","",Covg02)</f>
        <v/>
      </c>
      <c r="B26" s="317" t="str">
        <f>IF(Covg02="","",$B10/$F26)</f>
        <v/>
      </c>
      <c r="C26" s="482" t="str">
        <f>IF(Covg02="","",'7.2Rate Change Calculation'!H66)</f>
        <v/>
      </c>
      <c r="D26" s="482" t="str">
        <f>IF(Covg02="","",'7.2Rate Change Calculation'!H67)</f>
        <v/>
      </c>
      <c r="E26" s="166" t="str">
        <f>IF(Covg02="","",$H10/$F26)</f>
        <v/>
      </c>
      <c r="F26" s="484" t="str">
        <f>IF(Covg02="","",IF(New_Program=TRUE,'7.2Rate Change Calculation'!$H$21,'7.2Rate Change Calculation'!$G$21))</f>
        <v/>
      </c>
      <c r="G26" s="501"/>
      <c r="I26" s="265"/>
    </row>
    <row r="27" spans="1:9" x14ac:dyDescent="0.25">
      <c r="A27" s="612" t="str">
        <f>IF(Covg03="","",Covg03)</f>
        <v/>
      </c>
      <c r="B27" s="317" t="str">
        <f>IF(Covg03="","",$B11/$F27)</f>
        <v/>
      </c>
      <c r="C27" s="482" t="str">
        <f>IF(Covg03="","",'7.3Rate Change Calculation'!H66)</f>
        <v/>
      </c>
      <c r="D27" s="482" t="str">
        <f>IF(Covg03="","",'7.3Rate Change Calculation'!H67)</f>
        <v/>
      </c>
      <c r="E27" s="166" t="str">
        <f>IF(Covg03="","",$H11/$F27)</f>
        <v/>
      </c>
      <c r="F27" s="484" t="str">
        <f>IF(Covg03="","",IF(New_Program=TRUE,'7.3Rate Change Calculation'!$H$21,'7.3Rate Change Calculation'!$G$21))</f>
        <v/>
      </c>
      <c r="G27" s="501"/>
      <c r="I27" s="265"/>
    </row>
    <row r="28" spans="1:9" x14ac:dyDescent="0.25">
      <c r="A28" s="612" t="str">
        <f>IF(Covg04="","",Covg04)</f>
        <v/>
      </c>
      <c r="B28" s="317" t="str">
        <f>IF(Covg04="","",$B12/$F28)</f>
        <v/>
      </c>
      <c r="C28" s="482" t="str">
        <f>IF(Covg04="","",'7.4Rate Change Calculation'!H66)</f>
        <v/>
      </c>
      <c r="D28" s="482" t="str">
        <f>IF(Covg04="","",'7.4Rate Change Calculation'!H67)</f>
        <v/>
      </c>
      <c r="E28" s="166" t="str">
        <f>IF(Covg04="","",$H12/$F28)</f>
        <v/>
      </c>
      <c r="F28" s="484" t="str">
        <f>IF(Covg04="","",IF(New_Program=TRUE,'7.4Rate Change Calculation'!$H$21,'7.4Rate Change Calculation'!$G$21))</f>
        <v/>
      </c>
      <c r="G28" s="501"/>
      <c r="I28" s="265"/>
    </row>
    <row r="29" spans="1:9" x14ac:dyDescent="0.25">
      <c r="A29" s="612" t="str">
        <f>IF(Covg05="","",Covg05)</f>
        <v/>
      </c>
      <c r="B29" s="317" t="str">
        <f>IF(Covg05="","",$B13/$F29)</f>
        <v/>
      </c>
      <c r="C29" s="482" t="str">
        <f>IF(Covg05="","",'7.5Rate Change Calculation'!H66)</f>
        <v/>
      </c>
      <c r="D29" s="482" t="str">
        <f>IF(Covg05="","",'7.5Rate Change Calculation'!H67)</f>
        <v/>
      </c>
      <c r="E29" s="166" t="str">
        <f>IF(Covg05="","",$H13/$F29)</f>
        <v/>
      </c>
      <c r="F29" s="484" t="str">
        <f>IF(Covg05="","",IF(New_Program=TRUE,'7.5Rate Change Calculation'!$H$21,'7.5Rate Change Calculation'!$G$21))</f>
        <v/>
      </c>
      <c r="G29" s="501"/>
      <c r="I29" s="265"/>
    </row>
    <row r="30" spans="1:9" x14ac:dyDescent="0.25">
      <c r="A30" s="612" t="str">
        <f>IF(Covg06="","",Covg06)</f>
        <v/>
      </c>
      <c r="B30" s="317" t="str">
        <f>IF(Covg06="","",$B14/$F30)</f>
        <v/>
      </c>
      <c r="C30" s="482" t="str">
        <f>IF(Covg06="","",'7.6Rate Change Calculation'!H66)</f>
        <v/>
      </c>
      <c r="D30" s="482" t="str">
        <f>IF(Covg06="","",'7.6Rate Change Calculation'!H67)</f>
        <v/>
      </c>
      <c r="E30" s="166" t="str">
        <f>IF(Covg06="","",$H14/$F30)</f>
        <v/>
      </c>
      <c r="F30" s="484" t="str">
        <f>IF(Covg06="","",IF(New_Program=TRUE,'7.6Rate Change Calculation'!$H$21,'7.6Rate Change Calculation'!$G$21))</f>
        <v/>
      </c>
      <c r="G30" s="501"/>
      <c r="I30" s="265"/>
    </row>
    <row r="31" spans="1:9" x14ac:dyDescent="0.25">
      <c r="A31" s="612" t="str">
        <f>IF(Covg07="","",Covg07)</f>
        <v/>
      </c>
      <c r="B31" s="317" t="str">
        <f>IF(Covg07="","",$B15/$F31)</f>
        <v/>
      </c>
      <c r="C31" s="482" t="str">
        <f>IF(Covg07="","",'7.7Rate Change Calculation'!H66)</f>
        <v/>
      </c>
      <c r="D31" s="482" t="str">
        <f>IF(Covg07="","",'7.7Rate Change Calculation'!H67)</f>
        <v/>
      </c>
      <c r="E31" s="166" t="str">
        <f>IF(Covg07="","",$H15/$F31)</f>
        <v/>
      </c>
      <c r="F31" s="484" t="str">
        <f>IF(Covg07="","",IF(New_Program=TRUE,'7.7Rate Change Calculation'!$H$21,'7.7Rate Change Calculation'!$G$21))</f>
        <v/>
      </c>
      <c r="G31" s="501"/>
      <c r="I31" s="265"/>
    </row>
    <row r="32" spans="1:9" x14ac:dyDescent="0.25">
      <c r="A32" s="612" t="str">
        <f>IF(Covg08="","",Covg08)</f>
        <v/>
      </c>
      <c r="B32" s="317" t="str">
        <f>IF(Covg08="","",$B16/$F32)</f>
        <v/>
      </c>
      <c r="C32" s="482" t="str">
        <f>IF(Covg08="","",'7.8Rate Change Calculation'!H66)</f>
        <v/>
      </c>
      <c r="D32" s="482" t="str">
        <f>IF(Covg08="","",'7.8Rate Change Calculation'!H67)</f>
        <v/>
      </c>
      <c r="E32" s="166" t="str">
        <f>IF(Covg08="","",$H16/$F32)</f>
        <v/>
      </c>
      <c r="F32" s="484" t="str">
        <f>IF(Covg08="","",IF(New_Program=TRUE,'7.8Rate Change Calculation'!$H$21,'7.8Rate Change Calculation'!$G$21))</f>
        <v/>
      </c>
      <c r="G32" s="501"/>
      <c r="I32" s="265"/>
    </row>
    <row r="33" spans="1:9" x14ac:dyDescent="0.25">
      <c r="A33" s="612" t="str">
        <f>IF(Covg09="","",Covg09)</f>
        <v/>
      </c>
      <c r="B33" s="317" t="str">
        <f>IF(Covg09="","",$B17/$F33)</f>
        <v/>
      </c>
      <c r="C33" s="482" t="str">
        <f>IF(Covg09="","",'7.9Rate Change Calculation'!H66)</f>
        <v/>
      </c>
      <c r="D33" s="482" t="str">
        <f>IF(Covg09="","",'7.9Rate Change Calculation'!H67)</f>
        <v/>
      </c>
      <c r="E33" s="166" t="str">
        <f>IF(Covg09="","",$H17/$F33)</f>
        <v/>
      </c>
      <c r="F33" s="484" t="str">
        <f>IF(Covg09="","",IF(New_Program=TRUE,'7.9Rate Change Calculation'!$H$21,'7.9Rate Change Calculation'!$G$21))</f>
        <v/>
      </c>
      <c r="G33" s="501"/>
      <c r="I33" s="265"/>
    </row>
    <row r="34" spans="1:9" ht="15.75" thickBot="1" x14ac:dyDescent="0.3">
      <c r="A34" s="613" t="str">
        <f>IF(Covg10="","",Covg10)</f>
        <v/>
      </c>
      <c r="B34" s="317" t="str">
        <f>IF(Covg10="","",$B18/$F34)</f>
        <v/>
      </c>
      <c r="C34" s="482" t="str">
        <f>IF(Covg10="","",'7.10Rate Change Calculation'!H66)</f>
        <v/>
      </c>
      <c r="D34" s="482" t="str">
        <f>IF(Covg10="","",'7.10Rate Change Calculation'!H67)</f>
        <v/>
      </c>
      <c r="E34" s="166" t="str">
        <f>IF(Covg10="","",$H18/$F34)</f>
        <v/>
      </c>
      <c r="F34" s="515" t="str">
        <f>IF(Covg10="","",IF(New_Program=TRUE,'7.10Rate Change Calculation'!$H$21,'7.10Rate Change Calculation'!$G$21))</f>
        <v/>
      </c>
      <c r="G34" s="501"/>
      <c r="I34" s="265"/>
    </row>
    <row r="35" spans="1:9" ht="21.75" thickBot="1" x14ac:dyDescent="0.3">
      <c r="A35" s="322" t="s">
        <v>378</v>
      </c>
      <c r="B35" s="503">
        <f>IF(AND(Covg01="",Covg02="",Covg03="",Covg04="",Covg05="",Covg06="",Covg07="",Covg08="",Covg09="",Covg10=""),"",$B19/$F35)</f>
        <v>929.62044711979172</v>
      </c>
      <c r="C35" s="323">
        <f ca="1">IF(AND(Covg01="",Covg02="",Covg03="",Covg04="",Covg05="",Covg06="",Covg07="",Covg08="",Covg09="",Covg10=""),"",$C19/$F35)</f>
        <v>858.47978973895704</v>
      </c>
      <c r="D35" s="323">
        <f ca="1">IF(AND(Covg01="",Covg02="",Covg03="",Covg04="",Covg05="",Covg06="",Covg07="",Covg08="",Covg09="",Covg10=""),"",$D19/$F35)</f>
        <v>1175.0650020346775</v>
      </c>
      <c r="E35" s="324">
        <f>IF(AND(Covg01="",Covg02="",Covg03="",Covg04="",Covg05="",Covg06="",Covg07="",Covg08="",Covg09="",Covg10=""),"",$H19/$F35)</f>
        <v>1035.5971780914481</v>
      </c>
      <c r="F35" s="615">
        <f>IF(ISBLANK($C$21),"",$C$21)</f>
        <v>269985.01</v>
      </c>
      <c r="G35" s="502"/>
      <c r="I35" s="517"/>
    </row>
    <row r="36" spans="1:9" ht="30" customHeight="1" thickBot="1" x14ac:dyDescent="0.3">
      <c r="I36" s="265"/>
    </row>
    <row r="37" spans="1:9" ht="45.75" thickBot="1" x14ac:dyDescent="0.3">
      <c r="A37" s="306" t="s">
        <v>634</v>
      </c>
      <c r="B37" s="308" t="str">
        <f>IF(New_Program=TRUE,"Projected ","Latest Year Adjusted ")&amp;"Annual Premium ($)"</f>
        <v>Latest Year Adjusted Annual Premium ($)</v>
      </c>
      <c r="C37" s="310" t="str">
        <f>IF(New_Program=TRUE,"Projected Annual ","Latest Year Projected ")&amp;"Ultimate Loss &amp; DCCE ($)"</f>
        <v>Latest Year Projected Ultimate Loss &amp; DCCE ($)</v>
      </c>
      <c r="D37" s="309" t="str">
        <f>IF(New_Program=TRUE,"Projected Annual ","Latest Year Projected ")&amp;"Ultimate Loss &amp; DCCE Ratio"</f>
        <v>Latest Year Projected Ultimate Loss &amp; DCCE Ratio</v>
      </c>
      <c r="H37" s="500"/>
      <c r="I37" s="265"/>
    </row>
    <row r="38" spans="1:9" x14ac:dyDescent="0.25">
      <c r="A38" s="612" t="str">
        <f>IF(Covg01="","",Covg01)</f>
        <v>Rental Dwelling</v>
      </c>
      <c r="B38" s="314">
        <f>$B9</f>
        <v>250983585.71184143</v>
      </c>
      <c r="C38" s="135">
        <f>IF(Covg01="","",IF(New_Program=TRUE,'7.1Rate Change Calculation'!$H$49+'7.1Rate Change Calculation'!$H$50,'7.1Rate Change Calculation'!$G$49+'7.1Rate Change Calculation'!$G$50))</f>
        <v>201239052.03903383</v>
      </c>
      <c r="D38" s="315">
        <f>IF(Covg01="","",C38/B38)</f>
        <v>0.80180164558681477</v>
      </c>
      <c r="H38" s="500"/>
      <c r="I38" s="265"/>
    </row>
    <row r="39" spans="1:9" x14ac:dyDescent="0.25">
      <c r="A39" s="612" t="str">
        <f>IF(Covg02="","",Covg02)</f>
        <v/>
      </c>
      <c r="B39" s="314" t="str">
        <f t="shared" ref="B39:B47" si="0">$B10</f>
        <v/>
      </c>
      <c r="C39" s="135" t="str">
        <f>IF(Covg02="","",IF(New_Program=TRUE,'7.2Rate Change Calculation'!$H$49+'7.2Rate Change Calculation'!$H$50,'7.2Rate Change Calculation'!$G$49+'7.2Rate Change Calculation'!$G$50))</f>
        <v/>
      </c>
      <c r="D39" s="315" t="str">
        <f>IF(Covg02="","",C39/B39)</f>
        <v/>
      </c>
      <c r="H39" s="500"/>
      <c r="I39" s="265"/>
    </row>
    <row r="40" spans="1:9" x14ac:dyDescent="0.25">
      <c r="A40" s="612" t="str">
        <f>IF(Covg03="","",Covg03)</f>
        <v/>
      </c>
      <c r="B40" s="314" t="str">
        <f t="shared" si="0"/>
        <v/>
      </c>
      <c r="C40" s="135" t="str">
        <f>IF(Covg03="","",IF(New_Program=TRUE,'7.3Rate Change Calculation'!$H$49+'7.3Rate Change Calculation'!$H$50,'7.3Rate Change Calculation'!$G$49+'7.3Rate Change Calculation'!$G$50))</f>
        <v/>
      </c>
      <c r="D40" s="315" t="str">
        <f>IF(Covg03="","",C40/B40)</f>
        <v/>
      </c>
      <c r="H40" s="500"/>
      <c r="I40" s="265"/>
    </row>
    <row r="41" spans="1:9" x14ac:dyDescent="0.25">
      <c r="A41" s="612" t="str">
        <f>IF(Covg04="","",Covg04)</f>
        <v/>
      </c>
      <c r="B41" s="314" t="str">
        <f t="shared" si="0"/>
        <v/>
      </c>
      <c r="C41" s="135" t="str">
        <f>IF(Covg04="","",IF(New_Program=TRUE,'7.4Rate Change Calculation'!$H$49+'7.4Rate Change Calculation'!$H$50,'7.4Rate Change Calculation'!$G$49+'7.4Rate Change Calculation'!$G$50))</f>
        <v/>
      </c>
      <c r="D41" s="315" t="str">
        <f>IF(Covg04="","",C41/B41)</f>
        <v/>
      </c>
      <c r="H41" s="500"/>
      <c r="I41" s="265"/>
    </row>
    <row r="42" spans="1:9" x14ac:dyDescent="0.25">
      <c r="A42" s="612" t="str">
        <f>IF(Covg05="","",Covg05)</f>
        <v/>
      </c>
      <c r="B42" s="314" t="str">
        <f t="shared" si="0"/>
        <v/>
      </c>
      <c r="C42" s="135" t="str">
        <f>IF(Covg05="","",IF(New_Program=TRUE,'7.5Rate Change Calculation'!$H$49+'7.5Rate Change Calculation'!$H$50,'7.5Rate Change Calculation'!$G$49+'7.5Rate Change Calculation'!$G$50))</f>
        <v/>
      </c>
      <c r="D42" s="315" t="str">
        <f>IF(Covg05="","",C42/B42)</f>
        <v/>
      </c>
      <c r="H42" s="500"/>
      <c r="I42" s="265"/>
    </row>
    <row r="43" spans="1:9" x14ac:dyDescent="0.25">
      <c r="A43" s="612" t="str">
        <f>IF(Covg06="","",Covg06)</f>
        <v/>
      </c>
      <c r="B43" s="314" t="str">
        <f t="shared" si="0"/>
        <v/>
      </c>
      <c r="C43" s="135" t="str">
        <f>IF(Covg06="","",IF(New_Program=TRUE,'7.6Rate Change Calculation'!$H$49+'7.6Rate Change Calculation'!$H$50,'7.6Rate Change Calculation'!$G$49+'7.6Rate Change Calculation'!$G$50))</f>
        <v/>
      </c>
      <c r="D43" s="315" t="str">
        <f>IF(Covg06="","",C43/B43)</f>
        <v/>
      </c>
      <c r="I43" s="265"/>
    </row>
    <row r="44" spans="1:9" x14ac:dyDescent="0.25">
      <c r="A44" s="612" t="str">
        <f>IF(Covg07="","",Covg07)</f>
        <v/>
      </c>
      <c r="B44" s="314" t="str">
        <f t="shared" si="0"/>
        <v/>
      </c>
      <c r="C44" s="135" t="str">
        <f>IF(Covg07="","",IF(New_Program=TRUE,'7.7Rate Change Calculation'!$H$49+'7.7Rate Change Calculation'!$H$50,'7.7Rate Change Calculation'!$G$49+'7.7Rate Change Calculation'!$G$50))</f>
        <v/>
      </c>
      <c r="D44" s="315" t="str">
        <f>IF(Covg07="","",C44/B44)</f>
        <v/>
      </c>
      <c r="I44" s="265"/>
    </row>
    <row r="45" spans="1:9" x14ac:dyDescent="0.25">
      <c r="A45" s="612" t="str">
        <f>IF(Covg08="","",Covg08)</f>
        <v/>
      </c>
      <c r="B45" s="314" t="str">
        <f t="shared" si="0"/>
        <v/>
      </c>
      <c r="C45" s="135" t="str">
        <f>IF(Covg08="","",IF(New_Program=TRUE,'7.8Rate Change Calculation'!$H$49+'7.8Rate Change Calculation'!$H$50,'7.8Rate Change Calculation'!$G$49+'7.8Rate Change Calculation'!$G$50))</f>
        <v/>
      </c>
      <c r="D45" s="315" t="str">
        <f>IF(Covg08="","",C45/B45)</f>
        <v/>
      </c>
      <c r="I45" s="265"/>
    </row>
    <row r="46" spans="1:9" x14ac:dyDescent="0.25">
      <c r="A46" s="612" t="str">
        <f>IF(Covg09="","",Covg09)</f>
        <v/>
      </c>
      <c r="B46" s="314" t="str">
        <f t="shared" si="0"/>
        <v/>
      </c>
      <c r="C46" s="135" t="str">
        <f>IF(Covg09="","",IF(New_Program=TRUE,'7.9Rate Change Calculation'!$H$49+'7.9Rate Change Calculation'!$H$50,'7.9Rate Change Calculation'!$G$49+'7.9Rate Change Calculation'!$G$50))</f>
        <v/>
      </c>
      <c r="D46" s="315" t="str">
        <f>IF(Covg09="","",C46/B46)</f>
        <v/>
      </c>
      <c r="I46" s="265"/>
    </row>
    <row r="47" spans="1:9" ht="15.75" thickBot="1" x14ac:dyDescent="0.3">
      <c r="A47" s="613" t="str">
        <f>IF(Covg10="","",Covg10)</f>
        <v/>
      </c>
      <c r="B47" s="314" t="str">
        <f t="shared" si="0"/>
        <v/>
      </c>
      <c r="C47" s="135" t="str">
        <f>IF(Covg10="","",IF(New_Program=TRUE,'7.10Rate Change Calculation'!$H$49+'7.10Rate Change Calculation'!$H$50,'7.10Rate Change Calculation'!$G$49+'7.10Rate Change Calculation'!$G$50))</f>
        <v/>
      </c>
      <c r="D47" s="315" t="str">
        <f>IF(Covg10="","",C47/B47)</f>
        <v/>
      </c>
      <c r="I47" s="265"/>
    </row>
    <row r="48" spans="1:9" ht="21.75" thickBot="1" x14ac:dyDescent="0.3">
      <c r="A48" s="322" t="s">
        <v>378</v>
      </c>
      <c r="B48" s="325">
        <f>IF(AND(Covg01="",Covg02="",Covg03="",Covg04="",Covg05="",Covg06="",Covg07="",Covg08="",Covg09="",Covg10=""),"",SUM(B38:B47))</f>
        <v>250983585.71184143</v>
      </c>
      <c r="C48" s="326">
        <f>IF(AND(Covg01="",Covg02="",Covg03="",Covg04="",Covg05="",Covg06="",Covg07="",Covg08="",Covg09="",Covg10=""),"",SUM(C38:C47))</f>
        <v>201239052.03903383</v>
      </c>
      <c r="D48" s="472">
        <f>IF(AND(Covg01="",Covg02="",Covg03="",Covg04="",Covg05="",Covg06="",Covg07="",Covg08="",Covg09="",Covg10=""),"",C48/B48)</f>
        <v>0.80180164558681477</v>
      </c>
      <c r="I48" s="518"/>
    </row>
  </sheetData>
  <sheetProtection algorithmName="SHA-512" hashValue="IJVZ06pW75DEbozxmR1KEqVraePU4jMOgh5iMA7uOWw4CuAShdip1CytAjm1CXH89+FPmL23Z4wZ93bj/l/3JQ==" saltValue="Abg1q4Dv05+27LDz03ScNQ=="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&amp;L1/3/2023 Edition
&amp;CPrior Approval Rate Template
Portions of the material contained in this document are protected by copyright owned by the State Farm Mutual Automobile Insurance Company, 2023&amp;RPage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13" zoomScaleNormal="100" zoomScaleSheetLayoutView="100" workbookViewId="0">
      <selection activeCell="C9" sqref="C9"/>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8" t="s">
        <v>31</v>
      </c>
      <c r="D1" s="124" t="s">
        <v>33</v>
      </c>
      <c r="G1" s="125" t="str">
        <f>Co_Name</f>
        <v>State Farm General Insurance Company</v>
      </c>
      <c r="H1" s="125"/>
    </row>
    <row r="2" spans="1:8" x14ac:dyDescent="0.25">
      <c r="A2" s="8" t="s">
        <v>32</v>
      </c>
      <c r="D2" s="124" t="s">
        <v>34</v>
      </c>
      <c r="G2" s="125" t="str">
        <f>General_Line</f>
        <v>Homeowners Multiple Peril</v>
      </c>
      <c r="H2" s="125"/>
    </row>
    <row r="3" spans="1:8" x14ac:dyDescent="0.25">
      <c r="B3" s="344"/>
      <c r="D3" s="181" t="s">
        <v>142</v>
      </c>
      <c r="E3" s="182"/>
      <c r="F3" s="182"/>
      <c r="G3" s="312" t="str">
        <f>CDI_FileNo</f>
        <v/>
      </c>
      <c r="H3" s="312"/>
    </row>
    <row r="4" spans="1:8" ht="18" customHeight="1" x14ac:dyDescent="0.25">
      <c r="A4" s="14"/>
    </row>
    <row r="5" spans="1:8" ht="23.25" x14ac:dyDescent="0.25">
      <c r="A5" s="4" t="s">
        <v>417</v>
      </c>
      <c r="B5" s="3"/>
      <c r="C5" s="3"/>
      <c r="D5" s="3"/>
      <c r="E5" s="3"/>
      <c r="F5" s="3"/>
      <c r="G5" s="3"/>
      <c r="H5" s="3"/>
    </row>
    <row r="6" spans="1:8" ht="15.75" thickBot="1" x14ac:dyDescent="0.3"/>
    <row r="7" spans="1:8" ht="30" customHeight="1" x14ac:dyDescent="0.25">
      <c r="A7" s="350"/>
      <c r="B7" s="351"/>
      <c r="C7" s="549" t="s">
        <v>418</v>
      </c>
      <c r="D7" s="550" t="s">
        <v>419</v>
      </c>
      <c r="E7" s="550"/>
      <c r="F7" s="660" t="s">
        <v>420</v>
      </c>
      <c r="G7" s="660"/>
      <c r="H7" s="662" t="s">
        <v>722</v>
      </c>
    </row>
    <row r="8" spans="1:8" ht="30" customHeight="1" thickBot="1" x14ac:dyDescent="0.3">
      <c r="A8" s="553" t="s">
        <v>59</v>
      </c>
      <c r="B8" s="559" t="s">
        <v>64</v>
      </c>
      <c r="C8" s="560" t="s">
        <v>421</v>
      </c>
      <c r="D8" s="561" t="s">
        <v>422</v>
      </c>
      <c r="E8" s="560" t="s">
        <v>423</v>
      </c>
      <c r="F8" s="561" t="s">
        <v>424</v>
      </c>
      <c r="G8" s="561" t="s">
        <v>425</v>
      </c>
      <c r="H8" s="663" t="s">
        <v>723</v>
      </c>
    </row>
    <row r="9" spans="1:8" ht="30" customHeight="1" x14ac:dyDescent="0.25">
      <c r="A9" s="555">
        <v>1.7</v>
      </c>
      <c r="B9" s="556" t="s">
        <v>426</v>
      </c>
      <c r="C9" s="557">
        <v>156563881</v>
      </c>
      <c r="D9" s="558">
        <v>515200617</v>
      </c>
      <c r="E9" s="558">
        <v>206418888</v>
      </c>
      <c r="F9" s="558">
        <v>23536500</v>
      </c>
      <c r="G9" s="558">
        <v>507627</v>
      </c>
      <c r="H9" s="666"/>
    </row>
    <row r="10" spans="1:8" ht="30" customHeight="1" x14ac:dyDescent="0.25">
      <c r="A10" s="353">
        <v>2.7</v>
      </c>
      <c r="B10" s="347" t="s">
        <v>427</v>
      </c>
      <c r="C10" s="521">
        <v>0</v>
      </c>
      <c r="D10" s="522">
        <v>2995476</v>
      </c>
      <c r="E10" s="522">
        <v>18964182</v>
      </c>
      <c r="F10" s="522">
        <v>0</v>
      </c>
      <c r="G10" s="522">
        <v>0</v>
      </c>
      <c r="H10" s="667"/>
    </row>
    <row r="11" spans="1:8" ht="30" customHeight="1" x14ac:dyDescent="0.25">
      <c r="A11" s="353">
        <v>3.7</v>
      </c>
      <c r="B11" s="348" t="s">
        <v>428</v>
      </c>
      <c r="C11" s="521">
        <v>26124026</v>
      </c>
      <c r="D11" s="522">
        <v>148519932</v>
      </c>
      <c r="E11" s="522">
        <v>17583824</v>
      </c>
      <c r="F11" s="522">
        <v>22370000</v>
      </c>
      <c r="G11" s="522">
        <v>0</v>
      </c>
      <c r="H11" s="667"/>
    </row>
    <row r="12" spans="1:8" ht="30" customHeight="1" x14ac:dyDescent="0.25">
      <c r="A12" s="353">
        <v>4.7</v>
      </c>
      <c r="B12" s="348" t="s">
        <v>429</v>
      </c>
      <c r="C12" s="521">
        <v>159013439</v>
      </c>
      <c r="D12" s="522">
        <v>898081754</v>
      </c>
      <c r="E12" s="522">
        <v>313798397</v>
      </c>
      <c r="F12" s="522">
        <v>72013685</v>
      </c>
      <c r="G12" s="522">
        <v>0</v>
      </c>
      <c r="H12" s="667"/>
    </row>
    <row r="13" spans="1:8" ht="30" customHeight="1" x14ac:dyDescent="0.25">
      <c r="A13" s="353">
        <v>5.7</v>
      </c>
      <c r="B13" s="348" t="s">
        <v>430</v>
      </c>
      <c r="C13" s="521">
        <v>144618480</v>
      </c>
      <c r="D13" s="522">
        <v>810958126</v>
      </c>
      <c r="E13" s="522">
        <v>597935672</v>
      </c>
      <c r="F13" s="522">
        <v>36734719</v>
      </c>
      <c r="G13" s="522">
        <v>0</v>
      </c>
      <c r="H13" s="667"/>
    </row>
    <row r="14" spans="1:8" ht="30" customHeight="1" x14ac:dyDescent="0.25">
      <c r="A14" s="353">
        <v>6.7</v>
      </c>
      <c r="B14" s="348" t="s">
        <v>431</v>
      </c>
      <c r="C14" s="521">
        <v>98755081</v>
      </c>
      <c r="D14" s="522">
        <v>564950148</v>
      </c>
      <c r="E14" s="522">
        <v>1127610354</v>
      </c>
      <c r="F14" s="522">
        <v>30480332</v>
      </c>
      <c r="G14" s="522">
        <v>0</v>
      </c>
      <c r="H14" s="667"/>
    </row>
    <row r="15" spans="1:8" ht="30" customHeight="1" x14ac:dyDescent="0.25">
      <c r="A15" s="353">
        <v>7.7</v>
      </c>
      <c r="B15" s="348" t="s">
        <v>698</v>
      </c>
      <c r="C15" s="521">
        <v>0</v>
      </c>
      <c r="D15" s="522">
        <v>0</v>
      </c>
      <c r="E15" s="522">
        <v>0</v>
      </c>
      <c r="F15" s="522">
        <v>0</v>
      </c>
      <c r="G15" s="522">
        <v>0</v>
      </c>
      <c r="H15" s="667"/>
    </row>
    <row r="16" spans="1:8" ht="30" customHeight="1" x14ac:dyDescent="0.25">
      <c r="A16" s="353">
        <v>8.6999999999999993</v>
      </c>
      <c r="B16" s="348" t="s">
        <v>432</v>
      </c>
      <c r="C16" s="521">
        <v>0</v>
      </c>
      <c r="D16" s="522">
        <v>0</v>
      </c>
      <c r="E16" s="522">
        <v>0</v>
      </c>
      <c r="F16" s="522">
        <v>0</v>
      </c>
      <c r="G16" s="522">
        <v>0</v>
      </c>
      <c r="H16" s="667"/>
    </row>
    <row r="17" spans="1:8" ht="30" customHeight="1" thickBot="1" x14ac:dyDescent="0.3">
      <c r="A17" s="553">
        <v>9.6999999999999993</v>
      </c>
      <c r="B17" s="554" t="s">
        <v>726</v>
      </c>
      <c r="C17" s="664"/>
      <c r="D17" s="665"/>
      <c r="E17" s="665"/>
      <c r="F17" s="665"/>
      <c r="G17" s="665"/>
      <c r="H17" s="661"/>
    </row>
    <row r="18" spans="1:8" ht="15" customHeight="1" x14ac:dyDescent="0.25">
      <c r="A18" s="129" t="s">
        <v>120</v>
      </c>
      <c r="B18" s="349"/>
      <c r="C18" s="45"/>
      <c r="D18" s="45"/>
      <c r="E18" s="45"/>
      <c r="F18" s="45"/>
      <c r="G18" s="45"/>
      <c r="H18" s="45"/>
    </row>
    <row r="19" spans="1:8" ht="15" customHeight="1" x14ac:dyDescent="0.25">
      <c r="A19" s="14" t="s">
        <v>703</v>
      </c>
      <c r="B19" s="349"/>
      <c r="C19" s="45"/>
      <c r="D19" s="45"/>
      <c r="E19" s="45"/>
      <c r="F19" s="45"/>
      <c r="G19" s="45"/>
      <c r="H19" s="45"/>
    </row>
    <row r="20" spans="1:8" ht="30" customHeight="1" thickBot="1" x14ac:dyDescent="0.3"/>
    <row r="21" spans="1:8" ht="30" customHeight="1" x14ac:dyDescent="0.25">
      <c r="A21" s="350"/>
      <c r="B21" s="351"/>
      <c r="C21" s="549" t="s">
        <v>418</v>
      </c>
      <c r="D21" s="550" t="s">
        <v>419</v>
      </c>
      <c r="E21" s="550"/>
      <c r="F21" s="550" t="s">
        <v>420</v>
      </c>
      <c r="G21" s="551"/>
    </row>
    <row r="22" spans="1:8" ht="30" customHeight="1" thickBot="1" x14ac:dyDescent="0.3">
      <c r="A22" s="570"/>
      <c r="B22" s="44"/>
      <c r="C22" s="560" t="s">
        <v>421</v>
      </c>
      <c r="D22" s="571" t="s">
        <v>433</v>
      </c>
      <c r="E22" s="571"/>
      <c r="F22" s="571" t="s">
        <v>434</v>
      </c>
      <c r="G22" s="572"/>
    </row>
    <row r="23" spans="1:8" ht="45" customHeight="1" x14ac:dyDescent="0.25">
      <c r="A23" s="567" t="s">
        <v>163</v>
      </c>
      <c r="B23" s="568" t="s">
        <v>435</v>
      </c>
      <c r="C23" s="569">
        <f>SUM(C9:C10)</f>
        <v>156563881</v>
      </c>
      <c r="D23" s="751">
        <f>SUM(D9:E10)</f>
        <v>743579163</v>
      </c>
      <c r="E23" s="752"/>
      <c r="F23" s="753">
        <f>SUM(F9:G10)</f>
        <v>24044127</v>
      </c>
      <c r="G23" s="754"/>
    </row>
    <row r="24" spans="1:8" ht="45" customHeight="1" x14ac:dyDescent="0.25">
      <c r="A24" s="563" t="s">
        <v>164</v>
      </c>
      <c r="B24" s="345" t="s">
        <v>725</v>
      </c>
      <c r="C24" s="23">
        <f>SUM(C14:C16)+C13/2</f>
        <v>171064321</v>
      </c>
      <c r="D24" s="755">
        <f>SUM(D14:E16)+SUM(D13:E13)/2</f>
        <v>2397007401</v>
      </c>
      <c r="E24" s="756"/>
      <c r="F24" s="755">
        <f>H17+SUM(F14:G16)+SUM(F13:G13)/2</f>
        <v>48847691.5</v>
      </c>
      <c r="G24" s="757"/>
    </row>
    <row r="25" spans="1:8" ht="45" customHeight="1" thickBot="1" x14ac:dyDescent="0.3">
      <c r="A25" s="564" t="s">
        <v>436</v>
      </c>
      <c r="B25" s="565" t="s">
        <v>437</v>
      </c>
      <c r="C25" s="566">
        <f>SUM(C11:C12)+C13/2</f>
        <v>257446705</v>
      </c>
      <c r="D25" s="758">
        <f>SUM(D11:E12)+SUM(D13:E13)/2</f>
        <v>2082430806</v>
      </c>
      <c r="E25" s="759"/>
      <c r="F25" s="758">
        <f>SUM(F11:G12)+SUM(F13:G13)/2</f>
        <v>112751044.5</v>
      </c>
      <c r="G25" s="760"/>
    </row>
    <row r="26" spans="1:8" x14ac:dyDescent="0.25">
      <c r="A26" s="573" t="s">
        <v>701</v>
      </c>
    </row>
    <row r="27" spans="1:8" x14ac:dyDescent="0.25">
      <c r="A27" s="574" t="s">
        <v>700</v>
      </c>
    </row>
    <row r="28" spans="1:8" x14ac:dyDescent="0.25">
      <c r="A28" s="575" t="s">
        <v>699</v>
      </c>
    </row>
    <row r="29" spans="1:8" ht="17.25" x14ac:dyDescent="0.25">
      <c r="A29" s="390" t="s">
        <v>724</v>
      </c>
    </row>
  </sheetData>
  <sheetProtection algorithmName="SHA-512" hashValue="25PV1zFYhkezbvfWIxGo/xM4z0i7y2L5HZwSY13gBItz7QnuCMjEYeghbK+YkitG8rIfFYphhoTPzjuN2B7xDA==" saltValue="WZRgQsXrWeWH1RCgsaZ24Q=="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&amp;L1/3/2023 Edition
&amp;CPrior Approval Rate Template
Portions of the material contained in this document are protected by copyright owned by the State Farm Mutual Automobile Insurance Company, 2023&amp;RPage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K73"/>
  <sheetViews>
    <sheetView showGridLines="0" view="pageBreakPreview" zoomScaleNormal="100" zoomScaleSheetLayoutView="100" workbookViewId="0">
      <selection activeCell="G48" sqref="G48"/>
    </sheetView>
  </sheetViews>
  <sheetFormatPr defaultRowHeight="15" x14ac:dyDescent="0.25"/>
  <cols>
    <col min="1" max="1" width="8" customWidth="1"/>
    <col min="2" max="2" width="51" customWidth="1"/>
    <col min="3" max="3" width="17" bestFit="1" customWidth="1"/>
    <col min="4" max="7" width="15.7109375" customWidth="1"/>
    <col min="8" max="8" width="69" style="14" bestFit="1" customWidth="1"/>
  </cols>
  <sheetData>
    <row r="1" spans="1:8" ht="15.75" thickBot="1" x14ac:dyDescent="0.3">
      <c r="A1" s="8" t="s">
        <v>31</v>
      </c>
      <c r="D1" s="124" t="s">
        <v>33</v>
      </c>
      <c r="G1" s="125" t="str">
        <f>Co_Name</f>
        <v>State Farm General Insurance Company</v>
      </c>
      <c r="H1" s="86" t="s">
        <v>663</v>
      </c>
    </row>
    <row r="2" spans="1:8" x14ac:dyDescent="0.25">
      <c r="A2" s="8" t="s">
        <v>32</v>
      </c>
      <c r="D2" s="124" t="s">
        <v>34</v>
      </c>
      <c r="G2" s="125" t="str">
        <f>General_Line</f>
        <v>Homeowners Multiple Peril</v>
      </c>
      <c r="H2" s="207" t="s">
        <v>113</v>
      </c>
    </row>
    <row r="3" spans="1:8" x14ac:dyDescent="0.25">
      <c r="B3" s="344"/>
      <c r="D3" s="181" t="s">
        <v>142</v>
      </c>
      <c r="E3" s="182"/>
      <c r="F3" s="182"/>
      <c r="G3" s="312" t="str">
        <f>CDI_FileNo</f>
        <v/>
      </c>
      <c r="H3" s="265"/>
    </row>
    <row r="4" spans="1:8" ht="18" customHeight="1" x14ac:dyDescent="0.25">
      <c r="A4" s="14"/>
      <c r="H4" s="265"/>
    </row>
    <row r="5" spans="1:8" ht="23.25" x14ac:dyDescent="0.25">
      <c r="A5" s="4" t="s">
        <v>417</v>
      </c>
      <c r="B5" s="3"/>
      <c r="C5" s="3"/>
      <c r="D5" s="3"/>
      <c r="E5" s="3"/>
      <c r="F5" s="3"/>
      <c r="G5" s="3"/>
      <c r="H5" s="265"/>
    </row>
    <row r="6" spans="1:8" ht="19.5" thickBot="1" x14ac:dyDescent="0.35">
      <c r="A6" s="508" t="s">
        <v>633</v>
      </c>
      <c r="B6" s="508"/>
      <c r="C6" s="508"/>
      <c r="D6" s="508"/>
      <c r="E6" s="508"/>
      <c r="F6" s="508"/>
      <c r="G6" s="508"/>
      <c r="H6" s="265"/>
    </row>
    <row r="7" spans="1:8" ht="32.25" x14ac:dyDescent="0.25">
      <c r="A7" s="350"/>
      <c r="B7" s="351"/>
      <c r="C7" s="352" t="s">
        <v>438</v>
      </c>
      <c r="D7" s="352" t="s">
        <v>439</v>
      </c>
      <c r="E7" s="352" t="s">
        <v>440</v>
      </c>
      <c r="F7" s="352" t="s">
        <v>441</v>
      </c>
      <c r="G7" s="696" t="s">
        <v>442</v>
      </c>
      <c r="H7" s="265"/>
    </row>
    <row r="8" spans="1:8" ht="18" customHeight="1" x14ac:dyDescent="0.25">
      <c r="A8" s="353"/>
      <c r="B8" s="345"/>
      <c r="C8" s="354" t="s">
        <v>443</v>
      </c>
      <c r="D8" s="354" t="s">
        <v>444</v>
      </c>
      <c r="E8" s="354" t="s">
        <v>445</v>
      </c>
      <c r="F8" s="354" t="s">
        <v>446</v>
      </c>
      <c r="G8" s="697" t="s">
        <v>447</v>
      </c>
      <c r="H8" s="265"/>
    </row>
    <row r="9" spans="1:8" ht="18" customHeight="1" x14ac:dyDescent="0.25">
      <c r="A9" s="355" t="s">
        <v>163</v>
      </c>
      <c r="B9" s="346" t="s">
        <v>448</v>
      </c>
      <c r="C9" s="356"/>
      <c r="D9" s="357"/>
      <c r="E9" s="356"/>
      <c r="F9" s="358"/>
      <c r="G9" s="698"/>
      <c r="H9" s="265"/>
    </row>
    <row r="10" spans="1:8" ht="18" customHeight="1" x14ac:dyDescent="0.25">
      <c r="A10" s="355"/>
      <c r="B10" s="359" t="s">
        <v>449</v>
      </c>
      <c r="C10" s="356">
        <f>'3.1YieldFIT'!C23</f>
        <v>156563881</v>
      </c>
      <c r="D10" s="710">
        <v>4.1833333333333333E-2</v>
      </c>
      <c r="E10" s="356">
        <f>C10*D10</f>
        <v>6549589.0218333332</v>
      </c>
      <c r="F10" s="358">
        <f>INDEX(INV_TAX_RATE,COUNTA($B$9:$B10)+1,1)</f>
        <v>0.21</v>
      </c>
      <c r="G10" s="699">
        <f>E10*F10</f>
        <v>1375413.6945849999</v>
      </c>
      <c r="H10" s="265"/>
    </row>
    <row r="11" spans="1:8" ht="18" customHeight="1" x14ac:dyDescent="0.25">
      <c r="A11" s="355"/>
      <c r="B11" s="359" t="s">
        <v>450</v>
      </c>
      <c r="C11" s="356">
        <f>'3.1YieldFIT'!D23</f>
        <v>743579163</v>
      </c>
      <c r="D11" s="710">
        <v>3.8300000000000001E-2</v>
      </c>
      <c r="E11" s="356">
        <f>C11*D11</f>
        <v>28479081.942900002</v>
      </c>
      <c r="F11" s="358">
        <f>INDEX(INV_TAX_RATE,COUNTA($B$9:$B11)+1,1)</f>
        <v>0.21</v>
      </c>
      <c r="G11" s="699">
        <f>E11*F11</f>
        <v>5980607.2080089999</v>
      </c>
      <c r="H11" s="265"/>
    </row>
    <row r="12" spans="1:8" ht="18" customHeight="1" x14ac:dyDescent="0.25">
      <c r="A12" s="355"/>
      <c r="B12" s="359" t="s">
        <v>451</v>
      </c>
      <c r="C12" s="356">
        <f>'3.1YieldFIT'!F23</f>
        <v>24044127</v>
      </c>
      <c r="D12" s="710">
        <v>4.123333333333333E-2</v>
      </c>
      <c r="E12" s="356">
        <f>C12*D12</f>
        <v>991419.50329999998</v>
      </c>
      <c r="F12" s="358">
        <f>INDEX(INV_TAX_RATE,COUNTA($B$9:$B12)+1,1)</f>
        <v>0.21</v>
      </c>
      <c r="G12" s="699">
        <f>E12*F12</f>
        <v>208198.09569299998</v>
      </c>
      <c r="H12" s="265"/>
    </row>
    <row r="13" spans="1:8" ht="18" customHeight="1" x14ac:dyDescent="0.25">
      <c r="A13" s="355" t="s">
        <v>164</v>
      </c>
      <c r="B13" s="347" t="s">
        <v>452</v>
      </c>
      <c r="C13" s="356"/>
      <c r="D13" s="711"/>
      <c r="E13" s="356"/>
      <c r="F13" s="358"/>
      <c r="G13" s="698"/>
      <c r="H13" s="265"/>
    </row>
    <row r="14" spans="1:8" ht="18" customHeight="1" x14ac:dyDescent="0.25">
      <c r="A14" s="355"/>
      <c r="B14" s="359" t="s">
        <v>449</v>
      </c>
      <c r="C14" s="356">
        <f>'3.1YieldFIT'!C24</f>
        <v>171064321</v>
      </c>
      <c r="D14" s="710">
        <v>4.2733333333333338E-2</v>
      </c>
      <c r="E14" s="356">
        <f>C14*D14</f>
        <v>7310148.650733334</v>
      </c>
      <c r="F14" s="358">
        <f>INDEX(INV_TAX_RATE,COUNTA($B$9:$B14)+1,1)</f>
        <v>0.21</v>
      </c>
      <c r="G14" s="699">
        <f>E14*F14</f>
        <v>1535131.2166540001</v>
      </c>
      <c r="H14" s="265"/>
    </row>
    <row r="15" spans="1:8" ht="18" customHeight="1" x14ac:dyDescent="0.25">
      <c r="A15" s="355"/>
      <c r="B15" s="359" t="s">
        <v>450</v>
      </c>
      <c r="C15" s="356">
        <f>'3.1YieldFIT'!D24</f>
        <v>2397007401</v>
      </c>
      <c r="D15" s="710">
        <v>4.8223849206349208E-2</v>
      </c>
      <c r="E15" s="356">
        <f>C15*D15</f>
        <v>115592923.45232703</v>
      </c>
      <c r="F15" s="358">
        <f>INDEX(INV_TAX_RATE,COUNTA($B$9:$B15)+1,1)</f>
        <v>0.21</v>
      </c>
      <c r="G15" s="699">
        <f>E15*F15</f>
        <v>24274513.924988676</v>
      </c>
      <c r="H15" s="265"/>
    </row>
    <row r="16" spans="1:8" ht="18" customHeight="1" x14ac:dyDescent="0.25">
      <c r="A16" s="355"/>
      <c r="B16" s="359" t="s">
        <v>451</v>
      </c>
      <c r="C16" s="356">
        <f>'3.1YieldFIT'!F24</f>
        <v>48847691.5</v>
      </c>
      <c r="D16" s="710">
        <v>5.2276746031746028E-2</v>
      </c>
      <c r="E16" s="356">
        <f>C16*D16</f>
        <v>2553598.3627825794</v>
      </c>
      <c r="F16" s="358">
        <f>INDEX(INV_TAX_RATE,COUNTA($B$9:$B16)+1,1)</f>
        <v>0.21</v>
      </c>
      <c r="G16" s="699">
        <f>E16*F16</f>
        <v>536255.65618434164</v>
      </c>
      <c r="H16" s="265"/>
    </row>
    <row r="17" spans="1:8" ht="18" customHeight="1" x14ac:dyDescent="0.25">
      <c r="A17" s="355" t="s">
        <v>436</v>
      </c>
      <c r="B17" s="348" t="s">
        <v>453</v>
      </c>
      <c r="C17" s="356"/>
      <c r="D17" s="711"/>
      <c r="E17" s="356"/>
      <c r="F17" s="358"/>
      <c r="G17" s="700"/>
      <c r="H17" s="265"/>
    </row>
    <row r="18" spans="1:8" ht="18" customHeight="1" x14ac:dyDescent="0.25">
      <c r="A18" s="355"/>
      <c r="B18" s="359" t="s">
        <v>449</v>
      </c>
      <c r="C18" s="356">
        <f>'3.1YieldFIT'!C25</f>
        <v>257446705</v>
      </c>
      <c r="D18" s="710">
        <v>3.3759333333333336E-2</v>
      </c>
      <c r="E18" s="356">
        <f>C18*D18</f>
        <v>8691229.1296633333</v>
      </c>
      <c r="F18" s="358">
        <f>INDEX(INV_TAX_RATE,COUNTA($B$9:$B18)+1,1)</f>
        <v>5.2499999999999998E-2</v>
      </c>
      <c r="G18" s="699">
        <f>E18*F18</f>
        <v>456289.52930732496</v>
      </c>
      <c r="H18" s="265"/>
    </row>
    <row r="19" spans="1:8" ht="18" customHeight="1" x14ac:dyDescent="0.25">
      <c r="A19" s="355"/>
      <c r="B19" s="359" t="s">
        <v>450</v>
      </c>
      <c r="C19" s="356">
        <f>'3.1YieldFIT'!D25</f>
        <v>2082430806</v>
      </c>
      <c r="D19" s="710">
        <v>3.516684523809524E-2</v>
      </c>
      <c r="E19" s="356">
        <f>C19*D19</f>
        <v>73232521.873643935</v>
      </c>
      <c r="F19" s="358">
        <f>INDEX(INV_TAX_RATE,COUNTA($B$9:$B19)+1,1)</f>
        <v>5.2499999999999998E-2</v>
      </c>
      <c r="G19" s="699">
        <f>E19*F19</f>
        <v>3844707.3983663064</v>
      </c>
      <c r="H19" s="265"/>
    </row>
    <row r="20" spans="1:8" ht="18" customHeight="1" x14ac:dyDescent="0.25">
      <c r="A20" s="355"/>
      <c r="B20" s="359" t="s">
        <v>451</v>
      </c>
      <c r="C20" s="524">
        <f>'3.1YieldFIT'!F25</f>
        <v>112751044.5</v>
      </c>
      <c r="D20" s="710">
        <v>4.3448928571428569E-2</v>
      </c>
      <c r="E20" s="356">
        <f>C20*D20</f>
        <v>4898912.0788344638</v>
      </c>
      <c r="F20" s="358">
        <f>INDEX(INV_TAX_RATE,COUNTA($B$9:$B20)+1,1)</f>
        <v>5.2499999999999998E-2</v>
      </c>
      <c r="G20" s="699">
        <f>E20*F20</f>
        <v>257192.88413880934</v>
      </c>
      <c r="H20" s="265"/>
    </row>
    <row r="21" spans="1:8" ht="18" customHeight="1" x14ac:dyDescent="0.25">
      <c r="A21" s="355" t="s">
        <v>454</v>
      </c>
      <c r="B21" s="526" t="s">
        <v>455</v>
      </c>
      <c r="C21" s="127">
        <v>0</v>
      </c>
      <c r="D21" s="712"/>
      <c r="E21" s="356"/>
      <c r="F21" s="358"/>
      <c r="G21" s="700"/>
      <c r="H21" s="474"/>
    </row>
    <row r="22" spans="1:8" ht="18" customHeight="1" x14ac:dyDescent="0.25">
      <c r="A22" s="355"/>
      <c r="B22" s="359" t="s">
        <v>456</v>
      </c>
      <c r="C22" s="527"/>
      <c r="D22" s="710">
        <v>2.1459999999999996E-2</v>
      </c>
      <c r="E22" s="356">
        <f>C21*D22</f>
        <v>0</v>
      </c>
      <c r="F22" s="358">
        <f>INDEX(INV_TAX_RATE,COUNTA($B$9:$B22)+1,1)</f>
        <v>0.13125000000000001</v>
      </c>
      <c r="G22" s="699">
        <f t="shared" ref="G22:G27" si="0">E22*F22</f>
        <v>0</v>
      </c>
      <c r="H22" s="265"/>
    </row>
    <row r="23" spans="1:8" ht="18" customHeight="1" x14ac:dyDescent="0.25">
      <c r="A23" s="355"/>
      <c r="B23" s="359" t="s">
        <v>457</v>
      </c>
      <c r="C23" s="356"/>
      <c r="D23" s="710">
        <v>9.7940000000000013E-2</v>
      </c>
      <c r="E23" s="356">
        <f>C21*D23</f>
        <v>0</v>
      </c>
      <c r="F23" s="358">
        <f>INDEX(INV_TAX_RATE,COUNTA($B$9:$B23)+1,1)</f>
        <v>0.21</v>
      </c>
      <c r="G23" s="699">
        <f t="shared" si="0"/>
        <v>0</v>
      </c>
      <c r="H23" s="265"/>
    </row>
    <row r="24" spans="1:8" ht="18" customHeight="1" x14ac:dyDescent="0.25">
      <c r="A24" s="355" t="s">
        <v>458</v>
      </c>
      <c r="B24" s="348" t="s">
        <v>459</v>
      </c>
      <c r="C24" s="127">
        <v>0</v>
      </c>
      <c r="D24" s="710">
        <v>5.475767195767197E-2</v>
      </c>
      <c r="E24" s="356">
        <f t="shared" ref="E24:E27" si="1">C24*D24</f>
        <v>0</v>
      </c>
      <c r="F24" s="358">
        <f>INDEX(INV_TAX_RATE,COUNTA($B$9:$B24)+1,1)</f>
        <v>0.13125000000000001</v>
      </c>
      <c r="G24" s="699">
        <f t="shared" si="0"/>
        <v>0</v>
      </c>
      <c r="H24" s="265"/>
    </row>
    <row r="25" spans="1:8" ht="18" customHeight="1" x14ac:dyDescent="0.25">
      <c r="A25" s="355" t="s">
        <v>460</v>
      </c>
      <c r="B25" s="348" t="s">
        <v>461</v>
      </c>
      <c r="C25" s="127">
        <v>0</v>
      </c>
      <c r="D25" s="710">
        <v>5.2276746031746028E-2</v>
      </c>
      <c r="E25" s="356">
        <f t="shared" si="1"/>
        <v>0</v>
      </c>
      <c r="F25" s="358">
        <f>INDEX(INV_TAX_RATE,COUNTA($B$9:$B25)+1,1)</f>
        <v>0.21</v>
      </c>
      <c r="G25" s="699">
        <f t="shared" si="0"/>
        <v>0</v>
      </c>
      <c r="H25" s="265"/>
    </row>
    <row r="26" spans="1:8" ht="18" customHeight="1" x14ac:dyDescent="0.25">
      <c r="A26" s="355" t="s">
        <v>462</v>
      </c>
      <c r="B26" s="348" t="s">
        <v>463</v>
      </c>
      <c r="C26" s="127">
        <v>0</v>
      </c>
      <c r="D26" s="710">
        <v>5.9399999999999994E-2</v>
      </c>
      <c r="E26" s="356">
        <f t="shared" si="1"/>
        <v>0</v>
      </c>
      <c r="F26" s="358">
        <f>INDEX(INV_TAX_RATE,COUNTA($B$9:$B26)+1,1)</f>
        <v>0.21</v>
      </c>
      <c r="G26" s="699">
        <f t="shared" si="0"/>
        <v>0</v>
      </c>
      <c r="H26" s="265"/>
    </row>
    <row r="27" spans="1:8" ht="18" customHeight="1" x14ac:dyDescent="0.25">
      <c r="A27" s="355" t="s">
        <v>464</v>
      </c>
      <c r="B27" s="348" t="s">
        <v>465</v>
      </c>
      <c r="C27" s="127">
        <v>-19710160</v>
      </c>
      <c r="D27" s="710">
        <v>4.1833333333333333E-2</v>
      </c>
      <c r="E27" s="356">
        <f t="shared" si="1"/>
        <v>-824541.69333333336</v>
      </c>
      <c r="F27" s="358">
        <f>INDEX(INV_TAX_RATE,COUNTA($B$9:$B27)+1,1)</f>
        <v>0.21</v>
      </c>
      <c r="G27" s="699">
        <f t="shared" si="0"/>
        <v>-173153.7556</v>
      </c>
      <c r="H27" s="265"/>
    </row>
    <row r="28" spans="1:8" ht="18" customHeight="1" x14ac:dyDescent="0.25">
      <c r="A28" s="355" t="s">
        <v>466</v>
      </c>
      <c r="B28" s="348" t="s">
        <v>467</v>
      </c>
      <c r="C28" s="127">
        <v>0</v>
      </c>
      <c r="D28" s="711"/>
      <c r="E28" s="356"/>
      <c r="F28" s="358"/>
      <c r="G28" s="700"/>
      <c r="H28" s="265"/>
    </row>
    <row r="29" spans="1:8" ht="18" customHeight="1" x14ac:dyDescent="0.25">
      <c r="A29" s="355"/>
      <c r="B29" s="359" t="s">
        <v>456</v>
      </c>
      <c r="C29" s="356"/>
      <c r="D29" s="710">
        <v>2.1459999999999996E-2</v>
      </c>
      <c r="E29" s="356">
        <f>C28*D29</f>
        <v>0</v>
      </c>
      <c r="F29" s="358">
        <f>INDEX(INV_TAX_RATE,COUNTA($B$9:$B29)+1,1)</f>
        <v>0.13125000000000001</v>
      </c>
      <c r="G29" s="699">
        <f>E29*F29</f>
        <v>0</v>
      </c>
      <c r="H29" s="265"/>
    </row>
    <row r="30" spans="1:8" ht="18" customHeight="1" x14ac:dyDescent="0.25">
      <c r="A30" s="355"/>
      <c r="B30" s="359" t="s">
        <v>457</v>
      </c>
      <c r="C30" s="356"/>
      <c r="D30" s="710">
        <v>9.7940000000000013E-2</v>
      </c>
      <c r="E30" s="356">
        <f>C28*D30</f>
        <v>0</v>
      </c>
      <c r="F30" s="358">
        <f>INDEX(INV_TAX_RATE,COUNTA($B$9:$B30)+1,1)</f>
        <v>0.21</v>
      </c>
      <c r="G30" s="699">
        <f>E30*F30</f>
        <v>0</v>
      </c>
      <c r="H30" s="265"/>
    </row>
    <row r="31" spans="1:8" ht="18" customHeight="1" thickBot="1" x14ac:dyDescent="0.3">
      <c r="A31" s="360" t="s">
        <v>468</v>
      </c>
      <c r="B31" s="361" t="s">
        <v>469</v>
      </c>
      <c r="C31" s="362">
        <f>SUM(C9:C30)</f>
        <v>5974024980</v>
      </c>
      <c r="D31" s="363"/>
      <c r="E31" s="362">
        <f>SUM(E9:E30)</f>
        <v>247474882.32268465</v>
      </c>
      <c r="F31" s="364"/>
      <c r="G31" s="701">
        <f>SUM(G9:G30)</f>
        <v>38295155.85232646</v>
      </c>
      <c r="H31" s="265"/>
    </row>
    <row r="32" spans="1:8" ht="18" customHeight="1" thickTop="1" x14ac:dyDescent="0.25">
      <c r="A32" s="355" t="s">
        <v>470</v>
      </c>
      <c r="B32" s="348" t="s">
        <v>471</v>
      </c>
      <c r="C32" s="25"/>
      <c r="D32" s="523"/>
      <c r="E32" s="197">
        <v>3731348</v>
      </c>
      <c r="F32" s="358">
        <f>INDEX(INV_TAX_RATE,COUNTA($B$9:$B32)+1,1)</f>
        <v>0.21</v>
      </c>
      <c r="G32" s="368">
        <f>E32*F32</f>
        <v>783583.08</v>
      </c>
      <c r="H32" s="265"/>
    </row>
    <row r="33" spans="1:11" ht="15.75" thickBot="1" x14ac:dyDescent="0.3">
      <c r="A33" s="355" t="s">
        <v>472</v>
      </c>
      <c r="B33" s="365" t="s">
        <v>473</v>
      </c>
      <c r="C33" s="85">
        <f>C31</f>
        <v>5974024980</v>
      </c>
      <c r="D33" s="366"/>
      <c r="E33" s="525">
        <f>E31-E32</f>
        <v>243743534.32268465</v>
      </c>
      <c r="F33" s="367"/>
      <c r="G33" s="368">
        <f>G31-G32</f>
        <v>37511572.772326462</v>
      </c>
      <c r="H33" s="265"/>
    </row>
    <row r="34" spans="1:11" ht="19.5" thickBot="1" x14ac:dyDescent="0.3">
      <c r="A34" s="355" t="s">
        <v>474</v>
      </c>
      <c r="B34" s="365" t="s">
        <v>475</v>
      </c>
      <c r="C34" s="85"/>
      <c r="D34" s="366"/>
      <c r="E34" s="368"/>
      <c r="F34" s="369">
        <f>G33/E33</f>
        <v>0.15389771415501849</v>
      </c>
      <c r="G34" s="702"/>
      <c r="H34" s="474" t="str">
        <f>IF(ISERROR($F$34),"← ERROR! Correct issues with input of source data on either Page 3.1 or 3.2.","")</f>
        <v/>
      </c>
    </row>
    <row r="35" spans="1:11" ht="30.75" thickBot="1" x14ac:dyDescent="0.3">
      <c r="A35" s="360" t="s">
        <v>476</v>
      </c>
      <c r="B35" s="361" t="s">
        <v>477</v>
      </c>
      <c r="C35" s="370"/>
      <c r="D35" s="371">
        <f>E33/C33</f>
        <v>4.0800554925480854E-2</v>
      </c>
      <c r="E35" s="372"/>
      <c r="F35" s="373"/>
      <c r="G35" s="703"/>
      <c r="H35" s="517"/>
    </row>
    <row r="36" spans="1:11" ht="30.75" thickTop="1" x14ac:dyDescent="0.25">
      <c r="A36" s="374"/>
      <c r="B36" s="375"/>
      <c r="C36" s="376" t="s">
        <v>394</v>
      </c>
      <c r="D36" s="376"/>
      <c r="E36" s="376"/>
      <c r="F36" s="376"/>
      <c r="G36" s="704"/>
      <c r="H36" s="265"/>
    </row>
    <row r="37" spans="1:11" ht="18" customHeight="1" x14ac:dyDescent="0.25">
      <c r="A37" s="377" t="s">
        <v>478</v>
      </c>
      <c r="B37" s="378" t="s">
        <v>479</v>
      </c>
      <c r="C37" s="127">
        <v>1520290407</v>
      </c>
      <c r="D37" s="379"/>
      <c r="E37" s="380"/>
      <c r="F37" s="379"/>
      <c r="G37" s="705"/>
      <c r="H37" s="265"/>
    </row>
    <row r="38" spans="1:11" ht="17.25" x14ac:dyDescent="0.25">
      <c r="A38" s="377" t="s">
        <v>480</v>
      </c>
      <c r="B38" s="378" t="s">
        <v>481</v>
      </c>
      <c r="C38" s="127">
        <v>479223237</v>
      </c>
      <c r="D38" s="379"/>
      <c r="E38" s="380"/>
      <c r="F38" s="379"/>
      <c r="G38" s="705"/>
      <c r="H38" s="265"/>
    </row>
    <row r="39" spans="1:11" ht="17.25" x14ac:dyDescent="0.25">
      <c r="A39" s="377" t="s">
        <v>482</v>
      </c>
      <c r="B39" s="378" t="s">
        <v>483</v>
      </c>
      <c r="C39" s="127">
        <v>1321068935</v>
      </c>
      <c r="D39" s="379"/>
      <c r="E39" s="380"/>
      <c r="F39" s="379"/>
      <c r="G39" s="705"/>
      <c r="H39" s="265"/>
    </row>
    <row r="40" spans="1:11" ht="17.25" x14ac:dyDescent="0.25">
      <c r="A40" s="377" t="s">
        <v>484</v>
      </c>
      <c r="B40" s="378" t="s">
        <v>485</v>
      </c>
      <c r="C40" s="127">
        <v>2300873986</v>
      </c>
      <c r="D40" s="379"/>
      <c r="E40" s="380"/>
      <c r="F40" s="379"/>
      <c r="G40" s="705"/>
      <c r="H40" s="265"/>
    </row>
    <row r="41" spans="1:11" ht="15.75" thickBot="1" x14ac:dyDescent="0.3">
      <c r="A41" s="377" t="s">
        <v>486</v>
      </c>
      <c r="B41" s="378" t="s">
        <v>487</v>
      </c>
      <c r="C41" s="356">
        <f>SUM(C37:C40)</f>
        <v>5621456565</v>
      </c>
      <c r="D41" s="379"/>
      <c r="E41" s="380"/>
      <c r="F41" s="379"/>
      <c r="G41" s="705"/>
      <c r="H41" s="265"/>
    </row>
    <row r="42" spans="1:11" ht="45.75" thickBot="1" x14ac:dyDescent="0.3">
      <c r="A42" s="381" t="s">
        <v>488</v>
      </c>
      <c r="B42" s="382" t="s">
        <v>713</v>
      </c>
      <c r="C42" s="383"/>
      <c r="D42" s="384">
        <f>D35*C33/C41</f>
        <v>4.3359497935155651E-2</v>
      </c>
      <c r="E42" s="385"/>
      <c r="F42" s="386"/>
      <c r="G42" s="706"/>
      <c r="H42" s="474" t="str">
        <f>IF(ISERROR($D$42),"← ERROR! Correct issues with input of source data on either Page 3.1 or 3.2.","")</f>
        <v/>
      </c>
    </row>
    <row r="43" spans="1:11" ht="5.0999999999999996" customHeight="1" x14ac:dyDescent="0.25">
      <c r="A43" s="387"/>
      <c r="B43" s="388"/>
      <c r="C43" s="388"/>
      <c r="D43" s="389"/>
      <c r="E43" s="389"/>
      <c r="F43" s="389"/>
      <c r="G43" s="389"/>
      <c r="H43" s="265"/>
    </row>
    <row r="44" spans="1:11" ht="17.25" x14ac:dyDescent="0.25">
      <c r="A44" s="390" t="s">
        <v>692</v>
      </c>
      <c r="H44" s="265"/>
    </row>
    <row r="45" spans="1:11" x14ac:dyDescent="0.25">
      <c r="A45" s="391" t="s">
        <v>489</v>
      </c>
      <c r="H45" s="265"/>
    </row>
    <row r="46" spans="1:11" x14ac:dyDescent="0.25">
      <c r="A46" s="392" t="s">
        <v>490</v>
      </c>
      <c r="H46" s="265"/>
    </row>
    <row r="47" spans="1:11" ht="17.25" x14ac:dyDescent="0.25">
      <c r="A47" s="393" t="s">
        <v>491</v>
      </c>
      <c r="H47" s="529"/>
    </row>
    <row r="48" spans="1:11" x14ac:dyDescent="0.25">
      <c r="A48" s="394" t="s">
        <v>492</v>
      </c>
      <c r="F48" s="187" t="s">
        <v>493</v>
      </c>
      <c r="G48" s="729" t="s">
        <v>753</v>
      </c>
      <c r="H48" s="529" t="s">
        <v>622</v>
      </c>
      <c r="I48" s="715"/>
      <c r="J48" s="715"/>
      <c r="K48" s="716"/>
    </row>
    <row r="49" spans="1:11" ht="17.25" x14ac:dyDescent="0.25">
      <c r="A49" s="393" t="s">
        <v>494</v>
      </c>
      <c r="H49" s="529" t="s">
        <v>339</v>
      </c>
      <c r="I49" s="715"/>
      <c r="J49" s="715"/>
      <c r="K49" s="716"/>
    </row>
    <row r="50" spans="1:11" ht="17.25" x14ac:dyDescent="0.25">
      <c r="A50" s="390" t="s">
        <v>495</v>
      </c>
      <c r="H50" s="529"/>
      <c r="I50" s="715"/>
      <c r="J50" s="715"/>
      <c r="K50" s="716"/>
    </row>
    <row r="51" spans="1:11" ht="15.75" thickBot="1" x14ac:dyDescent="0.3">
      <c r="A51" s="392" t="s">
        <v>496</v>
      </c>
      <c r="H51" s="707"/>
      <c r="I51" s="715"/>
      <c r="J51" s="715"/>
      <c r="K51" s="716"/>
    </row>
    <row r="52" spans="1:11" x14ac:dyDescent="0.25">
      <c r="H52" s="708"/>
      <c r="I52" s="715"/>
      <c r="J52" s="715"/>
      <c r="K52" s="716"/>
    </row>
    <row r="53" spans="1:11" x14ac:dyDescent="0.25">
      <c r="I53" s="715"/>
      <c r="J53" s="715"/>
      <c r="K53" s="716"/>
    </row>
    <row r="54" spans="1:11" x14ac:dyDescent="0.25">
      <c r="I54" s="715"/>
      <c r="J54" s="715"/>
      <c r="K54" s="716"/>
    </row>
    <row r="55" spans="1:11" x14ac:dyDescent="0.25">
      <c r="I55" s="715"/>
      <c r="J55" s="715"/>
      <c r="K55" s="716"/>
    </row>
    <row r="56" spans="1:11" x14ac:dyDescent="0.25">
      <c r="I56" s="715"/>
      <c r="J56" s="715"/>
      <c r="K56" s="716"/>
    </row>
    <row r="57" spans="1:11" x14ac:dyDescent="0.25">
      <c r="I57" s="715"/>
      <c r="J57" s="717"/>
      <c r="K57" s="716"/>
    </row>
    <row r="58" spans="1:11" x14ac:dyDescent="0.25">
      <c r="I58" s="715"/>
      <c r="J58" s="715"/>
      <c r="K58" s="716"/>
    </row>
    <row r="59" spans="1:11" x14ac:dyDescent="0.25">
      <c r="I59" s="715"/>
      <c r="J59" s="715"/>
      <c r="K59" s="716"/>
    </row>
    <row r="60" spans="1:11" x14ac:dyDescent="0.25">
      <c r="I60" s="715"/>
      <c r="J60" s="715"/>
      <c r="K60" s="716"/>
    </row>
    <row r="61" spans="1:11" x14ac:dyDescent="0.25">
      <c r="I61" s="715"/>
      <c r="J61" s="715"/>
      <c r="K61" s="716"/>
    </row>
    <row r="62" spans="1:11" x14ac:dyDescent="0.25">
      <c r="I62" s="715"/>
      <c r="J62" s="715"/>
      <c r="K62" s="716"/>
    </row>
    <row r="63" spans="1:11" x14ac:dyDescent="0.25">
      <c r="I63" s="715"/>
      <c r="J63" s="715"/>
      <c r="K63" s="716"/>
    </row>
    <row r="64" spans="1:11" x14ac:dyDescent="0.25">
      <c r="I64" s="715"/>
      <c r="J64" s="715"/>
      <c r="K64" s="716"/>
    </row>
    <row r="65" spans="9:11" x14ac:dyDescent="0.25">
      <c r="I65" s="715"/>
      <c r="J65" s="715"/>
      <c r="K65" s="716"/>
    </row>
    <row r="66" spans="9:11" x14ac:dyDescent="0.25">
      <c r="I66" s="715"/>
      <c r="J66" s="715"/>
      <c r="K66" s="716"/>
    </row>
    <row r="67" spans="9:11" x14ac:dyDescent="0.25">
      <c r="I67" s="715"/>
      <c r="J67" s="715"/>
      <c r="K67" s="716"/>
    </row>
    <row r="68" spans="9:11" x14ac:dyDescent="0.25">
      <c r="I68" s="715"/>
      <c r="J68" s="715"/>
      <c r="K68" s="716"/>
    </row>
    <row r="69" spans="9:11" x14ac:dyDescent="0.25">
      <c r="I69" s="715"/>
      <c r="J69" s="715"/>
      <c r="K69" s="716"/>
    </row>
    <row r="70" spans="9:11" x14ac:dyDescent="0.25">
      <c r="I70" s="715"/>
      <c r="J70" s="715"/>
      <c r="K70" s="716"/>
    </row>
    <row r="71" spans="9:11" x14ac:dyDescent="0.25">
      <c r="I71" s="715"/>
      <c r="J71" s="715"/>
      <c r="K71" s="716"/>
    </row>
    <row r="72" spans="9:11" x14ac:dyDescent="0.25">
      <c r="I72" s="715"/>
      <c r="J72" s="715"/>
      <c r="K72" s="716"/>
    </row>
    <row r="73" spans="9:11" x14ac:dyDescent="0.25">
      <c r="I73" s="714"/>
      <c r="J73" s="714"/>
    </row>
  </sheetData>
  <sheetProtection algorithmName="SHA-512" hashValue="KiXysWKd2ZKb3PuCDsfojPDFSpjuZRAR2rlNVh4YSjbRlOr+bMs/yACYs0G7fF9wgpCb3THzVdvq6TgPcpiOwQ==" saltValue="jFKYBzvYQtkkTTZK2cIKBQ=="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&amp;L1/3/2023 Edition
&amp;CPrior Approval Rate Template
Portions of the material contained in this document are protected by copyright owned by the State Farm Mutual Automobile Insurance Company, 2023&amp;RPage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7" zoomScaleNormal="100" zoomScaleSheetLayoutView="100" workbookViewId="0">
      <selection activeCell="G41" sqref="B41:G41"/>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8" t="s">
        <v>31</v>
      </c>
      <c r="B1" s="8"/>
      <c r="D1" s="124" t="s">
        <v>33</v>
      </c>
      <c r="G1" s="125" t="str">
        <f>Co_Name</f>
        <v>State Farm General Insurance Company</v>
      </c>
    </row>
    <row r="2" spans="1:7" x14ac:dyDescent="0.25">
      <c r="A2" s="8" t="s">
        <v>32</v>
      </c>
      <c r="B2" s="8"/>
      <c r="D2" s="124" t="s">
        <v>34</v>
      </c>
      <c r="G2" s="125" t="str">
        <f>General_Line</f>
        <v>Homeowners Multiple Peril</v>
      </c>
    </row>
    <row r="3" spans="1:7" x14ac:dyDescent="0.25">
      <c r="A3" s="14"/>
      <c r="B3" s="184"/>
      <c r="C3" s="14"/>
      <c r="D3" s="181" t="s">
        <v>142</v>
      </c>
      <c r="E3" s="182"/>
      <c r="F3" s="182"/>
      <c r="G3" s="312" t="str">
        <f>CDI_FileNo</f>
        <v/>
      </c>
    </row>
    <row r="4" spans="1:7" ht="18" customHeight="1" x14ac:dyDescent="0.25">
      <c r="A4" s="14"/>
      <c r="B4" s="184"/>
      <c r="C4" s="14"/>
      <c r="D4" s="14"/>
      <c r="E4" s="14"/>
      <c r="F4" s="14"/>
      <c r="G4" s="14"/>
    </row>
    <row r="5" spans="1:7" ht="23.25" x14ac:dyDescent="0.25">
      <c r="A5" s="4" t="s">
        <v>390</v>
      </c>
      <c r="B5" s="4"/>
      <c r="C5" s="123"/>
      <c r="D5" s="123"/>
      <c r="E5" s="123"/>
      <c r="F5" s="123"/>
      <c r="G5" s="123"/>
    </row>
    <row r="6" spans="1:7" ht="23.25" x14ac:dyDescent="0.25">
      <c r="A6" s="4" t="s">
        <v>391</v>
      </c>
      <c r="B6" s="4"/>
      <c r="C6" s="4"/>
      <c r="D6" s="4"/>
      <c r="E6" s="4"/>
      <c r="F6" s="4"/>
      <c r="G6" s="4"/>
    </row>
    <row r="7" spans="1:7" ht="15.75" thickBot="1" x14ac:dyDescent="0.3"/>
    <row r="8" spans="1:7" ht="30" x14ac:dyDescent="0.25">
      <c r="E8" s="596" t="s">
        <v>392</v>
      </c>
      <c r="F8" s="597" t="s">
        <v>393</v>
      </c>
      <c r="G8" s="598" t="s">
        <v>394</v>
      </c>
    </row>
    <row r="9" spans="1:7" x14ac:dyDescent="0.25">
      <c r="D9" s="327"/>
      <c r="E9" s="599">
        <f>F9-1</f>
        <v>2019</v>
      </c>
      <c r="F9" s="547">
        <f>G9-1</f>
        <v>2020</v>
      </c>
      <c r="G9" s="619" t="s">
        <v>755</v>
      </c>
    </row>
    <row r="10" spans="1:7" ht="30" customHeight="1" x14ac:dyDescent="0.25">
      <c r="A10" s="761" t="s">
        <v>497</v>
      </c>
      <c r="B10" s="761"/>
      <c r="C10" s="761"/>
      <c r="D10" s="762"/>
      <c r="E10" s="600">
        <v>64021449909</v>
      </c>
      <c r="F10" s="328">
        <v>64816402364</v>
      </c>
      <c r="G10" s="601">
        <v>66531873255</v>
      </c>
    </row>
    <row r="11" spans="1:7" ht="30" customHeight="1" x14ac:dyDescent="0.25">
      <c r="A11" s="761" t="s">
        <v>498</v>
      </c>
      <c r="B11" s="761"/>
      <c r="C11" s="761"/>
      <c r="D11" s="762"/>
      <c r="E11" s="600">
        <v>1158953310</v>
      </c>
      <c r="F11" s="328">
        <v>1134252131</v>
      </c>
      <c r="G11" s="601">
        <v>1332212105</v>
      </c>
    </row>
    <row r="12" spans="1:7" ht="15.75" thickBot="1" x14ac:dyDescent="0.3">
      <c r="A12" s="14" t="s">
        <v>499</v>
      </c>
      <c r="B12" s="14"/>
      <c r="C12" s="14"/>
      <c r="D12" s="14"/>
      <c r="E12" s="602">
        <f>SUM(E10:E11)</f>
        <v>65180403219</v>
      </c>
      <c r="F12" s="603">
        <f>SUM(F10:F11)</f>
        <v>65950654495</v>
      </c>
      <c r="G12" s="604">
        <f>SUM(G10:G11)</f>
        <v>67864085360</v>
      </c>
    </row>
    <row r="13" spans="1:7" x14ac:dyDescent="0.25">
      <c r="A13" s="329" t="s">
        <v>675</v>
      </c>
      <c r="B13" s="14"/>
      <c r="C13" s="14"/>
      <c r="D13" s="14"/>
    </row>
    <row r="14" spans="1:7" ht="15.75" x14ac:dyDescent="0.25">
      <c r="A14" s="631" t="s">
        <v>717</v>
      </c>
      <c r="B14" s="1"/>
    </row>
    <row r="15" spans="1:7" ht="30" customHeight="1" x14ac:dyDescent="0.25">
      <c r="A15" s="330" t="s">
        <v>395</v>
      </c>
    </row>
    <row r="16" spans="1:7" ht="5.25" customHeight="1" thickBot="1" x14ac:dyDescent="0.3">
      <c r="A16" s="331"/>
    </row>
    <row r="17" spans="1:7" ht="15" customHeight="1" x14ac:dyDescent="0.25">
      <c r="A17" s="588"/>
      <c r="B17" s="550" t="s">
        <v>392</v>
      </c>
      <c r="C17" s="550"/>
      <c r="D17" s="550" t="s">
        <v>393</v>
      </c>
      <c r="E17" s="550"/>
      <c r="F17" s="550" t="s">
        <v>394</v>
      </c>
      <c r="G17" s="551"/>
    </row>
    <row r="18" spans="1:7" ht="15" customHeight="1" x14ac:dyDescent="0.25">
      <c r="A18" s="589"/>
      <c r="B18" s="333">
        <f>E$9</f>
        <v>2019</v>
      </c>
      <c r="C18" s="332"/>
      <c r="D18" s="333">
        <f>F$9</f>
        <v>2020</v>
      </c>
      <c r="E18" s="332"/>
      <c r="F18" s="333" t="str">
        <f>G$9</f>
        <v>2021</v>
      </c>
      <c r="G18" s="562"/>
    </row>
    <row r="19" spans="1:7" ht="15" customHeight="1" x14ac:dyDescent="0.25">
      <c r="A19" s="590"/>
      <c r="B19" s="548" t="s">
        <v>396</v>
      </c>
      <c r="C19" s="548" t="s">
        <v>397</v>
      </c>
      <c r="D19" s="548" t="s">
        <v>396</v>
      </c>
      <c r="E19" s="548" t="s">
        <v>397</v>
      </c>
      <c r="F19" s="548" t="s">
        <v>396</v>
      </c>
      <c r="G19" s="591" t="s">
        <v>397</v>
      </c>
    </row>
    <row r="20" spans="1:7" ht="15" customHeight="1" x14ac:dyDescent="0.25">
      <c r="A20" s="592" t="s">
        <v>398</v>
      </c>
      <c r="B20" s="127">
        <v>1988548.9400000002</v>
      </c>
      <c r="C20" s="127">
        <v>8283342.8799999999</v>
      </c>
      <c r="D20" s="127">
        <v>2184605.62</v>
      </c>
      <c r="E20" s="127">
        <v>18081900</v>
      </c>
      <c r="F20" s="127">
        <v>2130873.84</v>
      </c>
      <c r="G20" s="593">
        <v>22376700</v>
      </c>
    </row>
    <row r="21" spans="1:7" ht="15" customHeight="1" x14ac:dyDescent="0.25">
      <c r="A21" s="592" t="s">
        <v>399</v>
      </c>
      <c r="B21" s="127">
        <v>936307.37</v>
      </c>
      <c r="C21" s="127">
        <v>2625838.4</v>
      </c>
      <c r="D21" s="127">
        <v>1010750.1</v>
      </c>
      <c r="E21" s="127">
        <v>5801460</v>
      </c>
      <c r="F21" s="127">
        <v>1019146.0700000001</v>
      </c>
      <c r="G21" s="593">
        <v>7616868</v>
      </c>
    </row>
    <row r="22" spans="1:7" ht="15" customHeight="1" x14ac:dyDescent="0.25">
      <c r="A22" s="592" t="s">
        <v>400</v>
      </c>
      <c r="B22" s="127">
        <v>898152.89</v>
      </c>
      <c r="C22" s="127">
        <v>2625838.4</v>
      </c>
      <c r="D22" s="127">
        <v>1004986.77</v>
      </c>
      <c r="E22" s="127">
        <v>5801460</v>
      </c>
      <c r="F22" s="127">
        <v>1006088.25</v>
      </c>
      <c r="G22" s="593">
        <v>7253322</v>
      </c>
    </row>
    <row r="23" spans="1:7" ht="15" customHeight="1" x14ac:dyDescent="0.25">
      <c r="A23" s="592" t="s">
        <v>401</v>
      </c>
      <c r="B23" s="127">
        <v>797125.02999999991</v>
      </c>
      <c r="C23" s="127">
        <v>2160793.6000000001</v>
      </c>
      <c r="D23" s="127">
        <v>1086416.3799999999</v>
      </c>
      <c r="E23" s="127">
        <v>4962100</v>
      </c>
      <c r="F23" s="127">
        <v>979601.7</v>
      </c>
      <c r="G23" s="593">
        <v>6616284</v>
      </c>
    </row>
    <row r="24" spans="1:7" ht="15" customHeight="1" x14ac:dyDescent="0.25">
      <c r="A24" s="592" t="s">
        <v>402</v>
      </c>
      <c r="B24" s="127">
        <v>769940.92</v>
      </c>
      <c r="C24" s="127">
        <v>1780609.12</v>
      </c>
      <c r="D24" s="127">
        <v>790204.24</v>
      </c>
      <c r="E24" s="127">
        <v>2475562.5</v>
      </c>
      <c r="F24" s="127">
        <v>819194.11</v>
      </c>
      <c r="G24" s="593">
        <v>3881730</v>
      </c>
    </row>
    <row r="25" spans="1:7" ht="15" customHeight="1" x14ac:dyDescent="0.25">
      <c r="A25" s="134"/>
      <c r="B25" s="502"/>
      <c r="C25" s="502"/>
      <c r="D25" s="502"/>
      <c r="E25" s="502"/>
      <c r="F25" s="502"/>
      <c r="G25" s="290"/>
    </row>
    <row r="26" spans="1:7" ht="15" customHeight="1" x14ac:dyDescent="0.25">
      <c r="A26" s="590"/>
      <c r="B26" s="332" t="s">
        <v>392</v>
      </c>
      <c r="C26" s="332"/>
      <c r="D26" s="332" t="s">
        <v>393</v>
      </c>
      <c r="E26" s="332"/>
      <c r="F26" s="332" t="s">
        <v>394</v>
      </c>
      <c r="G26" s="562"/>
    </row>
    <row r="27" spans="1:7" ht="15" customHeight="1" x14ac:dyDescent="0.25">
      <c r="A27" s="590"/>
      <c r="B27" s="763">
        <f>E$9</f>
        <v>2019</v>
      </c>
      <c r="C27" s="764"/>
      <c r="D27" s="763">
        <f>F$9</f>
        <v>2020</v>
      </c>
      <c r="E27" s="764"/>
      <c r="F27" s="763" t="str">
        <f>G$9</f>
        <v>2021</v>
      </c>
      <c r="G27" s="765"/>
    </row>
    <row r="28" spans="1:7" ht="30" customHeight="1" x14ac:dyDescent="0.25">
      <c r="A28" s="590"/>
      <c r="B28" s="334" t="s">
        <v>403</v>
      </c>
      <c r="C28" s="334" t="s">
        <v>404</v>
      </c>
      <c r="D28" s="334" t="s">
        <v>403</v>
      </c>
      <c r="E28" s="334" t="s">
        <v>404</v>
      </c>
      <c r="F28" s="334" t="s">
        <v>403</v>
      </c>
      <c r="G28" s="552" t="s">
        <v>404</v>
      </c>
    </row>
    <row r="29" spans="1:7" ht="15" customHeight="1" x14ac:dyDescent="0.25">
      <c r="A29" s="592" t="s">
        <v>398</v>
      </c>
      <c r="B29" s="85">
        <f>1077*10^(1.46+0.406*(IF($E$10/1000000&lt;70,LOG10(70),LOG10($E$10/1000000))))</f>
        <v>2777051.0189908776</v>
      </c>
      <c r="C29" s="85">
        <f>IF(SUM(B20:C20)&lt;B29,0,SUM(B20:C20)-B29)</f>
        <v>7494840.8010091223</v>
      </c>
      <c r="D29" s="85">
        <f>1077*10^(1.46+0.406*(IF($F$10/1000000&lt;70,LOG10(70),LOG10($F$10/1000000))))</f>
        <v>2790999.6470308122</v>
      </c>
      <c r="E29" s="85">
        <f>IF(SUM(D20:E20)&lt;D29,0,SUM(D20:E20)-D29)</f>
        <v>17475505.972969189</v>
      </c>
      <c r="F29" s="85">
        <f>1077*10^(1.46+0.406*(IF($G$10/1000000&lt;70,LOG10(70),LOG10($G$10/1000000))))</f>
        <v>2820757.7004732592</v>
      </c>
      <c r="G29" s="546">
        <f>IF(SUM(F20:G20)&lt;F29,0,SUM(F20:G20)-F29)</f>
        <v>21686816.13952674</v>
      </c>
    </row>
    <row r="30" spans="1:7" ht="15" customHeight="1" x14ac:dyDescent="0.25">
      <c r="A30" s="592" t="s">
        <v>399</v>
      </c>
      <c r="B30" s="85">
        <f>1077*10^(1.414+0.349*(IF($E$10/1000000&lt;70,LOG10(70),LOG10($E$10/1000000))))</f>
        <v>1329300.9181339967</v>
      </c>
      <c r="C30" s="85">
        <f t="shared" ref="C30:E33" si="0">IF(SUM(B21:C21)&lt;B30,0,SUM(B21:C21)-B30)</f>
        <v>2232844.8518660031</v>
      </c>
      <c r="D30" s="85">
        <f>1077*10^(1.414+0.349*(IF($F$10/1000000&lt;70,LOG10(70),LOG10($F$10/1000000))))</f>
        <v>1335038.3490722852</v>
      </c>
      <c r="E30" s="85">
        <f t="shared" si="0"/>
        <v>5477171.7509277146</v>
      </c>
      <c r="F30" s="85">
        <f>1077*10^(1.414+0.349*(IF($G$10/1000000&lt;70,LOG10(70),LOG10($G$10/1000000))))</f>
        <v>1347265.1829938681</v>
      </c>
      <c r="G30" s="546">
        <f t="shared" ref="G30" si="1">IF(SUM(F21:G21)&lt;F30,0,SUM(F21:G21)-F30)</f>
        <v>7288748.8870061319</v>
      </c>
    </row>
    <row r="31" spans="1:7" ht="15" customHeight="1" x14ac:dyDescent="0.25">
      <c r="A31" s="592" t="s">
        <v>400</v>
      </c>
      <c r="B31" s="85">
        <f>1077*10^(1.231+0.382*(IF($E$10/1000000&lt;70,LOG10(70),LOG10($E$10/1000000))))</f>
        <v>1256701.2480768154</v>
      </c>
      <c r="C31" s="85">
        <f t="shared" si="0"/>
        <v>2267290.0419231849</v>
      </c>
      <c r="D31" s="85">
        <f>1077*10^(1.231+0.382*(IF($F$10/1000000&lt;70,LOG10(70),LOG10($F$10/1000000))))</f>
        <v>1262639.4183347356</v>
      </c>
      <c r="E31" s="85">
        <f t="shared" si="0"/>
        <v>5543807.351665264</v>
      </c>
      <c r="F31" s="85">
        <f>1077*10^(1.231+0.382*(IF($G$10/1000000&lt;70,LOG10(70),LOG10($G$10/1000000))))</f>
        <v>1275302.0810506688</v>
      </c>
      <c r="G31" s="546">
        <f t="shared" ref="G31" si="2">IF(SUM(F22:G22)&lt;F31,0,SUM(F22:G22)-F31)</f>
        <v>6984108.1689493312</v>
      </c>
    </row>
    <row r="32" spans="1:7" ht="15" customHeight="1" x14ac:dyDescent="0.25">
      <c r="A32" s="592" t="s">
        <v>401</v>
      </c>
      <c r="B32" s="85">
        <f>1077*10^(1.247+0.358*(IF($E$10/1000000&lt;70,LOG10(70),LOG10($E$10/1000000))))</f>
        <v>999724.26722144184</v>
      </c>
      <c r="C32" s="85">
        <f t="shared" si="0"/>
        <v>1958194.3627785579</v>
      </c>
      <c r="D32" s="85">
        <f>1077*10^(1.247+0.358*(IF($F$10/1000000&lt;70,LOG10(70),LOG10($F$10/1000000))))</f>
        <v>1004150.7230533524</v>
      </c>
      <c r="E32" s="85">
        <f t="shared" si="0"/>
        <v>5044365.6569466479</v>
      </c>
      <c r="F32" s="85">
        <f>1077*10^(1.247+0.358*(IF($G$10/1000000&lt;70,LOG10(70),LOG10($G$10/1000000))))</f>
        <v>1013585.4189741334</v>
      </c>
      <c r="G32" s="546">
        <f t="shared" ref="G32" si="3">IF(SUM(F23:G23)&lt;F32,0,SUM(F23:G23)-F32)</f>
        <v>6582300.281025867</v>
      </c>
    </row>
    <row r="33" spans="1:7" ht="15" customHeight="1" x14ac:dyDescent="0.25">
      <c r="A33" s="592" t="s">
        <v>402</v>
      </c>
      <c r="B33" s="85">
        <f>1077*10^(1.246+0.342*(IF($E$10/1000000&lt;70,LOG10(70),LOG10($E$10/1000000))))</f>
        <v>835562.66458049649</v>
      </c>
      <c r="C33" s="85">
        <f t="shared" si="0"/>
        <v>1714987.3754195035</v>
      </c>
      <c r="D33" s="85">
        <f>1077*10^(1.246+0.342*(IF($F$10/1000000&lt;70,LOG10(70),LOG10($F$10/1000000))))</f>
        <v>839096.57145037025</v>
      </c>
      <c r="E33" s="85">
        <f t="shared" si="0"/>
        <v>2426670.1685496299</v>
      </c>
      <c r="F33" s="85">
        <f>1077*10^(1.246+0.342*(IF($G$10/1000000&lt;70,LOG10(70),LOG10($G$10/1000000))))</f>
        <v>846626.53946077835</v>
      </c>
      <c r="G33" s="546">
        <f t="shared" ref="G33" si="4">IF(SUM(F24:G24)&lt;F33,0,SUM(F24:G24)-F33)</f>
        <v>3854297.5705392221</v>
      </c>
    </row>
    <row r="34" spans="1:7" ht="15" customHeight="1" thickBot="1" x14ac:dyDescent="0.3">
      <c r="A34" s="594" t="s">
        <v>405</v>
      </c>
      <c r="B34" s="22"/>
      <c r="C34" s="566">
        <f>SUM(C29:C33)</f>
        <v>15668157.43299637</v>
      </c>
      <c r="D34" s="22"/>
      <c r="E34" s="566">
        <f>SUM(E29:E33)</f>
        <v>35967520.90105845</v>
      </c>
      <c r="F34" s="22"/>
      <c r="G34" s="595">
        <f>SUM(G29:G33)</f>
        <v>46396271.047047287</v>
      </c>
    </row>
    <row r="35" spans="1:7" ht="15" customHeight="1" x14ac:dyDescent="0.25"/>
    <row r="36" spans="1:7" ht="15" customHeight="1" x14ac:dyDescent="0.25">
      <c r="A36" s="330" t="s">
        <v>406</v>
      </c>
    </row>
    <row r="37" spans="1:7" ht="15" customHeight="1" thickBot="1" x14ac:dyDescent="0.3"/>
    <row r="38" spans="1:7" ht="15" customHeight="1" x14ac:dyDescent="0.25">
      <c r="A38" s="605"/>
      <c r="B38" s="550" t="s">
        <v>392</v>
      </c>
      <c r="C38" s="550"/>
      <c r="D38" s="550" t="s">
        <v>393</v>
      </c>
      <c r="E38" s="550"/>
      <c r="F38" s="550" t="s">
        <v>394</v>
      </c>
      <c r="G38" s="551"/>
    </row>
    <row r="39" spans="1:7" ht="15" customHeight="1" x14ac:dyDescent="0.25">
      <c r="A39" s="555"/>
      <c r="B39" s="333">
        <f>E$9</f>
        <v>2019</v>
      </c>
      <c r="C39" s="332"/>
      <c r="D39" s="333">
        <f>F$9</f>
        <v>2020</v>
      </c>
      <c r="E39" s="332"/>
      <c r="F39" s="333" t="str">
        <f>G$9</f>
        <v>2021</v>
      </c>
      <c r="G39" s="562"/>
    </row>
    <row r="40" spans="1:7" ht="30" x14ac:dyDescent="0.25">
      <c r="A40" s="590"/>
      <c r="B40" s="334" t="s">
        <v>407</v>
      </c>
      <c r="C40" s="334" t="s">
        <v>719</v>
      </c>
      <c r="D40" s="334" t="s">
        <v>407</v>
      </c>
      <c r="E40" s="334" t="s">
        <v>719</v>
      </c>
      <c r="F40" s="334" t="s">
        <v>407</v>
      </c>
      <c r="G40" s="552" t="s">
        <v>719</v>
      </c>
    </row>
    <row r="41" spans="1:7" ht="18" thickBot="1" x14ac:dyDescent="0.3">
      <c r="A41" s="594" t="s">
        <v>408</v>
      </c>
      <c r="B41" s="632">
        <v>906791014.5</v>
      </c>
      <c r="C41" s="633">
        <v>302263671.5</v>
      </c>
      <c r="D41" s="632">
        <v>875227273.5</v>
      </c>
      <c r="E41" s="632">
        <v>291742424.5</v>
      </c>
      <c r="F41" s="632">
        <v>801167938.5</v>
      </c>
      <c r="G41" s="634">
        <v>267055979.5</v>
      </c>
    </row>
    <row r="42" spans="1:7" ht="15.75" x14ac:dyDescent="0.25">
      <c r="A42" s="335" t="s">
        <v>720</v>
      </c>
    </row>
    <row r="43" spans="1:7" x14ac:dyDescent="0.25">
      <c r="A43" s="335" t="s">
        <v>718</v>
      </c>
    </row>
  </sheetData>
  <sheetProtection algorithmName="SHA-512" hashValue="bsyk+GtQ5qUV7dO/5bSuCVndTlvEXG5uEQ0/U8qd/yCpZfBZ3s/tYOdyw/ZP9msDxTKpsE3Z+KlnbczC0AG+jg==" saltValue="hLL5OxYFqSaYq8Sdu1uhbg=="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&amp;L1/3/2023 Edition
&amp;CPrior Approval Rate Template
Portions of the material contained in this document are protected by copyright owned by the State Farm Mutual Automobile Insurance Company, 2023&amp;RPage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C13" sqref="C13:E15"/>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8" t="s">
        <v>31</v>
      </c>
      <c r="B1" s="124" t="s">
        <v>33</v>
      </c>
      <c r="E1" s="125" t="str">
        <f>Co_Name</f>
        <v>State Farm General Insurance Company</v>
      </c>
      <c r="F1" s="86" t="s">
        <v>709</v>
      </c>
    </row>
    <row r="2" spans="1:6" x14ac:dyDescent="0.25">
      <c r="A2" s="8" t="s">
        <v>32</v>
      </c>
      <c r="B2" s="124" t="s">
        <v>34</v>
      </c>
      <c r="E2" s="125" t="str">
        <f>General_Line</f>
        <v>Homeowners Multiple Peril</v>
      </c>
      <c r="F2" s="207" t="s">
        <v>113</v>
      </c>
    </row>
    <row r="3" spans="1:6" x14ac:dyDescent="0.25">
      <c r="A3" s="14"/>
      <c r="B3" s="181" t="s">
        <v>142</v>
      </c>
      <c r="C3" s="182"/>
      <c r="D3" s="182"/>
      <c r="E3" s="312" t="str">
        <f>CDI_FileNo</f>
        <v/>
      </c>
      <c r="F3" s="265"/>
    </row>
    <row r="4" spans="1:6" ht="18" customHeight="1" x14ac:dyDescent="0.25">
      <c r="A4" s="14"/>
      <c r="B4" s="184"/>
      <c r="F4" s="265"/>
    </row>
    <row r="5" spans="1:6" ht="23.25" x14ac:dyDescent="0.25">
      <c r="A5" s="4" t="s">
        <v>409</v>
      </c>
      <c r="B5" s="123"/>
      <c r="C5" s="123"/>
      <c r="D5" s="123"/>
      <c r="E5" s="123"/>
      <c r="F5" s="265"/>
    </row>
    <row r="6" spans="1:6" ht="23.25" x14ac:dyDescent="0.25">
      <c r="A6" s="4" t="s">
        <v>391</v>
      </c>
      <c r="B6" s="4"/>
      <c r="C6" s="4"/>
      <c r="D6" s="4"/>
      <c r="E6" s="4"/>
      <c r="F6" s="265"/>
    </row>
    <row r="7" spans="1:6" x14ac:dyDescent="0.25">
      <c r="A7" s="1"/>
      <c r="F7" s="265"/>
    </row>
    <row r="8" spans="1:6" ht="16.5" thickBot="1" x14ac:dyDescent="0.3">
      <c r="A8" s="630" t="s">
        <v>717</v>
      </c>
      <c r="F8" s="265"/>
    </row>
    <row r="9" spans="1:6" ht="30" x14ac:dyDescent="0.25">
      <c r="A9" s="579"/>
      <c r="B9" s="580"/>
      <c r="C9" s="581" t="s">
        <v>392</v>
      </c>
      <c r="D9" s="352" t="s">
        <v>393</v>
      </c>
      <c r="E9" s="545" t="s">
        <v>394</v>
      </c>
      <c r="F9" s="265"/>
    </row>
    <row r="10" spans="1:6" x14ac:dyDescent="0.25">
      <c r="A10" s="582"/>
      <c r="B10" s="337"/>
      <c r="C10" s="338">
        <f>'4.1Excluded Exp'!E$9</f>
        <v>2019</v>
      </c>
      <c r="D10" s="338">
        <f>'4.1Excluded Exp'!F$9</f>
        <v>2020</v>
      </c>
      <c r="E10" s="635" t="str">
        <f>'4.1Excluded Exp'!G$9</f>
        <v>2021</v>
      </c>
      <c r="F10" s="265"/>
    </row>
    <row r="11" spans="1:6" ht="30" customHeight="1" x14ac:dyDescent="0.25">
      <c r="A11" s="583" t="s">
        <v>410</v>
      </c>
      <c r="B11" s="336"/>
      <c r="C11" s="128">
        <v>6756791.0700000003</v>
      </c>
      <c r="D11" s="128">
        <v>6600269.0599999996</v>
      </c>
      <c r="E11" s="593">
        <v>6184292.0499999998</v>
      </c>
      <c r="F11" s="265"/>
    </row>
    <row r="12" spans="1:6" ht="30" customHeight="1" x14ac:dyDescent="0.25">
      <c r="A12" s="583" t="s">
        <v>677</v>
      </c>
      <c r="B12" s="339"/>
      <c r="C12" s="340">
        <f>'4.1Excluded Exp'!$C$34</f>
        <v>15668157.43299637</v>
      </c>
      <c r="D12" s="340">
        <f>'4.1Excluded Exp'!$E$34</f>
        <v>35967520.90105845</v>
      </c>
      <c r="E12" s="546">
        <f>'4.1Excluded Exp'!$G$34</f>
        <v>46396271.047047287</v>
      </c>
      <c r="F12" s="265"/>
    </row>
    <row r="13" spans="1:6" ht="30" customHeight="1" x14ac:dyDescent="0.25">
      <c r="A13" s="583" t="s">
        <v>411</v>
      </c>
      <c r="B13" s="339"/>
      <c r="C13" s="128">
        <v>226788</v>
      </c>
      <c r="D13" s="128">
        <v>0</v>
      </c>
      <c r="E13" s="593">
        <v>697639</v>
      </c>
      <c r="F13" s="265"/>
    </row>
    <row r="14" spans="1:6" ht="30" customHeight="1" x14ac:dyDescent="0.25">
      <c r="A14" s="583" t="s">
        <v>412</v>
      </c>
      <c r="B14" s="339"/>
      <c r="C14" s="128">
        <v>0</v>
      </c>
      <c r="D14" s="128">
        <v>0</v>
      </c>
      <c r="E14" s="593">
        <v>0</v>
      </c>
      <c r="F14" s="265"/>
    </row>
    <row r="15" spans="1:6" ht="30" customHeight="1" x14ac:dyDescent="0.25">
      <c r="A15" s="583" t="s">
        <v>413</v>
      </c>
      <c r="B15" s="339"/>
      <c r="C15" s="128">
        <v>454515.4</v>
      </c>
      <c r="D15" s="128">
        <v>901017.98</v>
      </c>
      <c r="E15" s="593">
        <v>317683.52</v>
      </c>
      <c r="F15" s="265"/>
    </row>
    <row r="16" spans="1:6" ht="30" customHeight="1" x14ac:dyDescent="0.25">
      <c r="A16" s="583" t="s">
        <v>678</v>
      </c>
      <c r="B16" s="339"/>
      <c r="C16" s="340">
        <f>'4.1Excluded Exp'!$B$41</f>
        <v>906791014.5</v>
      </c>
      <c r="D16" s="340">
        <f>'4.1Excluded Exp'!$D$41</f>
        <v>875227273.5</v>
      </c>
      <c r="E16" s="546">
        <f>'4.1Excluded Exp'!$F$41</f>
        <v>801167938.5</v>
      </c>
      <c r="F16" s="265"/>
    </row>
    <row r="17" spans="1:6" ht="30" customHeight="1" x14ac:dyDescent="0.25">
      <c r="A17" s="583" t="s">
        <v>414</v>
      </c>
      <c r="B17" s="339"/>
      <c r="C17" s="128">
        <v>0</v>
      </c>
      <c r="D17" s="128">
        <v>0</v>
      </c>
      <c r="E17" s="593">
        <v>0</v>
      </c>
      <c r="F17" s="265"/>
    </row>
    <row r="18" spans="1:6" ht="30" customHeight="1" x14ac:dyDescent="0.25">
      <c r="A18" s="584" t="s">
        <v>415</v>
      </c>
      <c r="B18" s="341"/>
      <c r="C18" s="342">
        <f>SUM(C11:C17)</f>
        <v>929897266.40299642</v>
      </c>
      <c r="D18" s="342">
        <f>SUM(D11:D17)</f>
        <v>918696081.4410584</v>
      </c>
      <c r="E18" s="636">
        <f>SUM(E11:E17)</f>
        <v>854763824.11704731</v>
      </c>
      <c r="F18" s="265"/>
    </row>
    <row r="19" spans="1:6" ht="30" customHeight="1" x14ac:dyDescent="0.25">
      <c r="A19" s="584" t="s">
        <v>162</v>
      </c>
      <c r="B19" s="341"/>
      <c r="C19" s="343">
        <f>IF(AND(New_Insurer_Group=TRUE,New_Program=TRUE),0,C18/'4.1Excluded Exp'!E$12)</f>
        <v>1.4266516015229753E-2</v>
      </c>
      <c r="D19" s="343">
        <f>IF(AND(New_Insurer_Group=TRUE,New_Program=TRUE),0,D18/'4.1Excluded Exp'!F$12)</f>
        <v>1.3930052529057291E-2</v>
      </c>
      <c r="E19" s="637">
        <f>IF(AND(New_Insurer_Group=TRUE,New_Program=TRUE),0,E18/'4.1Excluded Exp'!G$12)</f>
        <v>1.2595230888072302E-2</v>
      </c>
      <c r="F19" s="616"/>
    </row>
    <row r="20" spans="1:6" ht="30" customHeight="1" thickBot="1" x14ac:dyDescent="0.3">
      <c r="A20" s="585" t="s">
        <v>416</v>
      </c>
      <c r="B20" s="586"/>
      <c r="C20" s="587"/>
      <c r="D20" s="587"/>
      <c r="E20" s="638">
        <f>AVERAGE(C19:E19)</f>
        <v>1.3597266477453115E-2</v>
      </c>
      <c r="F20" s="474" t="str">
        <f>IF(ISERROR($E$20),"← ERROR! Correct issues with input of source data on either Page 4.1 or 4.2.","")</f>
        <v/>
      </c>
    </row>
    <row r="21" spans="1:6" ht="15.75" thickBot="1" x14ac:dyDescent="0.3">
      <c r="F21" s="617"/>
    </row>
  </sheetData>
  <sheetProtection algorithmName="SHA-512" hashValue="VEu63cUjxbq597crRmpPDd7C8wqQCwRWGTALL7mS23prm0e7QUh8JPQK1wSfWMVfyuiMseOxhU3LZ0GCeFEH6w==" saltValue="kaNd0Eq6Hb8XONpQiYz+kA==" spinCount="100000" sheet="1" objects="1" scenarios="1" formatColumns="0" formatRows="0" sort="0"/>
  <printOptions horizontalCentered="1"/>
  <pageMargins left="0.45" right="0.45" top="0.5" bottom="0.5" header="0.3" footer="0.05"/>
  <pageSetup scale="80" fitToHeight="2" orientation="portrait" r:id="rId1"/>
  <headerFooter>
    <oddFooter xml:space="preserve">&amp;L1/3/2023 Edition
&amp;CPrior Approval Rate Template
Portions of the material contained in this document are protected by copyright owned by the State Farm Mutual Automobile Insurance Company, 2023&amp;RPage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6"/>
  <sheetViews>
    <sheetView showGridLines="0" view="pageBreakPreview" zoomScale="70" zoomScaleNormal="100" zoomScaleSheetLayoutView="70" workbookViewId="0">
      <selection activeCell="M26" sqref="M26"/>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8" t="s">
        <v>31</v>
      </c>
      <c r="G1" s="124" t="s">
        <v>33</v>
      </c>
      <c r="J1" s="125" t="str">
        <f>Co_Name</f>
        <v>State Farm General Insurance Company</v>
      </c>
    </row>
    <row r="2" spans="1:10 16374:16374" x14ac:dyDescent="0.25">
      <c r="A2" s="8" t="s">
        <v>32</v>
      </c>
      <c r="G2" s="124" t="s">
        <v>34</v>
      </c>
      <c r="J2" s="125" t="str">
        <f>General_Line</f>
        <v>Homeowners Multiple Peril</v>
      </c>
    </row>
    <row r="3" spans="1:10 16374:16374" x14ac:dyDescent="0.25">
      <c r="G3" s="249" t="s">
        <v>140</v>
      </c>
      <c r="H3" s="249"/>
      <c r="I3" s="249"/>
      <c r="J3" s="188"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452" t="s">
        <v>314</v>
      </c>
      <c r="B7" s="453"/>
      <c r="C7" s="453"/>
      <c r="D7" s="453"/>
      <c r="E7" s="453"/>
      <c r="F7" s="453"/>
      <c r="G7" s="453"/>
      <c r="H7" s="453"/>
      <c r="I7" s="453"/>
      <c r="J7" s="454"/>
    </row>
    <row r="8" spans="1:10 16374:16374" x14ac:dyDescent="0.25">
      <c r="A8" s="430"/>
      <c r="B8" s="431"/>
      <c r="C8" s="431"/>
      <c r="D8" s="432" t="s">
        <v>389</v>
      </c>
      <c r="E8" s="433"/>
      <c r="F8" s="434"/>
      <c r="G8" s="431"/>
      <c r="H8" s="431"/>
      <c r="I8" s="431"/>
      <c r="J8" s="435"/>
    </row>
    <row r="9" spans="1:10 16374:16374" ht="15.75" thickBot="1" x14ac:dyDescent="0.3">
      <c r="A9" s="261"/>
      <c r="B9" s="89"/>
      <c r="C9" s="449"/>
      <c r="D9" s="436">
        <f>Pct_Cap</f>
        <v>1</v>
      </c>
      <c r="E9" s="437">
        <f>Pct_Dir</f>
        <v>0</v>
      </c>
      <c r="F9" s="438">
        <f>Pct_Ind</f>
        <v>0</v>
      </c>
      <c r="G9" s="439"/>
      <c r="H9" s="259"/>
      <c r="I9" s="259"/>
      <c r="J9" s="440"/>
    </row>
    <row r="10" spans="1:10 16374:16374" ht="60.75" thickBot="1" x14ac:dyDescent="0.3">
      <c r="A10" s="96" t="s">
        <v>388</v>
      </c>
      <c r="B10" s="441" t="s">
        <v>387</v>
      </c>
      <c r="C10" s="441" t="s">
        <v>366</v>
      </c>
      <c r="D10" s="442" t="s">
        <v>117</v>
      </c>
      <c r="E10" s="443" t="s">
        <v>118</v>
      </c>
      <c r="F10" s="444" t="s">
        <v>125</v>
      </c>
      <c r="G10" s="445" t="s">
        <v>501</v>
      </c>
      <c r="H10" s="445" t="s">
        <v>292</v>
      </c>
      <c r="I10" s="445" t="s">
        <v>162</v>
      </c>
      <c r="J10" s="446" t="s">
        <v>315</v>
      </c>
      <c r="XET10" s="224"/>
    </row>
    <row r="11" spans="1:10 16374:16374" ht="18" customHeight="1" x14ac:dyDescent="0.25">
      <c r="A11" s="417" t="str">
        <f>Detailed_LineDesc01</f>
        <v>Homeowners Multiple Peril</v>
      </c>
      <c r="B11" s="418">
        <f ca="1">IF(RIGHT(Detailed_LineCode01,1)="R",LEFT(Detailed_LineCode01,LEN(Detailed_LineCode01)-1),Detailed_LineCode01)</f>
        <v>4</v>
      </c>
      <c r="C11" s="610" t="str">
        <f>IF(Covg01="","",Covg01)</f>
        <v>Rental Dwelling</v>
      </c>
      <c r="D11" s="428">
        <f ca="1">IF(Covg01="","",VLOOKUP(Detailed_LineCode01,Table_EffStd,D$21+1,FALSE))</f>
        <v>0.35349169170468153</v>
      </c>
      <c r="E11" s="416">
        <f ca="1">IF(Covg01="","",VLOOKUP(Detailed_LineCode01,Table_EffStd,E$21+1,FALSE))</f>
        <v>0.30450233691492307</v>
      </c>
      <c r="F11" s="429">
        <f ca="1">IF(Covg01="","",VLOOKUP(Detailed_LineCode01,Table_EffStd,F$21+1,FALSE))</f>
        <v>0.37957507454237077</v>
      </c>
      <c r="G11" s="260">
        <f ca="1">IF(Covg01="","",SUMPRODUCT(D11:F11,D$9:F$9))</f>
        <v>0.35349169170468153</v>
      </c>
      <c r="H11" s="480">
        <f>IF(Covg01="","",IF(AND(ISBLANK('6.1Ratemaking Data'!$J$39)=FALSE,'1.General'!$I$47=1),EffStd_Var01,0))</f>
        <v>0</v>
      </c>
      <c r="I11" s="416">
        <f>IF(Covg01="","",ExpRatio_Excluded)</f>
        <v>1.3597266477453115E-2</v>
      </c>
      <c r="J11" s="420">
        <f ca="1">IF(Covg01="","",G11+H11-I11)</f>
        <v>0.3398944252272284</v>
      </c>
    </row>
    <row r="12" spans="1:10 16374:16374" ht="18" customHeight="1" x14ac:dyDescent="0.25">
      <c r="A12" s="417" t="str">
        <f>Detailed_LineDesc02</f>
        <v/>
      </c>
      <c r="B12" s="418" t="str">
        <f>IF(RIGHT(Detailed_LineCode02,1)="R",LEFT(Detailed_LineCode02,LEN(Detailed_LineCode02)-1),Detailed_LineCode02)</f>
        <v/>
      </c>
      <c r="C12" s="610" t="str">
        <f>IF(Covg02="","",Covg02)</f>
        <v/>
      </c>
      <c r="D12" s="428" t="str">
        <f>IF(Covg02="","",VLOOKUP(Detailed_LineCode02,Table_EffStd,D$21+1,FALSE))</f>
        <v/>
      </c>
      <c r="E12" s="416" t="str">
        <f>IF(Covg02="","",VLOOKUP(Detailed_LineCode02,Table_EffStd,E$21+1,FALSE))</f>
        <v/>
      </c>
      <c r="F12" s="429" t="str">
        <f>IF(Covg02="","",VLOOKUP(Detailed_LineCode02,Table_EffStd,F$21+1,FALSE))</f>
        <v/>
      </c>
      <c r="G12" s="260" t="str">
        <f>IF(Covg02="","",SUMPRODUCT(D12:F12,D$9:F$9))</f>
        <v/>
      </c>
      <c r="H12" s="480" t="str">
        <f>IF(Covg02="","",IF(AND(ISBLANK('6.2Ratemaking Data'!$J$39)=FALSE,'1.General'!$I$47=1),EffStd_Var02,0))</f>
        <v/>
      </c>
      <c r="I12" s="416" t="str">
        <f>IF(Covg02="","",ExpRatio_Excluded)</f>
        <v/>
      </c>
      <c r="J12" s="420" t="str">
        <f>IF(Covg02="","",G12+H12-I12)</f>
        <v/>
      </c>
    </row>
    <row r="13" spans="1:10 16374:16374" ht="18" customHeight="1" x14ac:dyDescent="0.25">
      <c r="A13" s="417" t="str">
        <f>Detailed_LineDesc03</f>
        <v/>
      </c>
      <c r="B13" s="418" t="str">
        <f>IF(RIGHT(Detailed_LineCode03,1)="R",LEFT(Detailed_LineCode03,LEN(Detailed_LineCode03)-1),Detailed_LineCode03)</f>
        <v/>
      </c>
      <c r="C13" s="610" t="str">
        <f>IF(Covg03="","",Covg03)</f>
        <v/>
      </c>
      <c r="D13" s="428" t="str">
        <f>IF(Covg03="","",VLOOKUP(Detailed_LineCode03,Table_EffStd,D$21+1,FALSE))</f>
        <v/>
      </c>
      <c r="E13" s="416" t="str">
        <f>IF(Covg03="","",VLOOKUP(Detailed_LineCode03,Table_EffStd,E$21+1,FALSE))</f>
        <v/>
      </c>
      <c r="F13" s="429" t="str">
        <f>IF(Covg03="","",VLOOKUP(Detailed_LineCode03,Table_EffStd,F$21+1,FALSE))</f>
        <v/>
      </c>
      <c r="G13" s="260" t="str">
        <f>IF(Covg03="","",SUMPRODUCT(D13:F13,D$9:F$9))</f>
        <v/>
      </c>
      <c r="H13" s="480" t="str">
        <f>IF(Covg03="","",IF(AND(ISBLANK('6.3Ratemaking Data'!$J$39)=FALSE,'1.General'!$I$47=1),EffStd_Var03,0))</f>
        <v/>
      </c>
      <c r="I13" s="416" t="str">
        <f>IF(Covg03="","",ExpRatio_Excluded)</f>
        <v/>
      </c>
      <c r="J13" s="420" t="str">
        <f>IF(Covg03="","",G13+H13-I13)</f>
        <v/>
      </c>
    </row>
    <row r="14" spans="1:10 16374:16374" ht="18" customHeight="1" x14ac:dyDescent="0.25">
      <c r="A14" s="417" t="str">
        <f>Detailed_LineDesc04</f>
        <v/>
      </c>
      <c r="B14" s="418" t="str">
        <f>IF(RIGHT(Detailed_LineCode04,1)="R",LEFT(Detailed_LineCode04,LEN(Detailed_LineCode04)-1),Detailed_LineCode04)</f>
        <v/>
      </c>
      <c r="C14" s="610" t="str">
        <f>IF(Covg04="","",Covg04)</f>
        <v/>
      </c>
      <c r="D14" s="428" t="str">
        <f>IF(Covg04="","",VLOOKUP(Detailed_LineCode04,Table_EffStd,D$21+1,FALSE))</f>
        <v/>
      </c>
      <c r="E14" s="416" t="str">
        <f>IF(Covg04="","",VLOOKUP(Detailed_LineCode04,Table_EffStd,E$21+1,FALSE))</f>
        <v/>
      </c>
      <c r="F14" s="429" t="str">
        <f>IF(Covg04="","",VLOOKUP(Detailed_LineCode04,Table_EffStd,F$21+1,FALSE))</f>
        <v/>
      </c>
      <c r="G14" s="260" t="str">
        <f>IF(Covg04="","",SUMPRODUCT(D14:F14,D$9:F$9))</f>
        <v/>
      </c>
      <c r="H14" s="480" t="str">
        <f>IF(Covg04="","",IF(AND(ISBLANK('6.4Ratemaking Data'!$J$39)=FALSE,'1.General'!$I$47=1),EffStd_Var04,0))</f>
        <v/>
      </c>
      <c r="I14" s="416" t="str">
        <f>IF(Covg04="","",ExpRatio_Excluded)</f>
        <v/>
      </c>
      <c r="J14" s="420" t="str">
        <f>IF(Covg04="","",G14+H14-I14)</f>
        <v/>
      </c>
    </row>
    <row r="15" spans="1:10 16374:16374" ht="18" customHeight="1" x14ac:dyDescent="0.25">
      <c r="A15" s="417" t="str">
        <f>Detailed_LineDesc05</f>
        <v/>
      </c>
      <c r="B15" s="418" t="str">
        <f>IF(RIGHT(Detailed_LineCode05,1)="R",LEFT(Detailed_LineCode05,LEN(Detailed_LineCode05)-1),Detailed_LineCode05)</f>
        <v/>
      </c>
      <c r="C15" s="610" t="str">
        <f>IF(Covg05="","",Covg05)</f>
        <v/>
      </c>
      <c r="D15" s="428" t="str">
        <f>IF(Covg05="","",VLOOKUP(Detailed_LineCode05,Table_EffStd,D$21+1,FALSE))</f>
        <v/>
      </c>
      <c r="E15" s="416" t="str">
        <f>IF(Covg05="","",VLOOKUP(Detailed_LineCode05,Table_EffStd,E$21+1,FALSE))</f>
        <v/>
      </c>
      <c r="F15" s="429" t="str">
        <f>IF(Covg05="","",VLOOKUP(Detailed_LineCode05,Table_EffStd,F$21+1,FALSE))</f>
        <v/>
      </c>
      <c r="G15" s="260" t="str">
        <f>IF(Covg05="","",SUMPRODUCT(D15:F15,D$9:F$9))</f>
        <v/>
      </c>
      <c r="H15" s="480" t="str">
        <f>IF(Covg05="","",IF(AND(ISBLANK('6.5Ratemaking Data'!$J$39)=FALSE,'1.General'!$I$47=1),EffStd_Var05,0))</f>
        <v/>
      </c>
      <c r="I15" s="416" t="str">
        <f>IF(Covg05="","",ExpRatio_Excluded)</f>
        <v/>
      </c>
      <c r="J15" s="420" t="str">
        <f>IF(Covg05="","",G15+H15-I15)</f>
        <v/>
      </c>
    </row>
    <row r="16" spans="1:10 16374:16374" ht="18" customHeight="1" x14ac:dyDescent="0.25">
      <c r="A16" s="417" t="str">
        <f>Detailed_LineDesc06</f>
        <v/>
      </c>
      <c r="B16" s="418" t="str">
        <f>IF(RIGHT(Detailed_LineCode06,1)="R",LEFT(Detailed_LineCode06,LEN(Detailed_LineCode06)-1),Detailed_LineCode06)</f>
        <v/>
      </c>
      <c r="C16" s="610" t="str">
        <f>IF(Covg06="","",Covg06)</f>
        <v/>
      </c>
      <c r="D16" s="428" t="str">
        <f>IF(Covg06="","",VLOOKUP(Detailed_LineCode06,Table_EffStd,D$21+1,FALSE))</f>
        <v/>
      </c>
      <c r="E16" s="416" t="str">
        <f>IF(Covg06="","",VLOOKUP(Detailed_LineCode06,Table_EffStd,E$21+1,FALSE))</f>
        <v/>
      </c>
      <c r="F16" s="429" t="str">
        <f>IF(Covg06="","",VLOOKUP(Detailed_LineCode06,Table_EffStd,F$21+1,FALSE))</f>
        <v/>
      </c>
      <c r="G16" s="260" t="str">
        <f>IF(Covg06="","",SUMPRODUCT(D16:F16,D$9:F$9))</f>
        <v/>
      </c>
      <c r="H16" s="480" t="str">
        <f>IF(Covg06="","",IF(AND(ISBLANK('6.6Ratemaking Data'!$J$39)=FALSE,'1.General'!$I$47=1),EffStd_Var06,0))</f>
        <v/>
      </c>
      <c r="I16" s="416" t="str">
        <f>IF(Covg06="","",ExpRatio_Excluded)</f>
        <v/>
      </c>
      <c r="J16" s="420" t="str">
        <f>IF(Covg06="","",G16+H16-I16)</f>
        <v/>
      </c>
    </row>
    <row r="17" spans="1:19" ht="18" customHeight="1" x14ac:dyDescent="0.25">
      <c r="A17" s="417" t="str">
        <f>Detailed_LineDesc07</f>
        <v/>
      </c>
      <c r="B17" s="418" t="str">
        <f>IF(RIGHT(Detailed_LineCode07,1)="R",LEFT(Detailed_LineCode07,LEN(Detailed_LineCode07)-1),Detailed_LineCode07)</f>
        <v/>
      </c>
      <c r="C17" s="610" t="str">
        <f>IF(Covg07="","",Covg07)</f>
        <v/>
      </c>
      <c r="D17" s="428" t="str">
        <f>IF(Covg07="","",VLOOKUP(Detailed_LineCode07,Table_EffStd,D$21+1,FALSE))</f>
        <v/>
      </c>
      <c r="E17" s="416" t="str">
        <f>IF(Covg07="","",VLOOKUP(Detailed_LineCode07,Table_EffStd,E$21+1,FALSE))</f>
        <v/>
      </c>
      <c r="F17" s="429" t="str">
        <f>IF(Covg07="","",VLOOKUP(Detailed_LineCode07,Table_EffStd,F$21+1,FALSE))</f>
        <v/>
      </c>
      <c r="G17" s="260" t="str">
        <f>IF(Covg07="","",SUMPRODUCT(D17:F17,D$9:F$9))</f>
        <v/>
      </c>
      <c r="H17" s="480" t="str">
        <f>IF(Covg07="","",IF(AND(ISBLANK('6.7Ratemaking Data'!$J$39)=FALSE,'1.General'!$I$47=1),EffStd_Var07,0))</f>
        <v/>
      </c>
      <c r="I17" s="416" t="str">
        <f>IF(Covg07="","",ExpRatio_Excluded)</f>
        <v/>
      </c>
      <c r="J17" s="420" t="str">
        <f>IF(Covg07="","",G17+H17-I17)</f>
        <v/>
      </c>
    </row>
    <row r="18" spans="1:19" ht="18" customHeight="1" x14ac:dyDescent="0.25">
      <c r="A18" s="417" t="str">
        <f>Detailed_LineDesc08</f>
        <v/>
      </c>
      <c r="B18" s="418" t="str">
        <f>IF(RIGHT(Detailed_LineCode08,1)="R",LEFT(Detailed_LineCode08,LEN(Detailed_LineCode08)-1),Detailed_LineCode08)</f>
        <v/>
      </c>
      <c r="C18" s="610" t="str">
        <f>IF(Covg08="","",Covg08)</f>
        <v/>
      </c>
      <c r="D18" s="428" t="str">
        <f>IF(Covg08="","",VLOOKUP(Detailed_LineCode08,Table_EffStd,D$21+1,FALSE))</f>
        <v/>
      </c>
      <c r="E18" s="416" t="str">
        <f>IF(Covg08="","",VLOOKUP(Detailed_LineCode08,Table_EffStd,E$21+1,FALSE))</f>
        <v/>
      </c>
      <c r="F18" s="429" t="str">
        <f>IF(Covg08="","",VLOOKUP(Detailed_LineCode08,Table_EffStd,F$21+1,FALSE))</f>
        <v/>
      </c>
      <c r="G18" s="260" t="str">
        <f>IF(Covg08="","",SUMPRODUCT(D18:F18,D$9:F$9))</f>
        <v/>
      </c>
      <c r="H18" s="480" t="str">
        <f>IF(Covg08="","",IF(AND(ISBLANK('6.8Ratemaking Data'!$J$39)=FALSE,'1.General'!$I$47=1),EffStd_Var08,0))</f>
        <v/>
      </c>
      <c r="I18" s="416" t="str">
        <f>IF(Covg08="","",ExpRatio_Excluded)</f>
        <v/>
      </c>
      <c r="J18" s="420" t="str">
        <f>IF(Covg08="","",G18+H18-I18)</f>
        <v/>
      </c>
    </row>
    <row r="19" spans="1:19" ht="18" customHeight="1" x14ac:dyDescent="0.25">
      <c r="A19" s="417" t="str">
        <f>Detailed_LineDesc09</f>
        <v/>
      </c>
      <c r="B19" s="418" t="str">
        <f>IF(RIGHT(Detailed_LineCode09,1)="R",LEFT(Detailed_LineCode09,LEN(Detailed_LineCode09)-1),Detailed_LineCode09)</f>
        <v/>
      </c>
      <c r="C19" s="610" t="str">
        <f>IF(Covg09="","",Covg09)</f>
        <v/>
      </c>
      <c r="D19" s="428" t="str">
        <f>IF(Covg09="","",VLOOKUP(Detailed_LineCode09,Table_EffStd,D$21+1,FALSE))</f>
        <v/>
      </c>
      <c r="E19" s="416" t="str">
        <f>IF(Covg09="","",VLOOKUP(Detailed_LineCode09,Table_EffStd,E$21+1,FALSE))</f>
        <v/>
      </c>
      <c r="F19" s="429" t="str">
        <f>IF(Covg09="","",VLOOKUP(Detailed_LineCode09,Table_EffStd,F$21+1,FALSE))</f>
        <v/>
      </c>
      <c r="G19" s="260" t="str">
        <f>IF(Covg09="","",SUMPRODUCT(D19:F19,D$9:F$9))</f>
        <v/>
      </c>
      <c r="H19" s="480" t="str">
        <f>IF(Covg09="","",IF(AND(ISBLANK('6.9Ratemaking Data'!$J$39)=FALSE,'1.General'!$I$47=1),EffStd_Var09,0))</f>
        <v/>
      </c>
      <c r="I19" s="416" t="str">
        <f>IF(Covg09="","",ExpRatio_Excluded)</f>
        <v/>
      </c>
      <c r="J19" s="420" t="str">
        <f>IF(Covg09="","",G19+H19-I19)</f>
        <v/>
      </c>
    </row>
    <row r="20" spans="1:19" ht="18" customHeight="1" thickBot="1" x14ac:dyDescent="0.3">
      <c r="A20" s="421" t="str">
        <f>Detailed_LineDesc10</f>
        <v/>
      </c>
      <c r="B20" s="422" t="str">
        <f>IF(RIGHT(Detailed_LineCode10,1)="R",LEFT(Detailed_LineCode10,LEN(Detailed_LineCode10)-1),Detailed_LineCode10)</f>
        <v/>
      </c>
      <c r="C20" s="611" t="str">
        <f>IF(Covg10="","",Covg10)</f>
        <v/>
      </c>
      <c r="D20" s="426" t="str">
        <f>IF(Covg10="","",VLOOKUP(Detailed_LineCode10,Table_EffStd,D$21+1,FALSE))</f>
        <v/>
      </c>
      <c r="E20" s="423" t="str">
        <f>IF(Covg10="","",VLOOKUP(Detailed_LineCode10,Table_EffStd,E$21+1,FALSE))</f>
        <v/>
      </c>
      <c r="F20" s="427" t="str">
        <f>IF(Covg10="","",VLOOKUP(Detailed_LineCode10,Table_EffStd,F$21+1,FALSE))</f>
        <v/>
      </c>
      <c r="G20" s="424" t="str">
        <f>IF(Covg10="","",SUMPRODUCT(D20:F20,D$9:F$9))</f>
        <v/>
      </c>
      <c r="H20" s="481" t="str">
        <f>IF(Covg10="","",IF(AND(ISBLANK('6.10Ratemaking Data'!$J$39)=FALSE,'1.General'!$I$47=1),EffStd_Var10,0))</f>
        <v/>
      </c>
      <c r="I20" s="423" t="str">
        <f>IF(Covg10="","",ExpRatio_Excluded)</f>
        <v/>
      </c>
      <c r="J20" s="425" t="str">
        <f>IF(Covg10="","",G20+H20-I20)</f>
        <v/>
      </c>
    </row>
    <row r="21" spans="1:19" hidden="1" x14ac:dyDescent="0.25">
      <c r="A21" s="298"/>
      <c r="B21" s="418"/>
      <c r="C21" s="40"/>
      <c r="D21" s="456">
        <v>1</v>
      </c>
      <c r="E21" s="456">
        <v>2</v>
      </c>
      <c r="F21" s="456">
        <v>3</v>
      </c>
      <c r="G21" s="260"/>
      <c r="H21" s="419"/>
      <c r="I21" s="416"/>
      <c r="J21" s="455"/>
    </row>
    <row r="22" spans="1:19" ht="15.75" thickBot="1" x14ac:dyDescent="0.3"/>
    <row r="23" spans="1:19" ht="47.25" customHeight="1" x14ac:dyDescent="0.3">
      <c r="A23" s="457"/>
      <c r="B23" s="458"/>
      <c r="C23" s="459"/>
      <c r="D23" s="766" t="s">
        <v>136</v>
      </c>
      <c r="E23" s="767"/>
      <c r="F23" s="452" t="s">
        <v>134</v>
      </c>
      <c r="G23" s="460"/>
      <c r="H23" s="461"/>
      <c r="I23" s="777" t="str">
        <f>"Yields, Rate of Return &amp; Premium Tax Values as of "&amp;'3.2YieldFIT'!G48</f>
        <v>Yields, Rate of Return &amp; Premium Tax Values as of December 2022</v>
      </c>
      <c r="J23" s="778"/>
    </row>
    <row r="24" spans="1:19" ht="33.75" customHeight="1" thickBot="1" x14ac:dyDescent="0.35">
      <c r="A24" s="462"/>
      <c r="B24" s="463"/>
      <c r="C24" s="464"/>
      <c r="D24" s="768"/>
      <c r="E24" s="769"/>
      <c r="F24" s="627" t="str">
        <f>IF(AND('1.General'!$I$47*'1.General'!$I$48=1,FIND({3},'1.General'!$E$47&amp;"3")&lt;=LEN('1.General'!$E$47)),"(Variance 3 applied)","(Variance 3 not applied)")</f>
        <v>(Variance 3 not applied)</v>
      </c>
      <c r="G24" s="465"/>
      <c r="H24" s="466"/>
      <c r="I24" s="779"/>
      <c r="J24" s="780"/>
    </row>
    <row r="25" spans="1:19" ht="60.75" thickBot="1" x14ac:dyDescent="0.3">
      <c r="A25" s="96" t="s">
        <v>388</v>
      </c>
      <c r="B25" s="441" t="s">
        <v>387</v>
      </c>
      <c r="C25" s="450" t="s">
        <v>366</v>
      </c>
      <c r="D25" s="451" t="s">
        <v>138</v>
      </c>
      <c r="E25" s="450" t="s">
        <v>139</v>
      </c>
      <c r="F25" s="451" t="s">
        <v>562</v>
      </c>
      <c r="G25" s="441" t="s">
        <v>292</v>
      </c>
      <c r="H25" s="441" t="s">
        <v>316</v>
      </c>
      <c r="I25" s="626" t="s">
        <v>165</v>
      </c>
      <c r="J25" s="629">
        <f>'3.2YieldFIT'!D42</f>
        <v>4.3359497935155651E-2</v>
      </c>
    </row>
    <row r="26" spans="1:19" ht="18" customHeight="1" x14ac:dyDescent="0.25">
      <c r="A26" s="417" t="str">
        <f>Detailed_LineDesc01</f>
        <v>Homeowners Multiple Peril</v>
      </c>
      <c r="B26" s="418">
        <f ca="1">IF(RIGHT(Detailed_LineCode01,1)="R",LEFT(Detailed_LineCode01,LEN(Detailed_LineCode01)-1),Detailed_LineCode01)</f>
        <v>4</v>
      </c>
      <c r="C26" s="610" t="str">
        <f>IF(Covg01="","",Covg01)</f>
        <v>Rental Dwelling</v>
      </c>
      <c r="D26" s="447">
        <f ca="1">IF(Covg01="","",VLOOKUP(Detailed_LineCode01,Table_ResRatio,2,FALSE))</f>
        <v>0.52182970801271056</v>
      </c>
      <c r="E26" s="448">
        <f ca="1">IF(Covg01="","",VLOOKUP(Detailed_LineCode01,Table_ResRatio,3,FALSE))</f>
        <v>1.3010095886105004</v>
      </c>
      <c r="F26" s="447">
        <f ca="1">IF(Covg01="","",VLOOKUP(Detailed_LineCode01,Table_LevFact,2,FALSE))</f>
        <v>0.91552166118720324</v>
      </c>
      <c r="G26" s="479">
        <f>IF(Covg01="","",IF(AND('1.General'!$I$47*'1.General'!$I$48=1,FIND({3},'1.General'!$E$47&amp;"3")&lt;=LEN('1.General'!$E$47)),0.85,1))</f>
        <v>1</v>
      </c>
      <c r="H26" s="628">
        <f ca="1">IF(Covg01="","",F26*G26)</f>
        <v>0.91552166118720324</v>
      </c>
      <c r="I26" s="749" t="s">
        <v>714</v>
      </c>
      <c r="J26" s="773">
        <f>'3.2YieldFIT'!F34</f>
        <v>0.15389771415501849</v>
      </c>
    </row>
    <row r="27" spans="1:19" ht="18" customHeight="1" thickBot="1" x14ac:dyDescent="0.3">
      <c r="A27" s="417" t="str">
        <f>Detailed_LineDesc02</f>
        <v/>
      </c>
      <c r="B27" s="418" t="str">
        <f>IF(RIGHT(Detailed_LineCode02,1)="R",LEFT(Detailed_LineCode02,LEN(Detailed_LineCode02)-1),Detailed_LineCode02)</f>
        <v/>
      </c>
      <c r="C27" s="610" t="str">
        <f>IF(Covg02="","",Covg02)</f>
        <v/>
      </c>
      <c r="D27" s="447" t="str">
        <f>IF(Covg02="","",VLOOKUP(Detailed_LineCode02,Table_ResRatio,2,FALSE))</f>
        <v/>
      </c>
      <c r="E27" s="448" t="str">
        <f>IF(Covg02="","",VLOOKUP(Detailed_LineCode02,Table_ResRatio,3,FALSE))</f>
        <v/>
      </c>
      <c r="F27" s="447" t="str">
        <f>IF(Covg02="","",VLOOKUP(Detailed_LineCode02,Table_LevFact,2,FALSE))</f>
        <v/>
      </c>
      <c r="G27" s="479" t="str">
        <f>IF(Covg02="","",IF(AND('1.General'!$I$47*'1.General'!$I$48=1,FIND({3},'1.General'!$E$47&amp;"3")&lt;=LEN('1.General'!$E$47)),0.85,1))</f>
        <v/>
      </c>
      <c r="H27" s="628" t="str">
        <f>IF(Covg02="","",F27*G27)</f>
        <v/>
      </c>
      <c r="I27" s="750"/>
      <c r="J27" s="774"/>
    </row>
    <row r="28" spans="1:19" ht="18" customHeight="1" x14ac:dyDescent="0.25">
      <c r="A28" s="417" t="str">
        <f>Detailed_LineDesc03</f>
        <v/>
      </c>
      <c r="B28" s="418" t="str">
        <f>IF(RIGHT(Detailed_LineCode03,1)="R",LEFT(Detailed_LineCode03,LEN(Detailed_LineCode03)-1),Detailed_LineCode03)</f>
        <v/>
      </c>
      <c r="C28" s="610" t="str">
        <f>IF(Covg03="","",Covg03)</f>
        <v/>
      </c>
      <c r="D28" s="447" t="str">
        <f>IF(Covg03="","",VLOOKUP(Detailed_LineCode03,Table_ResRatio,2,FALSE))</f>
        <v/>
      </c>
      <c r="E28" s="448" t="str">
        <f>IF(Covg03="","",VLOOKUP(Detailed_LineCode03,Table_ResRatio,3,FALSE))</f>
        <v/>
      </c>
      <c r="F28" s="447" t="str">
        <f>IF(Covg03="","",VLOOKUP(Detailed_LineCode03,Table_LevFact,2,FALSE))</f>
        <v/>
      </c>
      <c r="G28" s="479" t="str">
        <f>IF(Covg03="","",IF(AND('1.General'!$I$47*'1.General'!$I$48=1,FIND({3},'1.General'!$E$47&amp;"3")&lt;=LEN('1.General'!$E$47)),0.85,1))</f>
        <v/>
      </c>
      <c r="H28" s="628" t="str">
        <f>IF(Covg03="","",F28*G28)</f>
        <v/>
      </c>
      <c r="I28" s="749" t="s">
        <v>730</v>
      </c>
      <c r="J28" s="773">
        <v>2.35E-2</v>
      </c>
    </row>
    <row r="29" spans="1:19" ht="18" customHeight="1" x14ac:dyDescent="0.25">
      <c r="A29" s="417" t="str">
        <f>Detailed_LineDesc04</f>
        <v/>
      </c>
      <c r="B29" s="418" t="str">
        <f>IF(RIGHT(Detailed_LineCode04,1)="R",LEFT(Detailed_LineCode04,LEN(Detailed_LineCode04)-1),Detailed_LineCode04)</f>
        <v/>
      </c>
      <c r="C29" s="610" t="str">
        <f>IF(Covg04="","",Covg04)</f>
        <v/>
      </c>
      <c r="D29" s="447" t="str">
        <f>IF(Covg04="","",VLOOKUP(Detailed_LineCode04,Table_ResRatio,2,FALSE))</f>
        <v/>
      </c>
      <c r="E29" s="448" t="str">
        <f>IF(Covg04="","",VLOOKUP(Detailed_LineCode04,Table_ResRatio,3,FALSE))</f>
        <v/>
      </c>
      <c r="F29" s="447" t="str">
        <f>IF(Covg04="","",VLOOKUP(Detailed_LineCode04,Table_LevFact,2,FALSE))</f>
        <v/>
      </c>
      <c r="G29" s="479" t="str">
        <f>IF(Covg04="","",IF(AND('1.General'!$I$47*'1.General'!$I$48=1,FIND({3},'1.General'!$E$47&amp;"3")&lt;=LEN('1.General'!$E$47)),0.85,1))</f>
        <v/>
      </c>
      <c r="H29" s="628" t="str">
        <f>IF(Covg04="","",F29*G29)</f>
        <v/>
      </c>
      <c r="I29" s="775"/>
      <c r="J29" s="776"/>
    </row>
    <row r="30" spans="1:19" ht="18" customHeight="1" thickBot="1" x14ac:dyDescent="0.3">
      <c r="A30" s="417" t="str">
        <f>Detailed_LineDesc05</f>
        <v/>
      </c>
      <c r="B30" s="418" t="str">
        <f>IF(RIGHT(Detailed_LineCode05,1)="R",LEFT(Detailed_LineCode05,LEN(Detailed_LineCode05)-1),Detailed_LineCode05)</f>
        <v/>
      </c>
      <c r="C30" s="610" t="str">
        <f>IF(Covg05="","",Covg05)</f>
        <v/>
      </c>
      <c r="D30" s="447" t="str">
        <f>IF(Covg05="","",VLOOKUP(Detailed_LineCode05,Table_ResRatio,2,FALSE))</f>
        <v/>
      </c>
      <c r="E30" s="448" t="str">
        <f>IF(Covg05="","",VLOOKUP(Detailed_LineCode05,Table_ResRatio,3,FALSE))</f>
        <v/>
      </c>
      <c r="F30" s="447" t="str">
        <f>IF(Covg05="","",VLOOKUP(Detailed_LineCode05,Table_LevFact,2,FALSE))</f>
        <v/>
      </c>
      <c r="G30" s="479" t="str">
        <f>IF(Covg05="","",IF(AND('1.General'!$I$47*'1.General'!$I$48=1,FIND({3},'1.General'!$E$47&amp;"3")&lt;=LEN('1.General'!$E$47)),0.85,1))</f>
        <v/>
      </c>
      <c r="H30" s="628" t="str">
        <f>IF(Covg05="","",F30*G30)</f>
        <v/>
      </c>
      <c r="I30" s="750"/>
      <c r="J30" s="774"/>
    </row>
    <row r="31" spans="1:19" ht="18" customHeight="1" x14ac:dyDescent="0.25">
      <c r="A31" s="417" t="str">
        <f>Detailed_LineDesc06</f>
        <v/>
      </c>
      <c r="B31" s="418" t="str">
        <f>IF(RIGHT(Detailed_LineCode06,1)="R",LEFT(Detailed_LineCode06,LEN(Detailed_LineCode06)-1),Detailed_LineCode06)</f>
        <v/>
      </c>
      <c r="C31" s="610" t="str">
        <f>IF(Covg06="","",Covg06)</f>
        <v/>
      </c>
      <c r="D31" s="447" t="str">
        <f>IF(Covg06="","",VLOOKUP(Detailed_LineCode06,Table_ResRatio,2,FALSE))</f>
        <v/>
      </c>
      <c r="E31" s="448" t="str">
        <f>IF(Covg06="","",VLOOKUP(Detailed_LineCode06,Table_ResRatio,3,FALSE))</f>
        <v/>
      </c>
      <c r="F31" s="447" t="str">
        <f>IF(Covg06="","",VLOOKUP(Detailed_LineCode06,Table_LevFact,2,FALSE))</f>
        <v/>
      </c>
      <c r="G31" s="479" t="str">
        <f>IF(Covg06="","",IF(AND('1.General'!$I$47*'1.General'!$I$48=1,FIND({3},'1.General'!$E$47&amp;"3")&lt;=LEN('1.General'!$E$47)),0.85,1))</f>
        <v/>
      </c>
      <c r="H31" s="628" t="str">
        <f>IF(Covg06="","",F31*G31)</f>
        <v/>
      </c>
      <c r="I31" s="749" t="s">
        <v>716</v>
      </c>
      <c r="J31" s="770">
        <v>3.9399999999999998E-2</v>
      </c>
      <c r="K31" s="708"/>
      <c r="L31" s="709"/>
      <c r="M31" s="709"/>
      <c r="N31" s="709"/>
      <c r="O31" s="709"/>
      <c r="P31" s="709"/>
      <c r="Q31" s="709"/>
      <c r="R31" s="709"/>
      <c r="S31" s="709"/>
    </row>
    <row r="32" spans="1:19" ht="18" customHeight="1" x14ac:dyDescent="0.25">
      <c r="A32" s="417" t="str">
        <f>Detailed_LineDesc07</f>
        <v/>
      </c>
      <c r="B32" s="418" t="str">
        <f>IF(RIGHT(Detailed_LineCode07,1)="R",LEFT(Detailed_LineCode07,LEN(Detailed_LineCode07)-1),Detailed_LineCode07)</f>
        <v/>
      </c>
      <c r="C32" s="610" t="str">
        <f>IF(Covg07="","",Covg07)</f>
        <v/>
      </c>
      <c r="D32" s="447" t="str">
        <f>IF(Covg07="","",VLOOKUP(Detailed_LineCode07,Table_ResRatio,2,FALSE))</f>
        <v/>
      </c>
      <c r="E32" s="448" t="str">
        <f>IF(Covg07="","",VLOOKUP(Detailed_LineCode07,Table_ResRatio,3,FALSE))</f>
        <v/>
      </c>
      <c r="F32" s="447" t="str">
        <f>IF(Covg07="","",VLOOKUP(Detailed_LineCode07,Table_LevFact,2,FALSE))</f>
        <v/>
      </c>
      <c r="G32" s="479" t="str">
        <f>IF(Covg07="","",IF(AND('1.General'!$I$47*'1.General'!$I$48=1,FIND({3},'1.General'!$E$47&amp;"3")&lt;=LEN('1.General'!$E$47)),0.85,1))</f>
        <v/>
      </c>
      <c r="H32" s="628" t="str">
        <f>IF(Covg07="","",F32*G32)</f>
        <v/>
      </c>
      <c r="I32" s="775"/>
      <c r="J32" s="771"/>
      <c r="K32" s="708" t="s">
        <v>622</v>
      </c>
      <c r="L32" s="709"/>
      <c r="M32" s="709"/>
      <c r="N32" s="709"/>
      <c r="O32" s="709"/>
      <c r="P32" s="709"/>
      <c r="Q32" s="709"/>
      <c r="R32" s="709"/>
      <c r="S32" s="709"/>
    </row>
    <row r="33" spans="1:19" ht="18" customHeight="1" x14ac:dyDescent="0.25">
      <c r="A33" s="417" t="str">
        <f>Detailed_LineDesc08</f>
        <v/>
      </c>
      <c r="B33" s="418" t="str">
        <f>IF(RIGHT(Detailed_LineCode08,1)="R",LEFT(Detailed_LineCode08,LEN(Detailed_LineCode08)-1),Detailed_LineCode08)</f>
        <v/>
      </c>
      <c r="C33" s="610" t="str">
        <f>IF(Covg08="","",Covg08)</f>
        <v/>
      </c>
      <c r="D33" s="447" t="str">
        <f>IF(Covg08="","",VLOOKUP(Detailed_LineCode08,Table_ResRatio,2,FALSE))</f>
        <v/>
      </c>
      <c r="E33" s="448" t="str">
        <f>IF(Covg08="","",VLOOKUP(Detailed_LineCode08,Table_ResRatio,3,FALSE))</f>
        <v/>
      </c>
      <c r="F33" s="447" t="str">
        <f>IF(Covg08="","",VLOOKUP(Detailed_LineCode08,Table_LevFact,2,FALSE))</f>
        <v/>
      </c>
      <c r="G33" s="479" t="str">
        <f>IF(Covg08="","",IF(AND('1.General'!$I$47*'1.General'!$I$48=1,FIND({3},'1.General'!$E$47&amp;"3")&lt;=LEN('1.General'!$E$47)),0.85,1))</f>
        <v/>
      </c>
      <c r="H33" s="628" t="str">
        <f>IF(Covg08="","",F33*G33)</f>
        <v/>
      </c>
      <c r="I33" s="775"/>
      <c r="J33" s="771"/>
      <c r="K33" s="708" t="s">
        <v>339</v>
      </c>
      <c r="L33" s="709"/>
      <c r="M33" s="709"/>
      <c r="N33" s="709"/>
      <c r="O33" s="709"/>
      <c r="P33" s="709"/>
      <c r="Q33" s="709"/>
      <c r="R33" s="709"/>
      <c r="S33" s="709"/>
    </row>
    <row r="34" spans="1:19" ht="18" customHeight="1" x14ac:dyDescent="0.25">
      <c r="A34" s="417" t="str">
        <f>Detailed_LineDesc09</f>
        <v/>
      </c>
      <c r="B34" s="418" t="str">
        <f>IF(RIGHT(Detailed_LineCode09,1)="R",LEFT(Detailed_LineCode09,LEN(Detailed_LineCode09)-1),Detailed_LineCode09)</f>
        <v/>
      </c>
      <c r="C34" s="610" t="str">
        <f>IF(Covg09="","",Covg09)</f>
        <v/>
      </c>
      <c r="D34" s="492" t="str">
        <f>IF(Covg09="","",VLOOKUP(Detailed_LineCode09,Table_ResRatio,2,FALSE))</f>
        <v/>
      </c>
      <c r="E34" s="493" t="str">
        <f>IF(Covg09="","",VLOOKUP(Detailed_LineCode09,Table_ResRatio,3,FALSE))</f>
        <v/>
      </c>
      <c r="F34" s="492" t="str">
        <f>IF(Covg09="","",VLOOKUP(Detailed_LineCode09,Table_LevFact,2,FALSE))</f>
        <v/>
      </c>
      <c r="G34" s="479" t="str">
        <f>IF(Covg09="","",IF(AND('1.General'!$I$47*'1.General'!$I$48=1,FIND({3},'1.General'!$E$47&amp;"3")&lt;=LEN('1.General'!$E$47)),0.85,1))</f>
        <v/>
      </c>
      <c r="H34" s="479" t="str">
        <f>IF(Covg09="","",F34*G34)</f>
        <v/>
      </c>
      <c r="I34" s="775"/>
      <c r="J34" s="771"/>
      <c r="K34" s="708"/>
      <c r="L34" s="709"/>
      <c r="M34" s="709"/>
      <c r="N34" s="709"/>
      <c r="O34" s="709"/>
      <c r="P34" s="709"/>
      <c r="Q34" s="709"/>
      <c r="R34" s="709"/>
      <c r="S34" s="709"/>
    </row>
    <row r="35" spans="1:19" ht="18" customHeight="1" thickBot="1" x14ac:dyDescent="0.3">
      <c r="A35" s="421" t="str">
        <f>Detailed_LineDesc10</f>
        <v/>
      </c>
      <c r="B35" s="422" t="str">
        <f>IF(RIGHT(Detailed_LineCode10,1)="R",LEFT(Detailed_LineCode10,LEN(Detailed_LineCode10)-1),Detailed_LineCode10)</f>
        <v/>
      </c>
      <c r="C35" s="611" t="str">
        <f>IF(Covg10="","",Covg10)</f>
        <v/>
      </c>
      <c r="D35" s="494" t="str">
        <f>IF(Covg10="","",VLOOKUP(Detailed_LineCode10,Table_ResRatio,2,FALSE))</f>
        <v/>
      </c>
      <c r="E35" s="495" t="str">
        <f>IF(Covg10="","",VLOOKUP(Detailed_LineCode10,Table_ResRatio,3,FALSE))</f>
        <v/>
      </c>
      <c r="F35" s="494" t="str">
        <f>IF(Covg10="","",VLOOKUP(Detailed_LineCode10,Table_LevFact,2,FALSE))</f>
        <v/>
      </c>
      <c r="G35" s="513" t="str">
        <f>IF(Covg10="","",IF(AND('1.General'!$I$47*'1.General'!$I$48=1,FIND({3},'1.General'!$E$47&amp;"3")&lt;=LEN('1.General'!$E$47)),0.85,1))</f>
        <v/>
      </c>
      <c r="H35" s="513" t="str">
        <f>IF(Covg10="","",F35*G35)</f>
        <v/>
      </c>
      <c r="I35" s="750"/>
      <c r="J35" s="772"/>
      <c r="K35" s="708"/>
      <c r="L35" s="709"/>
      <c r="M35" s="709"/>
      <c r="N35" s="709"/>
      <c r="O35" s="709"/>
      <c r="P35" s="709"/>
      <c r="Q35" s="709"/>
      <c r="R35" s="709"/>
      <c r="S35" s="709"/>
    </row>
    <row r="36" spans="1:19" x14ac:dyDescent="0.25">
      <c r="K36" s="709"/>
      <c r="L36" s="709"/>
      <c r="M36" s="709"/>
      <c r="N36" s="709"/>
      <c r="O36" s="709"/>
      <c r="P36" s="709"/>
      <c r="Q36" s="709"/>
      <c r="R36" s="709"/>
      <c r="S36" s="709"/>
    </row>
  </sheetData>
  <sheetProtection algorithmName="SHA-512" hashValue="rIbdmStKeJAXAOcNdaqfdDdDroGbCnO3S2LYqaHh+MBC3W3AyrmOh/Cy9Dm7ryK7nFKBZKiC08cO8ApIc1LUzw==" saltValue="iPs76tZhsUGProR/IWT0bg=="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&amp;L1/3/2023 Edition
&amp;CPrior Approval Rate Template
Portions of the material contained in this document are protected by copyright owned by the State Farm Mutual Automobile Insurance Company, 2023&amp;RPage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14" zoomScaleNormal="100" zoomScaleSheetLayoutView="100" workbookViewId="0">
      <selection activeCell="B20" sqref="B20:I20"/>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Detailed_LineDesc01</f>
        <v>Homeowners Multiple Peril</v>
      </c>
      <c r="H10" s="298"/>
      <c r="I10" s="298"/>
      <c r="M10" s="283"/>
    </row>
    <row r="11" spans="1:13" ht="18" customHeight="1" x14ac:dyDescent="0.25">
      <c r="B11" s="130" t="s">
        <v>78</v>
      </c>
      <c r="G11" s="298" t="str">
        <f>Covg01</f>
        <v>Rental Dwelling</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v>197788541.99000001</v>
      </c>
      <c r="I15" s="127">
        <v>224828311.69</v>
      </c>
      <c r="J15" s="24"/>
      <c r="K15" s="127"/>
      <c r="M15" s="283" t="str">
        <f>IF(AND(New_Program=TRUE,ISBLANK($K$15)),"← ERROR! Enter projected figure for new program, or deselect 'New Program' on Page '1.General'.","")</f>
        <v/>
      </c>
    </row>
    <row r="16" spans="1:13" ht="30" customHeight="1" x14ac:dyDescent="0.25">
      <c r="A16" s="35">
        <v>-2</v>
      </c>
      <c r="B16" s="36" t="s">
        <v>55</v>
      </c>
      <c r="C16" s="37"/>
      <c r="D16" s="128"/>
      <c r="E16" s="127"/>
      <c r="F16" s="127"/>
      <c r="G16" s="127"/>
      <c r="H16" s="127">
        <v>188617788.66</v>
      </c>
      <c r="I16" s="127">
        <v>212096167.91</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37" t="s">
        <v>65</v>
      </c>
      <c r="D17" s="198"/>
      <c r="E17" s="199"/>
      <c r="F17" s="199"/>
      <c r="G17" s="199"/>
      <c r="H17" s="199">
        <v>1.0664259181968505</v>
      </c>
      <c r="I17" s="199">
        <v>1.0174257964979752</v>
      </c>
      <c r="J17" s="21"/>
      <c r="K17" s="21"/>
      <c r="M17" s="282"/>
    </row>
    <row r="18" spans="1:13" ht="18" customHeight="1" x14ac:dyDescent="0.25">
      <c r="A18" s="35">
        <v>-4</v>
      </c>
      <c r="B18" s="36" t="s">
        <v>130</v>
      </c>
      <c r="C18" s="37" t="s">
        <v>66</v>
      </c>
      <c r="D18" s="198"/>
      <c r="E18" s="199"/>
      <c r="F18" s="199"/>
      <c r="G18" s="199"/>
      <c r="H18" s="199">
        <v>1.2308973566415502</v>
      </c>
      <c r="I18" s="199">
        <v>1.163080442203029</v>
      </c>
      <c r="J18" s="200">
        <v>5.8308017208222651E-2</v>
      </c>
      <c r="K18" s="21"/>
      <c r="M18" s="283" t="str">
        <f>IF(AND(New_Program=FALSE,ISBLANK($J$18)),"← ERROR! Enter Annual Premium Trend as a percentage in the 'Projected' column.","")</f>
        <v/>
      </c>
    </row>
    <row r="19" spans="1:13" ht="30" customHeight="1" x14ac:dyDescent="0.25">
      <c r="A19" s="35">
        <v>-5</v>
      </c>
      <c r="B19" s="36" t="s">
        <v>742</v>
      </c>
      <c r="C19" s="37" t="s">
        <v>67</v>
      </c>
      <c r="D19" s="128"/>
      <c r="E19" s="127"/>
      <c r="F19" s="127"/>
      <c r="G19" s="127"/>
      <c r="H19" s="127">
        <v>0</v>
      </c>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37"/>
      <c r="D20" s="128"/>
      <c r="E20" s="127"/>
      <c r="F20" s="127"/>
      <c r="G20" s="127"/>
      <c r="H20" s="127">
        <v>274692.31000000006</v>
      </c>
      <c r="I20" s="127">
        <v>269985.01</v>
      </c>
      <c r="J20" s="21"/>
      <c r="K20" s="127"/>
      <c r="M20" s="283" t="str">
        <f>IF(AND(New_Program=TRUE,ISBLANK($K$20)),"← ERROR! Enter projected figure for new program, or deselect 'New Program' on Page '1.General'.","")</f>
        <v/>
      </c>
    </row>
    <row r="21" spans="1:13" ht="18" customHeight="1" x14ac:dyDescent="0.25">
      <c r="A21" s="35">
        <v>-7</v>
      </c>
      <c r="B21" s="36" t="s">
        <v>133</v>
      </c>
      <c r="C21" s="37"/>
      <c r="D21" s="128"/>
      <c r="E21" s="127"/>
      <c r="F21" s="127"/>
      <c r="G21" s="127"/>
      <c r="H21" s="127">
        <v>80070693.909999996</v>
      </c>
      <c r="I21" s="127">
        <v>79932087.519999996</v>
      </c>
      <c r="J21" s="21"/>
      <c r="K21" s="127"/>
      <c r="M21" s="283" t="str">
        <f>IF(AND(New_Program=TRUE,ISBLANK($K$21)),"← ERROR! Enter projected figure for new program, or deselect 'New Program' on Page '1.General'.","")</f>
        <v/>
      </c>
    </row>
    <row r="22" spans="1:13" ht="30" customHeight="1" x14ac:dyDescent="0.25">
      <c r="A22" s="35">
        <v>-8</v>
      </c>
      <c r="B22" s="36" t="s">
        <v>57</v>
      </c>
      <c r="C22" s="37"/>
      <c r="D22" s="128"/>
      <c r="E22" s="127"/>
      <c r="F22" s="127"/>
      <c r="G22" s="127"/>
      <c r="H22" s="127">
        <v>2772350.88</v>
      </c>
      <c r="I22" s="127">
        <v>993869.5</v>
      </c>
      <c r="J22" s="21"/>
      <c r="K22" s="127"/>
      <c r="M22" s="283" t="str">
        <f>IF(AND(New_Program=TRUE,ISBLANK($K$22)),"← ERROR! Enter projected figure for new program, or deselect 'New Program' on Page '1.General'.","")</f>
        <v/>
      </c>
    </row>
    <row r="23" spans="1:13" ht="18" customHeight="1" x14ac:dyDescent="0.25">
      <c r="A23" s="35">
        <v>-9</v>
      </c>
      <c r="B23" s="36" t="s">
        <v>60</v>
      </c>
      <c r="C23" s="37" t="s">
        <v>68</v>
      </c>
      <c r="D23" s="198"/>
      <c r="E23" s="199"/>
      <c r="F23" s="199"/>
      <c r="G23" s="199"/>
      <c r="H23" s="199">
        <v>1.1682161515269869</v>
      </c>
      <c r="I23" s="199">
        <v>1.3574729543802104</v>
      </c>
      <c r="J23" s="21"/>
      <c r="K23" s="21"/>
      <c r="M23" s="282"/>
    </row>
    <row r="24" spans="1:13" ht="18" customHeight="1" x14ac:dyDescent="0.25">
      <c r="A24" s="35">
        <v>-10</v>
      </c>
      <c r="B24" s="36" t="s">
        <v>61</v>
      </c>
      <c r="C24" s="37" t="s">
        <v>68</v>
      </c>
      <c r="D24" s="198"/>
      <c r="E24" s="199"/>
      <c r="F24" s="199"/>
      <c r="G24" s="199"/>
      <c r="H24" s="199">
        <v>3.9091414176985473</v>
      </c>
      <c r="I24" s="199">
        <v>10.622050461977045</v>
      </c>
      <c r="J24" s="21"/>
      <c r="K24" s="21"/>
      <c r="M24" s="282"/>
    </row>
    <row r="25" spans="1:13" ht="18" customHeight="1" x14ac:dyDescent="0.25">
      <c r="A25" s="35">
        <v>-11</v>
      </c>
      <c r="B25" s="36" t="s">
        <v>132</v>
      </c>
      <c r="C25" s="37" t="s">
        <v>69</v>
      </c>
      <c r="D25" s="198"/>
      <c r="E25" s="199"/>
      <c r="F25" s="199"/>
      <c r="G25" s="199"/>
      <c r="H25" s="199">
        <v>1.5761528506217777</v>
      </c>
      <c r="I25" s="199">
        <v>1.3921769919350795</v>
      </c>
      <c r="J25" s="200">
        <v>0.13214976238831388</v>
      </c>
      <c r="K25" s="21"/>
      <c r="M25" s="283" t="str">
        <f>IF(AND(New_Program=FALSE,ISBLANK($J$25)),"← ERROR! Enter Annual Loss Trend as a percentage in the 'Projected' column","")</f>
        <v/>
      </c>
    </row>
    <row r="26" spans="1:13" ht="18" customHeight="1" x14ac:dyDescent="0.25">
      <c r="A26" s="35">
        <v>-12</v>
      </c>
      <c r="B26" s="36" t="s">
        <v>131</v>
      </c>
      <c r="C26" s="37" t="s">
        <v>69</v>
      </c>
      <c r="D26" s="198"/>
      <c r="E26" s="199"/>
      <c r="F26" s="199"/>
      <c r="G26" s="199"/>
      <c r="H26" s="199">
        <v>1.5761528506217777</v>
      </c>
      <c r="I26" s="199">
        <v>1.3921769919350795</v>
      </c>
      <c r="J26" s="200">
        <v>0.13214976238831388</v>
      </c>
      <c r="K26" s="21"/>
      <c r="M26" s="283" t="str">
        <f>IF(AND(New_Program=FALSE,ISBLANK($J$26)),"← ERROR! Enter Annual DCCE Trend as a percentage in the 'Projected' column","")</f>
        <v/>
      </c>
    </row>
    <row r="27" spans="1:13" ht="18" customHeight="1" x14ac:dyDescent="0.25">
      <c r="A27" s="35">
        <v>-13</v>
      </c>
      <c r="B27" s="36" t="s">
        <v>62</v>
      </c>
      <c r="C27" s="37" t="s">
        <v>70</v>
      </c>
      <c r="D27" s="198"/>
      <c r="E27" s="199"/>
      <c r="F27" s="199"/>
      <c r="G27" s="199"/>
      <c r="H27" s="199">
        <v>1.2133409510486652</v>
      </c>
      <c r="I27" s="199">
        <v>1.2140666389218762</v>
      </c>
      <c r="J27" s="21"/>
      <c r="K27" s="21"/>
      <c r="M27" s="282"/>
    </row>
    <row r="28" spans="1:13" ht="18" customHeight="1" x14ac:dyDescent="0.25">
      <c r="A28" s="35">
        <v>-14</v>
      </c>
      <c r="B28" s="31" t="s">
        <v>727</v>
      </c>
      <c r="C28" s="37" t="s">
        <v>71</v>
      </c>
      <c r="D28" s="32"/>
      <c r="E28" s="21"/>
      <c r="F28" s="21"/>
      <c r="G28" s="21"/>
      <c r="H28" s="21"/>
      <c r="I28" s="21"/>
      <c r="J28" s="201">
        <v>1</v>
      </c>
      <c r="K28" s="21"/>
      <c r="M28" s="284"/>
    </row>
    <row r="29" spans="1:13" ht="18" customHeight="1" x14ac:dyDescent="0.25">
      <c r="A29" s="35">
        <v>-15</v>
      </c>
      <c r="B29" s="36" t="s">
        <v>37</v>
      </c>
      <c r="C29" s="37" t="s">
        <v>72</v>
      </c>
      <c r="D29" s="128"/>
      <c r="E29" s="127"/>
      <c r="F29" s="127"/>
      <c r="G29" s="127"/>
      <c r="H29" s="127">
        <v>0</v>
      </c>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258"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258"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258"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37"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37" t="s">
        <v>111</v>
      </c>
      <c r="D40" s="21"/>
      <c r="E40" s="21"/>
      <c r="F40" s="21"/>
      <c r="G40" s="21"/>
      <c r="H40" s="21"/>
      <c r="I40" s="21"/>
      <c r="J40" s="200"/>
      <c r="K40" s="21"/>
      <c r="M40" s="284"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37"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37"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5" ht="17.25" hidden="1" customHeight="1" x14ac:dyDescent="0.25">
      <c r="A49" s="14" t="s">
        <v>338</v>
      </c>
      <c r="J49" s="187"/>
      <c r="M49" s="202"/>
    </row>
    <row r="50" spans="1:15" ht="17.25" hidden="1" customHeight="1" thickBot="1" x14ac:dyDescent="0.3">
      <c r="A50" s="14" t="s">
        <v>157</v>
      </c>
      <c r="J50" s="91"/>
      <c r="M50" s="88"/>
    </row>
    <row r="51" spans="1:15" ht="20.100000000000001" customHeight="1" x14ac:dyDescent="0.25">
      <c r="A51" s="14"/>
      <c r="H51" s="781" t="s">
        <v>665</v>
      </c>
      <c r="I51" s="781"/>
      <c r="J51" s="781"/>
      <c r="K51" s="781"/>
      <c r="M51" s="142"/>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f/zms+yPlYkzt1tyc+9WU6v2L8GmFPoQkxhbJRvXAD3nhDqs09PTH34XMXnXROGA7YaPRs3T2lzttUmE06fTtQ==" saltValue="WZYSaDg4PUCvnX+rC5JyZ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zoomScaleNormal="100" zoomScaleSheetLayoutView="100" workbookViewId="0">
      <selection activeCell="K7" sqref="K7"/>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0" t="s">
        <v>31</v>
      </c>
      <c r="B1" s="13"/>
      <c r="H1" s="13" t="s">
        <v>33</v>
      </c>
      <c r="K1" s="12" t="str">
        <f>Co_Name</f>
        <v>State Farm General Insurance Company</v>
      </c>
      <c r="M1" s="279" t="s">
        <v>310</v>
      </c>
    </row>
    <row r="2" spans="1:14" x14ac:dyDescent="0.25">
      <c r="A2" s="10" t="s">
        <v>32</v>
      </c>
      <c r="B2" s="13"/>
      <c r="H2" s="13" t="s">
        <v>34</v>
      </c>
      <c r="K2" s="12" t="str">
        <f>General_Line</f>
        <v>Homeowners Multiple Peril</v>
      </c>
      <c r="M2" s="280" t="s">
        <v>113</v>
      </c>
    </row>
    <row r="3" spans="1:14" x14ac:dyDescent="0.25">
      <c r="A3" s="10"/>
      <c r="B3" s="185"/>
      <c r="H3" s="83" t="s">
        <v>142</v>
      </c>
      <c r="I3" s="84"/>
      <c r="J3" s="84"/>
      <c r="K3" s="82" t="str">
        <f>CDI_FileNo</f>
        <v/>
      </c>
      <c r="M3" s="281"/>
    </row>
    <row r="4" spans="1:14" ht="18" customHeight="1" x14ac:dyDescent="0.25">
      <c r="M4" s="282"/>
    </row>
    <row r="5" spans="1:14" ht="23.25" x14ac:dyDescent="0.25">
      <c r="A5" s="4" t="s">
        <v>605</v>
      </c>
      <c r="B5" s="3"/>
      <c r="C5" s="3"/>
      <c r="D5" s="3"/>
      <c r="E5" s="3"/>
      <c r="F5" s="3"/>
      <c r="G5" s="3"/>
      <c r="H5" s="3"/>
      <c r="I5" s="3"/>
      <c r="J5" s="3"/>
      <c r="K5" s="3"/>
      <c r="L5" s="3"/>
      <c r="M5" s="282"/>
    </row>
    <row r="6" spans="1:14" ht="15.75" thickBot="1" x14ac:dyDescent="0.3">
      <c r="M6" s="282"/>
    </row>
    <row r="7" spans="1:14" ht="18" customHeight="1" thickBot="1" x14ac:dyDescent="0.3">
      <c r="B7" s="130" t="s">
        <v>1</v>
      </c>
      <c r="G7" s="14" t="str">
        <f>Completed_By</f>
        <v>Nicole Pettis</v>
      </c>
      <c r="J7" s="130" t="s">
        <v>705</v>
      </c>
      <c r="K7" s="543"/>
      <c r="M7" s="282"/>
    </row>
    <row r="8" spans="1:14" ht="18" customHeight="1" x14ac:dyDescent="0.25">
      <c r="B8" s="130" t="s">
        <v>76</v>
      </c>
      <c r="G8" s="62">
        <f>Completed_Date</f>
        <v>44981</v>
      </c>
      <c r="M8" s="282"/>
    </row>
    <row r="9" spans="1:14" ht="5.0999999999999996" customHeight="1" x14ac:dyDescent="0.25">
      <c r="B9" s="130"/>
      <c r="M9" s="282"/>
    </row>
    <row r="10" spans="1:14" ht="18" customHeight="1" x14ac:dyDescent="0.25">
      <c r="B10" s="130" t="s">
        <v>77</v>
      </c>
      <c r="G10" s="298" t="str">
        <f>Detailed_LineDesc02</f>
        <v/>
      </c>
      <c r="H10" s="298"/>
      <c r="I10" s="298"/>
      <c r="M10" s="283"/>
    </row>
    <row r="11" spans="1:14" ht="18" customHeight="1" x14ac:dyDescent="0.25">
      <c r="B11" s="130" t="s">
        <v>78</v>
      </c>
      <c r="G11" s="298" t="str">
        <f>Covg02</f>
        <v/>
      </c>
      <c r="H11" s="298"/>
      <c r="I11" s="298"/>
      <c r="M11" s="282"/>
    </row>
    <row r="12" spans="1:14" ht="9.9499999999999993" customHeight="1" x14ac:dyDescent="0.25">
      <c r="B12" s="2"/>
      <c r="G12" s="27"/>
      <c r="I12" s="28"/>
      <c r="J12" s="29"/>
      <c r="M12" s="282"/>
    </row>
    <row r="13" spans="1:14"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4"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4"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c r="N15" s="14"/>
    </row>
    <row r="16" spans="1:14"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c r="N16" s="14"/>
    </row>
    <row r="17" spans="1:14" ht="18" customHeight="1" x14ac:dyDescent="0.25">
      <c r="A17" s="35">
        <v>-3</v>
      </c>
      <c r="B17" s="36" t="s">
        <v>36</v>
      </c>
      <c r="C17" s="470" t="s">
        <v>65</v>
      </c>
      <c r="D17" s="198"/>
      <c r="E17" s="199"/>
      <c r="F17" s="199"/>
      <c r="G17" s="199"/>
      <c r="H17" s="199"/>
      <c r="I17" s="199"/>
      <c r="J17" s="21"/>
      <c r="K17" s="21"/>
      <c r="M17" s="282"/>
      <c r="N17" s="14"/>
    </row>
    <row r="18" spans="1:14"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c r="N18" s="14"/>
    </row>
    <row r="19" spans="1:14"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c r="N19" s="14"/>
    </row>
    <row r="20" spans="1:14"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c r="N20" s="14"/>
    </row>
    <row r="21" spans="1:14"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c r="N21" s="14"/>
    </row>
    <row r="22" spans="1:14"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c r="N22" s="14"/>
    </row>
    <row r="23" spans="1:14" ht="18" customHeight="1" x14ac:dyDescent="0.25">
      <c r="A23" s="35">
        <v>-9</v>
      </c>
      <c r="B23" s="36" t="s">
        <v>60</v>
      </c>
      <c r="C23" s="470" t="s">
        <v>68</v>
      </c>
      <c r="D23" s="198"/>
      <c r="E23" s="199"/>
      <c r="F23" s="199"/>
      <c r="G23" s="199"/>
      <c r="H23" s="199"/>
      <c r="I23" s="199"/>
      <c r="J23" s="21"/>
      <c r="K23" s="21"/>
      <c r="M23" s="282"/>
      <c r="N23" s="14"/>
    </row>
    <row r="24" spans="1:14" ht="18" customHeight="1" x14ac:dyDescent="0.25">
      <c r="A24" s="35">
        <v>-10</v>
      </c>
      <c r="B24" s="36" t="s">
        <v>61</v>
      </c>
      <c r="C24" s="470" t="s">
        <v>68</v>
      </c>
      <c r="D24" s="198"/>
      <c r="E24" s="199"/>
      <c r="F24" s="199"/>
      <c r="G24" s="199"/>
      <c r="H24" s="199"/>
      <c r="I24" s="199"/>
      <c r="J24" s="21"/>
      <c r="K24" s="21"/>
      <c r="M24" s="282"/>
      <c r="N24" s="14"/>
    </row>
    <row r="25" spans="1:14"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c r="N25" s="14"/>
    </row>
    <row r="26" spans="1:14"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c r="N26" s="14"/>
    </row>
    <row r="27" spans="1:14" ht="18" customHeight="1" x14ac:dyDescent="0.25">
      <c r="A27" s="35">
        <v>-13</v>
      </c>
      <c r="B27" s="36" t="s">
        <v>62</v>
      </c>
      <c r="C27" s="470" t="s">
        <v>70</v>
      </c>
      <c r="D27" s="198"/>
      <c r="E27" s="199"/>
      <c r="F27" s="199"/>
      <c r="G27" s="199"/>
      <c r="H27" s="199"/>
      <c r="I27" s="199"/>
      <c r="J27" s="21"/>
      <c r="K27" s="21"/>
      <c r="M27" s="282"/>
      <c r="N27" s="14"/>
    </row>
    <row r="28" spans="1:14" ht="18" customHeight="1" x14ac:dyDescent="0.25">
      <c r="A28" s="35">
        <v>-14</v>
      </c>
      <c r="B28" s="31" t="s">
        <v>727</v>
      </c>
      <c r="C28" s="470" t="s">
        <v>71</v>
      </c>
      <c r="D28" s="32"/>
      <c r="E28" s="21"/>
      <c r="F28" s="21"/>
      <c r="G28" s="21"/>
      <c r="H28" s="21"/>
      <c r="I28" s="21"/>
      <c r="J28" s="201"/>
      <c r="K28" s="21"/>
      <c r="M28" s="284"/>
      <c r="N28" s="14"/>
    </row>
    <row r="29" spans="1:14"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c r="N29" s="14"/>
    </row>
    <row r="30" spans="1:14"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c r="N30" s="14"/>
    </row>
    <row r="31" spans="1:14"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14"/>
    </row>
    <row r="32" spans="1:14" ht="4.5" customHeight="1" x14ac:dyDescent="0.25">
      <c r="A32" s="38"/>
      <c r="B32" s="39"/>
      <c r="C32" s="40"/>
      <c r="D32" s="14"/>
      <c r="E32" s="14"/>
      <c r="F32" s="14"/>
      <c r="G32" s="14"/>
      <c r="H32" s="14"/>
      <c r="I32" s="14"/>
      <c r="J32" s="26"/>
      <c r="K32" s="143"/>
      <c r="M32" s="282"/>
      <c r="N32" s="14"/>
    </row>
    <row r="33" spans="1:14"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c r="N33" s="14"/>
    </row>
    <row r="34" spans="1:14"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c r="N34" s="14"/>
    </row>
    <row r="35" spans="1:14"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c r="N35" s="14"/>
    </row>
    <row r="36" spans="1:14" ht="5.0999999999999996" hidden="1" customHeight="1" x14ac:dyDescent="0.25">
      <c r="A36" s="38"/>
      <c r="B36" s="39"/>
      <c r="C36" s="40"/>
      <c r="D36" s="14"/>
      <c r="E36" s="14"/>
      <c r="F36" s="14"/>
      <c r="G36" s="14"/>
      <c r="H36" s="14"/>
      <c r="I36" s="14"/>
      <c r="J36" s="26"/>
      <c r="K36" s="143"/>
      <c r="M36" s="282"/>
      <c r="N36" s="14"/>
    </row>
    <row r="37" spans="1:14" ht="15" hidden="1" customHeight="1" x14ac:dyDescent="0.25">
      <c r="A37" s="38"/>
      <c r="B37" s="20" t="s">
        <v>337</v>
      </c>
      <c r="C37" s="40"/>
      <c r="D37" s="45"/>
      <c r="E37" s="45"/>
      <c r="F37" s="45"/>
      <c r="G37" s="45"/>
      <c r="H37" s="45"/>
      <c r="I37" s="45"/>
      <c r="J37" s="45"/>
      <c r="K37" s="45"/>
      <c r="M37" s="282"/>
      <c r="N37" s="14"/>
    </row>
    <row r="38" spans="1:14" ht="5.0999999999999996" hidden="1" customHeight="1" x14ac:dyDescent="0.25">
      <c r="A38" s="38"/>
      <c r="B38" s="39"/>
      <c r="C38" s="40"/>
      <c r="D38" s="45"/>
      <c r="E38" s="45"/>
      <c r="F38" s="45"/>
      <c r="G38" s="45"/>
      <c r="H38" s="45"/>
      <c r="I38" s="45"/>
      <c r="K38" s="46"/>
      <c r="M38" s="282"/>
      <c r="N38" s="14"/>
    </row>
    <row r="39" spans="1:14"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c r="N39" s="14"/>
    </row>
    <row r="40" spans="1:14" ht="30" hidden="1" customHeight="1" x14ac:dyDescent="0.25">
      <c r="A40" s="35">
        <v>-20</v>
      </c>
      <c r="B40" s="36" t="s">
        <v>156</v>
      </c>
      <c r="C40" s="470" t="s">
        <v>111</v>
      </c>
      <c r="D40" s="21"/>
      <c r="E40" s="21"/>
      <c r="F40" s="21"/>
      <c r="G40" s="21"/>
      <c r="H40" s="21"/>
      <c r="I40" s="21"/>
      <c r="J40" s="200"/>
      <c r="K40" s="21"/>
      <c r="M40" s="284"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14"/>
    </row>
    <row r="41" spans="1:14" ht="4.5" customHeight="1" x14ac:dyDescent="0.25">
      <c r="A41" s="38"/>
      <c r="B41" s="39"/>
      <c r="C41" s="40"/>
      <c r="D41" s="45"/>
      <c r="E41" s="45"/>
      <c r="F41" s="45"/>
      <c r="G41" s="45"/>
      <c r="H41" s="45"/>
      <c r="I41" s="45"/>
      <c r="J41" s="45"/>
      <c r="K41" s="45"/>
      <c r="M41" s="284"/>
      <c r="N41" s="14"/>
    </row>
    <row r="42" spans="1:14" ht="15" hidden="1" customHeight="1" x14ac:dyDescent="0.25">
      <c r="A42" s="19"/>
      <c r="B42" s="20" t="s">
        <v>710</v>
      </c>
      <c r="C42" s="16"/>
      <c r="D42" s="14"/>
      <c r="E42" s="14"/>
      <c r="F42" s="14"/>
      <c r="G42" s="14"/>
      <c r="H42" s="14"/>
      <c r="I42" s="14"/>
      <c r="J42" s="14"/>
      <c r="K42" s="14"/>
      <c r="M42" s="282"/>
      <c r="N42" s="14"/>
    </row>
    <row r="43" spans="1:14" ht="4.5" hidden="1" customHeight="1" x14ac:dyDescent="0.25">
      <c r="A43" s="19"/>
      <c r="B43" s="20"/>
      <c r="C43" s="16"/>
      <c r="D43" s="14"/>
      <c r="E43" s="14"/>
      <c r="F43" s="14"/>
      <c r="G43" s="14"/>
      <c r="H43" s="14"/>
      <c r="I43" s="14"/>
      <c r="J43" s="14"/>
      <c r="K43" s="14"/>
      <c r="M43" s="282"/>
      <c r="N43" s="14"/>
    </row>
    <row r="44" spans="1:14"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c r="N44" s="14"/>
    </row>
    <row r="45" spans="1:14"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c r="N45" s="14"/>
    </row>
    <row r="46" spans="1:14"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c r="N46" s="14"/>
    </row>
    <row r="47" spans="1:14" ht="17.25" customHeight="1" x14ac:dyDescent="0.25">
      <c r="A47" s="14" t="s">
        <v>706</v>
      </c>
      <c r="M47" s="283"/>
      <c r="N47" s="14"/>
    </row>
    <row r="48" spans="1:14" ht="17.25" customHeight="1" thickBot="1" x14ac:dyDescent="0.3">
      <c r="A48" s="14" t="s">
        <v>323</v>
      </c>
      <c r="M48" s="283"/>
      <c r="N48" s="14"/>
    </row>
    <row r="49" spans="1:15" ht="17.25" hidden="1" customHeight="1" x14ac:dyDescent="0.25">
      <c r="A49" s="14" t="s">
        <v>338</v>
      </c>
      <c r="J49" s="187"/>
      <c r="M49" s="202"/>
      <c r="N49" s="14"/>
    </row>
    <row r="50" spans="1:15" ht="17.25" hidden="1" customHeight="1" thickBot="1" x14ac:dyDescent="0.3">
      <c r="A50" s="14" t="s">
        <v>157</v>
      </c>
      <c r="J50" s="91"/>
      <c r="M50" s="88"/>
      <c r="N50" s="14"/>
    </row>
    <row r="51" spans="1:15" ht="20.100000000000001" customHeight="1" x14ac:dyDescent="0.25">
      <c r="A51" s="14"/>
      <c r="H51" s="781" t="s">
        <v>666</v>
      </c>
      <c r="I51" s="781"/>
      <c r="J51" s="781"/>
      <c r="K51" s="781"/>
      <c r="M51" s="142"/>
      <c r="N51" s="14"/>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BVNSuFuVpak/wkg51FP50yh0O3pCVmsw8FP4wWjg8CxysOdUqIms5q9Gfa75patJwafJi/bV1LzH/vAt8d78WQ==" saltValue="7OQMYquygStdoLAk5Wds8g=="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election activeCell="K7" sqref="K7"/>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Detailed_LineDesc03</f>
        <v/>
      </c>
      <c r="H10" s="298"/>
      <c r="I10" s="298"/>
      <c r="M10" s="283"/>
    </row>
    <row r="11" spans="1:13" ht="18" customHeight="1" x14ac:dyDescent="0.25">
      <c r="B11" s="130" t="s">
        <v>78</v>
      </c>
      <c r="G11" s="298" t="str">
        <f>Covg03</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667</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T6FnbBHknY42hgDUp0hcZ1SNucD0+9HxNvqh50xonYGRtS0n9w+9LBblgJtg646C8mo2Ty73i2xWrfEyG8qLYQ==" saltValue="mSsSivqno++fwqjciYGTog=="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Detailed_LineDesc04</f>
        <v/>
      </c>
      <c r="H10" s="298"/>
      <c r="I10" s="298"/>
      <c r="M10" s="283"/>
    </row>
    <row r="11" spans="1:13" ht="18" customHeight="1" x14ac:dyDescent="0.25">
      <c r="B11" s="130" t="s">
        <v>78</v>
      </c>
      <c r="G11" s="298" t="str">
        <f>Covg04</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3" ht="17.25" hidden="1" customHeight="1" x14ac:dyDescent="0.25">
      <c r="A49" s="14" t="s">
        <v>338</v>
      </c>
      <c r="J49" s="187"/>
      <c r="M49" s="202"/>
    </row>
    <row r="50" spans="1:13" ht="17.25" hidden="1" customHeight="1" thickBot="1" x14ac:dyDescent="0.3">
      <c r="A50" s="14" t="s">
        <v>157</v>
      </c>
      <c r="J50" s="91"/>
      <c r="M50" s="88"/>
    </row>
    <row r="51" spans="1:13" ht="20.100000000000001" customHeight="1" x14ac:dyDescent="0.25">
      <c r="A51" s="14"/>
      <c r="H51" s="781" t="s">
        <v>668</v>
      </c>
      <c r="I51" s="781"/>
      <c r="J51" s="781"/>
      <c r="K51" s="781"/>
      <c r="M51" s="142"/>
    </row>
    <row r="52" spans="1:13" ht="17.25" customHeight="1" x14ac:dyDescent="0.25">
      <c r="A52" s="14"/>
      <c r="J52" s="92"/>
      <c r="M52" s="90"/>
    </row>
    <row r="53" spans="1:13" x14ac:dyDescent="0.25">
      <c r="A53" s="14"/>
      <c r="B53" s="14"/>
      <c r="C53" s="14"/>
      <c r="D53" s="14"/>
      <c r="E53" s="14"/>
      <c r="F53" s="14"/>
      <c r="G53" s="14"/>
      <c r="H53" s="14"/>
      <c r="I53" s="14"/>
      <c r="J53" s="14"/>
      <c r="K53" s="14"/>
      <c r="L53" s="14"/>
      <c r="M53" s="14"/>
    </row>
    <row r="54" spans="1:13" x14ac:dyDescent="0.25">
      <c r="A54" s="14"/>
      <c r="B54" s="14"/>
      <c r="C54" s="14"/>
      <c r="D54" s="14"/>
      <c r="E54" s="14"/>
      <c r="F54" s="14"/>
      <c r="G54" s="14"/>
      <c r="H54" s="14"/>
      <c r="I54" s="14"/>
      <c r="J54" s="14"/>
      <c r="K54" s="14"/>
      <c r="L54" s="14"/>
      <c r="M54" s="14"/>
    </row>
    <row r="55" spans="1:13" x14ac:dyDescent="0.25">
      <c r="A55" s="14"/>
      <c r="B55" s="14"/>
      <c r="C55" s="14"/>
      <c r="D55" s="14"/>
      <c r="E55" s="14"/>
      <c r="F55" s="14"/>
      <c r="G55" s="14"/>
      <c r="H55" s="14"/>
      <c r="I55" s="14"/>
      <c r="J55" s="14"/>
      <c r="K55" s="14"/>
      <c r="L55" s="14"/>
      <c r="M55" s="14"/>
    </row>
    <row r="56" spans="1:13" x14ac:dyDescent="0.25">
      <c r="A56" s="14"/>
      <c r="B56" s="14"/>
      <c r="C56" s="14"/>
      <c r="D56" s="14"/>
      <c r="E56" s="14"/>
      <c r="F56" s="14"/>
      <c r="G56" s="14"/>
      <c r="H56" s="14"/>
      <c r="I56" s="14"/>
      <c r="J56" s="14"/>
      <c r="K56" s="14"/>
      <c r="L56" s="14"/>
      <c r="M56" s="14"/>
    </row>
    <row r="57" spans="1:13" x14ac:dyDescent="0.25">
      <c r="A57" s="14"/>
      <c r="B57" s="14"/>
      <c r="C57" s="14"/>
      <c r="D57" s="14"/>
      <c r="E57" s="14"/>
      <c r="F57" s="14"/>
      <c r="G57" s="14"/>
      <c r="H57" s="14"/>
      <c r="I57" s="14"/>
      <c r="J57" s="14"/>
      <c r="K57" s="14"/>
      <c r="L57" s="14"/>
      <c r="M57" s="14"/>
    </row>
    <row r="58" spans="1:13" x14ac:dyDescent="0.25">
      <c r="A58" s="14"/>
      <c r="B58" s="14"/>
      <c r="C58" s="14"/>
      <c r="D58" s="14"/>
      <c r="E58" s="14"/>
      <c r="F58" s="14"/>
      <c r="G58" s="14"/>
      <c r="H58" s="14"/>
      <c r="I58" s="14"/>
      <c r="J58" s="14"/>
      <c r="K58" s="14"/>
      <c r="L58" s="14"/>
      <c r="M58" s="14"/>
    </row>
    <row r="59" spans="1:13" x14ac:dyDescent="0.25">
      <c r="A59" s="14"/>
      <c r="B59" s="14"/>
      <c r="C59" s="14"/>
      <c r="D59" s="14"/>
      <c r="E59" s="14"/>
      <c r="F59" s="14"/>
      <c r="G59" s="14"/>
      <c r="H59" s="14"/>
      <c r="I59" s="14"/>
      <c r="J59" s="14"/>
      <c r="K59" s="14"/>
      <c r="L59" s="14"/>
      <c r="M59" s="14"/>
    </row>
    <row r="60" spans="1:13" x14ac:dyDescent="0.25">
      <c r="A60" s="14"/>
      <c r="B60" s="14"/>
      <c r="C60" s="14"/>
      <c r="D60" s="14"/>
      <c r="E60" s="14"/>
      <c r="F60" s="14"/>
      <c r="G60" s="14"/>
      <c r="H60" s="14"/>
      <c r="I60" s="14"/>
      <c r="J60" s="14"/>
      <c r="K60" s="14"/>
      <c r="L60" s="14"/>
      <c r="M60" s="14"/>
    </row>
    <row r="61" spans="1:13" x14ac:dyDescent="0.25">
      <c r="A61" s="14"/>
      <c r="B61" s="14"/>
      <c r="C61" s="14"/>
      <c r="D61" s="14"/>
      <c r="E61" s="14"/>
      <c r="F61" s="14"/>
      <c r="G61" s="14"/>
      <c r="H61" s="14"/>
      <c r="I61" s="14"/>
      <c r="J61" s="14"/>
      <c r="K61" s="14"/>
      <c r="L61" s="14"/>
      <c r="M61" s="14"/>
    </row>
    <row r="62" spans="1:13" x14ac:dyDescent="0.25">
      <c r="A62" s="14"/>
      <c r="B62" s="14"/>
      <c r="C62" s="14"/>
      <c r="D62" s="14"/>
      <c r="E62" s="14"/>
      <c r="F62" s="14"/>
      <c r="G62" s="14"/>
      <c r="H62" s="14"/>
      <c r="I62" s="14"/>
      <c r="J62" s="14"/>
      <c r="K62" s="14"/>
      <c r="L62" s="14"/>
      <c r="M62" s="14"/>
    </row>
    <row r="63" spans="1:13" x14ac:dyDescent="0.25">
      <c r="A63" s="14"/>
      <c r="B63" s="14"/>
      <c r="C63" s="14"/>
      <c r="D63" s="14"/>
      <c r="E63" s="14"/>
      <c r="F63" s="14"/>
      <c r="G63" s="14"/>
      <c r="H63" s="14"/>
      <c r="I63" s="14"/>
      <c r="J63" s="14"/>
      <c r="K63" s="14"/>
      <c r="L63" s="14"/>
      <c r="M63" s="14"/>
    </row>
    <row r="64" spans="1:13" x14ac:dyDescent="0.25">
      <c r="A64" s="14"/>
      <c r="B64" s="14"/>
      <c r="C64" s="14"/>
      <c r="D64" s="14"/>
      <c r="E64" s="14"/>
      <c r="F64" s="14"/>
      <c r="G64" s="14"/>
      <c r="H64" s="14"/>
      <c r="I64" s="14"/>
      <c r="J64" s="14"/>
      <c r="K64" s="14"/>
      <c r="L64" s="14"/>
      <c r="M64" s="14"/>
    </row>
  </sheetData>
  <sheetProtection algorithmName="SHA-512" hashValue="eIhhqT8PFxJVDyEJ713VJ6ZUfJlGKhhV7qj8GSDBNTP9muz2DXP7cZtaw4hjJT+Z4SbioRmUZCGF5OAKaWRlkA==" saltValue="aPxTDEaMRhr0xezdvhkwHA=="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Detailed_LineDesc05</f>
        <v/>
      </c>
      <c r="H10" s="298"/>
      <c r="I10" s="298"/>
      <c r="M10" s="283"/>
    </row>
    <row r="11" spans="1:13" ht="18" customHeight="1" x14ac:dyDescent="0.25">
      <c r="B11" s="130" t="s">
        <v>78</v>
      </c>
      <c r="G11" s="298" t="str">
        <f>Covg05</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669</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oBJwG64G7DJSKDr3JhQl3r1T0Gc63uGp9UR6p0OqHuoK5uIJCjpCRKgmvptnzJz2WCeAzXSyLVokJz2DZhRcDg==" saltValue="xtOtNGnJcn/9Onxs2RBbIA=="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Detailed_LineDesc06</f>
        <v/>
      </c>
      <c r="H10" s="298"/>
      <c r="I10" s="298"/>
      <c r="M10" s="283"/>
    </row>
    <row r="11" spans="1:13" ht="18" customHeight="1" x14ac:dyDescent="0.25">
      <c r="B11" s="130" t="s">
        <v>78</v>
      </c>
      <c r="G11" s="298" t="str">
        <f>Covg06</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670</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OcFApUOWb6hdvFiHODSn75Wk2eK6tChUqjUsLKh3BIek0pt53S5ChT5FuWkXL4SGi1N1rZgPDXluqAhUY0axOA==" saltValue="0ZyqDSpi/T/BrHIgA7or2Q=="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Detailed_LineDesc07</f>
        <v/>
      </c>
      <c r="H10" s="298"/>
      <c r="I10" s="298"/>
      <c r="M10" s="283"/>
    </row>
    <row r="11" spans="1:13" ht="18" customHeight="1" x14ac:dyDescent="0.25">
      <c r="B11" s="130" t="s">
        <v>78</v>
      </c>
      <c r="G11" s="298" t="str">
        <f>Covg07</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671</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4frN4agd4j0L0MBX8zte6K0YApvwqT8Le+U93m2qKDewWLWXHHjIUOdOTDgKQouLGUgrDJD7sDw/EA9sxaginQ==" saltValue="u4ZKhK3WVIxzNeJOmO4jHg=="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79"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Detailed_LineDesc08</f>
        <v/>
      </c>
      <c r="H10" s="298"/>
      <c r="I10" s="298"/>
      <c r="M10" s="283"/>
    </row>
    <row r="11" spans="1:13" ht="18" customHeight="1" x14ac:dyDescent="0.25">
      <c r="B11" s="130" t="s">
        <v>78</v>
      </c>
      <c r="G11" s="298" t="str">
        <f>Covg08</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672</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1vun9j91/XxdT2c8jIYy/q0D7V1UVQlBTwWqv2+qY3MN/G4RqRorNf8BnsNJ07iqr9SwY2Zfc0uVTp/y75rRAg==" saltValue="CpR/a7p/2FN6G2+t9v/OsA=="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Detailed_LineDesc09</f>
        <v/>
      </c>
      <c r="H10" s="298"/>
      <c r="I10" s="298"/>
      <c r="M10" s="283"/>
    </row>
    <row r="11" spans="1:13" ht="18" customHeight="1" x14ac:dyDescent="0.25">
      <c r="B11" s="130" t="s">
        <v>78</v>
      </c>
      <c r="G11" s="298" t="str">
        <f>Covg09</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673</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z2BiOdgSXcMAicbVsqYqSxFovNRqwwy33ouTDERoG1nMBd2pk6mEkDx/soM+cac3rIbYNEQyKa/Znm/QZvafmg==" saltValue="Nk0vNaqrA/VgCJRSrFQrag=="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General Insurance Company</v>
      </c>
      <c r="M1" s="279" t="s">
        <v>310</v>
      </c>
    </row>
    <row r="2" spans="1:13" x14ac:dyDescent="0.25">
      <c r="A2" s="10" t="s">
        <v>32</v>
      </c>
      <c r="B2" s="13"/>
      <c r="H2" s="13" t="s">
        <v>34</v>
      </c>
      <c r="K2" s="12" t="str">
        <f>General_Line</f>
        <v>Homeowners Multiple Peril</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605</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Nicole Pettis</v>
      </c>
      <c r="J7" s="130" t="s">
        <v>705</v>
      </c>
      <c r="K7" s="543"/>
      <c r="M7" s="282"/>
    </row>
    <row r="8" spans="1:13" ht="18" customHeight="1" x14ac:dyDescent="0.25">
      <c r="B8" s="130" t="s">
        <v>76</v>
      </c>
      <c r="G8" s="62">
        <f>Completed_Date</f>
        <v>44981</v>
      </c>
      <c r="M8" s="282"/>
    </row>
    <row r="9" spans="1:13" ht="5.0999999999999996" customHeight="1" x14ac:dyDescent="0.25">
      <c r="B9" s="130"/>
      <c r="M9" s="282"/>
    </row>
    <row r="10" spans="1:13" ht="18" customHeight="1" x14ac:dyDescent="0.25">
      <c r="B10" s="130" t="s">
        <v>77</v>
      </c>
      <c r="G10" s="298" t="str">
        <f>Detailed_LineDesc10</f>
        <v/>
      </c>
      <c r="H10" s="298"/>
      <c r="I10" s="298"/>
      <c r="M10" s="283"/>
    </row>
    <row r="11" spans="1:13" ht="18" customHeight="1" x14ac:dyDescent="0.25">
      <c r="B11" s="130" t="s">
        <v>78</v>
      </c>
      <c r="G11" s="298" t="str">
        <f>Covg10</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20172</v>
      </c>
      <c r="E14" s="469" t="str">
        <f>LEFT(MstRcntDataYr,4)-4&amp;RIGHT(MstRcntDataYr,1)</f>
        <v>20182</v>
      </c>
      <c r="F14" s="469" t="str">
        <f>LEFT(MstRcntDataYr,4)-3&amp;RIGHT(MstRcntDataYr,1)</f>
        <v>20192</v>
      </c>
      <c r="G14" s="469" t="str">
        <f>LEFT(MstRcntDataYr,4)-2&amp;RIGHT(MstRcntDataYr,1)</f>
        <v>20202</v>
      </c>
      <c r="H14" s="469" t="str">
        <f>LEFT(MstRcntDataYr,4)-1&amp;RIGHT(MstRcntDataYr,1)</f>
        <v>20212</v>
      </c>
      <c r="I14" s="469">
        <f>MstRcntDataYr</f>
        <v>20222</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742</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727</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715</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607</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608</v>
      </c>
      <c r="D34" s="32"/>
      <c r="E34" s="21"/>
      <c r="F34" s="21"/>
      <c r="G34" s="21"/>
      <c r="H34" s="21"/>
      <c r="I34" s="21"/>
      <c r="J34" s="81">
        <f>IF(New_Program=FALSE,FIT_Inv,"")</f>
        <v>0.15389771415501849</v>
      </c>
      <c r="K34" s="81" t="str">
        <f>IF(New_Program=TRUE,FIT_Inv,"")</f>
        <v/>
      </c>
      <c r="M34" s="282"/>
    </row>
    <row r="35" spans="1:13" ht="18" customHeight="1" x14ac:dyDescent="0.25">
      <c r="A35" s="35">
        <v>-18</v>
      </c>
      <c r="B35" s="31" t="s">
        <v>312</v>
      </c>
      <c r="C35" s="470" t="s">
        <v>608</v>
      </c>
      <c r="D35" s="32"/>
      <c r="E35" s="21"/>
      <c r="F35" s="21"/>
      <c r="G35" s="21"/>
      <c r="H35" s="21"/>
      <c r="I35" s="21"/>
      <c r="J35" s="81">
        <f>IF(New_Program=FALSE,Yield,"")</f>
        <v>4.3359497935155651E-2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710</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706</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1" t="s">
        <v>674</v>
      </c>
      <c r="I51" s="781"/>
      <c r="J51" s="781"/>
      <c r="K51" s="781"/>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Vj4UVx1OPP+I3ZDy2XDAeQzDgz9BX42whb9gCjrj+Gz4+5ZDUgX2ZisnMqiN/npWLYt15W2+EDHHMVeVZvUpog==" saltValue="lbbsbrSJr5Mqij29H4qNqg=="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30" zoomScaleNormal="100" zoomScaleSheetLayoutView="100" workbookViewId="0">
      <selection activeCell="H63" sqref="A63:H63"/>
    </sheetView>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IF('6.1Ratemaking Data'!$K$7="","VARIANCE - NONE","VARIANCE "&amp;'6.1Ratemaking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f>EffDate_Prior01</f>
        <v>44287</v>
      </c>
    </row>
    <row r="10" spans="1:8" ht="15" customHeight="1" x14ac:dyDescent="0.25">
      <c r="A10" s="14" t="s">
        <v>170</v>
      </c>
      <c r="B10" s="62"/>
      <c r="H10" s="189">
        <f>EffDate_Proposed</f>
        <v>45323</v>
      </c>
    </row>
    <row r="11" spans="1:8" ht="15" customHeight="1" x14ac:dyDescent="0.25">
      <c r="A11" s="14" t="s">
        <v>77</v>
      </c>
      <c r="B11" s="62"/>
      <c r="H11" s="28" t="str">
        <f>Detailed_LineDesc01</f>
        <v>Homeowners Multiple Peril</v>
      </c>
    </row>
    <row r="12" spans="1:8" ht="15" customHeight="1" x14ac:dyDescent="0.25">
      <c r="A12" s="14" t="s">
        <v>78</v>
      </c>
      <c r="B12" s="62"/>
      <c r="H12" s="28" t="str">
        <f>Covg01</f>
        <v>Rental Dwelling</v>
      </c>
    </row>
    <row r="13" spans="1:8" ht="15" customHeight="1" x14ac:dyDescent="0.25">
      <c r="H13" s="608"/>
    </row>
    <row r="14" spans="1:8" ht="9.9499999999999993" customHeight="1" x14ac:dyDescent="0.25"/>
    <row r="15" spans="1:8" ht="15.75" thickBot="1" x14ac:dyDescent="0.3">
      <c r="A15" s="130" t="s">
        <v>171</v>
      </c>
      <c r="B15" s="285" t="str">
        <f>'6.1Ratemaking Data'!D$14</f>
        <v>20172</v>
      </c>
      <c r="C15" s="285" t="str">
        <f>'6.1Ratemaking Data'!E$14</f>
        <v>20182</v>
      </c>
      <c r="D15" s="285" t="str">
        <f>'6.1Ratemaking Data'!F$14</f>
        <v>20192</v>
      </c>
      <c r="E15" s="285" t="str">
        <f>'6.1Ratemaking Data'!G$14</f>
        <v>20202</v>
      </c>
      <c r="F15" s="285" t="str">
        <f>'6.1Ratemaking Data'!H$14</f>
        <v>20212</v>
      </c>
      <c r="G15" s="285">
        <f>'6.1Ratemaking Data'!I$14</f>
        <v>20222</v>
      </c>
      <c r="H15" s="105" t="s">
        <v>306</v>
      </c>
    </row>
    <row r="16" spans="1:8" x14ac:dyDescent="0.25">
      <c r="A16" s="131" t="s">
        <v>173</v>
      </c>
      <c r="B16" s="132" t="str">
        <f>IF(ISBLANK('6.1Ratemaking Data'!D15),"",'6.1Ratemaking Data'!D15)</f>
        <v/>
      </c>
      <c r="C16" s="132" t="str">
        <f>IF(ISBLANK('6.1Ratemaking Data'!E15),"",'6.1Ratemaking Data'!E15)</f>
        <v/>
      </c>
      <c r="D16" s="132" t="str">
        <f>IF(ISBLANK('6.1Ratemaking Data'!F15),"",'6.1Ratemaking Data'!F15)</f>
        <v/>
      </c>
      <c r="E16" s="132" t="str">
        <f>IF(ISBLANK('6.1Ratemaking Data'!G15),"",'6.1Ratemaking Data'!G15)</f>
        <v/>
      </c>
      <c r="F16" s="132">
        <f>IF(ISBLANK('6.1Ratemaking Data'!H15),"",'6.1Ratemaking Data'!H15)</f>
        <v>197788541.99000001</v>
      </c>
      <c r="G16" s="132">
        <f>IF(ISBLANK('6.1Ratemaking Data'!I15),"",'6.1Ratemaking Data'!I15)</f>
        <v>224828311.69</v>
      </c>
      <c r="H16" s="133">
        <f>IF(New_Program=TRUE,'6.1Ratemaking Data'!$K$15,SUM($B16:$G16))</f>
        <v>422616853.68000001</v>
      </c>
    </row>
    <row r="17" spans="1:10" x14ac:dyDescent="0.25">
      <c r="A17" s="134" t="s">
        <v>172</v>
      </c>
      <c r="B17" s="135" t="str">
        <f>IF(ISBLANK('6.1Ratemaking Data'!D16),"",'6.1Ratemaking Data'!D16)</f>
        <v/>
      </c>
      <c r="C17" s="135" t="str">
        <f>IF(ISBLANK('6.1Ratemaking Data'!E16),"",'6.1Ratemaking Data'!E16)</f>
        <v/>
      </c>
      <c r="D17" s="135" t="str">
        <f>IF(ISBLANK('6.1Ratemaking Data'!F16),"",'6.1Ratemaking Data'!F16)</f>
        <v/>
      </c>
      <c r="E17" s="135" t="str">
        <f>IF(ISBLANK('6.1Ratemaking Data'!G16),"",'6.1Ratemaking Data'!G16)</f>
        <v/>
      </c>
      <c r="F17" s="135">
        <f>IF(ISBLANK('6.1Ratemaking Data'!H16),"",'6.1Ratemaking Data'!H16)</f>
        <v>188617788.66</v>
      </c>
      <c r="G17" s="135">
        <f>IF(ISBLANK('6.1Ratemaking Data'!I16),"",'6.1Ratemaking Data'!I16)</f>
        <v>212096167.91</v>
      </c>
      <c r="H17" s="136">
        <f>IF(New_Program=TRUE,'6.1Ratemaking Data'!$K$16,SUM($B17:$G17))</f>
        <v>400713956.56999999</v>
      </c>
    </row>
    <row r="18" spans="1:10" x14ac:dyDescent="0.25">
      <c r="A18" s="134" t="s">
        <v>174</v>
      </c>
      <c r="B18" s="137" t="str">
        <f>IF(ISBLANK('6.1Ratemaking Data'!D17),"",'6.1Ratemaking Data'!D17)</f>
        <v/>
      </c>
      <c r="C18" s="137" t="str">
        <f>IF(ISBLANK('6.1Ratemaking Data'!E17),"",'6.1Ratemaking Data'!E17)</f>
        <v/>
      </c>
      <c r="D18" s="137" t="str">
        <f>IF(ISBLANK('6.1Ratemaking Data'!F17),"",'6.1Ratemaking Data'!F17)</f>
        <v/>
      </c>
      <c r="E18" s="137" t="str">
        <f>IF(ISBLANK('6.1Ratemaking Data'!G17),"",'6.1Ratemaking Data'!G17)</f>
        <v/>
      </c>
      <c r="F18" s="137">
        <f>IF(ISBLANK('6.1Ratemaking Data'!H17),"",'6.1Ratemaking Data'!H17)</f>
        <v>1.0664259181968505</v>
      </c>
      <c r="G18" s="137">
        <f>IF(ISBLANK('6.1Ratemaking Data'!I17),"",'6.1Ratemaking Data'!I17)</f>
        <v>1.0174257964979752</v>
      </c>
      <c r="H18" s="138"/>
    </row>
    <row r="19" spans="1:10" x14ac:dyDescent="0.25">
      <c r="A19" s="134" t="s">
        <v>175</v>
      </c>
      <c r="B19" s="137" t="str">
        <f>IF(ISBLANK('6.1Ratemaking Data'!D18),"",'6.1Ratemaking Data'!D18)</f>
        <v/>
      </c>
      <c r="C19" s="137" t="str">
        <f>IF(ISBLANK('6.1Ratemaking Data'!E18),"",'6.1Ratemaking Data'!E18)</f>
        <v/>
      </c>
      <c r="D19" s="137" t="str">
        <f>IF(ISBLANK('6.1Ratemaking Data'!F18),"",'6.1Ratemaking Data'!F18)</f>
        <v/>
      </c>
      <c r="E19" s="137" t="str">
        <f>IF(ISBLANK('6.1Ratemaking Data'!G18),"",'6.1Ratemaking Data'!G18)</f>
        <v/>
      </c>
      <c r="F19" s="137">
        <f>IF(ISBLANK('6.1Ratemaking Data'!H18),"",'6.1Ratemaking Data'!H18)</f>
        <v>1.2308973566415502</v>
      </c>
      <c r="G19" s="137">
        <f>IF(ISBLANK('6.1Ratemaking Data'!I18),"",'6.1Ratemaking Data'!I18)</f>
        <v>1.163080442203029</v>
      </c>
      <c r="H19" s="144">
        <f>IF(New_Program=TRUE,0,'6.1Ratemaking Data'!$J$18)</f>
        <v>5.8308017208222651E-2</v>
      </c>
    </row>
    <row r="20" spans="1:10" x14ac:dyDescent="0.25">
      <c r="A20" s="134" t="s">
        <v>176</v>
      </c>
      <c r="B20" s="135" t="str">
        <f>IF(ISBLANK('6.1Ratemaking Data'!D19),"",'6.1Ratemaking Data'!D19)</f>
        <v/>
      </c>
      <c r="C20" s="135" t="str">
        <f>IF(ISBLANK('6.1Ratemaking Data'!E19),"",'6.1Ratemaking Data'!E19)</f>
        <v/>
      </c>
      <c r="D20" s="135" t="str">
        <f>IF(ISBLANK('6.1Ratemaking Data'!F19),"",'6.1Ratemaking Data'!F19)</f>
        <v/>
      </c>
      <c r="E20" s="135" t="str">
        <f>IF(ISBLANK('6.1Ratemaking Data'!G19),"",'6.1Ratemaking Data'!G19)</f>
        <v/>
      </c>
      <c r="F20" s="135">
        <f>IF(ISBLANK('6.1Ratemaking Data'!H19),"",'6.1Ratemaking Data'!H19)</f>
        <v>0</v>
      </c>
      <c r="G20" s="135">
        <f>IF(ISBLANK('6.1Ratemaking Data'!I19),"",'6.1Ratemaking Data'!I19)</f>
        <v>0</v>
      </c>
      <c r="H20" s="136">
        <f>IF(New_Program=TRUE,'6.1Ratemaking Data'!$K$19,SUM($B20:$G20))</f>
        <v>0</v>
      </c>
    </row>
    <row r="21" spans="1:10" x14ac:dyDescent="0.25">
      <c r="A21" s="134" t="s">
        <v>177</v>
      </c>
      <c r="B21" s="135" t="str">
        <f>IF(ISBLANK('6.1Ratemaking Data'!D20),"",'6.1Ratemaking Data'!D20)</f>
        <v/>
      </c>
      <c r="C21" s="135" t="str">
        <f>IF(ISBLANK('6.1Ratemaking Data'!E20),"",'6.1Ratemaking Data'!E20)</f>
        <v/>
      </c>
      <c r="D21" s="135" t="str">
        <f>IF(ISBLANK('6.1Ratemaking Data'!F20),"",'6.1Ratemaking Data'!F20)</f>
        <v/>
      </c>
      <c r="E21" s="135" t="str">
        <f>IF(ISBLANK('6.1Ratemaking Data'!G20),"",'6.1Ratemaking Data'!G20)</f>
        <v/>
      </c>
      <c r="F21" s="135">
        <f>IF(ISBLANK('6.1Ratemaking Data'!H20),"",'6.1Ratemaking Data'!H20)</f>
        <v>274692.31000000006</v>
      </c>
      <c r="G21" s="135">
        <f>IF(ISBLANK('6.1Ratemaking Data'!I20),"",'6.1Ratemaking Data'!I20)</f>
        <v>269985.01</v>
      </c>
      <c r="H21" s="136">
        <f>IF(New_Program=TRUE,'6.1Ratemaking Data'!$K$20,SUM($B21:$G21))</f>
        <v>544677.32000000007</v>
      </c>
      <c r="J21" s="126"/>
    </row>
    <row r="22" spans="1:10" x14ac:dyDescent="0.25">
      <c r="A22" s="134" t="s">
        <v>178</v>
      </c>
      <c r="B22" s="135" t="str">
        <f>IF(ISBLANK('6.1Ratemaking Data'!D21),"",'6.1Ratemaking Data'!D21)</f>
        <v/>
      </c>
      <c r="C22" s="135" t="str">
        <f>IF(ISBLANK('6.1Ratemaking Data'!E21),"",'6.1Ratemaking Data'!E21)</f>
        <v/>
      </c>
      <c r="D22" s="135" t="str">
        <f>IF(ISBLANK('6.1Ratemaking Data'!F21),"",'6.1Ratemaking Data'!F21)</f>
        <v/>
      </c>
      <c r="E22" s="135" t="str">
        <f>IF(ISBLANK('6.1Ratemaking Data'!G21),"",'6.1Ratemaking Data'!G21)</f>
        <v/>
      </c>
      <c r="F22" s="135">
        <f>IF(ISBLANK('6.1Ratemaking Data'!H21),"",'6.1Ratemaking Data'!H21)</f>
        <v>80070693.909999996</v>
      </c>
      <c r="G22" s="135">
        <f>IF(ISBLANK('6.1Ratemaking Data'!I21),"",'6.1Ratemaking Data'!I21)</f>
        <v>79932087.519999996</v>
      </c>
      <c r="H22" s="136">
        <f>IF(New_Program=TRUE,'6.1Ratemaking Data'!$K$21,SUM($B22:$G22))</f>
        <v>160002781.43000001</v>
      </c>
      <c r="J22" s="126"/>
    </row>
    <row r="23" spans="1:10" x14ac:dyDescent="0.25">
      <c r="A23" s="134" t="s">
        <v>144</v>
      </c>
      <c r="B23" s="135" t="str">
        <f>IF(ISBLANK('6.1Ratemaking Data'!D22),"",'6.1Ratemaking Data'!D22)</f>
        <v/>
      </c>
      <c r="C23" s="135" t="str">
        <f>IF(ISBLANK('6.1Ratemaking Data'!E22),"",'6.1Ratemaking Data'!E22)</f>
        <v/>
      </c>
      <c r="D23" s="135" t="str">
        <f>IF(ISBLANK('6.1Ratemaking Data'!F22),"",'6.1Ratemaking Data'!F22)</f>
        <v/>
      </c>
      <c r="E23" s="135" t="str">
        <f>IF(ISBLANK('6.1Ratemaking Data'!G22),"",'6.1Ratemaking Data'!G22)</f>
        <v/>
      </c>
      <c r="F23" s="135">
        <f>IF(ISBLANK('6.1Ratemaking Data'!H22),"",'6.1Ratemaking Data'!H22)</f>
        <v>2772350.88</v>
      </c>
      <c r="G23" s="135">
        <f>IF(ISBLANK('6.1Ratemaking Data'!I22),"",'6.1Ratemaking Data'!I22)</f>
        <v>993869.5</v>
      </c>
      <c r="H23" s="136">
        <f>IF(New_Program=TRUE,'6.1Ratemaking Data'!$K$22,SUM($B23:$G23))</f>
        <v>3766220.38</v>
      </c>
      <c r="J23" s="126"/>
    </row>
    <row r="24" spans="1:10" x14ac:dyDescent="0.25">
      <c r="A24" s="134" t="s">
        <v>181</v>
      </c>
      <c r="B24" s="137" t="str">
        <f>IF(ISBLANK('6.1Ratemaking Data'!D23),"",'6.1Ratemaking Data'!D23)</f>
        <v/>
      </c>
      <c r="C24" s="137" t="str">
        <f>IF(ISBLANK('6.1Ratemaking Data'!E23),"",'6.1Ratemaking Data'!E23)</f>
        <v/>
      </c>
      <c r="D24" s="137" t="str">
        <f>IF(ISBLANK('6.1Ratemaking Data'!F23),"",'6.1Ratemaking Data'!F23)</f>
        <v/>
      </c>
      <c r="E24" s="137" t="str">
        <f>IF(ISBLANK('6.1Ratemaking Data'!G23),"",'6.1Ratemaking Data'!G23)</f>
        <v/>
      </c>
      <c r="F24" s="137">
        <f>IF(ISBLANK('6.1Ratemaking Data'!H23),"",'6.1Ratemaking Data'!H23)</f>
        <v>1.1682161515269869</v>
      </c>
      <c r="G24" s="137">
        <f>IF(ISBLANK('6.1Ratemaking Data'!I23),"",'6.1Ratemaking Data'!I23)</f>
        <v>1.3574729543802104</v>
      </c>
      <c r="H24" s="138"/>
    </row>
    <row r="25" spans="1:10" x14ac:dyDescent="0.25">
      <c r="A25" s="134" t="s">
        <v>182</v>
      </c>
      <c r="B25" s="137" t="str">
        <f>IF(ISBLANK('6.1Ratemaking Data'!D24),"",'6.1Ratemaking Data'!D24)</f>
        <v/>
      </c>
      <c r="C25" s="137" t="str">
        <f>IF(ISBLANK('6.1Ratemaking Data'!E24),"",'6.1Ratemaking Data'!E24)</f>
        <v/>
      </c>
      <c r="D25" s="137" t="str">
        <f>IF(ISBLANK('6.1Ratemaking Data'!F24),"",'6.1Ratemaking Data'!F24)</f>
        <v/>
      </c>
      <c r="E25" s="137" t="str">
        <f>IF(ISBLANK('6.1Ratemaking Data'!G24),"",'6.1Ratemaking Data'!G24)</f>
        <v/>
      </c>
      <c r="F25" s="137">
        <f>IF(ISBLANK('6.1Ratemaking Data'!H24),"",'6.1Ratemaking Data'!H24)</f>
        <v>3.9091414176985473</v>
      </c>
      <c r="G25" s="137">
        <f>IF(ISBLANK('6.1Ratemaking Data'!I24),"",'6.1Ratemaking Data'!I24)</f>
        <v>10.622050461977045</v>
      </c>
      <c r="H25" s="138"/>
    </row>
    <row r="26" spans="1:10" x14ac:dyDescent="0.25">
      <c r="A26" s="134" t="s">
        <v>179</v>
      </c>
      <c r="B26" s="137" t="str">
        <f>IF(ISBLANK('6.1Ratemaking Data'!D25),"",'6.1Ratemaking Data'!D25)</f>
        <v/>
      </c>
      <c r="C26" s="137" t="str">
        <f>IF(ISBLANK('6.1Ratemaking Data'!E25),"",'6.1Ratemaking Data'!E25)</f>
        <v/>
      </c>
      <c r="D26" s="137" t="str">
        <f>IF(ISBLANK('6.1Ratemaking Data'!F25),"",'6.1Ratemaking Data'!F25)</f>
        <v/>
      </c>
      <c r="E26" s="137" t="str">
        <f>IF(ISBLANK('6.1Ratemaking Data'!G25),"",'6.1Ratemaking Data'!G25)</f>
        <v/>
      </c>
      <c r="F26" s="137">
        <f>IF(ISBLANK('6.1Ratemaking Data'!H25),"",'6.1Ratemaking Data'!H25)</f>
        <v>1.5761528506217777</v>
      </c>
      <c r="G26" s="137">
        <f>IF(ISBLANK('6.1Ratemaking Data'!I25),"",'6.1Ratemaking Data'!I25)</f>
        <v>1.3921769919350795</v>
      </c>
      <c r="H26" s="144">
        <f>IF(New_Program=TRUE,0,'6.1Ratemaking Data'!$J$25)</f>
        <v>0.13214976238831388</v>
      </c>
    </row>
    <row r="27" spans="1:10" x14ac:dyDescent="0.25">
      <c r="A27" s="134" t="s">
        <v>180</v>
      </c>
      <c r="B27" s="137" t="str">
        <f>IF(ISBLANK('6.1Ratemaking Data'!D26),"",'6.1Ratemaking Data'!D26)</f>
        <v/>
      </c>
      <c r="C27" s="137" t="str">
        <f>IF(ISBLANK('6.1Ratemaking Data'!E26),"",'6.1Ratemaking Data'!E26)</f>
        <v/>
      </c>
      <c r="D27" s="137" t="str">
        <f>IF(ISBLANK('6.1Ratemaking Data'!F26),"",'6.1Ratemaking Data'!F26)</f>
        <v/>
      </c>
      <c r="E27" s="137" t="str">
        <f>IF(ISBLANK('6.1Ratemaking Data'!G26),"",'6.1Ratemaking Data'!G26)</f>
        <v/>
      </c>
      <c r="F27" s="137">
        <f>IF(ISBLANK('6.1Ratemaking Data'!H26),"",'6.1Ratemaking Data'!H26)</f>
        <v>1.5761528506217777</v>
      </c>
      <c r="G27" s="137">
        <f>IF(ISBLANK('6.1Ratemaking Data'!I26),"",'6.1Ratemaking Data'!I26)</f>
        <v>1.3921769919350795</v>
      </c>
      <c r="H27" s="144">
        <f>IF(New_Program=TRUE,0,'6.1Ratemaking Data'!$J$26)</f>
        <v>0.13214976238831388</v>
      </c>
    </row>
    <row r="28" spans="1:10" x14ac:dyDescent="0.25">
      <c r="A28" s="134" t="s">
        <v>183</v>
      </c>
      <c r="B28" s="137" t="str">
        <f>IF(ISBLANK('6.1Ratemaking Data'!D27),"",'6.1Ratemaking Data'!D27)</f>
        <v/>
      </c>
      <c r="C28" s="137" t="str">
        <f>IF(ISBLANK('6.1Ratemaking Data'!E27),"",'6.1Ratemaking Data'!E27)</f>
        <v/>
      </c>
      <c r="D28" s="137" t="str">
        <f>IF(ISBLANK('6.1Ratemaking Data'!F27),"",'6.1Ratemaking Data'!F27)</f>
        <v/>
      </c>
      <c r="E28" s="137" t="str">
        <f>IF(ISBLANK('6.1Ratemaking Data'!G27),"",'6.1Ratemaking Data'!G27)</f>
        <v/>
      </c>
      <c r="F28" s="137">
        <f>IF(ISBLANK('6.1Ratemaking Data'!H27),"",'6.1Ratemaking Data'!H27)</f>
        <v>1.2133409510486652</v>
      </c>
      <c r="G28" s="137">
        <f>IF(ISBLANK('6.1Ratemaking Data'!I27),"",'6.1Ratemaking Data'!I27)</f>
        <v>1.2140666389218762</v>
      </c>
      <c r="H28" s="138"/>
    </row>
    <row r="29" spans="1:10" ht="15.75" thickBot="1" x14ac:dyDescent="0.3">
      <c r="A29" s="153" t="s">
        <v>188</v>
      </c>
      <c r="B29" s="154" t="str">
        <f>IF(ISBLANK('6.1Ratemaking Data'!D29),"",'6.1Ratemaking Data'!D29)</f>
        <v/>
      </c>
      <c r="C29" s="154" t="str">
        <f>IF(ISBLANK('6.1Ratemaking Data'!E29),"",'6.1Ratemaking Data'!E29)</f>
        <v/>
      </c>
      <c r="D29" s="154" t="str">
        <f>IF(ISBLANK('6.1Ratemaking Data'!F29),"",'6.1Ratemaking Data'!F29)</f>
        <v/>
      </c>
      <c r="E29" s="154" t="str">
        <f>IF(ISBLANK('6.1Ratemaking Data'!G29),"",'6.1Ratemaking Data'!G29)</f>
        <v/>
      </c>
      <c r="F29" s="154">
        <f>IF(ISBLANK('6.1Ratemaking Data'!H29),"",'6.1Ratemaking Data'!H29)</f>
        <v>0</v>
      </c>
      <c r="G29" s="154">
        <f>IF(ISBLANK('6.1Ratemaking Data'!I29),"",'6.1Ratemaking Data'!I29)</f>
        <v>0</v>
      </c>
      <c r="H29" s="155">
        <f>IF(New_Program=TRUE,'6.1Ratemaking Data'!$K$29,SUM($B29:$G29))</f>
        <v>0</v>
      </c>
    </row>
    <row r="30" spans="1:10" ht="15.75" thickTop="1" x14ac:dyDescent="0.25">
      <c r="A30" s="134" t="s">
        <v>184</v>
      </c>
      <c r="B30" s="139"/>
      <c r="C30" s="139"/>
      <c r="D30" s="139"/>
      <c r="E30" s="139"/>
      <c r="F30" s="139"/>
      <c r="G30" s="139"/>
      <c r="H30" s="144">
        <f>IF(New_Program=TRUE,100%,'6.1Ratemaking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EffStd_Final01</f>
        <v>0.3398944252272284</v>
      </c>
    </row>
    <row r="38" spans="1:9" x14ac:dyDescent="0.25">
      <c r="A38" s="134" t="s">
        <v>191</v>
      </c>
      <c r="B38" s="90"/>
      <c r="C38" s="90"/>
      <c r="D38" s="90"/>
      <c r="E38" s="90"/>
      <c r="F38" s="693" t="s">
        <v>317</v>
      </c>
      <c r="G38" s="694">
        <f>update_leverage</f>
        <v>2021</v>
      </c>
      <c r="H38" s="190">
        <f ca="1">LevFact_Final01</f>
        <v>0.91552166118720324</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1/LevFact_Final01</f>
        <v>1.0922734462702384</v>
      </c>
    </row>
    <row r="41" spans="1:9" x14ac:dyDescent="0.25">
      <c r="A41" s="134" t="s">
        <v>198</v>
      </c>
      <c r="B41" s="90"/>
      <c r="C41" s="90"/>
      <c r="D41" s="90"/>
      <c r="E41" s="90"/>
      <c r="F41" s="693" t="s">
        <v>317</v>
      </c>
      <c r="G41" s="694">
        <f>update_reserveratios</f>
        <v>2021</v>
      </c>
      <c r="H41" s="191">
        <f ca="1">ResRatio_UPR01</f>
        <v>0.52182970801271056</v>
      </c>
    </row>
    <row r="42" spans="1:9" x14ac:dyDescent="0.25">
      <c r="A42" s="192" t="s">
        <v>194</v>
      </c>
      <c r="B42" s="90"/>
      <c r="C42" s="90"/>
      <c r="D42" s="90"/>
      <c r="E42" s="90"/>
      <c r="F42" s="693" t="s">
        <v>317</v>
      </c>
      <c r="G42" s="694">
        <f>update_reserveratios</f>
        <v>2021</v>
      </c>
      <c r="H42" s="191">
        <f ca="1">ResRatio_Loss01</f>
        <v>1.3010095886105004</v>
      </c>
    </row>
    <row r="43" spans="1:9" x14ac:dyDescent="0.25">
      <c r="A43" s="192" t="s">
        <v>195</v>
      </c>
      <c r="B43" s="90"/>
      <c r="C43" s="90"/>
      <c r="D43" s="90"/>
      <c r="E43" s="90"/>
      <c r="F43" s="690" t="s">
        <v>317</v>
      </c>
      <c r="G43" s="690"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'6.1Ratemaking Data'!D$14</f>
        <v>20172</v>
      </c>
      <c r="C47" s="285" t="str">
        <f>'6.1Ratemaking Data'!E$14</f>
        <v>20182</v>
      </c>
      <c r="D47" s="285" t="str">
        <f>'6.1Ratemaking Data'!F$14</f>
        <v>20192</v>
      </c>
      <c r="E47" s="285" t="str">
        <f>'6.1Ratemaking Data'!G$14</f>
        <v>20202</v>
      </c>
      <c r="F47" s="285" t="str">
        <f>'6.1Ratemaking Data'!H$14</f>
        <v>20212</v>
      </c>
      <c r="G47" s="285">
        <f>'6.1Ratemaking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f t="shared" si="0"/>
        <v>247591185.61106032</v>
      </c>
      <c r="G48" s="132">
        <f t="shared" si="0"/>
        <v>250983585.71184143</v>
      </c>
      <c r="H48" s="133">
        <f>IF(New_Program=TRUE,(Prem_Earned+Misc_Fees),SUM($B48:$G48))</f>
        <v>498574771.32290173</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f t="shared" si="1"/>
        <v>178886672.5919058</v>
      </c>
      <c r="G49" s="135">
        <f t="shared" si="1"/>
        <v>183395771.61732319</v>
      </c>
      <c r="H49" s="136">
        <f>IF(New_Program=TRUE,Losses,SUM($B49:$G49))</f>
        <v>362282444.20922899</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f t="shared" si="2"/>
        <v>20725774.310126349</v>
      </c>
      <c r="G50" s="135">
        <f t="shared" si="2"/>
        <v>17843280.421710636</v>
      </c>
      <c r="H50" s="136">
        <f>IF(New_Program=TRUE,DCCE,SUM($B50:$G50))</f>
        <v>38569054.73183699</v>
      </c>
    </row>
    <row r="51" spans="1:9" x14ac:dyDescent="0.25">
      <c r="A51" s="134" t="s">
        <v>202</v>
      </c>
      <c r="B51" s="143" t="str">
        <f t="shared" ref="B51" si="3">IF(ISERROR((B49+B50)/B48),"",(B49+B50)/B48)</f>
        <v/>
      </c>
      <c r="C51" s="143" t="str">
        <f t="shared" ref="C51" si="4">IF(ISERROR((C49+C50)/C48),"",(C49+C50)/C48)</f>
        <v/>
      </c>
      <c r="D51" s="143" t="str">
        <f t="shared" ref="D51" si="5">IF(ISERROR((D49+D50)/D48),"",(D49+D50)/D48)</f>
        <v/>
      </c>
      <c r="E51" s="143" t="str">
        <f t="shared" ref="E51:H51" si="6">IF(ISERROR((E49+E50)/E48),"",(E49+E50)/E48)</f>
        <v/>
      </c>
      <c r="F51" s="143">
        <f t="shared" si="6"/>
        <v>0.80621790476661903</v>
      </c>
      <c r="G51" s="143">
        <f t="shared" si="6"/>
        <v>0.80180164558681477</v>
      </c>
      <c r="H51" s="144">
        <f t="shared" si="6"/>
        <v>0.80399475063180581</v>
      </c>
    </row>
    <row r="52" spans="1:9" x14ac:dyDescent="0.25">
      <c r="A52" s="134" t="s">
        <v>215</v>
      </c>
      <c r="B52" s="576" t="str">
        <f t="shared" ref="B52:H52" si="7">IF(ISERROR(Prem_Adjusted/Exposures_Earned),"",Prem_Adjusted/Exposures_Earned)</f>
        <v/>
      </c>
      <c r="C52" s="576" t="str">
        <f t="shared" si="7"/>
        <v/>
      </c>
      <c r="D52" s="576" t="str">
        <f t="shared" si="7"/>
        <v/>
      </c>
      <c r="E52" s="576" t="str">
        <f t="shared" si="7"/>
        <v/>
      </c>
      <c r="F52" s="576">
        <f t="shared" si="7"/>
        <v>901.3400688612661</v>
      </c>
      <c r="G52" s="576">
        <f t="shared" si="7"/>
        <v>929.62044711979172</v>
      </c>
      <c r="H52" s="147">
        <f t="shared" si="7"/>
        <v>915.35805332026985</v>
      </c>
    </row>
    <row r="53" spans="1:9" x14ac:dyDescent="0.25">
      <c r="A53" s="134" t="s">
        <v>203</v>
      </c>
      <c r="B53" s="576" t="str">
        <f t="shared" ref="B53:H53" si="8">IF(ISERROR((Losses_Adjusted+DCCE_Adjusted)/Exposures_Earned),"",(Losses_Adjusted+DCCE_Adjusted)/Exposures_Earned)</f>
        <v/>
      </c>
      <c r="C53" s="576" t="str">
        <f t="shared" si="8"/>
        <v/>
      </c>
      <c r="D53" s="576" t="str">
        <f t="shared" si="8"/>
        <v/>
      </c>
      <c r="E53" s="576" t="str">
        <f t="shared" si="8"/>
        <v/>
      </c>
      <c r="F53" s="576">
        <f t="shared" si="8"/>
        <v>726.67650179953012</v>
      </c>
      <c r="G53" s="576">
        <f t="shared" si="8"/>
        <v>745.37120427179946</v>
      </c>
      <c r="H53" s="147">
        <f t="shared" si="8"/>
        <v>735.9430698180455</v>
      </c>
    </row>
    <row r="54" spans="1:9" x14ac:dyDescent="0.25">
      <c r="A54" s="134" t="s">
        <v>204</v>
      </c>
      <c r="B54" s="576" t="str">
        <f t="shared" ref="B54:H54" ca="1" si="9">IF(ISERROR((TCRLP_perExp*(1+Comp_Trend)*Max_Denom+Anc_Inc_perExp)/(1-InvInc_Fixed)),"",(TCRLP_perExp*(1+Comp_Trend)*Max_Denom+Anc_Inc_perExp)/(1-InvInc_Fixed))</f>
        <v/>
      </c>
      <c r="C54" s="576" t="str">
        <f t="shared" ca="1" si="9"/>
        <v/>
      </c>
      <c r="D54" s="576" t="str">
        <f t="shared" ca="1" si="9"/>
        <v/>
      </c>
      <c r="E54" s="576" t="str">
        <f t="shared" ca="1" si="9"/>
        <v/>
      </c>
      <c r="F54" s="576">
        <f t="shared" ca="1" si="9"/>
        <v>694.17553480940012</v>
      </c>
      <c r="G54" s="576">
        <f t="shared" ca="1" si="9"/>
        <v>715.9559342173909</v>
      </c>
      <c r="H54" s="147">
        <f t="shared" ca="1" si="9"/>
        <v>704.9716174367627</v>
      </c>
    </row>
    <row r="55" spans="1:9" x14ac:dyDescent="0.25">
      <c r="A55" s="134" t="s">
        <v>214</v>
      </c>
      <c r="B55" s="576" t="str">
        <f t="shared" ref="B55:H55" ca="1" si="10">IF(ISERROR(Credibility*LossDCCE_perExp+(1-Credibility)*CompLossDCCE_perExp),"",Credibility*LossDCCE_perExp+(1-Credibility)*CompLossDCCE_perExp)</f>
        <v/>
      </c>
      <c r="C55" s="576" t="str">
        <f t="shared" ca="1" si="10"/>
        <v/>
      </c>
      <c r="D55" s="576" t="str">
        <f t="shared" ca="1" si="10"/>
        <v/>
      </c>
      <c r="E55" s="576" t="str">
        <f t="shared" ca="1" si="10"/>
        <v/>
      </c>
      <c r="F55" s="576">
        <f t="shared" ca="1" si="10"/>
        <v>726.67650179953012</v>
      </c>
      <c r="G55" s="576">
        <f t="shared" ca="1" si="10"/>
        <v>745.37120427179946</v>
      </c>
      <c r="H55" s="147">
        <f t="shared" ca="1" si="10"/>
        <v>735.9430698180455</v>
      </c>
    </row>
    <row r="56" spans="1:9" ht="15.75" thickBot="1" x14ac:dyDescent="0.3">
      <c r="A56" s="153" t="s">
        <v>216</v>
      </c>
      <c r="B56" s="250" t="str">
        <f t="shared" ref="B56:H56" si="11">IF(ISERROR(Anc_Income/Exposures_Earned),"",Anc_Income/Exposures_Earned)</f>
        <v/>
      </c>
      <c r="C56" s="250" t="str">
        <f t="shared" si="11"/>
        <v/>
      </c>
      <c r="D56" s="250" t="str">
        <f t="shared" si="11"/>
        <v/>
      </c>
      <c r="E56" s="250" t="str">
        <f t="shared" si="11"/>
        <v/>
      </c>
      <c r="F56" s="250">
        <f t="shared" si="11"/>
        <v>0</v>
      </c>
      <c r="G56" s="250">
        <f t="shared" si="11"/>
        <v>0</v>
      </c>
      <c r="H56" s="251">
        <f t="shared" si="11"/>
        <v>0</v>
      </c>
    </row>
    <row r="57" spans="1:9" ht="15.75" thickTop="1" x14ac:dyDescent="0.25">
      <c r="A57" s="134" t="s">
        <v>217</v>
      </c>
      <c r="B57" s="90"/>
      <c r="C57" s="90"/>
      <c r="D57" s="90"/>
      <c r="E57" s="90"/>
      <c r="F57" s="90"/>
      <c r="G57" s="90"/>
      <c r="H57" s="144">
        <f ca="1">Yield*((1-FIT_Inv)/(1-FIT_UW))*ResRatio_Loss01</f>
        <v>6.0417189562510278E-2</v>
      </c>
    </row>
    <row r="58" spans="1:9" x14ac:dyDescent="0.25">
      <c r="A58" s="134" t="s">
        <v>218</v>
      </c>
      <c r="B58" s="90"/>
      <c r="C58" s="90"/>
      <c r="D58" s="90"/>
      <c r="E58" s="90"/>
      <c r="F58" s="90"/>
      <c r="G58" s="90"/>
      <c r="H58" s="144">
        <f ca="1">Yield*((1-FIT_Inv)/(1-FIT_UW))*(ResRatio_UPR01+SurplusRatio)</f>
        <v>7.4956846666988208E-2</v>
      </c>
    </row>
    <row r="59" spans="1:9" x14ac:dyDescent="0.25">
      <c r="A59" s="134" t="s">
        <v>206</v>
      </c>
      <c r="B59" s="145"/>
      <c r="C59" s="145"/>
      <c r="D59" s="145"/>
      <c r="E59" s="145"/>
      <c r="F59" s="145"/>
      <c r="G59" s="145"/>
      <c r="H59" s="144">
        <f>(1+Loss_AnnualTrend)/(1+Prem_AnnualTrend)-1</f>
        <v>6.9773396761070527E-2</v>
      </c>
    </row>
    <row r="60" spans="1:9" x14ac:dyDescent="0.25">
      <c r="A60" s="134" t="s">
        <v>205</v>
      </c>
      <c r="B60" s="145"/>
      <c r="C60" s="145"/>
      <c r="D60" s="145"/>
      <c r="E60" s="145"/>
      <c r="F60" s="145"/>
      <c r="G60" s="145"/>
      <c r="H60" s="144">
        <f>IF(New_Program=TRUE,0,(1+Net_AnnualTrend)^MIN(4,((EffDate_Proposed-EffDate_Prior01)/365.25))-1)</f>
        <v>0.21083129280048252</v>
      </c>
    </row>
    <row r="61" spans="1:9" x14ac:dyDescent="0.25">
      <c r="A61" s="134" t="s">
        <v>207</v>
      </c>
      <c r="B61" s="145"/>
      <c r="C61" s="145"/>
      <c r="D61" s="145"/>
      <c r="E61" s="145"/>
      <c r="F61" s="145"/>
      <c r="G61" s="145"/>
      <c r="H61" s="144">
        <f ca="1">(ROR_Max)/(LevFact_Final01*(1-FIT_UW))</f>
        <v>0.13743288678387552</v>
      </c>
    </row>
    <row r="62" spans="1:9" x14ac:dyDescent="0.25">
      <c r="A62" s="134" t="s">
        <v>208</v>
      </c>
      <c r="B62" s="90"/>
      <c r="C62" s="90"/>
      <c r="D62" s="90"/>
      <c r="E62" s="90"/>
      <c r="F62" s="90"/>
      <c r="G62" s="90"/>
      <c r="H62" s="144">
        <f ca="1">(ROR_Min)/(LevFact_Final01*(1-FIT_UW))</f>
        <v>-8.2957476931916824E-2</v>
      </c>
    </row>
    <row r="63" spans="1:9" x14ac:dyDescent="0.25">
      <c r="A63" s="134" t="s">
        <v>209</v>
      </c>
      <c r="B63" s="90"/>
      <c r="C63" s="90"/>
      <c r="D63" s="90"/>
      <c r="E63" s="90"/>
      <c r="F63" s="90"/>
      <c r="G63" s="90"/>
      <c r="H63" s="144">
        <f ca="1">1-CredLossDCCE_perExp/Max_Premium-EffStd_Final01</f>
        <v>2.4047179475378766E-2</v>
      </c>
      <c r="I63" s="252"/>
    </row>
    <row r="64" spans="1:9" x14ac:dyDescent="0.25">
      <c r="A64" s="134" t="s">
        <v>211</v>
      </c>
      <c r="B64" s="90"/>
      <c r="C64" s="90"/>
      <c r="D64" s="90"/>
      <c r="E64" s="90"/>
      <c r="F64" s="90"/>
      <c r="G64" s="90"/>
      <c r="H64" s="146">
        <f ca="1">1-EffStd_Final01-Min_Profit+InvInc_Variable</f>
        <v>0.81801989837167655</v>
      </c>
      <c r="I64" s="252"/>
    </row>
    <row r="65" spans="1:9" x14ac:dyDescent="0.25">
      <c r="A65" s="134" t="s">
        <v>210</v>
      </c>
      <c r="B65" s="90"/>
      <c r="C65" s="90"/>
      <c r="D65" s="90"/>
      <c r="E65" s="90"/>
      <c r="F65" s="90"/>
      <c r="G65" s="90"/>
      <c r="H65" s="146">
        <f ca="1">1-EffStd_Final01-Max_Profit+InvInc_Variable</f>
        <v>0.5976295346558842</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845.30884791197514</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1157.0369564479233</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-7.65265626431164E-2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0.26402663116472708</v>
      </c>
      <c r="I69" s="471"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130" t="s">
        <v>233</v>
      </c>
      <c r="B71" s="285" t="str">
        <f>'6.1Ratemaking Data'!D$14</f>
        <v>20172</v>
      </c>
      <c r="C71" s="285" t="str">
        <f>'6.1Ratemaking Data'!E$14</f>
        <v>20182</v>
      </c>
      <c r="D71" s="285" t="str">
        <f>'6.1Ratemaking Data'!F$14</f>
        <v>20192</v>
      </c>
      <c r="E71" s="285" t="str">
        <f>'6.1Ratemaking Data'!G$14</f>
        <v>20202</v>
      </c>
      <c r="F71" s="285" t="str">
        <f>'6.1Ratemaking Data'!H$14</f>
        <v>20212</v>
      </c>
      <c r="G71" s="285">
        <f>'6.1Ratemaking Data'!I$14</f>
        <v>20222</v>
      </c>
    </row>
    <row r="72" spans="1:9" hidden="1" x14ac:dyDescent="0.25">
      <c r="A72" s="148" t="s">
        <v>232</v>
      </c>
      <c r="B72" s="142"/>
      <c r="C72" s="142"/>
      <c r="D72" s="142"/>
      <c r="E72" s="142"/>
      <c r="F72" s="142"/>
      <c r="G72" s="142"/>
      <c r="H72" s="149" t="str">
        <f>IF(ISBLANK('6.1Ratemaking Data'!J44),"",'6.1Ratemaking Data'!J44)</f>
        <v/>
      </c>
    </row>
    <row r="73" spans="1:9" hidden="1" x14ac:dyDescent="0.25">
      <c r="A73" s="150" t="s">
        <v>219</v>
      </c>
      <c r="B73" s="135" t="str">
        <f>IF(ISBLANK('6.1Ratemaking Data'!D45),"",'6.1Ratemaking Data'!D45)</f>
        <v/>
      </c>
      <c r="C73" s="135" t="str">
        <f>IF(ISBLANK('6.1Ratemaking Data'!E45),"",'6.1Ratemaking Data'!E45)</f>
        <v/>
      </c>
      <c r="D73" s="135" t="str">
        <f>IF(ISBLANK('6.1Ratemaking Data'!F45),"",'6.1Ratemaking Data'!F45)</f>
        <v/>
      </c>
      <c r="E73" s="135" t="str">
        <f>IF(ISBLANK('6.1Ratemaking Data'!G45),"",'6.1Ratemaking Data'!G45)</f>
        <v/>
      </c>
      <c r="F73" s="135" t="str">
        <f>IF(ISBLANK('6.1Ratemaking Data'!H45),"",'6.1Ratemaking Data'!H45)</f>
        <v/>
      </c>
      <c r="G73" s="135" t="str">
        <f>IF(ISBLANK('6.1Ratemaking Data'!I45),"",'6.1Ratemaking Data'!I45)</f>
        <v/>
      </c>
      <c r="H73" s="136" t="str">
        <f ca="1">IF(RIGHT(Detailed_LineCode01,1)="R",IF(New_Program=TRUE,'6.1Ratemaking Data'!$K$45,SUM($B73:$G73)),"")</f>
        <v/>
      </c>
    </row>
    <row r="74" spans="1:9" hidden="1" x14ac:dyDescent="0.25">
      <c r="A74" s="150" t="s">
        <v>220</v>
      </c>
      <c r="B74" s="135" t="str">
        <f>IF(ISBLANK('6.1Ratemaking Data'!D46),"",'6.1Ratemaking Data'!D46)</f>
        <v/>
      </c>
      <c r="C74" s="135" t="str">
        <f>IF(ISBLANK('6.1Ratemaking Data'!E46),"",'6.1Ratemaking Data'!E46)</f>
        <v/>
      </c>
      <c r="D74" s="135" t="str">
        <f>IF(ISBLANK('6.1Ratemaking Data'!F46),"",'6.1Ratemaking Data'!F46)</f>
        <v/>
      </c>
      <c r="E74" s="135" t="str">
        <f>IF(ISBLANK('6.1Ratemaking Data'!G46),"",'6.1Ratemaking Data'!G46)</f>
        <v/>
      </c>
      <c r="F74" s="135" t="str">
        <f>IF(ISBLANK('6.1Ratemaking Data'!H46),"",'6.1Ratemaking Data'!H46)</f>
        <v/>
      </c>
      <c r="G74" s="135" t="str">
        <f>IF(ISBLANK('6.1Ratemaking Data'!I46),"",'6.1Ratemaking Data'!I46)</f>
        <v/>
      </c>
      <c r="H74" s="136">
        <f>IF(New_Program=TRUE,'6.1Ratemaking Data'!$K$46,SUM($B74:$G74))</f>
        <v>0</v>
      </c>
    </row>
    <row r="75" spans="1:9" hidden="1" x14ac:dyDescent="0.25">
      <c r="A75" s="150" t="s">
        <v>221</v>
      </c>
      <c r="B75" s="578" t="str">
        <f t="shared" ref="B75:H75" si="12">IF(ISERROR(Rein_Prem/Exposures_Earned),"",Rein_Prem/Exposures_Earned)</f>
        <v/>
      </c>
      <c r="C75" s="578" t="str">
        <f t="shared" si="12"/>
        <v/>
      </c>
      <c r="D75" s="578" t="str">
        <f t="shared" si="12"/>
        <v/>
      </c>
      <c r="E75" s="578" t="str">
        <f t="shared" si="12"/>
        <v/>
      </c>
      <c r="F75" s="578" t="str">
        <f t="shared" si="12"/>
        <v/>
      </c>
      <c r="G75" s="578" t="str">
        <f t="shared" si="12"/>
        <v/>
      </c>
      <c r="H75" s="577" t="str">
        <f t="shared" ca="1" si="12"/>
        <v/>
      </c>
    </row>
    <row r="76" spans="1:9" hidden="1" x14ac:dyDescent="0.25">
      <c r="A76" s="150" t="s">
        <v>222</v>
      </c>
      <c r="B76" s="578" t="str">
        <f t="shared" ref="B76:H76" si="13">IF(ISERROR(Rein_Recov/Exposures_Earned),"",Rein_Recov/Exposures_Earned)</f>
        <v/>
      </c>
      <c r="C76" s="578" t="str">
        <f t="shared" si="13"/>
        <v/>
      </c>
      <c r="D76" s="578" t="str">
        <f t="shared" si="13"/>
        <v/>
      </c>
      <c r="E76" s="578" t="str">
        <f t="shared" si="13"/>
        <v/>
      </c>
      <c r="F76" s="578" t="str">
        <f t="shared" si="13"/>
        <v/>
      </c>
      <c r="G76" s="578" t="str">
        <f t="shared" si="13"/>
        <v/>
      </c>
      <c r="H76" s="577">
        <f t="shared" si="13"/>
        <v>0</v>
      </c>
    </row>
    <row r="77" spans="1:9" hidden="1" x14ac:dyDescent="0.25">
      <c r="A77" s="150" t="s">
        <v>223</v>
      </c>
      <c r="B77" s="578" t="str">
        <f t="shared" ref="B77:H77" ca="1" si="14">IF(ISERROR((TCRLP_perExp*(1+Comp_Trend)*Max_Denom+Anc_Inc_perExp-ReinPrem_perExp*Max_Denom/(1-Comm_Rate-PremTaxRate))/(1-InvInc_Fixed)),"",(TCRLP_perExp*(1+Comp_Trend)*Max_Denom+Anc_Inc_perExp-ReinPrem_perExp*Max_Denom/(1-Comm_Rate-PremTaxRate))/(1-InvInc_Fixed))</f>
        <v/>
      </c>
      <c r="C77" s="578" t="str">
        <f t="shared" ca="1" si="14"/>
        <v/>
      </c>
      <c r="D77" s="578" t="str">
        <f t="shared" ca="1" si="14"/>
        <v/>
      </c>
      <c r="E77" s="578" t="str">
        <f t="shared" ca="1" si="14"/>
        <v/>
      </c>
      <c r="F77" s="578" t="str">
        <f t="shared" ca="1" si="14"/>
        <v/>
      </c>
      <c r="G77" s="578" t="str">
        <f t="shared" ca="1" si="14"/>
        <v/>
      </c>
      <c r="H77" s="577" t="str">
        <f t="shared" ca="1" si="14"/>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IF(AND('6.1Ratemaking Data'!Error30="",'6.1Ratemaking Data'!Error31="",'6.1Ratemaking Data'!Error32=""),"","See Column M of Page '6.1Ratemaking Data' for errors that must be corrected.")</f>
        <v/>
      </c>
    </row>
    <row r="80" spans="1:9" ht="26.25" x14ac:dyDescent="0.25">
      <c r="F80" s="782" t="s">
        <v>600</v>
      </c>
      <c r="G80" s="782"/>
      <c r="H80" s="782"/>
    </row>
    <row r="81" spans="1:1" x14ac:dyDescent="0.25">
      <c r="A81" s="152"/>
    </row>
  </sheetData>
  <sheetProtection algorithmName="SHA-512" hashValue="PQcqhWq9mzKs6cbpc3HW22VnBAQ90azQCLgl61Ym44vohfeDZJi+Q74omMH1pwPFBtzJAZjfdyg/+Cd5Y44EuA==" saltValue="afwIBl0sKWz1sJnrzqmKlQ=="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IF('6.2Ratemaking Data'!$K$7="","VARIANCE - NONE","VARIANCE "&amp;'6.2Ratemaking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EffDate_Prior02</f>
        <v/>
      </c>
    </row>
    <row r="10" spans="1:8" ht="15" customHeight="1" x14ac:dyDescent="0.25">
      <c r="A10" s="14" t="s">
        <v>170</v>
      </c>
      <c r="B10" s="62"/>
      <c r="H10" s="189">
        <f>EffDate_Proposed</f>
        <v>45323</v>
      </c>
    </row>
    <row r="11" spans="1:8" ht="15" customHeight="1" x14ac:dyDescent="0.25">
      <c r="A11" s="14" t="s">
        <v>77</v>
      </c>
      <c r="B11" s="62"/>
      <c r="H11" s="28" t="str">
        <f>Detailed_LineDesc02</f>
        <v/>
      </c>
    </row>
    <row r="12" spans="1:8" ht="15" customHeight="1" x14ac:dyDescent="0.25">
      <c r="A12" s="14" t="s">
        <v>78</v>
      </c>
      <c r="B12" s="62"/>
      <c r="H12" s="28" t="str">
        <f>Covg02</f>
        <v/>
      </c>
    </row>
    <row r="13" spans="1:8" ht="15" customHeight="1" x14ac:dyDescent="0.25">
      <c r="H13" s="608"/>
    </row>
    <row r="14" spans="1:8" ht="9.9499999999999993" customHeight="1" x14ac:dyDescent="0.25"/>
    <row r="15" spans="1:8" ht="15.75" thickBot="1" x14ac:dyDescent="0.3">
      <c r="A15" s="130" t="s">
        <v>171</v>
      </c>
      <c r="B15" s="285" t="str">
        <f>'6.2Ratemaking Data'!D$14</f>
        <v>20172</v>
      </c>
      <c r="C15" s="285" t="str">
        <f>'6.2Ratemaking Data'!E$14</f>
        <v>20182</v>
      </c>
      <c r="D15" s="285" t="str">
        <f>'6.2Ratemaking Data'!F$14</f>
        <v>20192</v>
      </c>
      <c r="E15" s="285" t="str">
        <f>'6.2Ratemaking Data'!G$14</f>
        <v>20202</v>
      </c>
      <c r="F15" s="285" t="str">
        <f>'6.2Ratemaking Data'!H$14</f>
        <v>20212</v>
      </c>
      <c r="G15" s="285">
        <f>'6.2Ratemaking Data'!I$14</f>
        <v>20222</v>
      </c>
      <c r="H15" s="105" t="s">
        <v>306</v>
      </c>
    </row>
    <row r="16" spans="1:8" x14ac:dyDescent="0.25">
      <c r="A16" s="131" t="s">
        <v>173</v>
      </c>
      <c r="B16" s="132" t="str">
        <f>IF(ISBLANK('6.2Ratemaking Data'!D15),"",'6.2Ratemaking Data'!D15)</f>
        <v/>
      </c>
      <c r="C16" s="132" t="str">
        <f>IF(ISBLANK('6.2Ratemaking Data'!E15),"",'6.2Ratemaking Data'!E15)</f>
        <v/>
      </c>
      <c r="D16" s="132" t="str">
        <f>IF(ISBLANK('6.2Ratemaking Data'!F15),"",'6.2Ratemaking Data'!F15)</f>
        <v/>
      </c>
      <c r="E16" s="132" t="str">
        <f>IF(ISBLANK('6.2Ratemaking Data'!G15),"",'6.2Ratemaking Data'!G15)</f>
        <v/>
      </c>
      <c r="F16" s="132" t="str">
        <f>IF(ISBLANK('6.2Ratemaking Data'!H15),"",'6.2Ratemaking Data'!H15)</f>
        <v/>
      </c>
      <c r="G16" s="132" t="str">
        <f>IF(ISBLANK('6.2Ratemaking Data'!I15),"",'6.2Ratemaking Data'!I15)</f>
        <v/>
      </c>
      <c r="H16" s="133">
        <f>IF(New_Program=TRUE,'6.2Ratemaking Data'!$K$15,SUM($B16:$G16))</f>
        <v>0</v>
      </c>
    </row>
    <row r="17" spans="1:10" x14ac:dyDescent="0.25">
      <c r="A17" s="134" t="s">
        <v>172</v>
      </c>
      <c r="B17" s="135" t="str">
        <f>IF(ISBLANK('6.2Ratemaking Data'!D16),"",'6.2Ratemaking Data'!D16)</f>
        <v/>
      </c>
      <c r="C17" s="135" t="str">
        <f>IF(ISBLANK('6.2Ratemaking Data'!E16),"",'6.2Ratemaking Data'!E16)</f>
        <v/>
      </c>
      <c r="D17" s="135" t="str">
        <f>IF(ISBLANK('6.2Ratemaking Data'!F16),"",'6.2Ratemaking Data'!F16)</f>
        <v/>
      </c>
      <c r="E17" s="135" t="str">
        <f>IF(ISBLANK('6.2Ratemaking Data'!G16),"",'6.2Ratemaking Data'!G16)</f>
        <v/>
      </c>
      <c r="F17" s="135" t="str">
        <f>IF(ISBLANK('6.2Ratemaking Data'!H16),"",'6.2Ratemaking Data'!H16)</f>
        <v/>
      </c>
      <c r="G17" s="135" t="str">
        <f>IF(ISBLANK('6.2Ratemaking Data'!I16),"",'6.2Ratemaking Data'!I16)</f>
        <v/>
      </c>
      <c r="H17" s="136">
        <f>IF(New_Program=TRUE,'6.2Ratemaking Data'!$K$16,SUM($B17:$G17))</f>
        <v>0</v>
      </c>
    </row>
    <row r="18" spans="1:10" x14ac:dyDescent="0.25">
      <c r="A18" s="134" t="s">
        <v>174</v>
      </c>
      <c r="B18" s="137" t="str">
        <f>IF(ISBLANK('6.2Ratemaking Data'!D17),"",'6.2Ratemaking Data'!D17)</f>
        <v/>
      </c>
      <c r="C18" s="137" t="str">
        <f>IF(ISBLANK('6.2Ratemaking Data'!E17),"",'6.2Ratemaking Data'!E17)</f>
        <v/>
      </c>
      <c r="D18" s="137" t="str">
        <f>IF(ISBLANK('6.2Ratemaking Data'!F17),"",'6.2Ratemaking Data'!F17)</f>
        <v/>
      </c>
      <c r="E18" s="137" t="str">
        <f>IF(ISBLANK('6.2Ratemaking Data'!G17),"",'6.2Ratemaking Data'!G17)</f>
        <v/>
      </c>
      <c r="F18" s="137" t="str">
        <f>IF(ISBLANK('6.2Ratemaking Data'!H17),"",'6.2Ratemaking Data'!H17)</f>
        <v/>
      </c>
      <c r="G18" s="137" t="str">
        <f>IF(ISBLANK('6.2Ratemaking Data'!I17),"",'6.2Ratemaking Data'!I17)</f>
        <v/>
      </c>
      <c r="H18" s="138"/>
    </row>
    <row r="19" spans="1:10" x14ac:dyDescent="0.25">
      <c r="A19" s="134" t="s">
        <v>175</v>
      </c>
      <c r="B19" s="137" t="str">
        <f>IF(ISBLANK('6.2Ratemaking Data'!D18),"",'6.2Ratemaking Data'!D18)</f>
        <v/>
      </c>
      <c r="C19" s="137" t="str">
        <f>IF(ISBLANK('6.2Ratemaking Data'!E18),"",'6.2Ratemaking Data'!E18)</f>
        <v/>
      </c>
      <c r="D19" s="137" t="str">
        <f>IF(ISBLANK('6.2Ratemaking Data'!F18),"",'6.2Ratemaking Data'!F18)</f>
        <v/>
      </c>
      <c r="E19" s="137" t="str">
        <f>IF(ISBLANK('6.2Ratemaking Data'!G18),"",'6.2Ratemaking Data'!G18)</f>
        <v/>
      </c>
      <c r="F19" s="137" t="str">
        <f>IF(ISBLANK('6.2Ratemaking Data'!H18),"",'6.2Ratemaking Data'!H18)</f>
        <v/>
      </c>
      <c r="G19" s="137" t="str">
        <f>IF(ISBLANK('6.2Ratemaking Data'!I18),"",'6.2Ratemaking Data'!I18)</f>
        <v/>
      </c>
      <c r="H19" s="144">
        <f>IF(New_Program=TRUE,0,'6.2Ratemaking Data'!$J$18)</f>
        <v>0</v>
      </c>
    </row>
    <row r="20" spans="1:10" x14ac:dyDescent="0.25">
      <c r="A20" s="134" t="s">
        <v>176</v>
      </c>
      <c r="B20" s="135" t="str">
        <f>IF(ISBLANK('6.2Ratemaking Data'!D19),"",'6.2Ratemaking Data'!D19)</f>
        <v/>
      </c>
      <c r="C20" s="135" t="str">
        <f>IF(ISBLANK('6.2Ratemaking Data'!E19),"",'6.2Ratemaking Data'!E19)</f>
        <v/>
      </c>
      <c r="D20" s="135" t="str">
        <f>IF(ISBLANK('6.2Ratemaking Data'!F19),"",'6.2Ratemaking Data'!F19)</f>
        <v/>
      </c>
      <c r="E20" s="135" t="str">
        <f>IF(ISBLANK('6.2Ratemaking Data'!G19),"",'6.2Ratemaking Data'!G19)</f>
        <v/>
      </c>
      <c r="F20" s="135" t="str">
        <f>IF(ISBLANK('6.2Ratemaking Data'!H19),"",'6.2Ratemaking Data'!H19)</f>
        <v/>
      </c>
      <c r="G20" s="135" t="str">
        <f>IF(ISBLANK('6.2Ratemaking Data'!I19),"",'6.2Ratemaking Data'!I19)</f>
        <v/>
      </c>
      <c r="H20" s="136">
        <f>IF(New_Program=TRUE,'6.2Ratemaking Data'!$K$19,SUM($B20:$G20))</f>
        <v>0</v>
      </c>
    </row>
    <row r="21" spans="1:10" x14ac:dyDescent="0.25">
      <c r="A21" s="134" t="s">
        <v>177</v>
      </c>
      <c r="B21" s="135" t="str">
        <f>IF(ISBLANK('6.2Ratemaking Data'!D20),"",'6.2Ratemaking Data'!D20)</f>
        <v/>
      </c>
      <c r="C21" s="135" t="str">
        <f>IF(ISBLANK('6.2Ratemaking Data'!E20),"",'6.2Ratemaking Data'!E20)</f>
        <v/>
      </c>
      <c r="D21" s="135" t="str">
        <f>IF(ISBLANK('6.2Ratemaking Data'!F20),"",'6.2Ratemaking Data'!F20)</f>
        <v/>
      </c>
      <c r="E21" s="135" t="str">
        <f>IF(ISBLANK('6.2Ratemaking Data'!G20),"",'6.2Ratemaking Data'!G20)</f>
        <v/>
      </c>
      <c r="F21" s="135" t="str">
        <f>IF(ISBLANK('6.2Ratemaking Data'!H20),"",'6.2Ratemaking Data'!H20)</f>
        <v/>
      </c>
      <c r="G21" s="135" t="str">
        <f>IF(ISBLANK('6.2Ratemaking Data'!I20),"",'6.2Ratemaking Data'!I20)</f>
        <v/>
      </c>
      <c r="H21" s="136">
        <f>IF(New_Program=TRUE,'6.2Ratemaking Data'!$K$20,SUM($B21:$G21))</f>
        <v>0</v>
      </c>
      <c r="J21" s="126"/>
    </row>
    <row r="22" spans="1:10" x14ac:dyDescent="0.25">
      <c r="A22" s="134" t="s">
        <v>178</v>
      </c>
      <c r="B22" s="135" t="str">
        <f>IF(ISBLANK('6.2Ratemaking Data'!D21),"",'6.2Ratemaking Data'!D21)</f>
        <v/>
      </c>
      <c r="C22" s="135" t="str">
        <f>IF(ISBLANK('6.2Ratemaking Data'!E21),"",'6.2Ratemaking Data'!E21)</f>
        <v/>
      </c>
      <c r="D22" s="135" t="str">
        <f>IF(ISBLANK('6.2Ratemaking Data'!F21),"",'6.2Ratemaking Data'!F21)</f>
        <v/>
      </c>
      <c r="E22" s="135" t="str">
        <f>IF(ISBLANK('6.2Ratemaking Data'!G21),"",'6.2Ratemaking Data'!G21)</f>
        <v/>
      </c>
      <c r="F22" s="135" t="str">
        <f>IF(ISBLANK('6.2Ratemaking Data'!H21),"",'6.2Ratemaking Data'!H21)</f>
        <v/>
      </c>
      <c r="G22" s="135" t="str">
        <f>IF(ISBLANK('6.2Ratemaking Data'!I21),"",'6.2Ratemaking Data'!I21)</f>
        <v/>
      </c>
      <c r="H22" s="136">
        <f>IF(New_Program=TRUE,'6.2Ratemaking Data'!$K$21,SUM($B22:$G22))</f>
        <v>0</v>
      </c>
      <c r="J22" s="126"/>
    </row>
    <row r="23" spans="1:10" x14ac:dyDescent="0.25">
      <c r="A23" s="134" t="s">
        <v>144</v>
      </c>
      <c r="B23" s="135" t="str">
        <f>IF(ISBLANK('6.2Ratemaking Data'!D22),"",'6.2Ratemaking Data'!D22)</f>
        <v/>
      </c>
      <c r="C23" s="135" t="str">
        <f>IF(ISBLANK('6.2Ratemaking Data'!E22),"",'6.2Ratemaking Data'!E22)</f>
        <v/>
      </c>
      <c r="D23" s="135" t="str">
        <f>IF(ISBLANK('6.2Ratemaking Data'!F22),"",'6.2Ratemaking Data'!F22)</f>
        <v/>
      </c>
      <c r="E23" s="135" t="str">
        <f>IF(ISBLANK('6.2Ratemaking Data'!G22),"",'6.2Ratemaking Data'!G22)</f>
        <v/>
      </c>
      <c r="F23" s="135" t="str">
        <f>IF(ISBLANK('6.2Ratemaking Data'!H22),"",'6.2Ratemaking Data'!H22)</f>
        <v/>
      </c>
      <c r="G23" s="135" t="str">
        <f>IF(ISBLANK('6.2Ratemaking Data'!I22),"",'6.2Ratemaking Data'!I22)</f>
        <v/>
      </c>
      <c r="H23" s="136">
        <f>IF(New_Program=TRUE,'6.2Ratemaking Data'!$K$22,SUM($B23:$G23))</f>
        <v>0</v>
      </c>
      <c r="J23" s="126"/>
    </row>
    <row r="24" spans="1:10" x14ac:dyDescent="0.25">
      <c r="A24" s="134" t="s">
        <v>181</v>
      </c>
      <c r="B24" s="137" t="str">
        <f>IF(ISBLANK('6.2Ratemaking Data'!D23),"",'6.2Ratemaking Data'!D23)</f>
        <v/>
      </c>
      <c r="C24" s="137" t="str">
        <f>IF(ISBLANK('6.2Ratemaking Data'!E23),"",'6.2Ratemaking Data'!E23)</f>
        <v/>
      </c>
      <c r="D24" s="137" t="str">
        <f>IF(ISBLANK('6.2Ratemaking Data'!F23),"",'6.2Ratemaking Data'!F23)</f>
        <v/>
      </c>
      <c r="E24" s="137" t="str">
        <f>IF(ISBLANK('6.2Ratemaking Data'!G23),"",'6.2Ratemaking Data'!G23)</f>
        <v/>
      </c>
      <c r="F24" s="137" t="str">
        <f>IF(ISBLANK('6.2Ratemaking Data'!H23),"",'6.2Ratemaking Data'!H23)</f>
        <v/>
      </c>
      <c r="G24" s="137" t="str">
        <f>IF(ISBLANK('6.2Ratemaking Data'!I23),"",'6.2Ratemaking Data'!I23)</f>
        <v/>
      </c>
      <c r="H24" s="138"/>
    </row>
    <row r="25" spans="1:10" x14ac:dyDescent="0.25">
      <c r="A25" s="134" t="s">
        <v>182</v>
      </c>
      <c r="B25" s="137" t="str">
        <f>IF(ISBLANK('6.2Ratemaking Data'!D24),"",'6.2Ratemaking Data'!D24)</f>
        <v/>
      </c>
      <c r="C25" s="137" t="str">
        <f>IF(ISBLANK('6.2Ratemaking Data'!E24),"",'6.2Ratemaking Data'!E24)</f>
        <v/>
      </c>
      <c r="D25" s="137" t="str">
        <f>IF(ISBLANK('6.2Ratemaking Data'!F24),"",'6.2Ratemaking Data'!F24)</f>
        <v/>
      </c>
      <c r="E25" s="137" t="str">
        <f>IF(ISBLANK('6.2Ratemaking Data'!G24),"",'6.2Ratemaking Data'!G24)</f>
        <v/>
      </c>
      <c r="F25" s="137" t="str">
        <f>IF(ISBLANK('6.2Ratemaking Data'!H24),"",'6.2Ratemaking Data'!H24)</f>
        <v/>
      </c>
      <c r="G25" s="137" t="str">
        <f>IF(ISBLANK('6.2Ratemaking Data'!I24),"",'6.2Ratemaking Data'!I24)</f>
        <v/>
      </c>
      <c r="H25" s="138"/>
    </row>
    <row r="26" spans="1:10" x14ac:dyDescent="0.25">
      <c r="A26" s="134" t="s">
        <v>179</v>
      </c>
      <c r="B26" s="137" t="str">
        <f>IF(ISBLANK('6.2Ratemaking Data'!D25),"",'6.2Ratemaking Data'!D25)</f>
        <v/>
      </c>
      <c r="C26" s="137" t="str">
        <f>IF(ISBLANK('6.2Ratemaking Data'!E25),"",'6.2Ratemaking Data'!E25)</f>
        <v/>
      </c>
      <c r="D26" s="137" t="str">
        <f>IF(ISBLANK('6.2Ratemaking Data'!F25),"",'6.2Ratemaking Data'!F25)</f>
        <v/>
      </c>
      <c r="E26" s="137" t="str">
        <f>IF(ISBLANK('6.2Ratemaking Data'!G25),"",'6.2Ratemaking Data'!G25)</f>
        <v/>
      </c>
      <c r="F26" s="137" t="str">
        <f>IF(ISBLANK('6.2Ratemaking Data'!H25),"",'6.2Ratemaking Data'!H25)</f>
        <v/>
      </c>
      <c r="G26" s="137" t="str">
        <f>IF(ISBLANK('6.2Ratemaking Data'!I25),"",'6.2Ratemaking Data'!I25)</f>
        <v/>
      </c>
      <c r="H26" s="144">
        <f>IF(New_Program=TRUE,0,'6.2Ratemaking Data'!$J$25)</f>
        <v>0</v>
      </c>
    </row>
    <row r="27" spans="1:10" x14ac:dyDescent="0.25">
      <c r="A27" s="134" t="s">
        <v>180</v>
      </c>
      <c r="B27" s="137" t="str">
        <f>IF(ISBLANK('6.2Ratemaking Data'!D26),"",'6.2Ratemaking Data'!D26)</f>
        <v/>
      </c>
      <c r="C27" s="137" t="str">
        <f>IF(ISBLANK('6.2Ratemaking Data'!E26),"",'6.2Ratemaking Data'!E26)</f>
        <v/>
      </c>
      <c r="D27" s="137" t="str">
        <f>IF(ISBLANK('6.2Ratemaking Data'!F26),"",'6.2Ratemaking Data'!F26)</f>
        <v/>
      </c>
      <c r="E27" s="137" t="str">
        <f>IF(ISBLANK('6.2Ratemaking Data'!G26),"",'6.2Ratemaking Data'!G26)</f>
        <v/>
      </c>
      <c r="F27" s="137" t="str">
        <f>IF(ISBLANK('6.2Ratemaking Data'!H26),"",'6.2Ratemaking Data'!H26)</f>
        <v/>
      </c>
      <c r="G27" s="137" t="str">
        <f>IF(ISBLANK('6.2Ratemaking Data'!I26),"",'6.2Ratemaking Data'!I26)</f>
        <v/>
      </c>
      <c r="H27" s="144">
        <f>IF(New_Program=TRUE,0,'6.2Ratemaking Data'!$J$26)</f>
        <v>0</v>
      </c>
    </row>
    <row r="28" spans="1:10" x14ac:dyDescent="0.25">
      <c r="A28" s="134" t="s">
        <v>183</v>
      </c>
      <c r="B28" s="137" t="str">
        <f>IF(ISBLANK('6.2Ratemaking Data'!D27),"",'6.2Ratemaking Data'!D27)</f>
        <v/>
      </c>
      <c r="C28" s="137" t="str">
        <f>IF(ISBLANK('6.2Ratemaking Data'!E27),"",'6.2Ratemaking Data'!E27)</f>
        <v/>
      </c>
      <c r="D28" s="137" t="str">
        <f>IF(ISBLANK('6.2Ratemaking Data'!F27),"",'6.2Ratemaking Data'!F27)</f>
        <v/>
      </c>
      <c r="E28" s="137" t="str">
        <f>IF(ISBLANK('6.2Ratemaking Data'!G27),"",'6.2Ratemaking Data'!G27)</f>
        <v/>
      </c>
      <c r="F28" s="137" t="str">
        <f>IF(ISBLANK('6.2Ratemaking Data'!H27),"",'6.2Ratemaking Data'!H27)</f>
        <v/>
      </c>
      <c r="G28" s="137" t="str">
        <f>IF(ISBLANK('6.2Ratemaking Data'!I27),"",'6.2Ratemaking Data'!I27)</f>
        <v/>
      </c>
      <c r="H28" s="138"/>
    </row>
    <row r="29" spans="1:10" ht="15.75" thickBot="1" x14ac:dyDescent="0.3">
      <c r="A29" s="153" t="s">
        <v>188</v>
      </c>
      <c r="B29" s="154" t="str">
        <f>IF(ISBLANK('6.2Ratemaking Data'!D29),"",'6.2Ratemaking Data'!D29)</f>
        <v/>
      </c>
      <c r="C29" s="154" t="str">
        <f>IF(ISBLANK('6.2Ratemaking Data'!E29),"",'6.2Ratemaking Data'!E29)</f>
        <v/>
      </c>
      <c r="D29" s="154" t="str">
        <f>IF(ISBLANK('6.2Ratemaking Data'!F29),"",'6.2Ratemaking Data'!F29)</f>
        <v/>
      </c>
      <c r="E29" s="154" t="str">
        <f>IF(ISBLANK('6.2Ratemaking Data'!G29),"",'6.2Ratemaking Data'!G29)</f>
        <v/>
      </c>
      <c r="F29" s="154" t="str">
        <f>IF(ISBLANK('6.2Ratemaking Data'!H29),"",'6.2Ratemaking Data'!H29)</f>
        <v/>
      </c>
      <c r="G29" s="154" t="str">
        <f>IF(ISBLANK('6.2Ratemaking Data'!I29),"",'6.2Ratemaking Data'!I29)</f>
        <v/>
      </c>
      <c r="H29" s="155">
        <f>IF(New_Program=TRUE,'6.2Ratemaking Data'!$K$29,SUM($B29:$G29))</f>
        <v>0</v>
      </c>
    </row>
    <row r="30" spans="1:10" ht="15.75" thickTop="1" x14ac:dyDescent="0.25">
      <c r="A30" s="134" t="s">
        <v>184</v>
      </c>
      <c r="B30" s="139"/>
      <c r="C30" s="139"/>
      <c r="D30" s="139"/>
      <c r="E30" s="139"/>
      <c r="F30" s="139"/>
      <c r="G30" s="139"/>
      <c r="H30" s="144">
        <f>IF(New_Program=TRUE,100%,'6.2Ratemaking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EffStd_Final02</f>
        <v/>
      </c>
    </row>
    <row r="38" spans="1:9" x14ac:dyDescent="0.25">
      <c r="A38" s="134" t="s">
        <v>191</v>
      </c>
      <c r="B38" s="90"/>
      <c r="C38" s="90"/>
      <c r="D38" s="90"/>
      <c r="E38" s="90"/>
      <c r="F38" s="693" t="s">
        <v>317</v>
      </c>
      <c r="G38" s="694">
        <f>update_leverage</f>
        <v>2021</v>
      </c>
      <c r="H38" s="190" t="str">
        <f>LevFact_Final02</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1/LevFact_Final02</f>
        <v>#VALUE!</v>
      </c>
    </row>
    <row r="41" spans="1:9" x14ac:dyDescent="0.25">
      <c r="A41" s="134" t="s">
        <v>198</v>
      </c>
      <c r="B41" s="90"/>
      <c r="C41" s="90"/>
      <c r="D41" s="90"/>
      <c r="E41" s="90"/>
      <c r="F41" s="693" t="s">
        <v>317</v>
      </c>
      <c r="G41" s="694">
        <f>update_reserveratios</f>
        <v>2021</v>
      </c>
      <c r="H41" s="191" t="str">
        <f>ResRatio_UPR02</f>
        <v/>
      </c>
    </row>
    <row r="42" spans="1:9" x14ac:dyDescent="0.25">
      <c r="A42" s="192" t="s">
        <v>194</v>
      </c>
      <c r="B42" s="90"/>
      <c r="C42" s="90"/>
      <c r="D42" s="90"/>
      <c r="E42" s="90"/>
      <c r="F42" s="693" t="s">
        <v>317</v>
      </c>
      <c r="G42" s="694">
        <f>update_reserveratios</f>
        <v>2021</v>
      </c>
      <c r="H42" s="191" t="str">
        <f>ResRatio_Loss02</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'6.2Ratemaking Data'!D$14</f>
        <v>20172</v>
      </c>
      <c r="C47" s="285" t="str">
        <f>'6.2Ratemaking Data'!E$14</f>
        <v>20182</v>
      </c>
      <c r="D47" s="285" t="str">
        <f>'6.2Ratemaking Data'!F$14</f>
        <v>20192</v>
      </c>
      <c r="E47" s="285" t="str">
        <f>'6.2Ratemaking Data'!G$14</f>
        <v>20202</v>
      </c>
      <c r="F47" s="285" t="str">
        <f>'6.2Ratemaking Data'!H$14</f>
        <v>20212</v>
      </c>
      <c r="G47" s="285">
        <f>'6.2Ratemaking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Yield*((1-FIT_Inv)/(1-FIT_UW))*ResRatio_Loss02</f>
        <v>#VALUE!</v>
      </c>
    </row>
    <row r="58" spans="1:9" x14ac:dyDescent="0.25">
      <c r="A58" s="134" t="s">
        <v>218</v>
      </c>
      <c r="B58" s="90"/>
      <c r="C58" s="90"/>
      <c r="D58" s="90"/>
      <c r="E58" s="90"/>
      <c r="F58" s="90"/>
      <c r="G58" s="90"/>
      <c r="H58" s="144" t="e">
        <f>Yield*((1-FIT_Inv)/(1-FIT_UW))*(ResRatio_UPR02+SurplusRatio)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IF(New_Program=TRUE,0,(1+Net_AnnualTrend)^MIN(4,((EffDate_Proposed-EffDate_Prior02)/365.25))-1)</f>
        <v>#VALUE!</v>
      </c>
    </row>
    <row r="61" spans="1:9" x14ac:dyDescent="0.25">
      <c r="A61" s="134" t="s">
        <v>207</v>
      </c>
      <c r="B61" s="145"/>
      <c r="C61" s="145"/>
      <c r="D61" s="145"/>
      <c r="E61" s="145"/>
      <c r="F61" s="145"/>
      <c r="G61" s="145"/>
      <c r="H61" s="144" t="e">
        <f>(ROR_Max)/(LevFact_Final02*(1-FIT_UW))</f>
        <v>#VALUE!</v>
      </c>
    </row>
    <row r="62" spans="1:9" x14ac:dyDescent="0.25">
      <c r="A62" s="134" t="s">
        <v>208</v>
      </c>
      <c r="B62" s="90"/>
      <c r="C62" s="90"/>
      <c r="D62" s="90"/>
      <c r="E62" s="90"/>
      <c r="F62" s="90"/>
      <c r="G62" s="90"/>
      <c r="H62" s="144" t="e">
        <f>(ROR_Min)/(LevFact_Final02*(1-FIT_UW))</f>
        <v>#VALUE!</v>
      </c>
    </row>
    <row r="63" spans="1:9" x14ac:dyDescent="0.25">
      <c r="A63" s="134" t="s">
        <v>209</v>
      </c>
      <c r="B63" s="90"/>
      <c r="C63" s="90"/>
      <c r="D63" s="90"/>
      <c r="E63" s="90"/>
      <c r="F63" s="90"/>
      <c r="G63" s="90"/>
      <c r="H63" s="144" t="e">
        <f>1-CredLossDCCE_perExp/Max_Premium-EffStd_Final02</f>
        <v>#VALUE!</v>
      </c>
      <c r="I63" s="252"/>
    </row>
    <row r="64" spans="1:9" x14ac:dyDescent="0.25">
      <c r="A64" s="134" t="s">
        <v>211</v>
      </c>
      <c r="B64" s="90"/>
      <c r="C64" s="90"/>
      <c r="D64" s="90"/>
      <c r="E64" s="90"/>
      <c r="F64" s="90"/>
      <c r="G64" s="90"/>
      <c r="H64" s="146" t="e">
        <f>1-EffStd_Final02-Min_Profit+InvInc_Variable</f>
        <v>#VALUE!</v>
      </c>
      <c r="I64" s="252"/>
    </row>
    <row r="65" spans="1:9" x14ac:dyDescent="0.25">
      <c r="A65" s="134" t="s">
        <v>210</v>
      </c>
      <c r="B65" s="90"/>
      <c r="C65" s="90"/>
      <c r="D65" s="90"/>
      <c r="E65" s="90"/>
      <c r="F65" s="90"/>
      <c r="G65" s="90"/>
      <c r="H65" s="146" t="e">
        <f>1-EffStd_Final02-Max_Profit+InvInc_Variable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See Column M of Page '6.2Ratemaking Data' for errors that must be corrected.</v>
      </c>
    </row>
    <row r="70" spans="1:9" ht="5.0999999999999996" hidden="1" customHeight="1" x14ac:dyDescent="0.25"/>
    <row r="71" spans="1:9" ht="15.75" hidden="1" thickBot="1" x14ac:dyDescent="0.3">
      <c r="A71" s="130" t="s">
        <v>233</v>
      </c>
      <c r="B71" s="285" t="str">
        <f>'6.2Ratemaking Data'!D$14</f>
        <v>20172</v>
      </c>
      <c r="C71" s="285" t="str">
        <f>'6.2Ratemaking Data'!E$14</f>
        <v>20182</v>
      </c>
      <c r="D71" s="285" t="str">
        <f>'6.2Ratemaking Data'!F$14</f>
        <v>20192</v>
      </c>
      <c r="E71" s="285" t="str">
        <f>'6.2Ratemaking Data'!G$14</f>
        <v>20202</v>
      </c>
      <c r="F71" s="285" t="str">
        <f>'6.2Ratemaking Data'!H$14</f>
        <v>20212</v>
      </c>
      <c r="G71" s="285">
        <f>'6.2Ratemaking Data'!I$14</f>
        <v>20222</v>
      </c>
    </row>
    <row r="72" spans="1:9" hidden="1" x14ac:dyDescent="0.25">
      <c r="A72" s="148" t="s">
        <v>232</v>
      </c>
      <c r="B72" s="142"/>
      <c r="C72" s="142"/>
      <c r="D72" s="142"/>
      <c r="E72" s="142"/>
      <c r="F72" s="142"/>
      <c r="G72" s="142"/>
      <c r="H72" s="149" t="str">
        <f>IF(ISBLANK('6.2Ratemaking Data'!J44),"",'6.2Ratemaking Data'!J44)</f>
        <v/>
      </c>
    </row>
    <row r="73" spans="1:9" hidden="1" x14ac:dyDescent="0.25">
      <c r="A73" s="150" t="s">
        <v>219</v>
      </c>
      <c r="B73" s="135" t="str">
        <f>IF(ISBLANK('6.2Ratemaking Data'!D45),"",'6.2Ratemaking Data'!D45)</f>
        <v/>
      </c>
      <c r="C73" s="135" t="str">
        <f>IF(ISBLANK('6.2Ratemaking Data'!E45),"",'6.2Ratemaking Data'!E45)</f>
        <v/>
      </c>
      <c r="D73" s="135" t="str">
        <f>IF(ISBLANK('6.2Ratemaking Data'!F45),"",'6.2Ratemaking Data'!F45)</f>
        <v/>
      </c>
      <c r="E73" s="135" t="str">
        <f>IF(ISBLANK('6.2Ratemaking Data'!G45),"",'6.2Ratemaking Data'!G45)</f>
        <v/>
      </c>
      <c r="F73" s="135" t="str">
        <f>IF(ISBLANK('6.2Ratemaking Data'!H45),"",'6.2Ratemaking Data'!H45)</f>
        <v/>
      </c>
      <c r="G73" s="135" t="str">
        <f>IF(ISBLANK('6.2Ratemaking Data'!I45),"",'6.2Ratemaking Data'!I45)</f>
        <v/>
      </c>
      <c r="H73" s="136" t="str">
        <f>IF(RIGHT(Detailed_LineCode02,1)="R",IF(New_Program=TRUE,'6.2Ratemaking Data'!$K$45,SUM($B73:$G73)),"")</f>
        <v/>
      </c>
    </row>
    <row r="74" spans="1:9" hidden="1" x14ac:dyDescent="0.25">
      <c r="A74" s="150" t="s">
        <v>220</v>
      </c>
      <c r="B74" s="135" t="str">
        <f>IF(ISBLANK('6.2Ratemaking Data'!D46),"",'6.2Ratemaking Data'!D46)</f>
        <v/>
      </c>
      <c r="C74" s="135" t="str">
        <f>IF(ISBLANK('6.2Ratemaking Data'!E46),"",'6.2Ratemaking Data'!E46)</f>
        <v/>
      </c>
      <c r="D74" s="135" t="str">
        <f>IF(ISBLANK('6.2Ratemaking Data'!F46),"",'6.2Ratemaking Data'!F46)</f>
        <v/>
      </c>
      <c r="E74" s="135" t="str">
        <f>IF(ISBLANK('6.2Ratemaking Data'!G46),"",'6.2Ratemaking Data'!G46)</f>
        <v/>
      </c>
      <c r="F74" s="135" t="str">
        <f>IF(ISBLANK('6.2Ratemaking Data'!H46),"",'6.2Ratemaking Data'!H46)</f>
        <v/>
      </c>
      <c r="G74" s="135" t="str">
        <f>IF(ISBLANK('6.2Ratemaking Data'!I46),"",'6.2Ratemaking Data'!I46)</f>
        <v/>
      </c>
      <c r="H74" s="136">
        <f>IF(New_Program=TRUE,'6.2Ratemaking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IF(AND('6.2Ratemaking Data'!Error30="",'6.2Ratemaking Data'!Error31="",'6.2Ratemaking Data'!Error32=""),"","See Column M of Page '6.2Ratemaking Data' for errors that must be corrected.")</f>
        <v/>
      </c>
    </row>
    <row r="80" spans="1:9" ht="26.25" x14ac:dyDescent="0.25">
      <c r="F80" s="783" t="s">
        <v>611</v>
      </c>
      <c r="G80" s="783"/>
      <c r="H80" s="783"/>
    </row>
    <row r="81" spans="1:1" x14ac:dyDescent="0.25">
      <c r="A81" s="152"/>
    </row>
  </sheetData>
  <sheetProtection algorithmName="SHA-512" hashValue="M+XqWT0sYPuqgb3d+pVF6bQnPdRcBQLJaKertIIuSvH1a8DLeZSq/S7Z9y+xzQoZXe1Ba0nn5CgppK8pJ2KH4Q==" saltValue="hngXsDhlgg8TkRqxuErhiQ=="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IF('6.3Ratemaking Data'!$K$7="","VARIANCE - NONE","VARIANCE "&amp;'6.3Ratemaking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EffDate_Prior03</f>
        <v/>
      </c>
    </row>
    <row r="10" spans="1:8" ht="15" customHeight="1" x14ac:dyDescent="0.25">
      <c r="A10" s="14" t="s">
        <v>170</v>
      </c>
      <c r="B10" s="62"/>
      <c r="H10" s="189">
        <f>EffDate_Proposed</f>
        <v>45323</v>
      </c>
    </row>
    <row r="11" spans="1:8" ht="15" customHeight="1" x14ac:dyDescent="0.25">
      <c r="A11" s="14" t="s">
        <v>77</v>
      </c>
      <c r="B11" s="62"/>
      <c r="H11" s="28" t="str">
        <f>Detailed_LineDesc03</f>
        <v/>
      </c>
    </row>
    <row r="12" spans="1:8" ht="15" customHeight="1" x14ac:dyDescent="0.25">
      <c r="A12" s="14" t="s">
        <v>78</v>
      </c>
      <c r="B12" s="62"/>
      <c r="H12" s="28" t="str">
        <f>Covg03</f>
        <v/>
      </c>
    </row>
    <row r="13" spans="1:8" ht="15" customHeight="1" x14ac:dyDescent="0.25">
      <c r="H13" s="608"/>
    </row>
    <row r="14" spans="1:8" ht="9.9499999999999993" customHeight="1" x14ac:dyDescent="0.25"/>
    <row r="15" spans="1:8" ht="15.75" thickBot="1" x14ac:dyDescent="0.3">
      <c r="A15" s="130" t="s">
        <v>171</v>
      </c>
      <c r="B15" s="285" t="str">
        <f>'6.3Ratemaking Data'!D$14</f>
        <v>20172</v>
      </c>
      <c r="C15" s="285" t="str">
        <f>'6.3Ratemaking Data'!E$14</f>
        <v>20182</v>
      </c>
      <c r="D15" s="285" t="str">
        <f>'6.3Ratemaking Data'!F$14</f>
        <v>20192</v>
      </c>
      <c r="E15" s="285" t="str">
        <f>'6.3Ratemaking Data'!G$14</f>
        <v>20202</v>
      </c>
      <c r="F15" s="285" t="str">
        <f>'6.3Ratemaking Data'!H$14</f>
        <v>20212</v>
      </c>
      <c r="G15" s="285">
        <f>'6.3Ratemaking Data'!I$14</f>
        <v>20222</v>
      </c>
      <c r="H15" s="105" t="s">
        <v>306</v>
      </c>
    </row>
    <row r="16" spans="1:8" x14ac:dyDescent="0.25">
      <c r="A16" s="131" t="s">
        <v>173</v>
      </c>
      <c r="B16" s="132" t="str">
        <f>IF(ISBLANK('6.3Ratemaking Data'!D15),"",'6.3Ratemaking Data'!D15)</f>
        <v/>
      </c>
      <c r="C16" s="132" t="str">
        <f>IF(ISBLANK('6.3Ratemaking Data'!E15),"",'6.3Ratemaking Data'!E15)</f>
        <v/>
      </c>
      <c r="D16" s="132" t="str">
        <f>IF(ISBLANK('6.3Ratemaking Data'!F15),"",'6.3Ratemaking Data'!F15)</f>
        <v/>
      </c>
      <c r="E16" s="132" t="str">
        <f>IF(ISBLANK('6.3Ratemaking Data'!G15),"",'6.3Ratemaking Data'!G15)</f>
        <v/>
      </c>
      <c r="F16" s="132" t="str">
        <f>IF(ISBLANK('6.3Ratemaking Data'!H15),"",'6.3Ratemaking Data'!H15)</f>
        <v/>
      </c>
      <c r="G16" s="132" t="str">
        <f>IF(ISBLANK('6.3Ratemaking Data'!I15),"",'6.3Ratemaking Data'!I15)</f>
        <v/>
      </c>
      <c r="H16" s="133">
        <f>IF(New_Program=TRUE,'6.3Ratemaking Data'!$K$15,SUM($B16:$G16))</f>
        <v>0</v>
      </c>
    </row>
    <row r="17" spans="1:10" x14ac:dyDescent="0.25">
      <c r="A17" s="134" t="s">
        <v>172</v>
      </c>
      <c r="B17" s="135" t="str">
        <f>IF(ISBLANK('6.3Ratemaking Data'!D16),"",'6.3Ratemaking Data'!D16)</f>
        <v/>
      </c>
      <c r="C17" s="135" t="str">
        <f>IF(ISBLANK('6.3Ratemaking Data'!E16),"",'6.3Ratemaking Data'!E16)</f>
        <v/>
      </c>
      <c r="D17" s="135" t="str">
        <f>IF(ISBLANK('6.3Ratemaking Data'!F16),"",'6.3Ratemaking Data'!F16)</f>
        <v/>
      </c>
      <c r="E17" s="135" t="str">
        <f>IF(ISBLANK('6.3Ratemaking Data'!G16),"",'6.3Ratemaking Data'!G16)</f>
        <v/>
      </c>
      <c r="F17" s="135" t="str">
        <f>IF(ISBLANK('6.3Ratemaking Data'!H16),"",'6.3Ratemaking Data'!H16)</f>
        <v/>
      </c>
      <c r="G17" s="135" t="str">
        <f>IF(ISBLANK('6.3Ratemaking Data'!I16),"",'6.3Ratemaking Data'!I16)</f>
        <v/>
      </c>
      <c r="H17" s="136">
        <f>IF(New_Program=TRUE,'6.3Ratemaking Data'!$K$16,SUM($B17:$G17))</f>
        <v>0</v>
      </c>
    </row>
    <row r="18" spans="1:10" x14ac:dyDescent="0.25">
      <c r="A18" s="134" t="s">
        <v>174</v>
      </c>
      <c r="B18" s="137" t="str">
        <f>IF(ISBLANK('6.3Ratemaking Data'!D17),"",'6.3Ratemaking Data'!D17)</f>
        <v/>
      </c>
      <c r="C18" s="137" t="str">
        <f>IF(ISBLANK('6.3Ratemaking Data'!E17),"",'6.3Ratemaking Data'!E17)</f>
        <v/>
      </c>
      <c r="D18" s="137" t="str">
        <f>IF(ISBLANK('6.3Ratemaking Data'!F17),"",'6.3Ratemaking Data'!F17)</f>
        <v/>
      </c>
      <c r="E18" s="137" t="str">
        <f>IF(ISBLANK('6.3Ratemaking Data'!G17),"",'6.3Ratemaking Data'!G17)</f>
        <v/>
      </c>
      <c r="F18" s="137" t="str">
        <f>IF(ISBLANK('6.3Ratemaking Data'!H17),"",'6.3Ratemaking Data'!H17)</f>
        <v/>
      </c>
      <c r="G18" s="137" t="str">
        <f>IF(ISBLANK('6.3Ratemaking Data'!I17),"",'6.3Ratemaking Data'!I17)</f>
        <v/>
      </c>
      <c r="H18" s="138"/>
    </row>
    <row r="19" spans="1:10" x14ac:dyDescent="0.25">
      <c r="A19" s="134" t="s">
        <v>175</v>
      </c>
      <c r="B19" s="137" t="str">
        <f>IF(ISBLANK('6.3Ratemaking Data'!D18),"",'6.3Ratemaking Data'!D18)</f>
        <v/>
      </c>
      <c r="C19" s="137" t="str">
        <f>IF(ISBLANK('6.3Ratemaking Data'!E18),"",'6.3Ratemaking Data'!E18)</f>
        <v/>
      </c>
      <c r="D19" s="137" t="str">
        <f>IF(ISBLANK('6.3Ratemaking Data'!F18),"",'6.3Ratemaking Data'!F18)</f>
        <v/>
      </c>
      <c r="E19" s="137" t="str">
        <f>IF(ISBLANK('6.3Ratemaking Data'!G18),"",'6.3Ratemaking Data'!G18)</f>
        <v/>
      </c>
      <c r="F19" s="137" t="str">
        <f>IF(ISBLANK('6.3Ratemaking Data'!H18),"",'6.3Ratemaking Data'!H18)</f>
        <v/>
      </c>
      <c r="G19" s="137" t="str">
        <f>IF(ISBLANK('6.3Ratemaking Data'!I18),"",'6.3Ratemaking Data'!I18)</f>
        <v/>
      </c>
      <c r="H19" s="144">
        <f>IF(New_Program=TRUE,0,'6.3Ratemaking Data'!$J$18)</f>
        <v>0</v>
      </c>
    </row>
    <row r="20" spans="1:10" x14ac:dyDescent="0.25">
      <c r="A20" s="134" t="s">
        <v>176</v>
      </c>
      <c r="B20" s="135" t="str">
        <f>IF(ISBLANK('6.3Ratemaking Data'!D19),"",'6.3Ratemaking Data'!D19)</f>
        <v/>
      </c>
      <c r="C20" s="135" t="str">
        <f>IF(ISBLANK('6.3Ratemaking Data'!E19),"",'6.3Ratemaking Data'!E19)</f>
        <v/>
      </c>
      <c r="D20" s="135" t="str">
        <f>IF(ISBLANK('6.3Ratemaking Data'!F19),"",'6.3Ratemaking Data'!F19)</f>
        <v/>
      </c>
      <c r="E20" s="135" t="str">
        <f>IF(ISBLANK('6.3Ratemaking Data'!G19),"",'6.3Ratemaking Data'!G19)</f>
        <v/>
      </c>
      <c r="F20" s="135" t="str">
        <f>IF(ISBLANK('6.3Ratemaking Data'!H19),"",'6.3Ratemaking Data'!H19)</f>
        <v/>
      </c>
      <c r="G20" s="135" t="str">
        <f>IF(ISBLANK('6.3Ratemaking Data'!I19),"",'6.3Ratemaking Data'!I19)</f>
        <v/>
      </c>
      <c r="H20" s="136">
        <f>IF(New_Program=TRUE,'6.3Ratemaking Data'!$K$19,SUM($B20:$G20))</f>
        <v>0</v>
      </c>
    </row>
    <row r="21" spans="1:10" x14ac:dyDescent="0.25">
      <c r="A21" s="134" t="s">
        <v>177</v>
      </c>
      <c r="B21" s="135" t="str">
        <f>IF(ISBLANK('6.3Ratemaking Data'!D20),"",'6.3Ratemaking Data'!D20)</f>
        <v/>
      </c>
      <c r="C21" s="135" t="str">
        <f>IF(ISBLANK('6.3Ratemaking Data'!E20),"",'6.3Ratemaking Data'!E20)</f>
        <v/>
      </c>
      <c r="D21" s="135" t="str">
        <f>IF(ISBLANK('6.3Ratemaking Data'!F20),"",'6.3Ratemaking Data'!F20)</f>
        <v/>
      </c>
      <c r="E21" s="135" t="str">
        <f>IF(ISBLANK('6.3Ratemaking Data'!G20),"",'6.3Ratemaking Data'!G20)</f>
        <v/>
      </c>
      <c r="F21" s="135" t="str">
        <f>IF(ISBLANK('6.3Ratemaking Data'!H20),"",'6.3Ratemaking Data'!H20)</f>
        <v/>
      </c>
      <c r="G21" s="135" t="str">
        <f>IF(ISBLANK('6.3Ratemaking Data'!I20),"",'6.3Ratemaking Data'!I20)</f>
        <v/>
      </c>
      <c r="H21" s="136">
        <f>IF(New_Program=TRUE,'6.3Ratemaking Data'!$K$20,SUM($B21:$G21))</f>
        <v>0</v>
      </c>
      <c r="J21" s="126"/>
    </row>
    <row r="22" spans="1:10" x14ac:dyDescent="0.25">
      <c r="A22" s="134" t="s">
        <v>178</v>
      </c>
      <c r="B22" s="135" t="str">
        <f>IF(ISBLANK('6.3Ratemaking Data'!D21),"",'6.3Ratemaking Data'!D21)</f>
        <v/>
      </c>
      <c r="C22" s="135" t="str">
        <f>IF(ISBLANK('6.3Ratemaking Data'!E21),"",'6.3Ratemaking Data'!E21)</f>
        <v/>
      </c>
      <c r="D22" s="135" t="str">
        <f>IF(ISBLANK('6.3Ratemaking Data'!F21),"",'6.3Ratemaking Data'!F21)</f>
        <v/>
      </c>
      <c r="E22" s="135" t="str">
        <f>IF(ISBLANK('6.3Ratemaking Data'!G21),"",'6.3Ratemaking Data'!G21)</f>
        <v/>
      </c>
      <c r="F22" s="135" t="str">
        <f>IF(ISBLANK('6.3Ratemaking Data'!H21),"",'6.3Ratemaking Data'!H21)</f>
        <v/>
      </c>
      <c r="G22" s="135" t="str">
        <f>IF(ISBLANK('6.3Ratemaking Data'!I21),"",'6.3Ratemaking Data'!I21)</f>
        <v/>
      </c>
      <c r="H22" s="136">
        <f>IF(New_Program=TRUE,'6.3Ratemaking Data'!$K$21,SUM($B22:$G22))</f>
        <v>0</v>
      </c>
      <c r="J22" s="126"/>
    </row>
    <row r="23" spans="1:10" x14ac:dyDescent="0.25">
      <c r="A23" s="134" t="s">
        <v>144</v>
      </c>
      <c r="B23" s="135" t="str">
        <f>IF(ISBLANK('6.3Ratemaking Data'!D22),"",'6.3Ratemaking Data'!D22)</f>
        <v/>
      </c>
      <c r="C23" s="135" t="str">
        <f>IF(ISBLANK('6.3Ratemaking Data'!E22),"",'6.3Ratemaking Data'!E22)</f>
        <v/>
      </c>
      <c r="D23" s="135" t="str">
        <f>IF(ISBLANK('6.3Ratemaking Data'!F22),"",'6.3Ratemaking Data'!F22)</f>
        <v/>
      </c>
      <c r="E23" s="135" t="str">
        <f>IF(ISBLANK('6.3Ratemaking Data'!G22),"",'6.3Ratemaking Data'!G22)</f>
        <v/>
      </c>
      <c r="F23" s="135" t="str">
        <f>IF(ISBLANK('6.3Ratemaking Data'!H22),"",'6.3Ratemaking Data'!H22)</f>
        <v/>
      </c>
      <c r="G23" s="135" t="str">
        <f>IF(ISBLANK('6.3Ratemaking Data'!I22),"",'6.3Ratemaking Data'!I22)</f>
        <v/>
      </c>
      <c r="H23" s="136">
        <f>IF(New_Program=TRUE,'6.3Ratemaking Data'!$K$22,SUM($B23:$G23))</f>
        <v>0</v>
      </c>
      <c r="J23" s="126"/>
    </row>
    <row r="24" spans="1:10" x14ac:dyDescent="0.25">
      <c r="A24" s="134" t="s">
        <v>181</v>
      </c>
      <c r="B24" s="137" t="str">
        <f>IF(ISBLANK('6.3Ratemaking Data'!D23),"",'6.3Ratemaking Data'!D23)</f>
        <v/>
      </c>
      <c r="C24" s="137" t="str">
        <f>IF(ISBLANK('6.3Ratemaking Data'!E23),"",'6.3Ratemaking Data'!E23)</f>
        <v/>
      </c>
      <c r="D24" s="137" t="str">
        <f>IF(ISBLANK('6.3Ratemaking Data'!F23),"",'6.3Ratemaking Data'!F23)</f>
        <v/>
      </c>
      <c r="E24" s="137" t="str">
        <f>IF(ISBLANK('6.3Ratemaking Data'!G23),"",'6.3Ratemaking Data'!G23)</f>
        <v/>
      </c>
      <c r="F24" s="137" t="str">
        <f>IF(ISBLANK('6.3Ratemaking Data'!H23),"",'6.3Ratemaking Data'!H23)</f>
        <v/>
      </c>
      <c r="G24" s="137" t="str">
        <f>IF(ISBLANK('6.3Ratemaking Data'!I23),"",'6.3Ratemaking Data'!I23)</f>
        <v/>
      </c>
      <c r="H24" s="138"/>
    </row>
    <row r="25" spans="1:10" x14ac:dyDescent="0.25">
      <c r="A25" s="134" t="s">
        <v>182</v>
      </c>
      <c r="B25" s="137" t="str">
        <f>IF(ISBLANK('6.3Ratemaking Data'!D24),"",'6.3Ratemaking Data'!D24)</f>
        <v/>
      </c>
      <c r="C25" s="137" t="str">
        <f>IF(ISBLANK('6.3Ratemaking Data'!E24),"",'6.3Ratemaking Data'!E24)</f>
        <v/>
      </c>
      <c r="D25" s="137" t="str">
        <f>IF(ISBLANK('6.3Ratemaking Data'!F24),"",'6.3Ratemaking Data'!F24)</f>
        <v/>
      </c>
      <c r="E25" s="137" t="str">
        <f>IF(ISBLANK('6.3Ratemaking Data'!G24),"",'6.3Ratemaking Data'!G24)</f>
        <v/>
      </c>
      <c r="F25" s="137" t="str">
        <f>IF(ISBLANK('6.3Ratemaking Data'!H24),"",'6.3Ratemaking Data'!H24)</f>
        <v/>
      </c>
      <c r="G25" s="137" t="str">
        <f>IF(ISBLANK('6.3Ratemaking Data'!I24),"",'6.3Ratemaking Data'!I24)</f>
        <v/>
      </c>
      <c r="H25" s="138"/>
    </row>
    <row r="26" spans="1:10" x14ac:dyDescent="0.25">
      <c r="A26" s="134" t="s">
        <v>179</v>
      </c>
      <c r="B26" s="137" t="str">
        <f>IF(ISBLANK('6.3Ratemaking Data'!D25),"",'6.3Ratemaking Data'!D25)</f>
        <v/>
      </c>
      <c r="C26" s="137" t="str">
        <f>IF(ISBLANK('6.3Ratemaking Data'!E25),"",'6.3Ratemaking Data'!E25)</f>
        <v/>
      </c>
      <c r="D26" s="137" t="str">
        <f>IF(ISBLANK('6.3Ratemaking Data'!F25),"",'6.3Ratemaking Data'!F25)</f>
        <v/>
      </c>
      <c r="E26" s="137" t="str">
        <f>IF(ISBLANK('6.3Ratemaking Data'!G25),"",'6.3Ratemaking Data'!G25)</f>
        <v/>
      </c>
      <c r="F26" s="137" t="str">
        <f>IF(ISBLANK('6.3Ratemaking Data'!H25),"",'6.3Ratemaking Data'!H25)</f>
        <v/>
      </c>
      <c r="G26" s="137" t="str">
        <f>IF(ISBLANK('6.3Ratemaking Data'!I25),"",'6.3Ratemaking Data'!I25)</f>
        <v/>
      </c>
      <c r="H26" s="144">
        <f>IF(New_Program=TRUE,0,'6.3Ratemaking Data'!$J$25)</f>
        <v>0</v>
      </c>
    </row>
    <row r="27" spans="1:10" x14ac:dyDescent="0.25">
      <c r="A27" s="134" t="s">
        <v>180</v>
      </c>
      <c r="B27" s="137" t="str">
        <f>IF(ISBLANK('6.3Ratemaking Data'!D26),"",'6.3Ratemaking Data'!D26)</f>
        <v/>
      </c>
      <c r="C27" s="137" t="str">
        <f>IF(ISBLANK('6.3Ratemaking Data'!E26),"",'6.3Ratemaking Data'!E26)</f>
        <v/>
      </c>
      <c r="D27" s="137" t="str">
        <f>IF(ISBLANK('6.3Ratemaking Data'!F26),"",'6.3Ratemaking Data'!F26)</f>
        <v/>
      </c>
      <c r="E27" s="137" t="str">
        <f>IF(ISBLANK('6.3Ratemaking Data'!G26),"",'6.3Ratemaking Data'!G26)</f>
        <v/>
      </c>
      <c r="F27" s="137" t="str">
        <f>IF(ISBLANK('6.3Ratemaking Data'!H26),"",'6.3Ratemaking Data'!H26)</f>
        <v/>
      </c>
      <c r="G27" s="137" t="str">
        <f>IF(ISBLANK('6.3Ratemaking Data'!I26),"",'6.3Ratemaking Data'!I26)</f>
        <v/>
      </c>
      <c r="H27" s="144">
        <f>IF(New_Program=TRUE,0,'6.3Ratemaking Data'!$J$26)</f>
        <v>0</v>
      </c>
    </row>
    <row r="28" spans="1:10" x14ac:dyDescent="0.25">
      <c r="A28" s="134" t="s">
        <v>183</v>
      </c>
      <c r="B28" s="137" t="str">
        <f>IF(ISBLANK('6.3Ratemaking Data'!D27),"",'6.3Ratemaking Data'!D27)</f>
        <v/>
      </c>
      <c r="C28" s="137" t="str">
        <f>IF(ISBLANK('6.3Ratemaking Data'!E27),"",'6.3Ratemaking Data'!E27)</f>
        <v/>
      </c>
      <c r="D28" s="137" t="str">
        <f>IF(ISBLANK('6.3Ratemaking Data'!F27),"",'6.3Ratemaking Data'!F27)</f>
        <v/>
      </c>
      <c r="E28" s="137" t="str">
        <f>IF(ISBLANK('6.3Ratemaking Data'!G27),"",'6.3Ratemaking Data'!G27)</f>
        <v/>
      </c>
      <c r="F28" s="137" t="str">
        <f>IF(ISBLANK('6.3Ratemaking Data'!H27),"",'6.3Ratemaking Data'!H27)</f>
        <v/>
      </c>
      <c r="G28" s="137" t="str">
        <f>IF(ISBLANK('6.3Ratemaking Data'!I27),"",'6.3Ratemaking Data'!I27)</f>
        <v/>
      </c>
      <c r="H28" s="138"/>
    </row>
    <row r="29" spans="1:10" ht="15.75" thickBot="1" x14ac:dyDescent="0.3">
      <c r="A29" s="153" t="s">
        <v>188</v>
      </c>
      <c r="B29" s="154" t="str">
        <f>IF(ISBLANK('6.3Ratemaking Data'!D29),"",'6.3Ratemaking Data'!D29)</f>
        <v/>
      </c>
      <c r="C29" s="154" t="str">
        <f>IF(ISBLANK('6.3Ratemaking Data'!E29),"",'6.3Ratemaking Data'!E29)</f>
        <v/>
      </c>
      <c r="D29" s="154" t="str">
        <f>IF(ISBLANK('6.3Ratemaking Data'!F29),"",'6.3Ratemaking Data'!F29)</f>
        <v/>
      </c>
      <c r="E29" s="154" t="str">
        <f>IF(ISBLANK('6.3Ratemaking Data'!G29),"",'6.3Ratemaking Data'!G29)</f>
        <v/>
      </c>
      <c r="F29" s="154" t="str">
        <f>IF(ISBLANK('6.3Ratemaking Data'!H29),"",'6.3Ratemaking Data'!H29)</f>
        <v/>
      </c>
      <c r="G29" s="154" t="str">
        <f>IF(ISBLANK('6.3Ratemaking Data'!I29),"",'6.3Ratemaking Data'!I29)</f>
        <v/>
      </c>
      <c r="H29" s="155">
        <f>IF(New_Program=TRUE,'6.3Ratemaking Data'!$K$29,SUM($B29:$G29))</f>
        <v>0</v>
      </c>
    </row>
    <row r="30" spans="1:10" ht="15.75" thickTop="1" x14ac:dyDescent="0.25">
      <c r="A30" s="134" t="s">
        <v>184</v>
      </c>
      <c r="B30" s="139"/>
      <c r="C30" s="139"/>
      <c r="D30" s="139"/>
      <c r="E30" s="139"/>
      <c r="F30" s="139"/>
      <c r="G30" s="139"/>
      <c r="H30" s="144">
        <f>IF(New_Program=TRUE,100%,'6.3Ratemaking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EffStd_Final03</f>
        <v/>
      </c>
    </row>
    <row r="38" spans="1:9" x14ac:dyDescent="0.25">
      <c r="A38" s="134" t="s">
        <v>191</v>
      </c>
      <c r="B38" s="90"/>
      <c r="C38" s="90"/>
      <c r="D38" s="90"/>
      <c r="E38" s="90"/>
      <c r="F38" s="693" t="s">
        <v>317</v>
      </c>
      <c r="G38" s="694">
        <f>update_leverage</f>
        <v>2021</v>
      </c>
      <c r="H38" s="190" t="str">
        <f>LevFact_Final03</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1/LevFact_Final03</f>
        <v>#VALUE!</v>
      </c>
    </row>
    <row r="41" spans="1:9" x14ac:dyDescent="0.25">
      <c r="A41" s="134" t="s">
        <v>198</v>
      </c>
      <c r="B41" s="90"/>
      <c r="C41" s="90"/>
      <c r="D41" s="90"/>
      <c r="E41" s="90"/>
      <c r="F41" s="693" t="s">
        <v>317</v>
      </c>
      <c r="G41" s="694">
        <f>update_reserveratios</f>
        <v>2021</v>
      </c>
      <c r="H41" s="191" t="str">
        <f>ResRatio_UPR03</f>
        <v/>
      </c>
    </row>
    <row r="42" spans="1:9" x14ac:dyDescent="0.25">
      <c r="A42" s="192" t="s">
        <v>194</v>
      </c>
      <c r="B42" s="90"/>
      <c r="C42" s="90"/>
      <c r="D42" s="90"/>
      <c r="E42" s="90"/>
      <c r="F42" s="693" t="s">
        <v>317</v>
      </c>
      <c r="G42" s="694">
        <f>update_reserveratios</f>
        <v>2021</v>
      </c>
      <c r="H42" s="191" t="str">
        <f>ResRatio_Loss03</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'6.3Ratemaking Data'!D$14</f>
        <v>20172</v>
      </c>
      <c r="C47" s="285" t="str">
        <f>'6.3Ratemaking Data'!E$14</f>
        <v>20182</v>
      </c>
      <c r="D47" s="285" t="str">
        <f>'6.3Ratemaking Data'!F$14</f>
        <v>20192</v>
      </c>
      <c r="E47" s="285" t="str">
        <f>'6.3Ratemaking Data'!G$14</f>
        <v>20202</v>
      </c>
      <c r="F47" s="285" t="str">
        <f>'6.3Ratemaking Data'!H$14</f>
        <v>20212</v>
      </c>
      <c r="G47" s="285">
        <f>'6.3Ratemaking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Yield*((1-FIT_Inv)/(1-FIT_UW))*ResRatio_Loss03</f>
        <v>#VALUE!</v>
      </c>
    </row>
    <row r="58" spans="1:9" x14ac:dyDescent="0.25">
      <c r="A58" s="134" t="s">
        <v>218</v>
      </c>
      <c r="B58" s="90"/>
      <c r="C58" s="90"/>
      <c r="D58" s="90"/>
      <c r="E58" s="90"/>
      <c r="F58" s="90"/>
      <c r="G58" s="90"/>
      <c r="H58" s="144" t="e">
        <f>Yield*((1-FIT_Inv)/(1-FIT_UW))*(ResRatio_UPR03+SurplusRatio)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IF(New_Program=TRUE,0,(1+Net_AnnualTrend)^MIN(4,((EffDate_Proposed-EffDate_Prior03)/365.25))-1)</f>
        <v>#VALUE!</v>
      </c>
    </row>
    <row r="61" spans="1:9" x14ac:dyDescent="0.25">
      <c r="A61" s="134" t="s">
        <v>207</v>
      </c>
      <c r="B61" s="145"/>
      <c r="C61" s="145"/>
      <c r="D61" s="145"/>
      <c r="E61" s="145"/>
      <c r="F61" s="145"/>
      <c r="G61" s="145"/>
      <c r="H61" s="144" t="e">
        <f>(ROR_Max)/(LevFact_Final03*(1-FIT_UW))</f>
        <v>#VALUE!</v>
      </c>
    </row>
    <row r="62" spans="1:9" x14ac:dyDescent="0.25">
      <c r="A62" s="134" t="s">
        <v>208</v>
      </c>
      <c r="B62" s="90"/>
      <c r="C62" s="90"/>
      <c r="D62" s="90"/>
      <c r="E62" s="90"/>
      <c r="F62" s="90"/>
      <c r="G62" s="90"/>
      <c r="H62" s="144" t="e">
        <f>(ROR_Min)/(LevFact_Final03*(1-FIT_UW))</f>
        <v>#VALUE!</v>
      </c>
    </row>
    <row r="63" spans="1:9" x14ac:dyDescent="0.25">
      <c r="A63" s="134" t="s">
        <v>209</v>
      </c>
      <c r="B63" s="90"/>
      <c r="C63" s="90"/>
      <c r="D63" s="90"/>
      <c r="E63" s="90"/>
      <c r="F63" s="90"/>
      <c r="G63" s="90"/>
      <c r="H63" s="144" t="e">
        <f>1-CredLossDCCE_perExp/Max_Premium-EffStd_Final03</f>
        <v>#VALUE!</v>
      </c>
      <c r="I63" s="252"/>
    </row>
    <row r="64" spans="1:9" x14ac:dyDescent="0.25">
      <c r="A64" s="134" t="s">
        <v>211</v>
      </c>
      <c r="B64" s="90"/>
      <c r="C64" s="90"/>
      <c r="D64" s="90"/>
      <c r="E64" s="90"/>
      <c r="F64" s="90"/>
      <c r="G64" s="90"/>
      <c r="H64" s="146" t="e">
        <f>1-EffStd_Final03-Min_Profit+InvInc_Variable</f>
        <v>#VALUE!</v>
      </c>
      <c r="I64" s="252"/>
    </row>
    <row r="65" spans="1:9" x14ac:dyDescent="0.25">
      <c r="A65" s="134" t="s">
        <v>210</v>
      </c>
      <c r="B65" s="90"/>
      <c r="C65" s="90"/>
      <c r="D65" s="90"/>
      <c r="E65" s="90"/>
      <c r="F65" s="90"/>
      <c r="G65" s="90"/>
      <c r="H65" s="146" t="e">
        <f>1-EffStd_Final03-Max_Profit+InvInc_Variable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See Column M of Page '6.3Ratemaking Data' for errors that must be corrected.</v>
      </c>
    </row>
    <row r="70" spans="1:9" ht="5.0999999999999996" hidden="1" customHeight="1" x14ac:dyDescent="0.25"/>
    <row r="71" spans="1:9" ht="15.75" hidden="1" thickBot="1" x14ac:dyDescent="0.3">
      <c r="A71" s="130" t="s">
        <v>233</v>
      </c>
      <c r="B71" s="285" t="str">
        <f>'6.3Ratemaking Data'!D$14</f>
        <v>20172</v>
      </c>
      <c r="C71" s="285" t="str">
        <f>'6.3Ratemaking Data'!E$14</f>
        <v>20182</v>
      </c>
      <c r="D71" s="285" t="str">
        <f>'6.3Ratemaking Data'!F$14</f>
        <v>20192</v>
      </c>
      <c r="E71" s="285" t="str">
        <f>'6.3Ratemaking Data'!G$14</f>
        <v>20202</v>
      </c>
      <c r="F71" s="285" t="str">
        <f>'6.3Ratemaking Data'!H$14</f>
        <v>20212</v>
      </c>
      <c r="G71" s="285">
        <f>'6.3Ratemaking Data'!I$14</f>
        <v>20222</v>
      </c>
    </row>
    <row r="72" spans="1:9" hidden="1" x14ac:dyDescent="0.25">
      <c r="A72" s="148" t="s">
        <v>232</v>
      </c>
      <c r="B72" s="142"/>
      <c r="C72" s="142"/>
      <c r="D72" s="142"/>
      <c r="E72" s="142"/>
      <c r="F72" s="142"/>
      <c r="G72" s="142"/>
      <c r="H72" s="149" t="str">
        <f>IF(ISBLANK('6.3Ratemaking Data'!J44),"",'6.3Ratemaking Data'!J44)</f>
        <v/>
      </c>
    </row>
    <row r="73" spans="1:9" hidden="1" x14ac:dyDescent="0.25">
      <c r="A73" s="150" t="s">
        <v>219</v>
      </c>
      <c r="B73" s="135" t="str">
        <f>IF(ISBLANK('6.3Ratemaking Data'!D45),"",'6.3Ratemaking Data'!D45)</f>
        <v/>
      </c>
      <c r="C73" s="135" t="str">
        <f>IF(ISBLANK('6.3Ratemaking Data'!E45),"",'6.3Ratemaking Data'!E45)</f>
        <v/>
      </c>
      <c r="D73" s="135" t="str">
        <f>IF(ISBLANK('6.3Ratemaking Data'!F45),"",'6.3Ratemaking Data'!F45)</f>
        <v/>
      </c>
      <c r="E73" s="135" t="str">
        <f>IF(ISBLANK('6.3Ratemaking Data'!G45),"",'6.3Ratemaking Data'!G45)</f>
        <v/>
      </c>
      <c r="F73" s="135" t="str">
        <f>IF(ISBLANK('6.3Ratemaking Data'!H45),"",'6.3Ratemaking Data'!H45)</f>
        <v/>
      </c>
      <c r="G73" s="135" t="str">
        <f>IF(ISBLANK('6.3Ratemaking Data'!I45),"",'6.3Ratemaking Data'!I45)</f>
        <v/>
      </c>
      <c r="H73" s="136" t="str">
        <f>IF(RIGHT(Detailed_LineCode03,1)="R",IF(New_Program=TRUE,'6.3Ratemaking Data'!$K$45,SUM($B73:$G73)),"")</f>
        <v/>
      </c>
    </row>
    <row r="74" spans="1:9" hidden="1" x14ac:dyDescent="0.25">
      <c r="A74" s="150" t="s">
        <v>220</v>
      </c>
      <c r="B74" s="135" t="str">
        <f>IF(ISBLANK('6.3Ratemaking Data'!D46),"",'6.3Ratemaking Data'!D46)</f>
        <v/>
      </c>
      <c r="C74" s="135" t="str">
        <f>IF(ISBLANK('6.3Ratemaking Data'!E46),"",'6.3Ratemaking Data'!E46)</f>
        <v/>
      </c>
      <c r="D74" s="135" t="str">
        <f>IF(ISBLANK('6.3Ratemaking Data'!F46),"",'6.3Ratemaking Data'!F46)</f>
        <v/>
      </c>
      <c r="E74" s="135" t="str">
        <f>IF(ISBLANK('6.3Ratemaking Data'!G46),"",'6.3Ratemaking Data'!G46)</f>
        <v/>
      </c>
      <c r="F74" s="135" t="str">
        <f>IF(ISBLANK('6.3Ratemaking Data'!H46),"",'6.3Ratemaking Data'!H46)</f>
        <v/>
      </c>
      <c r="G74" s="135" t="str">
        <f>IF(ISBLANK('6.3Ratemaking Data'!I46),"",'6.3Ratemaking Data'!I46)</f>
        <v/>
      </c>
      <c r="H74" s="136">
        <f>IF(New_Program=TRUE,'6.3Ratemaking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IF(AND('6.3Ratemaking Data'!Error30="",'6.3Ratemaking Data'!Error31="",'6.3Ratemaking Data'!Error32=""),"","See Column M of Page '6.3Ratemaking Data' for errors that must be corrected.")</f>
        <v/>
      </c>
    </row>
    <row r="80" spans="1:9" ht="26.25" x14ac:dyDescent="0.25">
      <c r="F80" s="783" t="s">
        <v>621</v>
      </c>
      <c r="G80" s="783"/>
      <c r="H80" s="783"/>
    </row>
    <row r="81" spans="1:1" x14ac:dyDescent="0.25">
      <c r="A81" s="152"/>
    </row>
  </sheetData>
  <sheetProtection algorithmName="SHA-512" hashValue="lDJvIzoWfKIMkuM1dboHzurWAqGAD8Biv3ek8fX0tg+DtZFd7gvWHAO7gi5GEKTXBGxprBg7MMgCC01FdSnFow==" saltValue="AfoXs56Bbf7lY3J5Q3edSw=="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IF('6.4Ratemaking Data'!$K$7="","VARIANCE - NONE","VARIANCE "&amp;'6.4Ratemaking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EffDate_Prior04</f>
        <v/>
      </c>
    </row>
    <row r="10" spans="1:8" ht="15" customHeight="1" x14ac:dyDescent="0.25">
      <c r="A10" s="14" t="s">
        <v>170</v>
      </c>
      <c r="B10" s="62"/>
      <c r="H10" s="189">
        <f>EffDate_Proposed</f>
        <v>45323</v>
      </c>
    </row>
    <row r="11" spans="1:8" ht="15" customHeight="1" x14ac:dyDescent="0.25">
      <c r="A11" s="14" t="s">
        <v>77</v>
      </c>
      <c r="B11" s="62"/>
      <c r="H11" s="28" t="str">
        <f>Detailed_LineDesc04</f>
        <v/>
      </c>
    </row>
    <row r="12" spans="1:8" ht="15" customHeight="1" x14ac:dyDescent="0.25">
      <c r="A12" s="14" t="s">
        <v>78</v>
      </c>
      <c r="B12" s="62"/>
      <c r="H12" s="28" t="str">
        <f>Covg04</f>
        <v/>
      </c>
    </row>
    <row r="13" spans="1:8" ht="15" customHeight="1" x14ac:dyDescent="0.25">
      <c r="H13" s="608"/>
    </row>
    <row r="14" spans="1:8" ht="9.9499999999999993" customHeight="1" x14ac:dyDescent="0.25"/>
    <row r="15" spans="1:8" ht="15.75" thickBot="1" x14ac:dyDescent="0.3">
      <c r="A15" s="130" t="s">
        <v>171</v>
      </c>
      <c r="B15" s="285" t="str">
        <f>'6.4Ratemaking Data'!D$14</f>
        <v>20172</v>
      </c>
      <c r="C15" s="285" t="str">
        <f>'6.4Ratemaking Data'!E$14</f>
        <v>20182</v>
      </c>
      <c r="D15" s="285" t="str">
        <f>'6.4Ratemaking Data'!F$14</f>
        <v>20192</v>
      </c>
      <c r="E15" s="285" t="str">
        <f>'6.4Ratemaking Data'!G$14</f>
        <v>20202</v>
      </c>
      <c r="F15" s="285" t="str">
        <f>'6.4Ratemaking Data'!H$14</f>
        <v>20212</v>
      </c>
      <c r="G15" s="285">
        <f>'6.4Ratemaking Data'!I$14</f>
        <v>20222</v>
      </c>
      <c r="H15" s="105" t="s">
        <v>306</v>
      </c>
    </row>
    <row r="16" spans="1:8" x14ac:dyDescent="0.25">
      <c r="A16" s="131" t="s">
        <v>173</v>
      </c>
      <c r="B16" s="132" t="str">
        <f>IF(ISBLANK('6.4Ratemaking Data'!D15),"",'6.4Ratemaking Data'!D15)</f>
        <v/>
      </c>
      <c r="C16" s="132" t="str">
        <f>IF(ISBLANK('6.4Ratemaking Data'!E15),"",'6.4Ratemaking Data'!E15)</f>
        <v/>
      </c>
      <c r="D16" s="132" t="str">
        <f>IF(ISBLANK('6.4Ratemaking Data'!F15),"",'6.4Ratemaking Data'!F15)</f>
        <v/>
      </c>
      <c r="E16" s="132" t="str">
        <f>IF(ISBLANK('6.4Ratemaking Data'!G15),"",'6.4Ratemaking Data'!G15)</f>
        <v/>
      </c>
      <c r="F16" s="132" t="str">
        <f>IF(ISBLANK('6.4Ratemaking Data'!H15),"",'6.4Ratemaking Data'!H15)</f>
        <v/>
      </c>
      <c r="G16" s="132" t="str">
        <f>IF(ISBLANK('6.4Ratemaking Data'!I15),"",'6.4Ratemaking Data'!I15)</f>
        <v/>
      </c>
      <c r="H16" s="133">
        <f>IF(New_Program=TRUE,'6.4Ratemaking Data'!$K$15,SUM($B16:$G16))</f>
        <v>0</v>
      </c>
    </row>
    <row r="17" spans="1:10" x14ac:dyDescent="0.25">
      <c r="A17" s="134" t="s">
        <v>172</v>
      </c>
      <c r="B17" s="135" t="str">
        <f>IF(ISBLANK('6.4Ratemaking Data'!D16),"",'6.4Ratemaking Data'!D16)</f>
        <v/>
      </c>
      <c r="C17" s="135" t="str">
        <f>IF(ISBLANK('6.4Ratemaking Data'!E16),"",'6.4Ratemaking Data'!E16)</f>
        <v/>
      </c>
      <c r="D17" s="135" t="str">
        <f>IF(ISBLANK('6.4Ratemaking Data'!F16),"",'6.4Ratemaking Data'!F16)</f>
        <v/>
      </c>
      <c r="E17" s="135" t="str">
        <f>IF(ISBLANK('6.4Ratemaking Data'!G16),"",'6.4Ratemaking Data'!G16)</f>
        <v/>
      </c>
      <c r="F17" s="135" t="str">
        <f>IF(ISBLANK('6.4Ratemaking Data'!H16),"",'6.4Ratemaking Data'!H16)</f>
        <v/>
      </c>
      <c r="G17" s="135" t="str">
        <f>IF(ISBLANK('6.4Ratemaking Data'!I16),"",'6.4Ratemaking Data'!I16)</f>
        <v/>
      </c>
      <c r="H17" s="136">
        <f>IF(New_Program=TRUE,'6.4Ratemaking Data'!$K$16,SUM($B17:$G17))</f>
        <v>0</v>
      </c>
    </row>
    <row r="18" spans="1:10" x14ac:dyDescent="0.25">
      <c r="A18" s="134" t="s">
        <v>174</v>
      </c>
      <c r="B18" s="137" t="str">
        <f>IF(ISBLANK('6.4Ratemaking Data'!D17),"",'6.4Ratemaking Data'!D17)</f>
        <v/>
      </c>
      <c r="C18" s="137" t="str">
        <f>IF(ISBLANK('6.4Ratemaking Data'!E17),"",'6.4Ratemaking Data'!E17)</f>
        <v/>
      </c>
      <c r="D18" s="137" t="str">
        <f>IF(ISBLANK('6.4Ratemaking Data'!F17),"",'6.4Ratemaking Data'!F17)</f>
        <v/>
      </c>
      <c r="E18" s="137" t="str">
        <f>IF(ISBLANK('6.4Ratemaking Data'!G17),"",'6.4Ratemaking Data'!G17)</f>
        <v/>
      </c>
      <c r="F18" s="137" t="str">
        <f>IF(ISBLANK('6.4Ratemaking Data'!H17),"",'6.4Ratemaking Data'!H17)</f>
        <v/>
      </c>
      <c r="G18" s="137" t="str">
        <f>IF(ISBLANK('6.4Ratemaking Data'!I17),"",'6.4Ratemaking Data'!I17)</f>
        <v/>
      </c>
      <c r="H18" s="138"/>
    </row>
    <row r="19" spans="1:10" x14ac:dyDescent="0.25">
      <c r="A19" s="134" t="s">
        <v>175</v>
      </c>
      <c r="B19" s="137" t="str">
        <f>IF(ISBLANK('6.4Ratemaking Data'!D18),"",'6.4Ratemaking Data'!D18)</f>
        <v/>
      </c>
      <c r="C19" s="137" t="str">
        <f>IF(ISBLANK('6.4Ratemaking Data'!E18),"",'6.4Ratemaking Data'!E18)</f>
        <v/>
      </c>
      <c r="D19" s="137" t="str">
        <f>IF(ISBLANK('6.4Ratemaking Data'!F18),"",'6.4Ratemaking Data'!F18)</f>
        <v/>
      </c>
      <c r="E19" s="137" t="str">
        <f>IF(ISBLANK('6.4Ratemaking Data'!G18),"",'6.4Ratemaking Data'!G18)</f>
        <v/>
      </c>
      <c r="F19" s="137" t="str">
        <f>IF(ISBLANK('6.4Ratemaking Data'!H18),"",'6.4Ratemaking Data'!H18)</f>
        <v/>
      </c>
      <c r="G19" s="137" t="str">
        <f>IF(ISBLANK('6.4Ratemaking Data'!I18),"",'6.4Ratemaking Data'!I18)</f>
        <v/>
      </c>
      <c r="H19" s="144">
        <f>IF(New_Program=TRUE,0,'6.4Ratemaking Data'!$J$18)</f>
        <v>0</v>
      </c>
    </row>
    <row r="20" spans="1:10" x14ac:dyDescent="0.25">
      <c r="A20" s="134" t="s">
        <v>176</v>
      </c>
      <c r="B20" s="135" t="str">
        <f>IF(ISBLANK('6.4Ratemaking Data'!D19),"",'6.4Ratemaking Data'!D19)</f>
        <v/>
      </c>
      <c r="C20" s="135" t="str">
        <f>IF(ISBLANK('6.4Ratemaking Data'!E19),"",'6.4Ratemaking Data'!E19)</f>
        <v/>
      </c>
      <c r="D20" s="135" t="str">
        <f>IF(ISBLANK('6.4Ratemaking Data'!F19),"",'6.4Ratemaking Data'!F19)</f>
        <v/>
      </c>
      <c r="E20" s="135" t="str">
        <f>IF(ISBLANK('6.4Ratemaking Data'!G19),"",'6.4Ratemaking Data'!G19)</f>
        <v/>
      </c>
      <c r="F20" s="135" t="str">
        <f>IF(ISBLANK('6.4Ratemaking Data'!H19),"",'6.4Ratemaking Data'!H19)</f>
        <v/>
      </c>
      <c r="G20" s="135" t="str">
        <f>IF(ISBLANK('6.4Ratemaking Data'!I19),"",'6.4Ratemaking Data'!I19)</f>
        <v/>
      </c>
      <c r="H20" s="136">
        <f>IF(New_Program=TRUE,'6.4Ratemaking Data'!$K$19,SUM($B20:$G20))</f>
        <v>0</v>
      </c>
    </row>
    <row r="21" spans="1:10" x14ac:dyDescent="0.25">
      <c r="A21" s="134" t="s">
        <v>177</v>
      </c>
      <c r="B21" s="135" t="str">
        <f>IF(ISBLANK('6.4Ratemaking Data'!D20),"",'6.4Ratemaking Data'!D20)</f>
        <v/>
      </c>
      <c r="C21" s="135" t="str">
        <f>IF(ISBLANK('6.4Ratemaking Data'!E20),"",'6.4Ratemaking Data'!E20)</f>
        <v/>
      </c>
      <c r="D21" s="135" t="str">
        <f>IF(ISBLANK('6.4Ratemaking Data'!F20),"",'6.4Ratemaking Data'!F20)</f>
        <v/>
      </c>
      <c r="E21" s="135" t="str">
        <f>IF(ISBLANK('6.4Ratemaking Data'!G20),"",'6.4Ratemaking Data'!G20)</f>
        <v/>
      </c>
      <c r="F21" s="135" t="str">
        <f>IF(ISBLANK('6.4Ratemaking Data'!H20),"",'6.4Ratemaking Data'!H20)</f>
        <v/>
      </c>
      <c r="G21" s="135" t="str">
        <f>IF(ISBLANK('6.4Ratemaking Data'!I20),"",'6.4Ratemaking Data'!I20)</f>
        <v/>
      </c>
      <c r="H21" s="136">
        <f>IF(New_Program=TRUE,'6.4Ratemaking Data'!$K$20,SUM($B21:$G21))</f>
        <v>0</v>
      </c>
      <c r="J21" s="126"/>
    </row>
    <row r="22" spans="1:10" x14ac:dyDescent="0.25">
      <c r="A22" s="134" t="s">
        <v>178</v>
      </c>
      <c r="B22" s="135" t="str">
        <f>IF(ISBLANK('6.4Ratemaking Data'!D21),"",'6.4Ratemaking Data'!D21)</f>
        <v/>
      </c>
      <c r="C22" s="135" t="str">
        <f>IF(ISBLANK('6.4Ratemaking Data'!E21),"",'6.4Ratemaking Data'!E21)</f>
        <v/>
      </c>
      <c r="D22" s="135" t="str">
        <f>IF(ISBLANK('6.4Ratemaking Data'!F21),"",'6.4Ratemaking Data'!F21)</f>
        <v/>
      </c>
      <c r="E22" s="135" t="str">
        <f>IF(ISBLANK('6.4Ratemaking Data'!G21),"",'6.4Ratemaking Data'!G21)</f>
        <v/>
      </c>
      <c r="F22" s="135" t="str">
        <f>IF(ISBLANK('6.4Ratemaking Data'!H21),"",'6.4Ratemaking Data'!H21)</f>
        <v/>
      </c>
      <c r="G22" s="135" t="str">
        <f>IF(ISBLANK('6.4Ratemaking Data'!I21),"",'6.4Ratemaking Data'!I21)</f>
        <v/>
      </c>
      <c r="H22" s="136">
        <f>IF(New_Program=TRUE,'6.4Ratemaking Data'!$K$21,SUM($B22:$G22))</f>
        <v>0</v>
      </c>
      <c r="J22" s="126"/>
    </row>
    <row r="23" spans="1:10" x14ac:dyDescent="0.25">
      <c r="A23" s="134" t="s">
        <v>144</v>
      </c>
      <c r="B23" s="135" t="str">
        <f>IF(ISBLANK('6.4Ratemaking Data'!D22),"",'6.4Ratemaking Data'!D22)</f>
        <v/>
      </c>
      <c r="C23" s="135" t="str">
        <f>IF(ISBLANK('6.4Ratemaking Data'!E22),"",'6.4Ratemaking Data'!E22)</f>
        <v/>
      </c>
      <c r="D23" s="135" t="str">
        <f>IF(ISBLANK('6.4Ratemaking Data'!F22),"",'6.4Ratemaking Data'!F22)</f>
        <v/>
      </c>
      <c r="E23" s="135" t="str">
        <f>IF(ISBLANK('6.4Ratemaking Data'!G22),"",'6.4Ratemaking Data'!G22)</f>
        <v/>
      </c>
      <c r="F23" s="135" t="str">
        <f>IF(ISBLANK('6.4Ratemaking Data'!H22),"",'6.4Ratemaking Data'!H22)</f>
        <v/>
      </c>
      <c r="G23" s="135" t="str">
        <f>IF(ISBLANK('6.4Ratemaking Data'!I22),"",'6.4Ratemaking Data'!I22)</f>
        <v/>
      </c>
      <c r="H23" s="136">
        <f>IF(New_Program=TRUE,'6.4Ratemaking Data'!$K$22,SUM($B23:$G23))</f>
        <v>0</v>
      </c>
      <c r="J23" s="126"/>
    </row>
    <row r="24" spans="1:10" x14ac:dyDescent="0.25">
      <c r="A24" s="134" t="s">
        <v>181</v>
      </c>
      <c r="B24" s="137" t="str">
        <f>IF(ISBLANK('6.4Ratemaking Data'!D23),"",'6.4Ratemaking Data'!D23)</f>
        <v/>
      </c>
      <c r="C24" s="137" t="str">
        <f>IF(ISBLANK('6.4Ratemaking Data'!E23),"",'6.4Ratemaking Data'!E23)</f>
        <v/>
      </c>
      <c r="D24" s="137" t="str">
        <f>IF(ISBLANK('6.4Ratemaking Data'!F23),"",'6.4Ratemaking Data'!F23)</f>
        <v/>
      </c>
      <c r="E24" s="137" t="str">
        <f>IF(ISBLANK('6.4Ratemaking Data'!G23),"",'6.4Ratemaking Data'!G23)</f>
        <v/>
      </c>
      <c r="F24" s="137" t="str">
        <f>IF(ISBLANK('6.4Ratemaking Data'!H23),"",'6.4Ratemaking Data'!H23)</f>
        <v/>
      </c>
      <c r="G24" s="137" t="str">
        <f>IF(ISBLANK('6.4Ratemaking Data'!I23),"",'6.4Ratemaking Data'!I23)</f>
        <v/>
      </c>
      <c r="H24" s="138"/>
    </row>
    <row r="25" spans="1:10" x14ac:dyDescent="0.25">
      <c r="A25" s="134" t="s">
        <v>182</v>
      </c>
      <c r="B25" s="137" t="str">
        <f>IF(ISBLANK('6.4Ratemaking Data'!D24),"",'6.4Ratemaking Data'!D24)</f>
        <v/>
      </c>
      <c r="C25" s="137" t="str">
        <f>IF(ISBLANK('6.4Ratemaking Data'!E24),"",'6.4Ratemaking Data'!E24)</f>
        <v/>
      </c>
      <c r="D25" s="137" t="str">
        <f>IF(ISBLANK('6.4Ratemaking Data'!F24),"",'6.4Ratemaking Data'!F24)</f>
        <v/>
      </c>
      <c r="E25" s="137" t="str">
        <f>IF(ISBLANK('6.4Ratemaking Data'!G24),"",'6.4Ratemaking Data'!G24)</f>
        <v/>
      </c>
      <c r="F25" s="137" t="str">
        <f>IF(ISBLANK('6.4Ratemaking Data'!H24),"",'6.4Ratemaking Data'!H24)</f>
        <v/>
      </c>
      <c r="G25" s="137" t="str">
        <f>IF(ISBLANK('6.4Ratemaking Data'!I24),"",'6.4Ratemaking Data'!I24)</f>
        <v/>
      </c>
      <c r="H25" s="138"/>
    </row>
    <row r="26" spans="1:10" x14ac:dyDescent="0.25">
      <c r="A26" s="134" t="s">
        <v>179</v>
      </c>
      <c r="B26" s="137" t="str">
        <f>IF(ISBLANK('6.4Ratemaking Data'!D25),"",'6.4Ratemaking Data'!D25)</f>
        <v/>
      </c>
      <c r="C26" s="137" t="str">
        <f>IF(ISBLANK('6.4Ratemaking Data'!E25),"",'6.4Ratemaking Data'!E25)</f>
        <v/>
      </c>
      <c r="D26" s="137" t="str">
        <f>IF(ISBLANK('6.4Ratemaking Data'!F25),"",'6.4Ratemaking Data'!F25)</f>
        <v/>
      </c>
      <c r="E26" s="137" t="str">
        <f>IF(ISBLANK('6.4Ratemaking Data'!G25),"",'6.4Ratemaking Data'!G25)</f>
        <v/>
      </c>
      <c r="F26" s="137" t="str">
        <f>IF(ISBLANK('6.4Ratemaking Data'!H25),"",'6.4Ratemaking Data'!H25)</f>
        <v/>
      </c>
      <c r="G26" s="137" t="str">
        <f>IF(ISBLANK('6.4Ratemaking Data'!I25),"",'6.4Ratemaking Data'!I25)</f>
        <v/>
      </c>
      <c r="H26" s="144">
        <f>IF(New_Program=TRUE,0,'6.4Ratemaking Data'!$J$25)</f>
        <v>0</v>
      </c>
    </row>
    <row r="27" spans="1:10" x14ac:dyDescent="0.25">
      <c r="A27" s="134" t="s">
        <v>180</v>
      </c>
      <c r="B27" s="137" t="str">
        <f>IF(ISBLANK('6.4Ratemaking Data'!D26),"",'6.4Ratemaking Data'!D26)</f>
        <v/>
      </c>
      <c r="C27" s="137" t="str">
        <f>IF(ISBLANK('6.4Ratemaking Data'!E26),"",'6.4Ratemaking Data'!E26)</f>
        <v/>
      </c>
      <c r="D27" s="137" t="str">
        <f>IF(ISBLANK('6.4Ratemaking Data'!F26),"",'6.4Ratemaking Data'!F26)</f>
        <v/>
      </c>
      <c r="E27" s="137" t="str">
        <f>IF(ISBLANK('6.4Ratemaking Data'!G26),"",'6.4Ratemaking Data'!G26)</f>
        <v/>
      </c>
      <c r="F27" s="137" t="str">
        <f>IF(ISBLANK('6.4Ratemaking Data'!H26),"",'6.4Ratemaking Data'!H26)</f>
        <v/>
      </c>
      <c r="G27" s="137" t="str">
        <f>IF(ISBLANK('6.4Ratemaking Data'!I26),"",'6.4Ratemaking Data'!I26)</f>
        <v/>
      </c>
      <c r="H27" s="144">
        <f>IF(New_Program=TRUE,0,'6.4Ratemaking Data'!$J$26)</f>
        <v>0</v>
      </c>
    </row>
    <row r="28" spans="1:10" x14ac:dyDescent="0.25">
      <c r="A28" s="134" t="s">
        <v>183</v>
      </c>
      <c r="B28" s="137" t="str">
        <f>IF(ISBLANK('6.4Ratemaking Data'!D27),"",'6.4Ratemaking Data'!D27)</f>
        <v/>
      </c>
      <c r="C28" s="137" t="str">
        <f>IF(ISBLANK('6.4Ratemaking Data'!E27),"",'6.4Ratemaking Data'!E27)</f>
        <v/>
      </c>
      <c r="D28" s="137" t="str">
        <f>IF(ISBLANK('6.4Ratemaking Data'!F27),"",'6.4Ratemaking Data'!F27)</f>
        <v/>
      </c>
      <c r="E28" s="137" t="str">
        <f>IF(ISBLANK('6.4Ratemaking Data'!G27),"",'6.4Ratemaking Data'!G27)</f>
        <v/>
      </c>
      <c r="F28" s="137" t="str">
        <f>IF(ISBLANK('6.4Ratemaking Data'!H27),"",'6.4Ratemaking Data'!H27)</f>
        <v/>
      </c>
      <c r="G28" s="137" t="str">
        <f>IF(ISBLANK('6.4Ratemaking Data'!I27),"",'6.4Ratemaking Data'!I27)</f>
        <v/>
      </c>
      <c r="H28" s="138"/>
    </row>
    <row r="29" spans="1:10" ht="15.75" thickBot="1" x14ac:dyDescent="0.3">
      <c r="A29" s="153" t="s">
        <v>188</v>
      </c>
      <c r="B29" s="154" t="str">
        <f>IF(ISBLANK('6.4Ratemaking Data'!D29),"",'6.4Ratemaking Data'!D29)</f>
        <v/>
      </c>
      <c r="C29" s="154" t="str">
        <f>IF(ISBLANK('6.4Ratemaking Data'!E29),"",'6.4Ratemaking Data'!E29)</f>
        <v/>
      </c>
      <c r="D29" s="154" t="str">
        <f>IF(ISBLANK('6.4Ratemaking Data'!F29),"",'6.4Ratemaking Data'!F29)</f>
        <v/>
      </c>
      <c r="E29" s="154" t="str">
        <f>IF(ISBLANK('6.4Ratemaking Data'!G29),"",'6.4Ratemaking Data'!G29)</f>
        <v/>
      </c>
      <c r="F29" s="154" t="str">
        <f>IF(ISBLANK('6.4Ratemaking Data'!H29),"",'6.4Ratemaking Data'!H29)</f>
        <v/>
      </c>
      <c r="G29" s="154" t="str">
        <f>IF(ISBLANK('6.4Ratemaking Data'!I29),"",'6.4Ratemaking Data'!I29)</f>
        <v/>
      </c>
      <c r="H29" s="155">
        <f>IF(New_Program=TRUE,'6.4Ratemaking Data'!$K$29,SUM($B29:$G29))</f>
        <v>0</v>
      </c>
    </row>
    <row r="30" spans="1:10" ht="15.75" thickTop="1" x14ac:dyDescent="0.25">
      <c r="A30" s="134" t="s">
        <v>184</v>
      </c>
      <c r="B30" s="139"/>
      <c r="C30" s="139"/>
      <c r="D30" s="139"/>
      <c r="E30" s="139"/>
      <c r="F30" s="139"/>
      <c r="G30" s="139"/>
      <c r="H30" s="144">
        <f>IF(New_Program=TRUE,100%,'6.4Ratemaking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EffStd_Final04</f>
        <v/>
      </c>
    </row>
    <row r="38" spans="1:9" x14ac:dyDescent="0.25">
      <c r="A38" s="134" t="s">
        <v>191</v>
      </c>
      <c r="B38" s="90"/>
      <c r="C38" s="90"/>
      <c r="D38" s="90"/>
      <c r="E38" s="90"/>
      <c r="F38" s="693" t="s">
        <v>317</v>
      </c>
      <c r="G38" s="694">
        <f>update_leverage</f>
        <v>2021</v>
      </c>
      <c r="H38" s="190" t="str">
        <f>LevFact_Final04</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1/LevFact_Final04</f>
        <v>#VALUE!</v>
      </c>
    </row>
    <row r="41" spans="1:9" x14ac:dyDescent="0.25">
      <c r="A41" s="134" t="s">
        <v>198</v>
      </c>
      <c r="B41" s="90"/>
      <c r="C41" s="90"/>
      <c r="D41" s="90"/>
      <c r="E41" s="90"/>
      <c r="F41" s="693" t="s">
        <v>317</v>
      </c>
      <c r="G41" s="694">
        <f>update_reserveratios</f>
        <v>2021</v>
      </c>
      <c r="H41" s="191" t="str">
        <f>ResRatio_UPR04</f>
        <v/>
      </c>
    </row>
    <row r="42" spans="1:9" x14ac:dyDescent="0.25">
      <c r="A42" s="192" t="s">
        <v>194</v>
      </c>
      <c r="B42" s="90"/>
      <c r="C42" s="90"/>
      <c r="D42" s="90"/>
      <c r="E42" s="90"/>
      <c r="F42" s="693" t="s">
        <v>317</v>
      </c>
      <c r="G42" s="694">
        <f>update_reserveratios</f>
        <v>2021</v>
      </c>
      <c r="H42" s="191" t="str">
        <f>ResRatio_Loss04</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'6.4Ratemaking Data'!D$14</f>
        <v>20172</v>
      </c>
      <c r="C47" s="285" t="str">
        <f>'6.4Ratemaking Data'!E$14</f>
        <v>20182</v>
      </c>
      <c r="D47" s="285" t="str">
        <f>'6.4Ratemaking Data'!F$14</f>
        <v>20192</v>
      </c>
      <c r="E47" s="285" t="str">
        <f>'6.4Ratemaking Data'!G$14</f>
        <v>20202</v>
      </c>
      <c r="F47" s="285" t="str">
        <f>'6.4Ratemaking Data'!H$14</f>
        <v>20212</v>
      </c>
      <c r="G47" s="285">
        <f>'6.4Ratemaking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Yield*((1-FIT_Inv)/(1-FIT_UW))*ResRatio_Loss04</f>
        <v>#VALUE!</v>
      </c>
    </row>
    <row r="58" spans="1:9" x14ac:dyDescent="0.25">
      <c r="A58" s="134" t="s">
        <v>218</v>
      </c>
      <c r="B58" s="90"/>
      <c r="C58" s="90"/>
      <c r="D58" s="90"/>
      <c r="E58" s="90"/>
      <c r="F58" s="90"/>
      <c r="G58" s="90"/>
      <c r="H58" s="144" t="e">
        <f>Yield*((1-FIT_Inv)/(1-FIT_UW))*(ResRatio_UPR04+SurplusRatio)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IF(New_Program=TRUE,0,(1+Net_AnnualTrend)^MIN(4,((EffDate_Proposed-EffDate_Prior04)/365.25))-1)</f>
        <v>#VALUE!</v>
      </c>
    </row>
    <row r="61" spans="1:9" x14ac:dyDescent="0.25">
      <c r="A61" s="134" t="s">
        <v>207</v>
      </c>
      <c r="B61" s="145"/>
      <c r="C61" s="145"/>
      <c r="D61" s="145"/>
      <c r="E61" s="145"/>
      <c r="F61" s="145"/>
      <c r="G61" s="145"/>
      <c r="H61" s="144" t="e">
        <f>(ROR_Max)/(LevFact_Final04*(1-FIT_UW))</f>
        <v>#VALUE!</v>
      </c>
    </row>
    <row r="62" spans="1:9" x14ac:dyDescent="0.25">
      <c r="A62" s="134" t="s">
        <v>208</v>
      </c>
      <c r="B62" s="90"/>
      <c r="C62" s="90"/>
      <c r="D62" s="90"/>
      <c r="E62" s="90"/>
      <c r="F62" s="90"/>
      <c r="G62" s="90"/>
      <c r="H62" s="144" t="e">
        <f>(ROR_Min)/(LevFact_Final04*(1-FIT_UW))</f>
        <v>#VALUE!</v>
      </c>
    </row>
    <row r="63" spans="1:9" x14ac:dyDescent="0.25">
      <c r="A63" s="134" t="s">
        <v>209</v>
      </c>
      <c r="B63" s="90"/>
      <c r="C63" s="90"/>
      <c r="D63" s="90"/>
      <c r="E63" s="90"/>
      <c r="F63" s="90"/>
      <c r="G63" s="90"/>
      <c r="H63" s="144" t="e">
        <f>1-CredLossDCCE_perExp/Max_Premium-EffStd_Final04</f>
        <v>#VALUE!</v>
      </c>
      <c r="I63" s="252"/>
    </row>
    <row r="64" spans="1:9" x14ac:dyDescent="0.25">
      <c r="A64" s="134" t="s">
        <v>211</v>
      </c>
      <c r="B64" s="90"/>
      <c r="C64" s="90"/>
      <c r="D64" s="90"/>
      <c r="E64" s="90"/>
      <c r="F64" s="90"/>
      <c r="G64" s="90"/>
      <c r="H64" s="146" t="e">
        <f>1-EffStd_Final04-Min_Profit+InvInc_Variable</f>
        <v>#VALUE!</v>
      </c>
      <c r="I64" s="252"/>
    </row>
    <row r="65" spans="1:9" x14ac:dyDescent="0.25">
      <c r="A65" s="134" t="s">
        <v>210</v>
      </c>
      <c r="B65" s="90"/>
      <c r="C65" s="90"/>
      <c r="D65" s="90"/>
      <c r="E65" s="90"/>
      <c r="F65" s="90"/>
      <c r="G65" s="90"/>
      <c r="H65" s="146" t="e">
        <f>1-EffStd_Final04-Max_Profit+InvInc_Variable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See Column M of Page '6.4Ratemaking Data' for errors that must be corrected.</v>
      </c>
    </row>
    <row r="70" spans="1:9" ht="5.0999999999999996" hidden="1" customHeight="1" x14ac:dyDescent="0.25"/>
    <row r="71" spans="1:9" ht="15.75" hidden="1" thickBot="1" x14ac:dyDescent="0.3">
      <c r="A71" s="130" t="s">
        <v>233</v>
      </c>
      <c r="B71" s="285" t="str">
        <f>'6.4Ratemaking Data'!D$14</f>
        <v>20172</v>
      </c>
      <c r="C71" s="285" t="str">
        <f>'6.4Ratemaking Data'!E$14</f>
        <v>20182</v>
      </c>
      <c r="D71" s="285" t="str">
        <f>'6.4Ratemaking Data'!F$14</f>
        <v>20192</v>
      </c>
      <c r="E71" s="285" t="str">
        <f>'6.4Ratemaking Data'!G$14</f>
        <v>20202</v>
      </c>
      <c r="F71" s="285" t="str">
        <f>'6.4Ratemaking Data'!H$14</f>
        <v>20212</v>
      </c>
      <c r="G71" s="285">
        <f>'6.4Ratemaking Data'!I$14</f>
        <v>20222</v>
      </c>
    </row>
    <row r="72" spans="1:9" hidden="1" x14ac:dyDescent="0.25">
      <c r="A72" s="148" t="s">
        <v>232</v>
      </c>
      <c r="B72" s="142"/>
      <c r="C72" s="142"/>
      <c r="D72" s="142"/>
      <c r="E72" s="142"/>
      <c r="F72" s="142"/>
      <c r="G72" s="142"/>
      <c r="H72" s="149" t="str">
        <f>IF(ISBLANK('6.4Ratemaking Data'!J44),"",'6.4Ratemaking Data'!J44)</f>
        <v/>
      </c>
    </row>
    <row r="73" spans="1:9" hidden="1" x14ac:dyDescent="0.25">
      <c r="A73" s="150" t="s">
        <v>219</v>
      </c>
      <c r="B73" s="135" t="str">
        <f>IF(ISBLANK('6.4Ratemaking Data'!D45),"",'6.4Ratemaking Data'!D45)</f>
        <v/>
      </c>
      <c r="C73" s="135" t="str">
        <f>IF(ISBLANK('6.4Ratemaking Data'!E45),"",'6.4Ratemaking Data'!E45)</f>
        <v/>
      </c>
      <c r="D73" s="135" t="str">
        <f>IF(ISBLANK('6.4Ratemaking Data'!F45),"",'6.4Ratemaking Data'!F45)</f>
        <v/>
      </c>
      <c r="E73" s="135" t="str">
        <f>IF(ISBLANK('6.4Ratemaking Data'!G45),"",'6.4Ratemaking Data'!G45)</f>
        <v/>
      </c>
      <c r="F73" s="135" t="str">
        <f>IF(ISBLANK('6.4Ratemaking Data'!H45),"",'6.4Ratemaking Data'!H45)</f>
        <v/>
      </c>
      <c r="G73" s="135" t="str">
        <f>IF(ISBLANK('6.4Ratemaking Data'!I45),"",'6.4Ratemaking Data'!I45)</f>
        <v/>
      </c>
      <c r="H73" s="136" t="str">
        <f>IF(RIGHT(Detailed_LineCode04,1)="R",IF(New_Program=TRUE,'6.4Ratemaking Data'!$K$45,SUM($B73:$G73)),"")</f>
        <v/>
      </c>
    </row>
    <row r="74" spans="1:9" hidden="1" x14ac:dyDescent="0.25">
      <c r="A74" s="150" t="s">
        <v>220</v>
      </c>
      <c r="B74" s="135" t="str">
        <f>IF(ISBLANK('6.4Ratemaking Data'!D46),"",'6.4Ratemaking Data'!D46)</f>
        <v/>
      </c>
      <c r="C74" s="135" t="str">
        <f>IF(ISBLANK('6.4Ratemaking Data'!E46),"",'6.4Ratemaking Data'!E46)</f>
        <v/>
      </c>
      <c r="D74" s="135" t="str">
        <f>IF(ISBLANK('6.4Ratemaking Data'!F46),"",'6.4Ratemaking Data'!F46)</f>
        <v/>
      </c>
      <c r="E74" s="135" t="str">
        <f>IF(ISBLANK('6.4Ratemaking Data'!G46),"",'6.4Ratemaking Data'!G46)</f>
        <v/>
      </c>
      <c r="F74" s="135" t="str">
        <f>IF(ISBLANK('6.4Ratemaking Data'!H46),"",'6.4Ratemaking Data'!H46)</f>
        <v/>
      </c>
      <c r="G74" s="135" t="str">
        <f>IF(ISBLANK('6.4Ratemaking Data'!I46),"",'6.4Ratemaking Data'!I46)</f>
        <v/>
      </c>
      <c r="H74" s="136">
        <f>IF(New_Program=TRUE,'6.4Ratemaking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IF(AND('6.4Ratemaking Data'!Error30="",'6.4Ratemaking Data'!Error31="",'6.4Ratemaking Data'!Error32=""),"","See Column M of Page '6.4Ratemaking Data' for errors that must be corrected.")</f>
        <v/>
      </c>
    </row>
    <row r="80" spans="1:9" ht="26.25" x14ac:dyDescent="0.25">
      <c r="F80" s="783" t="s">
        <v>620</v>
      </c>
      <c r="G80" s="783"/>
      <c r="H80" s="783"/>
    </row>
    <row r="81" spans="1:1" x14ac:dyDescent="0.25">
      <c r="A81" s="152"/>
    </row>
  </sheetData>
  <sheetProtection algorithmName="SHA-512" hashValue="4M8MU9sY4C+oF5y5s3wIAiEDhd3Sit5I1rm/+1HEc9AoNvFy6LnqA327lV45TfTTDupiHbZdy6M1FBSGXYPFiw==" saltValue="lZFsiMAZL3/ulFBv5mw2ug=="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IF('6.5Ratemaking Data'!$K$7="","VARIANCE - NONE","VARIANCE "&amp;'6.5Ratemaking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EffDate_Prior05</f>
        <v/>
      </c>
    </row>
    <row r="10" spans="1:8" ht="15" customHeight="1" x14ac:dyDescent="0.25">
      <c r="A10" s="14" t="s">
        <v>170</v>
      </c>
      <c r="B10" s="62"/>
      <c r="H10" s="189">
        <f>EffDate_Proposed</f>
        <v>45323</v>
      </c>
    </row>
    <row r="11" spans="1:8" ht="15" customHeight="1" x14ac:dyDescent="0.25">
      <c r="A11" s="14" t="s">
        <v>77</v>
      </c>
      <c r="B11" s="62"/>
      <c r="H11" s="28" t="str">
        <f>Detailed_LineDesc05</f>
        <v/>
      </c>
    </row>
    <row r="12" spans="1:8" ht="15" customHeight="1" x14ac:dyDescent="0.25">
      <c r="A12" s="14" t="s">
        <v>78</v>
      </c>
      <c r="B12" s="62"/>
      <c r="H12" s="28" t="str">
        <f>Covg05</f>
        <v/>
      </c>
    </row>
    <row r="13" spans="1:8" ht="15" customHeight="1" x14ac:dyDescent="0.25">
      <c r="H13" s="608"/>
    </row>
    <row r="14" spans="1:8" ht="9.9499999999999993" customHeight="1" x14ac:dyDescent="0.25"/>
    <row r="15" spans="1:8" ht="15.75" thickBot="1" x14ac:dyDescent="0.3">
      <c r="A15" s="130" t="s">
        <v>171</v>
      </c>
      <c r="B15" s="285" t="str">
        <f>'6.5Ratemaking Data'!D$14</f>
        <v>20172</v>
      </c>
      <c r="C15" s="285" t="str">
        <f>'6.5Ratemaking Data'!E$14</f>
        <v>20182</v>
      </c>
      <c r="D15" s="285" t="str">
        <f>'6.5Ratemaking Data'!F$14</f>
        <v>20192</v>
      </c>
      <c r="E15" s="285" t="str">
        <f>'6.5Ratemaking Data'!G$14</f>
        <v>20202</v>
      </c>
      <c r="F15" s="285" t="str">
        <f>'6.5Ratemaking Data'!H$14</f>
        <v>20212</v>
      </c>
      <c r="G15" s="285">
        <f>'6.5Ratemaking Data'!I$14</f>
        <v>20222</v>
      </c>
      <c r="H15" s="105" t="s">
        <v>306</v>
      </c>
    </row>
    <row r="16" spans="1:8" x14ac:dyDescent="0.25">
      <c r="A16" s="131" t="s">
        <v>173</v>
      </c>
      <c r="B16" s="132" t="str">
        <f>IF(ISBLANK('6.5Ratemaking Data'!D15),"",'6.5Ratemaking Data'!D15)</f>
        <v/>
      </c>
      <c r="C16" s="132" t="str">
        <f>IF(ISBLANK('6.5Ratemaking Data'!E15),"",'6.5Ratemaking Data'!E15)</f>
        <v/>
      </c>
      <c r="D16" s="132" t="str">
        <f>IF(ISBLANK('6.5Ratemaking Data'!F15),"",'6.5Ratemaking Data'!F15)</f>
        <v/>
      </c>
      <c r="E16" s="132" t="str">
        <f>IF(ISBLANK('6.5Ratemaking Data'!G15),"",'6.5Ratemaking Data'!G15)</f>
        <v/>
      </c>
      <c r="F16" s="132" t="str">
        <f>IF(ISBLANK('6.5Ratemaking Data'!H15),"",'6.5Ratemaking Data'!H15)</f>
        <v/>
      </c>
      <c r="G16" s="132" t="str">
        <f>IF(ISBLANK('6.5Ratemaking Data'!I15),"",'6.5Ratemaking Data'!I15)</f>
        <v/>
      </c>
      <c r="H16" s="133">
        <f>IF(New_Program=TRUE,'6.5Ratemaking Data'!$K$15,SUM($B16:$G16))</f>
        <v>0</v>
      </c>
    </row>
    <row r="17" spans="1:10" x14ac:dyDescent="0.25">
      <c r="A17" s="134" t="s">
        <v>172</v>
      </c>
      <c r="B17" s="135" t="str">
        <f>IF(ISBLANK('6.5Ratemaking Data'!D16),"",'6.5Ratemaking Data'!D16)</f>
        <v/>
      </c>
      <c r="C17" s="135" t="str">
        <f>IF(ISBLANK('6.5Ratemaking Data'!E16),"",'6.5Ratemaking Data'!E16)</f>
        <v/>
      </c>
      <c r="D17" s="135" t="str">
        <f>IF(ISBLANK('6.5Ratemaking Data'!F16),"",'6.5Ratemaking Data'!F16)</f>
        <v/>
      </c>
      <c r="E17" s="135" t="str">
        <f>IF(ISBLANK('6.5Ratemaking Data'!G16),"",'6.5Ratemaking Data'!G16)</f>
        <v/>
      </c>
      <c r="F17" s="135" t="str">
        <f>IF(ISBLANK('6.5Ratemaking Data'!H16),"",'6.5Ratemaking Data'!H16)</f>
        <v/>
      </c>
      <c r="G17" s="135" t="str">
        <f>IF(ISBLANK('6.5Ratemaking Data'!I16),"",'6.5Ratemaking Data'!I16)</f>
        <v/>
      </c>
      <c r="H17" s="136">
        <f>IF(New_Program=TRUE,'6.5Ratemaking Data'!$K$16,SUM($B17:$G17))</f>
        <v>0</v>
      </c>
    </row>
    <row r="18" spans="1:10" x14ac:dyDescent="0.25">
      <c r="A18" s="134" t="s">
        <v>174</v>
      </c>
      <c r="B18" s="137" t="str">
        <f>IF(ISBLANK('6.5Ratemaking Data'!D17),"",'6.5Ratemaking Data'!D17)</f>
        <v/>
      </c>
      <c r="C18" s="137" t="str">
        <f>IF(ISBLANK('6.5Ratemaking Data'!E17),"",'6.5Ratemaking Data'!E17)</f>
        <v/>
      </c>
      <c r="D18" s="137" t="str">
        <f>IF(ISBLANK('6.5Ratemaking Data'!F17),"",'6.5Ratemaking Data'!F17)</f>
        <v/>
      </c>
      <c r="E18" s="137" t="str">
        <f>IF(ISBLANK('6.5Ratemaking Data'!G17),"",'6.5Ratemaking Data'!G17)</f>
        <v/>
      </c>
      <c r="F18" s="137" t="str">
        <f>IF(ISBLANK('6.5Ratemaking Data'!H17),"",'6.5Ratemaking Data'!H17)</f>
        <v/>
      </c>
      <c r="G18" s="137" t="str">
        <f>IF(ISBLANK('6.5Ratemaking Data'!I17),"",'6.5Ratemaking Data'!I17)</f>
        <v/>
      </c>
      <c r="H18" s="138"/>
    </row>
    <row r="19" spans="1:10" x14ac:dyDescent="0.25">
      <c r="A19" s="134" t="s">
        <v>175</v>
      </c>
      <c r="B19" s="137" t="str">
        <f>IF(ISBLANK('6.5Ratemaking Data'!D18),"",'6.5Ratemaking Data'!D18)</f>
        <v/>
      </c>
      <c r="C19" s="137" t="str">
        <f>IF(ISBLANK('6.5Ratemaking Data'!E18),"",'6.5Ratemaking Data'!E18)</f>
        <v/>
      </c>
      <c r="D19" s="137" t="str">
        <f>IF(ISBLANK('6.5Ratemaking Data'!F18),"",'6.5Ratemaking Data'!F18)</f>
        <v/>
      </c>
      <c r="E19" s="137" t="str">
        <f>IF(ISBLANK('6.5Ratemaking Data'!G18),"",'6.5Ratemaking Data'!G18)</f>
        <v/>
      </c>
      <c r="F19" s="137" t="str">
        <f>IF(ISBLANK('6.5Ratemaking Data'!H18),"",'6.5Ratemaking Data'!H18)</f>
        <v/>
      </c>
      <c r="G19" s="137" t="str">
        <f>IF(ISBLANK('6.5Ratemaking Data'!I18),"",'6.5Ratemaking Data'!I18)</f>
        <v/>
      </c>
      <c r="H19" s="144">
        <f>IF(New_Program=TRUE,0,'6.5Ratemaking Data'!$J$18)</f>
        <v>0</v>
      </c>
    </row>
    <row r="20" spans="1:10" x14ac:dyDescent="0.25">
      <c r="A20" s="134" t="s">
        <v>176</v>
      </c>
      <c r="B20" s="135" t="str">
        <f>IF(ISBLANK('6.5Ratemaking Data'!D19),"",'6.5Ratemaking Data'!D19)</f>
        <v/>
      </c>
      <c r="C20" s="135" t="str">
        <f>IF(ISBLANK('6.5Ratemaking Data'!E19),"",'6.5Ratemaking Data'!E19)</f>
        <v/>
      </c>
      <c r="D20" s="135" t="str">
        <f>IF(ISBLANK('6.5Ratemaking Data'!F19),"",'6.5Ratemaking Data'!F19)</f>
        <v/>
      </c>
      <c r="E20" s="135" t="str">
        <f>IF(ISBLANK('6.5Ratemaking Data'!G19),"",'6.5Ratemaking Data'!G19)</f>
        <v/>
      </c>
      <c r="F20" s="135" t="str">
        <f>IF(ISBLANK('6.5Ratemaking Data'!H19),"",'6.5Ratemaking Data'!H19)</f>
        <v/>
      </c>
      <c r="G20" s="135" t="str">
        <f>IF(ISBLANK('6.5Ratemaking Data'!I19),"",'6.5Ratemaking Data'!I19)</f>
        <v/>
      </c>
      <c r="H20" s="136">
        <f>IF(New_Program=TRUE,'6.5Ratemaking Data'!$K$19,SUM($B20:$G20))</f>
        <v>0</v>
      </c>
    </row>
    <row r="21" spans="1:10" x14ac:dyDescent="0.25">
      <c r="A21" s="134" t="s">
        <v>177</v>
      </c>
      <c r="B21" s="135" t="str">
        <f>IF(ISBLANK('6.5Ratemaking Data'!D20),"",'6.5Ratemaking Data'!D20)</f>
        <v/>
      </c>
      <c r="C21" s="135" t="str">
        <f>IF(ISBLANK('6.5Ratemaking Data'!E20),"",'6.5Ratemaking Data'!E20)</f>
        <v/>
      </c>
      <c r="D21" s="135" t="str">
        <f>IF(ISBLANK('6.5Ratemaking Data'!F20),"",'6.5Ratemaking Data'!F20)</f>
        <v/>
      </c>
      <c r="E21" s="135" t="str">
        <f>IF(ISBLANK('6.5Ratemaking Data'!G20),"",'6.5Ratemaking Data'!G20)</f>
        <v/>
      </c>
      <c r="F21" s="135" t="str">
        <f>IF(ISBLANK('6.5Ratemaking Data'!H20),"",'6.5Ratemaking Data'!H20)</f>
        <v/>
      </c>
      <c r="G21" s="135" t="str">
        <f>IF(ISBLANK('6.5Ratemaking Data'!I20),"",'6.5Ratemaking Data'!I20)</f>
        <v/>
      </c>
      <c r="H21" s="136">
        <f>IF(New_Program=TRUE,'6.5Ratemaking Data'!$K$20,SUM($B21:$G21))</f>
        <v>0</v>
      </c>
      <c r="J21" s="126"/>
    </row>
    <row r="22" spans="1:10" x14ac:dyDescent="0.25">
      <c r="A22" s="134" t="s">
        <v>178</v>
      </c>
      <c r="B22" s="135" t="str">
        <f>IF(ISBLANK('6.5Ratemaking Data'!D21),"",'6.5Ratemaking Data'!D21)</f>
        <v/>
      </c>
      <c r="C22" s="135" t="str">
        <f>IF(ISBLANK('6.5Ratemaking Data'!E21),"",'6.5Ratemaking Data'!E21)</f>
        <v/>
      </c>
      <c r="D22" s="135" t="str">
        <f>IF(ISBLANK('6.5Ratemaking Data'!F21),"",'6.5Ratemaking Data'!F21)</f>
        <v/>
      </c>
      <c r="E22" s="135" t="str">
        <f>IF(ISBLANK('6.5Ratemaking Data'!G21),"",'6.5Ratemaking Data'!G21)</f>
        <v/>
      </c>
      <c r="F22" s="135" t="str">
        <f>IF(ISBLANK('6.5Ratemaking Data'!H21),"",'6.5Ratemaking Data'!H21)</f>
        <v/>
      </c>
      <c r="G22" s="135" t="str">
        <f>IF(ISBLANK('6.5Ratemaking Data'!I21),"",'6.5Ratemaking Data'!I21)</f>
        <v/>
      </c>
      <c r="H22" s="136">
        <f>IF(New_Program=TRUE,'6.5Ratemaking Data'!$K$21,SUM($B22:$G22))</f>
        <v>0</v>
      </c>
      <c r="J22" s="126"/>
    </row>
    <row r="23" spans="1:10" x14ac:dyDescent="0.25">
      <c r="A23" s="134" t="s">
        <v>144</v>
      </c>
      <c r="B23" s="135" t="str">
        <f>IF(ISBLANK('6.5Ratemaking Data'!D22),"",'6.5Ratemaking Data'!D22)</f>
        <v/>
      </c>
      <c r="C23" s="135" t="str">
        <f>IF(ISBLANK('6.5Ratemaking Data'!E22),"",'6.5Ratemaking Data'!E22)</f>
        <v/>
      </c>
      <c r="D23" s="135" t="str">
        <f>IF(ISBLANK('6.5Ratemaking Data'!F22),"",'6.5Ratemaking Data'!F22)</f>
        <v/>
      </c>
      <c r="E23" s="135" t="str">
        <f>IF(ISBLANK('6.5Ratemaking Data'!G22),"",'6.5Ratemaking Data'!G22)</f>
        <v/>
      </c>
      <c r="F23" s="135" t="str">
        <f>IF(ISBLANK('6.5Ratemaking Data'!H22),"",'6.5Ratemaking Data'!H22)</f>
        <v/>
      </c>
      <c r="G23" s="135" t="str">
        <f>IF(ISBLANK('6.5Ratemaking Data'!I22),"",'6.5Ratemaking Data'!I22)</f>
        <v/>
      </c>
      <c r="H23" s="136">
        <f>IF(New_Program=TRUE,'6.5Ratemaking Data'!$K$22,SUM($B23:$G23))</f>
        <v>0</v>
      </c>
      <c r="J23" s="126"/>
    </row>
    <row r="24" spans="1:10" x14ac:dyDescent="0.25">
      <c r="A24" s="134" t="s">
        <v>181</v>
      </c>
      <c r="B24" s="137" t="str">
        <f>IF(ISBLANK('6.5Ratemaking Data'!D23),"",'6.5Ratemaking Data'!D23)</f>
        <v/>
      </c>
      <c r="C24" s="137" t="str">
        <f>IF(ISBLANK('6.5Ratemaking Data'!E23),"",'6.5Ratemaking Data'!E23)</f>
        <v/>
      </c>
      <c r="D24" s="137" t="str">
        <f>IF(ISBLANK('6.5Ratemaking Data'!F23),"",'6.5Ratemaking Data'!F23)</f>
        <v/>
      </c>
      <c r="E24" s="137" t="str">
        <f>IF(ISBLANK('6.5Ratemaking Data'!G23),"",'6.5Ratemaking Data'!G23)</f>
        <v/>
      </c>
      <c r="F24" s="137" t="str">
        <f>IF(ISBLANK('6.5Ratemaking Data'!H23),"",'6.5Ratemaking Data'!H23)</f>
        <v/>
      </c>
      <c r="G24" s="137" t="str">
        <f>IF(ISBLANK('6.5Ratemaking Data'!I23),"",'6.5Ratemaking Data'!I23)</f>
        <v/>
      </c>
      <c r="H24" s="138"/>
    </row>
    <row r="25" spans="1:10" x14ac:dyDescent="0.25">
      <c r="A25" s="134" t="s">
        <v>182</v>
      </c>
      <c r="B25" s="137" t="str">
        <f>IF(ISBLANK('6.5Ratemaking Data'!D24),"",'6.5Ratemaking Data'!D24)</f>
        <v/>
      </c>
      <c r="C25" s="137" t="str">
        <f>IF(ISBLANK('6.5Ratemaking Data'!E24),"",'6.5Ratemaking Data'!E24)</f>
        <v/>
      </c>
      <c r="D25" s="137" t="str">
        <f>IF(ISBLANK('6.5Ratemaking Data'!F24),"",'6.5Ratemaking Data'!F24)</f>
        <v/>
      </c>
      <c r="E25" s="137" t="str">
        <f>IF(ISBLANK('6.5Ratemaking Data'!G24),"",'6.5Ratemaking Data'!G24)</f>
        <v/>
      </c>
      <c r="F25" s="137" t="str">
        <f>IF(ISBLANK('6.5Ratemaking Data'!H24),"",'6.5Ratemaking Data'!H24)</f>
        <v/>
      </c>
      <c r="G25" s="137" t="str">
        <f>IF(ISBLANK('6.5Ratemaking Data'!I24),"",'6.5Ratemaking Data'!I24)</f>
        <v/>
      </c>
      <c r="H25" s="138"/>
    </row>
    <row r="26" spans="1:10" x14ac:dyDescent="0.25">
      <c r="A26" s="134" t="s">
        <v>179</v>
      </c>
      <c r="B26" s="137" t="str">
        <f>IF(ISBLANK('6.5Ratemaking Data'!D25),"",'6.5Ratemaking Data'!D25)</f>
        <v/>
      </c>
      <c r="C26" s="137" t="str">
        <f>IF(ISBLANK('6.5Ratemaking Data'!E25),"",'6.5Ratemaking Data'!E25)</f>
        <v/>
      </c>
      <c r="D26" s="137" t="str">
        <f>IF(ISBLANK('6.5Ratemaking Data'!F25),"",'6.5Ratemaking Data'!F25)</f>
        <v/>
      </c>
      <c r="E26" s="137" t="str">
        <f>IF(ISBLANK('6.5Ratemaking Data'!G25),"",'6.5Ratemaking Data'!G25)</f>
        <v/>
      </c>
      <c r="F26" s="137" t="str">
        <f>IF(ISBLANK('6.5Ratemaking Data'!H25),"",'6.5Ratemaking Data'!H25)</f>
        <v/>
      </c>
      <c r="G26" s="137" t="str">
        <f>IF(ISBLANK('6.5Ratemaking Data'!I25),"",'6.5Ratemaking Data'!I25)</f>
        <v/>
      </c>
      <c r="H26" s="144">
        <f>IF(New_Program=TRUE,0,'6.5Ratemaking Data'!$J$25)</f>
        <v>0</v>
      </c>
    </row>
    <row r="27" spans="1:10" x14ac:dyDescent="0.25">
      <c r="A27" s="134" t="s">
        <v>180</v>
      </c>
      <c r="B27" s="137" t="str">
        <f>IF(ISBLANK('6.5Ratemaking Data'!D26),"",'6.5Ratemaking Data'!D26)</f>
        <v/>
      </c>
      <c r="C27" s="137" t="str">
        <f>IF(ISBLANK('6.5Ratemaking Data'!E26),"",'6.5Ratemaking Data'!E26)</f>
        <v/>
      </c>
      <c r="D27" s="137" t="str">
        <f>IF(ISBLANK('6.5Ratemaking Data'!F26),"",'6.5Ratemaking Data'!F26)</f>
        <v/>
      </c>
      <c r="E27" s="137" t="str">
        <f>IF(ISBLANK('6.5Ratemaking Data'!G26),"",'6.5Ratemaking Data'!G26)</f>
        <v/>
      </c>
      <c r="F27" s="137" t="str">
        <f>IF(ISBLANK('6.5Ratemaking Data'!H26),"",'6.5Ratemaking Data'!H26)</f>
        <v/>
      </c>
      <c r="G27" s="137" t="str">
        <f>IF(ISBLANK('6.5Ratemaking Data'!I26),"",'6.5Ratemaking Data'!I26)</f>
        <v/>
      </c>
      <c r="H27" s="144">
        <f>IF(New_Program=TRUE,0,'6.5Ratemaking Data'!$J$26)</f>
        <v>0</v>
      </c>
    </row>
    <row r="28" spans="1:10" x14ac:dyDescent="0.25">
      <c r="A28" s="134" t="s">
        <v>183</v>
      </c>
      <c r="B28" s="137" t="str">
        <f>IF(ISBLANK('6.5Ratemaking Data'!D27),"",'6.5Ratemaking Data'!D27)</f>
        <v/>
      </c>
      <c r="C28" s="137" t="str">
        <f>IF(ISBLANK('6.5Ratemaking Data'!E27),"",'6.5Ratemaking Data'!E27)</f>
        <v/>
      </c>
      <c r="D28" s="137" t="str">
        <f>IF(ISBLANK('6.5Ratemaking Data'!F27),"",'6.5Ratemaking Data'!F27)</f>
        <v/>
      </c>
      <c r="E28" s="137" t="str">
        <f>IF(ISBLANK('6.5Ratemaking Data'!G27),"",'6.5Ratemaking Data'!G27)</f>
        <v/>
      </c>
      <c r="F28" s="137" t="str">
        <f>IF(ISBLANK('6.5Ratemaking Data'!H27),"",'6.5Ratemaking Data'!H27)</f>
        <v/>
      </c>
      <c r="G28" s="137" t="str">
        <f>IF(ISBLANK('6.5Ratemaking Data'!I27),"",'6.5Ratemaking Data'!I27)</f>
        <v/>
      </c>
      <c r="H28" s="138"/>
    </row>
    <row r="29" spans="1:10" ht="15.75" thickBot="1" x14ac:dyDescent="0.3">
      <c r="A29" s="153" t="s">
        <v>188</v>
      </c>
      <c r="B29" s="154" t="str">
        <f>IF(ISBLANK('6.5Ratemaking Data'!D29),"",'6.5Ratemaking Data'!D29)</f>
        <v/>
      </c>
      <c r="C29" s="154" t="str">
        <f>IF(ISBLANK('6.5Ratemaking Data'!E29),"",'6.5Ratemaking Data'!E29)</f>
        <v/>
      </c>
      <c r="D29" s="154" t="str">
        <f>IF(ISBLANK('6.5Ratemaking Data'!F29),"",'6.5Ratemaking Data'!F29)</f>
        <v/>
      </c>
      <c r="E29" s="154" t="str">
        <f>IF(ISBLANK('6.5Ratemaking Data'!G29),"",'6.5Ratemaking Data'!G29)</f>
        <v/>
      </c>
      <c r="F29" s="154" t="str">
        <f>IF(ISBLANK('6.5Ratemaking Data'!H29),"",'6.5Ratemaking Data'!H29)</f>
        <v/>
      </c>
      <c r="G29" s="154" t="str">
        <f>IF(ISBLANK('6.5Ratemaking Data'!I29),"",'6.5Ratemaking Data'!I29)</f>
        <v/>
      </c>
      <c r="H29" s="155">
        <f>IF(New_Program=TRUE,'6.5Ratemaking Data'!$K$29,SUM($B29:$G29))</f>
        <v>0</v>
      </c>
    </row>
    <row r="30" spans="1:10" ht="15.75" thickTop="1" x14ac:dyDescent="0.25">
      <c r="A30" s="134" t="s">
        <v>184</v>
      </c>
      <c r="B30" s="139"/>
      <c r="C30" s="139"/>
      <c r="D30" s="139"/>
      <c r="E30" s="139"/>
      <c r="F30" s="139"/>
      <c r="G30" s="139"/>
      <c r="H30" s="144">
        <f>IF(New_Program=TRUE,100%,'6.5Ratemaking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EffStd_Final05</f>
        <v/>
      </c>
    </row>
    <row r="38" spans="1:9" x14ac:dyDescent="0.25">
      <c r="A38" s="134" t="s">
        <v>191</v>
      </c>
      <c r="B38" s="90"/>
      <c r="C38" s="90"/>
      <c r="D38" s="90"/>
      <c r="E38" s="90"/>
      <c r="F38" s="693" t="s">
        <v>317</v>
      </c>
      <c r="G38" s="694">
        <f>update_leverage</f>
        <v>2021</v>
      </c>
      <c r="H38" s="190" t="str">
        <f>LevFact_Final05</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1/LevFact_Final05</f>
        <v>#VALUE!</v>
      </c>
    </row>
    <row r="41" spans="1:9" x14ac:dyDescent="0.25">
      <c r="A41" s="134" t="s">
        <v>198</v>
      </c>
      <c r="B41" s="90"/>
      <c r="C41" s="90"/>
      <c r="D41" s="90"/>
      <c r="E41" s="90"/>
      <c r="F41" s="693" t="s">
        <v>317</v>
      </c>
      <c r="G41" s="694">
        <f>update_reserveratios</f>
        <v>2021</v>
      </c>
      <c r="H41" s="191" t="str">
        <f>ResRatio_UPR05</f>
        <v/>
      </c>
    </row>
    <row r="42" spans="1:9" x14ac:dyDescent="0.25">
      <c r="A42" s="192" t="s">
        <v>194</v>
      </c>
      <c r="B42" s="90"/>
      <c r="C42" s="90"/>
      <c r="D42" s="90"/>
      <c r="E42" s="90"/>
      <c r="F42" s="693" t="s">
        <v>317</v>
      </c>
      <c r="G42" s="694">
        <f>update_reserveratios</f>
        <v>2021</v>
      </c>
      <c r="H42" s="191" t="str">
        <f>ResRatio_Loss05</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'6.5Ratemaking Data'!D$14</f>
        <v>20172</v>
      </c>
      <c r="C47" s="285" t="str">
        <f>'6.5Ratemaking Data'!E$14</f>
        <v>20182</v>
      </c>
      <c r="D47" s="285" t="str">
        <f>'6.5Ratemaking Data'!F$14</f>
        <v>20192</v>
      </c>
      <c r="E47" s="285" t="str">
        <f>'6.5Ratemaking Data'!G$14</f>
        <v>20202</v>
      </c>
      <c r="F47" s="285" t="str">
        <f>'6.5Ratemaking Data'!H$14</f>
        <v>20212</v>
      </c>
      <c r="G47" s="285">
        <f>'6.5Ratemaking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Yield*((1-FIT_Inv)/(1-FIT_UW))*ResRatio_Loss05</f>
        <v>#VALUE!</v>
      </c>
    </row>
    <row r="58" spans="1:9" x14ac:dyDescent="0.25">
      <c r="A58" s="134" t="s">
        <v>218</v>
      </c>
      <c r="B58" s="90"/>
      <c r="C58" s="90"/>
      <c r="D58" s="90"/>
      <c r="E58" s="90"/>
      <c r="F58" s="90"/>
      <c r="G58" s="90"/>
      <c r="H58" s="144" t="e">
        <f>Yield*((1-FIT_Inv)/(1-FIT_UW))*(ResRatio_UPR05+SurplusRatio)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IF(New_Program=TRUE,0,(1+Net_AnnualTrend)^MIN(4,((EffDate_Proposed-EffDate_Prior05)/365.25))-1)</f>
        <v>#VALUE!</v>
      </c>
    </row>
    <row r="61" spans="1:9" x14ac:dyDescent="0.25">
      <c r="A61" s="134" t="s">
        <v>207</v>
      </c>
      <c r="B61" s="145"/>
      <c r="C61" s="145"/>
      <c r="D61" s="145"/>
      <c r="E61" s="145"/>
      <c r="F61" s="145"/>
      <c r="G61" s="145"/>
      <c r="H61" s="144" t="e">
        <f>(ROR_Max)/(LevFact_Final05*(1-FIT_UW))</f>
        <v>#VALUE!</v>
      </c>
    </row>
    <row r="62" spans="1:9" x14ac:dyDescent="0.25">
      <c r="A62" s="134" t="s">
        <v>208</v>
      </c>
      <c r="B62" s="90"/>
      <c r="C62" s="90"/>
      <c r="D62" s="90"/>
      <c r="E62" s="90"/>
      <c r="F62" s="90"/>
      <c r="G62" s="90"/>
      <c r="H62" s="144" t="e">
        <f>(ROR_Min)/(LevFact_Final05*(1-FIT_UW))</f>
        <v>#VALUE!</v>
      </c>
    </row>
    <row r="63" spans="1:9" x14ac:dyDescent="0.25">
      <c r="A63" s="134" t="s">
        <v>209</v>
      </c>
      <c r="B63" s="90"/>
      <c r="C63" s="90"/>
      <c r="D63" s="90"/>
      <c r="E63" s="90"/>
      <c r="F63" s="90"/>
      <c r="G63" s="90"/>
      <c r="H63" s="144" t="e">
        <f>1-CredLossDCCE_perExp/Max_Premium-EffStd_Final05</f>
        <v>#VALUE!</v>
      </c>
      <c r="I63" s="252"/>
    </row>
    <row r="64" spans="1:9" x14ac:dyDescent="0.25">
      <c r="A64" s="134" t="s">
        <v>211</v>
      </c>
      <c r="B64" s="90"/>
      <c r="C64" s="90"/>
      <c r="D64" s="90"/>
      <c r="E64" s="90"/>
      <c r="F64" s="90"/>
      <c r="G64" s="90"/>
      <c r="H64" s="146" t="e">
        <f>1-EffStd_Final05-Min_Profit+InvInc_Variable</f>
        <v>#VALUE!</v>
      </c>
      <c r="I64" s="252"/>
    </row>
    <row r="65" spans="1:9" x14ac:dyDescent="0.25">
      <c r="A65" s="134" t="s">
        <v>210</v>
      </c>
      <c r="B65" s="90"/>
      <c r="C65" s="90"/>
      <c r="D65" s="90"/>
      <c r="E65" s="90"/>
      <c r="F65" s="90"/>
      <c r="G65" s="90"/>
      <c r="H65" s="146" t="e">
        <f>1-EffStd_Final05-Max_Profit+InvInc_Variable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See Column M of Page '6.5Ratemaking Data' for errors that must be corrected.</v>
      </c>
    </row>
    <row r="70" spans="1:9" ht="5.0999999999999996" hidden="1" customHeight="1" x14ac:dyDescent="0.25"/>
    <row r="71" spans="1:9" ht="15.75" hidden="1" thickBot="1" x14ac:dyDescent="0.3">
      <c r="A71" s="130" t="s">
        <v>233</v>
      </c>
      <c r="B71" s="285" t="str">
        <f>'6.5Ratemaking Data'!D$14</f>
        <v>20172</v>
      </c>
      <c r="C71" s="285" t="str">
        <f>'6.5Ratemaking Data'!E$14</f>
        <v>20182</v>
      </c>
      <c r="D71" s="285" t="str">
        <f>'6.5Ratemaking Data'!F$14</f>
        <v>20192</v>
      </c>
      <c r="E71" s="285" t="str">
        <f>'6.5Ratemaking Data'!G$14</f>
        <v>20202</v>
      </c>
      <c r="F71" s="285" t="str">
        <f>'6.5Ratemaking Data'!H$14</f>
        <v>20212</v>
      </c>
      <c r="G71" s="285">
        <f>'6.5Ratemaking Data'!I$14</f>
        <v>20222</v>
      </c>
    </row>
    <row r="72" spans="1:9" hidden="1" x14ac:dyDescent="0.25">
      <c r="A72" s="148" t="s">
        <v>232</v>
      </c>
      <c r="B72" s="142"/>
      <c r="C72" s="142"/>
      <c r="D72" s="142"/>
      <c r="E72" s="142"/>
      <c r="F72" s="142"/>
      <c r="G72" s="142"/>
      <c r="H72" s="149" t="str">
        <f>IF(ISBLANK('6.5Ratemaking Data'!J44),"",'6.5Ratemaking Data'!J44)</f>
        <v/>
      </c>
    </row>
    <row r="73" spans="1:9" hidden="1" x14ac:dyDescent="0.25">
      <c r="A73" s="150" t="s">
        <v>219</v>
      </c>
      <c r="B73" s="135" t="str">
        <f>IF(ISBLANK('6.5Ratemaking Data'!D45),"",'6.5Ratemaking Data'!D45)</f>
        <v/>
      </c>
      <c r="C73" s="135" t="str">
        <f>IF(ISBLANK('6.5Ratemaking Data'!E45),"",'6.5Ratemaking Data'!E45)</f>
        <v/>
      </c>
      <c r="D73" s="135" t="str">
        <f>IF(ISBLANK('6.5Ratemaking Data'!F45),"",'6.5Ratemaking Data'!F45)</f>
        <v/>
      </c>
      <c r="E73" s="135" t="str">
        <f>IF(ISBLANK('6.5Ratemaking Data'!G45),"",'6.5Ratemaking Data'!G45)</f>
        <v/>
      </c>
      <c r="F73" s="135" t="str">
        <f>IF(ISBLANK('6.5Ratemaking Data'!H45),"",'6.5Ratemaking Data'!H45)</f>
        <v/>
      </c>
      <c r="G73" s="135" t="str">
        <f>IF(ISBLANK('6.5Ratemaking Data'!I45),"",'6.5Ratemaking Data'!I45)</f>
        <v/>
      </c>
      <c r="H73" s="136" t="str">
        <f>IF(RIGHT(Detailed_LineCode05,1)="R",IF(New_Program=TRUE,'6.5Ratemaking Data'!$K$45,SUM($B73:$G73)),"")</f>
        <v/>
      </c>
    </row>
    <row r="74" spans="1:9" hidden="1" x14ac:dyDescent="0.25">
      <c r="A74" s="150" t="s">
        <v>220</v>
      </c>
      <c r="B74" s="135" t="str">
        <f>IF(ISBLANK('6.5Ratemaking Data'!D46),"",'6.5Ratemaking Data'!D46)</f>
        <v/>
      </c>
      <c r="C74" s="135" t="str">
        <f>IF(ISBLANK('6.5Ratemaking Data'!E46),"",'6.5Ratemaking Data'!E46)</f>
        <v/>
      </c>
      <c r="D74" s="135" t="str">
        <f>IF(ISBLANK('6.5Ratemaking Data'!F46),"",'6.5Ratemaking Data'!F46)</f>
        <v/>
      </c>
      <c r="E74" s="135" t="str">
        <f>IF(ISBLANK('6.5Ratemaking Data'!G46),"",'6.5Ratemaking Data'!G46)</f>
        <v/>
      </c>
      <c r="F74" s="135" t="str">
        <f>IF(ISBLANK('6.5Ratemaking Data'!H46),"",'6.5Ratemaking Data'!H46)</f>
        <v/>
      </c>
      <c r="G74" s="135" t="str">
        <f>IF(ISBLANK('6.5Ratemaking Data'!I46),"",'6.5Ratemaking Data'!I46)</f>
        <v/>
      </c>
      <c r="H74" s="136">
        <f>IF(New_Program=TRUE,'6.5Ratemaking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IF(AND('6.5Ratemaking Data'!Error30="",'6.5Ratemaking Data'!Error31="",'6.5Ratemaking Data'!Error32=""),"","See Column M of Page '6.5Ratemaking Data' for errors that must be corrected.")</f>
        <v/>
      </c>
    </row>
    <row r="80" spans="1:9" ht="26.25" x14ac:dyDescent="0.25">
      <c r="F80" s="783" t="s">
        <v>619</v>
      </c>
      <c r="G80" s="783"/>
      <c r="H80" s="783"/>
    </row>
    <row r="81" spans="1:1" x14ac:dyDescent="0.25">
      <c r="A81" s="152"/>
    </row>
  </sheetData>
  <sheetProtection algorithmName="SHA-512" hashValue="q4sWa/vXyG3PQ0dCGdYAEwyCzQPu8o5W8rMl/Zh0EnIyxpQ3vCqwAVY0GCnathMRv0BR4ahrPZ82tcATJQLkkw==" saltValue="WKHBTI+s+A0SYl/x3L+QkA=="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IF('6.6Ratemaking Data'!$K$7="","VARIANCE - NONE","VARIANCE "&amp;'6.6Ratemaking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EffDate_Prior06</f>
        <v/>
      </c>
    </row>
    <row r="10" spans="1:8" ht="15" customHeight="1" x14ac:dyDescent="0.25">
      <c r="A10" s="14" t="s">
        <v>170</v>
      </c>
      <c r="B10" s="62"/>
      <c r="H10" s="189">
        <f>EffDate_Proposed</f>
        <v>45323</v>
      </c>
    </row>
    <row r="11" spans="1:8" ht="15" customHeight="1" x14ac:dyDescent="0.25">
      <c r="A11" s="14" t="s">
        <v>77</v>
      </c>
      <c r="B11" s="62"/>
      <c r="H11" s="28" t="str">
        <f>Detailed_LineDesc06</f>
        <v/>
      </c>
    </row>
    <row r="12" spans="1:8" ht="15" customHeight="1" x14ac:dyDescent="0.25">
      <c r="A12" s="14" t="s">
        <v>78</v>
      </c>
      <c r="B12" s="62"/>
      <c r="H12" s="28" t="str">
        <f>Covg06</f>
        <v/>
      </c>
    </row>
    <row r="13" spans="1:8" ht="15" customHeight="1" x14ac:dyDescent="0.25">
      <c r="H13" s="608"/>
    </row>
    <row r="14" spans="1:8" ht="9.9499999999999993" customHeight="1" x14ac:dyDescent="0.25"/>
    <row r="15" spans="1:8" ht="15.75" thickBot="1" x14ac:dyDescent="0.3">
      <c r="A15" s="130" t="s">
        <v>171</v>
      </c>
      <c r="B15" s="285" t="str">
        <f>'6.6Ratemaking Data'!D$14</f>
        <v>20172</v>
      </c>
      <c r="C15" s="285" t="str">
        <f>'6.6Ratemaking Data'!E$14</f>
        <v>20182</v>
      </c>
      <c r="D15" s="285" t="str">
        <f>'6.6Ratemaking Data'!F$14</f>
        <v>20192</v>
      </c>
      <c r="E15" s="285" t="str">
        <f>'6.6Ratemaking Data'!G$14</f>
        <v>20202</v>
      </c>
      <c r="F15" s="285" t="str">
        <f>'6.6Ratemaking Data'!H$14</f>
        <v>20212</v>
      </c>
      <c r="G15" s="285">
        <f>'6.6Ratemaking Data'!I$14</f>
        <v>20222</v>
      </c>
      <c r="H15" s="105" t="s">
        <v>306</v>
      </c>
    </row>
    <row r="16" spans="1:8" x14ac:dyDescent="0.25">
      <c r="A16" s="131" t="s">
        <v>173</v>
      </c>
      <c r="B16" s="132" t="str">
        <f>IF(ISBLANK('6.6Ratemaking Data'!D15),"",'6.6Ratemaking Data'!D15)</f>
        <v/>
      </c>
      <c r="C16" s="132" t="str">
        <f>IF(ISBLANK('6.6Ratemaking Data'!E15),"",'6.6Ratemaking Data'!E15)</f>
        <v/>
      </c>
      <c r="D16" s="132" t="str">
        <f>IF(ISBLANK('6.6Ratemaking Data'!F15),"",'6.6Ratemaking Data'!F15)</f>
        <v/>
      </c>
      <c r="E16" s="132" t="str">
        <f>IF(ISBLANK('6.6Ratemaking Data'!G15),"",'6.6Ratemaking Data'!G15)</f>
        <v/>
      </c>
      <c r="F16" s="132" t="str">
        <f>IF(ISBLANK('6.6Ratemaking Data'!H15),"",'6.6Ratemaking Data'!H15)</f>
        <v/>
      </c>
      <c r="G16" s="132" t="str">
        <f>IF(ISBLANK('6.6Ratemaking Data'!I15),"",'6.6Ratemaking Data'!I15)</f>
        <v/>
      </c>
      <c r="H16" s="133">
        <f>IF(New_Program=TRUE,'6.6Ratemaking Data'!$K$15,SUM($B16:$G16))</f>
        <v>0</v>
      </c>
    </row>
    <row r="17" spans="1:10" x14ac:dyDescent="0.25">
      <c r="A17" s="134" t="s">
        <v>172</v>
      </c>
      <c r="B17" s="135" t="str">
        <f>IF(ISBLANK('6.6Ratemaking Data'!D16),"",'6.6Ratemaking Data'!D16)</f>
        <v/>
      </c>
      <c r="C17" s="135" t="str">
        <f>IF(ISBLANK('6.6Ratemaking Data'!E16),"",'6.6Ratemaking Data'!E16)</f>
        <v/>
      </c>
      <c r="D17" s="135" t="str">
        <f>IF(ISBLANK('6.6Ratemaking Data'!F16),"",'6.6Ratemaking Data'!F16)</f>
        <v/>
      </c>
      <c r="E17" s="135" t="str">
        <f>IF(ISBLANK('6.6Ratemaking Data'!G16),"",'6.6Ratemaking Data'!G16)</f>
        <v/>
      </c>
      <c r="F17" s="135" t="str">
        <f>IF(ISBLANK('6.6Ratemaking Data'!H16),"",'6.6Ratemaking Data'!H16)</f>
        <v/>
      </c>
      <c r="G17" s="135" t="str">
        <f>IF(ISBLANK('6.6Ratemaking Data'!I16),"",'6.6Ratemaking Data'!I16)</f>
        <v/>
      </c>
      <c r="H17" s="136">
        <f>IF(New_Program=TRUE,'6.6Ratemaking Data'!$K$16,SUM($B17:$G17))</f>
        <v>0</v>
      </c>
    </row>
    <row r="18" spans="1:10" x14ac:dyDescent="0.25">
      <c r="A18" s="134" t="s">
        <v>174</v>
      </c>
      <c r="B18" s="137" t="str">
        <f>IF(ISBLANK('6.6Ratemaking Data'!D17),"",'6.6Ratemaking Data'!D17)</f>
        <v/>
      </c>
      <c r="C18" s="137" t="str">
        <f>IF(ISBLANK('6.6Ratemaking Data'!E17),"",'6.6Ratemaking Data'!E17)</f>
        <v/>
      </c>
      <c r="D18" s="137" t="str">
        <f>IF(ISBLANK('6.6Ratemaking Data'!F17),"",'6.6Ratemaking Data'!F17)</f>
        <v/>
      </c>
      <c r="E18" s="137" t="str">
        <f>IF(ISBLANK('6.6Ratemaking Data'!G17),"",'6.6Ratemaking Data'!G17)</f>
        <v/>
      </c>
      <c r="F18" s="137" t="str">
        <f>IF(ISBLANK('6.6Ratemaking Data'!H17),"",'6.6Ratemaking Data'!H17)</f>
        <v/>
      </c>
      <c r="G18" s="137" t="str">
        <f>IF(ISBLANK('6.6Ratemaking Data'!I17),"",'6.6Ratemaking Data'!I17)</f>
        <v/>
      </c>
      <c r="H18" s="138"/>
    </row>
    <row r="19" spans="1:10" x14ac:dyDescent="0.25">
      <c r="A19" s="134" t="s">
        <v>175</v>
      </c>
      <c r="B19" s="137" t="str">
        <f>IF(ISBLANK('6.6Ratemaking Data'!D18),"",'6.6Ratemaking Data'!D18)</f>
        <v/>
      </c>
      <c r="C19" s="137" t="str">
        <f>IF(ISBLANK('6.6Ratemaking Data'!E18),"",'6.6Ratemaking Data'!E18)</f>
        <v/>
      </c>
      <c r="D19" s="137" t="str">
        <f>IF(ISBLANK('6.6Ratemaking Data'!F18),"",'6.6Ratemaking Data'!F18)</f>
        <v/>
      </c>
      <c r="E19" s="137" t="str">
        <f>IF(ISBLANK('6.6Ratemaking Data'!G18),"",'6.6Ratemaking Data'!G18)</f>
        <v/>
      </c>
      <c r="F19" s="137" t="str">
        <f>IF(ISBLANK('6.6Ratemaking Data'!H18),"",'6.6Ratemaking Data'!H18)</f>
        <v/>
      </c>
      <c r="G19" s="137" t="str">
        <f>IF(ISBLANK('6.6Ratemaking Data'!I18),"",'6.6Ratemaking Data'!I18)</f>
        <v/>
      </c>
      <c r="H19" s="144">
        <f>IF(New_Program=TRUE,0,'6.6Ratemaking Data'!$J$18)</f>
        <v>0</v>
      </c>
    </row>
    <row r="20" spans="1:10" x14ac:dyDescent="0.25">
      <c r="A20" s="134" t="s">
        <v>176</v>
      </c>
      <c r="B20" s="135" t="str">
        <f>IF(ISBLANK('6.6Ratemaking Data'!D19),"",'6.6Ratemaking Data'!D19)</f>
        <v/>
      </c>
      <c r="C20" s="135" t="str">
        <f>IF(ISBLANK('6.6Ratemaking Data'!E19),"",'6.6Ratemaking Data'!E19)</f>
        <v/>
      </c>
      <c r="D20" s="135" t="str">
        <f>IF(ISBLANK('6.6Ratemaking Data'!F19),"",'6.6Ratemaking Data'!F19)</f>
        <v/>
      </c>
      <c r="E20" s="135" t="str">
        <f>IF(ISBLANK('6.6Ratemaking Data'!G19),"",'6.6Ratemaking Data'!G19)</f>
        <v/>
      </c>
      <c r="F20" s="135" t="str">
        <f>IF(ISBLANK('6.6Ratemaking Data'!H19),"",'6.6Ratemaking Data'!H19)</f>
        <v/>
      </c>
      <c r="G20" s="135" t="str">
        <f>IF(ISBLANK('6.6Ratemaking Data'!I19),"",'6.6Ratemaking Data'!I19)</f>
        <v/>
      </c>
      <c r="H20" s="136">
        <f>IF(New_Program=TRUE,'6.6Ratemaking Data'!$K$19,SUM($B20:$G20))</f>
        <v>0</v>
      </c>
    </row>
    <row r="21" spans="1:10" x14ac:dyDescent="0.25">
      <c r="A21" s="134" t="s">
        <v>177</v>
      </c>
      <c r="B21" s="135" t="str">
        <f>IF(ISBLANK('6.6Ratemaking Data'!D20),"",'6.6Ratemaking Data'!D20)</f>
        <v/>
      </c>
      <c r="C21" s="135" t="str">
        <f>IF(ISBLANK('6.6Ratemaking Data'!E20),"",'6.6Ratemaking Data'!E20)</f>
        <v/>
      </c>
      <c r="D21" s="135" t="str">
        <f>IF(ISBLANK('6.6Ratemaking Data'!F20),"",'6.6Ratemaking Data'!F20)</f>
        <v/>
      </c>
      <c r="E21" s="135" t="str">
        <f>IF(ISBLANK('6.6Ratemaking Data'!G20),"",'6.6Ratemaking Data'!G20)</f>
        <v/>
      </c>
      <c r="F21" s="135" t="str">
        <f>IF(ISBLANK('6.6Ratemaking Data'!H20),"",'6.6Ratemaking Data'!H20)</f>
        <v/>
      </c>
      <c r="G21" s="135" t="str">
        <f>IF(ISBLANK('6.6Ratemaking Data'!I20),"",'6.6Ratemaking Data'!I20)</f>
        <v/>
      </c>
      <c r="H21" s="136">
        <f>IF(New_Program=TRUE,'6.6Ratemaking Data'!$K$20,SUM($B21:$G21))</f>
        <v>0</v>
      </c>
      <c r="J21" s="126"/>
    </row>
    <row r="22" spans="1:10" x14ac:dyDescent="0.25">
      <c r="A22" s="134" t="s">
        <v>178</v>
      </c>
      <c r="B22" s="135" t="str">
        <f>IF(ISBLANK('6.6Ratemaking Data'!D21),"",'6.6Ratemaking Data'!D21)</f>
        <v/>
      </c>
      <c r="C22" s="135" t="str">
        <f>IF(ISBLANK('6.6Ratemaking Data'!E21),"",'6.6Ratemaking Data'!E21)</f>
        <v/>
      </c>
      <c r="D22" s="135" t="str">
        <f>IF(ISBLANK('6.6Ratemaking Data'!F21),"",'6.6Ratemaking Data'!F21)</f>
        <v/>
      </c>
      <c r="E22" s="135" t="str">
        <f>IF(ISBLANK('6.6Ratemaking Data'!G21),"",'6.6Ratemaking Data'!G21)</f>
        <v/>
      </c>
      <c r="F22" s="135" t="str">
        <f>IF(ISBLANK('6.6Ratemaking Data'!H21),"",'6.6Ratemaking Data'!H21)</f>
        <v/>
      </c>
      <c r="G22" s="135" t="str">
        <f>IF(ISBLANK('6.6Ratemaking Data'!I21),"",'6.6Ratemaking Data'!I21)</f>
        <v/>
      </c>
      <c r="H22" s="136">
        <f>IF(New_Program=TRUE,'6.6Ratemaking Data'!$K$21,SUM($B22:$G22))</f>
        <v>0</v>
      </c>
      <c r="J22" s="126"/>
    </row>
    <row r="23" spans="1:10" x14ac:dyDescent="0.25">
      <c r="A23" s="134" t="s">
        <v>144</v>
      </c>
      <c r="B23" s="135" t="str">
        <f>IF(ISBLANK('6.6Ratemaking Data'!D22),"",'6.6Ratemaking Data'!D22)</f>
        <v/>
      </c>
      <c r="C23" s="135" t="str">
        <f>IF(ISBLANK('6.6Ratemaking Data'!E22),"",'6.6Ratemaking Data'!E22)</f>
        <v/>
      </c>
      <c r="D23" s="135" t="str">
        <f>IF(ISBLANK('6.6Ratemaking Data'!F22),"",'6.6Ratemaking Data'!F22)</f>
        <v/>
      </c>
      <c r="E23" s="135" t="str">
        <f>IF(ISBLANK('6.6Ratemaking Data'!G22),"",'6.6Ratemaking Data'!G22)</f>
        <v/>
      </c>
      <c r="F23" s="135" t="str">
        <f>IF(ISBLANK('6.6Ratemaking Data'!H22),"",'6.6Ratemaking Data'!H22)</f>
        <v/>
      </c>
      <c r="G23" s="135" t="str">
        <f>IF(ISBLANK('6.6Ratemaking Data'!I22),"",'6.6Ratemaking Data'!I22)</f>
        <v/>
      </c>
      <c r="H23" s="136">
        <f>IF(New_Program=TRUE,'6.6Ratemaking Data'!$K$22,SUM($B23:$G23))</f>
        <v>0</v>
      </c>
      <c r="J23" s="126"/>
    </row>
    <row r="24" spans="1:10" x14ac:dyDescent="0.25">
      <c r="A24" s="134" t="s">
        <v>181</v>
      </c>
      <c r="B24" s="137" t="str">
        <f>IF(ISBLANK('6.6Ratemaking Data'!D23),"",'6.6Ratemaking Data'!D23)</f>
        <v/>
      </c>
      <c r="C24" s="137" t="str">
        <f>IF(ISBLANK('6.6Ratemaking Data'!E23),"",'6.6Ratemaking Data'!E23)</f>
        <v/>
      </c>
      <c r="D24" s="137" t="str">
        <f>IF(ISBLANK('6.6Ratemaking Data'!F23),"",'6.6Ratemaking Data'!F23)</f>
        <v/>
      </c>
      <c r="E24" s="137" t="str">
        <f>IF(ISBLANK('6.6Ratemaking Data'!G23),"",'6.6Ratemaking Data'!G23)</f>
        <v/>
      </c>
      <c r="F24" s="137" t="str">
        <f>IF(ISBLANK('6.6Ratemaking Data'!H23),"",'6.6Ratemaking Data'!H23)</f>
        <v/>
      </c>
      <c r="G24" s="137" t="str">
        <f>IF(ISBLANK('6.6Ratemaking Data'!I23),"",'6.6Ratemaking Data'!I23)</f>
        <v/>
      </c>
      <c r="H24" s="138"/>
    </row>
    <row r="25" spans="1:10" x14ac:dyDescent="0.25">
      <c r="A25" s="134" t="s">
        <v>182</v>
      </c>
      <c r="B25" s="137" t="str">
        <f>IF(ISBLANK('6.6Ratemaking Data'!D24),"",'6.6Ratemaking Data'!D24)</f>
        <v/>
      </c>
      <c r="C25" s="137" t="str">
        <f>IF(ISBLANK('6.6Ratemaking Data'!E24),"",'6.6Ratemaking Data'!E24)</f>
        <v/>
      </c>
      <c r="D25" s="137" t="str">
        <f>IF(ISBLANK('6.6Ratemaking Data'!F24),"",'6.6Ratemaking Data'!F24)</f>
        <v/>
      </c>
      <c r="E25" s="137" t="str">
        <f>IF(ISBLANK('6.6Ratemaking Data'!G24),"",'6.6Ratemaking Data'!G24)</f>
        <v/>
      </c>
      <c r="F25" s="137" t="str">
        <f>IF(ISBLANK('6.6Ratemaking Data'!H24),"",'6.6Ratemaking Data'!H24)</f>
        <v/>
      </c>
      <c r="G25" s="137" t="str">
        <f>IF(ISBLANK('6.6Ratemaking Data'!I24),"",'6.6Ratemaking Data'!I24)</f>
        <v/>
      </c>
      <c r="H25" s="138"/>
    </row>
    <row r="26" spans="1:10" x14ac:dyDescent="0.25">
      <c r="A26" s="134" t="s">
        <v>179</v>
      </c>
      <c r="B26" s="137" t="str">
        <f>IF(ISBLANK('6.6Ratemaking Data'!D25),"",'6.6Ratemaking Data'!D25)</f>
        <v/>
      </c>
      <c r="C26" s="137" t="str">
        <f>IF(ISBLANK('6.6Ratemaking Data'!E25),"",'6.6Ratemaking Data'!E25)</f>
        <v/>
      </c>
      <c r="D26" s="137" t="str">
        <f>IF(ISBLANK('6.6Ratemaking Data'!F25),"",'6.6Ratemaking Data'!F25)</f>
        <v/>
      </c>
      <c r="E26" s="137" t="str">
        <f>IF(ISBLANK('6.6Ratemaking Data'!G25),"",'6.6Ratemaking Data'!G25)</f>
        <v/>
      </c>
      <c r="F26" s="137" t="str">
        <f>IF(ISBLANK('6.6Ratemaking Data'!H25),"",'6.6Ratemaking Data'!H25)</f>
        <v/>
      </c>
      <c r="G26" s="137" t="str">
        <f>IF(ISBLANK('6.6Ratemaking Data'!I25),"",'6.6Ratemaking Data'!I25)</f>
        <v/>
      </c>
      <c r="H26" s="144">
        <f>IF(New_Program=TRUE,0,'6.6Ratemaking Data'!$J$25)</f>
        <v>0</v>
      </c>
    </row>
    <row r="27" spans="1:10" x14ac:dyDescent="0.25">
      <c r="A27" s="134" t="s">
        <v>180</v>
      </c>
      <c r="B27" s="137" t="str">
        <f>IF(ISBLANK('6.6Ratemaking Data'!D26),"",'6.6Ratemaking Data'!D26)</f>
        <v/>
      </c>
      <c r="C27" s="137" t="str">
        <f>IF(ISBLANK('6.6Ratemaking Data'!E26),"",'6.6Ratemaking Data'!E26)</f>
        <v/>
      </c>
      <c r="D27" s="137" t="str">
        <f>IF(ISBLANK('6.6Ratemaking Data'!F26),"",'6.6Ratemaking Data'!F26)</f>
        <v/>
      </c>
      <c r="E27" s="137" t="str">
        <f>IF(ISBLANK('6.6Ratemaking Data'!G26),"",'6.6Ratemaking Data'!G26)</f>
        <v/>
      </c>
      <c r="F27" s="137" t="str">
        <f>IF(ISBLANK('6.6Ratemaking Data'!H26),"",'6.6Ratemaking Data'!H26)</f>
        <v/>
      </c>
      <c r="G27" s="137" t="str">
        <f>IF(ISBLANK('6.6Ratemaking Data'!I26),"",'6.6Ratemaking Data'!I26)</f>
        <v/>
      </c>
      <c r="H27" s="144">
        <f>IF(New_Program=TRUE,0,'6.6Ratemaking Data'!$J$26)</f>
        <v>0</v>
      </c>
    </row>
    <row r="28" spans="1:10" x14ac:dyDescent="0.25">
      <c r="A28" s="134" t="s">
        <v>183</v>
      </c>
      <c r="B28" s="137" t="str">
        <f>IF(ISBLANK('6.6Ratemaking Data'!D27),"",'6.6Ratemaking Data'!D27)</f>
        <v/>
      </c>
      <c r="C28" s="137" t="str">
        <f>IF(ISBLANK('6.6Ratemaking Data'!E27),"",'6.6Ratemaking Data'!E27)</f>
        <v/>
      </c>
      <c r="D28" s="137" t="str">
        <f>IF(ISBLANK('6.6Ratemaking Data'!F27),"",'6.6Ratemaking Data'!F27)</f>
        <v/>
      </c>
      <c r="E28" s="137" t="str">
        <f>IF(ISBLANK('6.6Ratemaking Data'!G27),"",'6.6Ratemaking Data'!G27)</f>
        <v/>
      </c>
      <c r="F28" s="137" t="str">
        <f>IF(ISBLANK('6.6Ratemaking Data'!H27),"",'6.6Ratemaking Data'!H27)</f>
        <v/>
      </c>
      <c r="G28" s="137" t="str">
        <f>IF(ISBLANK('6.6Ratemaking Data'!I27),"",'6.6Ratemaking Data'!I27)</f>
        <v/>
      </c>
      <c r="H28" s="138"/>
    </row>
    <row r="29" spans="1:10" ht="15.75" thickBot="1" x14ac:dyDescent="0.3">
      <c r="A29" s="153" t="s">
        <v>188</v>
      </c>
      <c r="B29" s="154" t="str">
        <f>IF(ISBLANK('6.6Ratemaking Data'!D29),"",'6.6Ratemaking Data'!D29)</f>
        <v/>
      </c>
      <c r="C29" s="154" t="str">
        <f>IF(ISBLANK('6.6Ratemaking Data'!E29),"",'6.6Ratemaking Data'!E29)</f>
        <v/>
      </c>
      <c r="D29" s="154" t="str">
        <f>IF(ISBLANK('6.6Ratemaking Data'!F29),"",'6.6Ratemaking Data'!F29)</f>
        <v/>
      </c>
      <c r="E29" s="154" t="str">
        <f>IF(ISBLANK('6.6Ratemaking Data'!G29),"",'6.6Ratemaking Data'!G29)</f>
        <v/>
      </c>
      <c r="F29" s="154" t="str">
        <f>IF(ISBLANK('6.6Ratemaking Data'!H29),"",'6.6Ratemaking Data'!H29)</f>
        <v/>
      </c>
      <c r="G29" s="154" t="str">
        <f>IF(ISBLANK('6.6Ratemaking Data'!I29),"",'6.6Ratemaking Data'!I29)</f>
        <v/>
      </c>
      <c r="H29" s="155">
        <f>IF(New_Program=TRUE,'6.6Ratemaking Data'!$K$29,SUM($B29:$G29))</f>
        <v>0</v>
      </c>
    </row>
    <row r="30" spans="1:10" ht="15.75" thickTop="1" x14ac:dyDescent="0.25">
      <c r="A30" s="134" t="s">
        <v>184</v>
      </c>
      <c r="B30" s="139"/>
      <c r="C30" s="139"/>
      <c r="D30" s="139"/>
      <c r="E30" s="139"/>
      <c r="F30" s="139"/>
      <c r="G30" s="139"/>
      <c r="H30" s="144">
        <f>IF(New_Program=TRUE,100%,'6.6Ratemaking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EffStd_Final06</f>
        <v/>
      </c>
    </row>
    <row r="38" spans="1:9" x14ac:dyDescent="0.25">
      <c r="A38" s="134" t="s">
        <v>191</v>
      </c>
      <c r="B38" s="90"/>
      <c r="C38" s="90"/>
      <c r="D38" s="90"/>
      <c r="E38" s="90"/>
      <c r="F38" s="693" t="s">
        <v>317</v>
      </c>
      <c r="G38" s="694">
        <f>update_leverage</f>
        <v>2021</v>
      </c>
      <c r="H38" s="190" t="str">
        <f>LevFact_Final06</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1/LevFact_Final06</f>
        <v>#VALUE!</v>
      </c>
    </row>
    <row r="41" spans="1:9" x14ac:dyDescent="0.25">
      <c r="A41" s="134" t="s">
        <v>198</v>
      </c>
      <c r="B41" s="90"/>
      <c r="C41" s="90"/>
      <c r="D41" s="90"/>
      <c r="E41" s="90"/>
      <c r="F41" s="693" t="s">
        <v>317</v>
      </c>
      <c r="G41" s="694">
        <f>update_reserveratios</f>
        <v>2021</v>
      </c>
      <c r="H41" s="191" t="str">
        <f>ResRatio_UPR06</f>
        <v/>
      </c>
    </row>
    <row r="42" spans="1:9" x14ac:dyDescent="0.25">
      <c r="A42" s="192" t="s">
        <v>194</v>
      </c>
      <c r="B42" s="90"/>
      <c r="C42" s="90"/>
      <c r="D42" s="90"/>
      <c r="E42" s="90"/>
      <c r="F42" s="693" t="s">
        <v>317</v>
      </c>
      <c r="G42" s="694">
        <f>update_reserveratios</f>
        <v>2021</v>
      </c>
      <c r="H42" s="191" t="str">
        <f>ResRatio_Loss06</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'6.6Ratemaking Data'!D$14</f>
        <v>20172</v>
      </c>
      <c r="C47" s="285" t="str">
        <f>'6.6Ratemaking Data'!E$14</f>
        <v>20182</v>
      </c>
      <c r="D47" s="285" t="str">
        <f>'6.6Ratemaking Data'!F$14</f>
        <v>20192</v>
      </c>
      <c r="E47" s="285" t="str">
        <f>'6.6Ratemaking Data'!G$14</f>
        <v>20202</v>
      </c>
      <c r="F47" s="285" t="str">
        <f>'6.6Ratemaking Data'!H$14</f>
        <v>20212</v>
      </c>
      <c r="G47" s="285">
        <f>'6.6Ratemaking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Yield*((1-FIT_Inv)/(1-FIT_UW))*ResRatio_Loss06</f>
        <v>#VALUE!</v>
      </c>
    </row>
    <row r="58" spans="1:9" x14ac:dyDescent="0.25">
      <c r="A58" s="134" t="s">
        <v>218</v>
      </c>
      <c r="B58" s="90"/>
      <c r="C58" s="90"/>
      <c r="D58" s="90"/>
      <c r="E58" s="90"/>
      <c r="F58" s="90"/>
      <c r="G58" s="90"/>
      <c r="H58" s="144" t="e">
        <f>Yield*((1-FIT_Inv)/(1-FIT_UW))*(ResRatio_UPR06+SurplusRatio)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IF(New_Program=TRUE,0,(1+Net_AnnualTrend)^MIN(4,((EffDate_Proposed-EffDate_Prior06)/365.25))-1)</f>
        <v>#VALUE!</v>
      </c>
    </row>
    <row r="61" spans="1:9" x14ac:dyDescent="0.25">
      <c r="A61" s="134" t="s">
        <v>207</v>
      </c>
      <c r="B61" s="145"/>
      <c r="C61" s="145"/>
      <c r="D61" s="145"/>
      <c r="E61" s="145"/>
      <c r="F61" s="145"/>
      <c r="G61" s="145"/>
      <c r="H61" s="144" t="e">
        <f>(ROR_Max)/(LevFact_Final06*(1-FIT_UW))</f>
        <v>#VALUE!</v>
      </c>
    </row>
    <row r="62" spans="1:9" x14ac:dyDescent="0.25">
      <c r="A62" s="134" t="s">
        <v>208</v>
      </c>
      <c r="B62" s="90"/>
      <c r="C62" s="90"/>
      <c r="D62" s="90"/>
      <c r="E62" s="90"/>
      <c r="F62" s="90"/>
      <c r="G62" s="90"/>
      <c r="H62" s="144" t="e">
        <f>(ROR_Min)/(LevFact_Final06*(1-FIT_UW))</f>
        <v>#VALUE!</v>
      </c>
    </row>
    <row r="63" spans="1:9" x14ac:dyDescent="0.25">
      <c r="A63" s="134" t="s">
        <v>209</v>
      </c>
      <c r="B63" s="90"/>
      <c r="C63" s="90"/>
      <c r="D63" s="90"/>
      <c r="E63" s="90"/>
      <c r="F63" s="90"/>
      <c r="G63" s="90"/>
      <c r="H63" s="144" t="e">
        <f>1-CredLossDCCE_perExp/Max_Premium-EffStd_Final06</f>
        <v>#VALUE!</v>
      </c>
      <c r="I63" s="252"/>
    </row>
    <row r="64" spans="1:9" x14ac:dyDescent="0.25">
      <c r="A64" s="134" t="s">
        <v>211</v>
      </c>
      <c r="B64" s="90"/>
      <c r="C64" s="90"/>
      <c r="D64" s="90"/>
      <c r="E64" s="90"/>
      <c r="F64" s="90"/>
      <c r="G64" s="90"/>
      <c r="H64" s="146" t="e">
        <f>1-EffStd_Final06-Min_Profit+InvInc_Variable</f>
        <v>#VALUE!</v>
      </c>
      <c r="I64" s="252"/>
    </row>
    <row r="65" spans="1:9" x14ac:dyDescent="0.25">
      <c r="A65" s="134" t="s">
        <v>210</v>
      </c>
      <c r="B65" s="90"/>
      <c r="C65" s="90"/>
      <c r="D65" s="90"/>
      <c r="E65" s="90"/>
      <c r="F65" s="90"/>
      <c r="G65" s="90"/>
      <c r="H65" s="146" t="e">
        <f>1-EffStd_Final06-Max_Profit+InvInc_Variable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See Column M of Page '6.6Ratemaking Data' for errors that must be corrected.</v>
      </c>
    </row>
    <row r="70" spans="1:9" ht="5.0999999999999996" hidden="1" customHeight="1" x14ac:dyDescent="0.25"/>
    <row r="71" spans="1:9" ht="15.75" hidden="1" thickBot="1" x14ac:dyDescent="0.3">
      <c r="A71" s="130" t="s">
        <v>233</v>
      </c>
      <c r="B71" s="285" t="str">
        <f>'6.6Ratemaking Data'!D$14</f>
        <v>20172</v>
      </c>
      <c r="C71" s="285" t="str">
        <f>'6.6Ratemaking Data'!E$14</f>
        <v>20182</v>
      </c>
      <c r="D71" s="285" t="str">
        <f>'6.6Ratemaking Data'!F$14</f>
        <v>20192</v>
      </c>
      <c r="E71" s="285" t="str">
        <f>'6.6Ratemaking Data'!G$14</f>
        <v>20202</v>
      </c>
      <c r="F71" s="285" t="str">
        <f>'6.6Ratemaking Data'!H$14</f>
        <v>20212</v>
      </c>
      <c r="G71" s="285">
        <f>'6.6Ratemaking Data'!I$14</f>
        <v>20222</v>
      </c>
    </row>
    <row r="72" spans="1:9" hidden="1" x14ac:dyDescent="0.25">
      <c r="A72" s="148" t="s">
        <v>232</v>
      </c>
      <c r="B72" s="142"/>
      <c r="C72" s="142"/>
      <c r="D72" s="142"/>
      <c r="E72" s="142"/>
      <c r="F72" s="142"/>
      <c r="G72" s="142"/>
      <c r="H72" s="149" t="str">
        <f>IF(ISBLANK('6.6Ratemaking Data'!J44),"",'6.6Ratemaking Data'!J44)</f>
        <v/>
      </c>
    </row>
    <row r="73" spans="1:9" hidden="1" x14ac:dyDescent="0.25">
      <c r="A73" s="150" t="s">
        <v>219</v>
      </c>
      <c r="B73" s="135" t="str">
        <f>IF(ISBLANK('6.6Ratemaking Data'!D45),"",'6.6Ratemaking Data'!D45)</f>
        <v/>
      </c>
      <c r="C73" s="135" t="str">
        <f>IF(ISBLANK('6.6Ratemaking Data'!E45),"",'6.6Ratemaking Data'!E45)</f>
        <v/>
      </c>
      <c r="D73" s="135" t="str">
        <f>IF(ISBLANK('6.6Ratemaking Data'!F45),"",'6.6Ratemaking Data'!F45)</f>
        <v/>
      </c>
      <c r="E73" s="135" t="str">
        <f>IF(ISBLANK('6.6Ratemaking Data'!G45),"",'6.6Ratemaking Data'!G45)</f>
        <v/>
      </c>
      <c r="F73" s="135" t="str">
        <f>IF(ISBLANK('6.6Ratemaking Data'!H45),"",'6.6Ratemaking Data'!H45)</f>
        <v/>
      </c>
      <c r="G73" s="135" t="str">
        <f>IF(ISBLANK('6.6Ratemaking Data'!I45),"",'6.6Ratemaking Data'!I45)</f>
        <v/>
      </c>
      <c r="H73" s="136" t="str">
        <f>IF(RIGHT(Detailed_LineCode06,1)="R",IF(New_Program=TRUE,'6.6Ratemaking Data'!$K$45,SUM($B73:$G73)),"")</f>
        <v/>
      </c>
    </row>
    <row r="74" spans="1:9" hidden="1" x14ac:dyDescent="0.25">
      <c r="A74" s="150" t="s">
        <v>220</v>
      </c>
      <c r="B74" s="135" t="str">
        <f>IF(ISBLANK('6.6Ratemaking Data'!D46),"",'6.6Ratemaking Data'!D46)</f>
        <v/>
      </c>
      <c r="C74" s="135" t="str">
        <f>IF(ISBLANK('6.6Ratemaking Data'!E46),"",'6.6Ratemaking Data'!E46)</f>
        <v/>
      </c>
      <c r="D74" s="135" t="str">
        <f>IF(ISBLANK('6.6Ratemaking Data'!F46),"",'6.6Ratemaking Data'!F46)</f>
        <v/>
      </c>
      <c r="E74" s="135" t="str">
        <f>IF(ISBLANK('6.6Ratemaking Data'!G46),"",'6.6Ratemaking Data'!G46)</f>
        <v/>
      </c>
      <c r="F74" s="135" t="str">
        <f>IF(ISBLANK('6.6Ratemaking Data'!H46),"",'6.6Ratemaking Data'!H46)</f>
        <v/>
      </c>
      <c r="G74" s="135" t="str">
        <f>IF(ISBLANK('6.6Ratemaking Data'!I46),"",'6.6Ratemaking Data'!I46)</f>
        <v/>
      </c>
      <c r="H74" s="136">
        <f>IF(New_Program=TRUE,'6.6Ratemaking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IF(AND('6.6Ratemaking Data'!Error30="",'6.6Ratemaking Data'!Error31="",'6.6Ratemaking Data'!Error32=""),"","See Column M of Page '6.6Ratemaking Data' for errors that must be corrected.")</f>
        <v/>
      </c>
    </row>
    <row r="80" spans="1:9" ht="26.25" x14ac:dyDescent="0.25">
      <c r="F80" s="783" t="s">
        <v>618</v>
      </c>
      <c r="G80" s="783"/>
      <c r="H80" s="783"/>
    </row>
    <row r="81" spans="1:1" x14ac:dyDescent="0.25">
      <c r="A81" s="152"/>
    </row>
  </sheetData>
  <sheetProtection algorithmName="SHA-512" hashValue="w3Q+amv/rLEP/VHR5a4EqOb7KEE/2UvXIZC5buqsRiim9D9z1t+KYquRI47f56xMicfURSnavN/TAOSiVyc0aw==" saltValue="M4+L+Mal6tmGO661ghyxnw=="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IF('6.7Ratemaking Data'!$K$7="","VARIANCE - NONE","VARIANCE "&amp;'6.7Ratemaking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EffDate_Prior07</f>
        <v/>
      </c>
    </row>
    <row r="10" spans="1:8" ht="15" customHeight="1" x14ac:dyDescent="0.25">
      <c r="A10" s="14" t="s">
        <v>170</v>
      </c>
      <c r="B10" s="62"/>
      <c r="H10" s="189">
        <f>EffDate_Proposed</f>
        <v>45323</v>
      </c>
    </row>
    <row r="11" spans="1:8" ht="15" customHeight="1" x14ac:dyDescent="0.25">
      <c r="A11" s="14" t="s">
        <v>77</v>
      </c>
      <c r="B11" s="62"/>
      <c r="H11" s="28" t="str">
        <f>Detailed_LineDesc07</f>
        <v/>
      </c>
    </row>
    <row r="12" spans="1:8" ht="15" customHeight="1" x14ac:dyDescent="0.25">
      <c r="A12" s="14" t="s">
        <v>78</v>
      </c>
      <c r="B12" s="62"/>
      <c r="H12" s="28" t="str">
        <f>Covg07</f>
        <v/>
      </c>
    </row>
    <row r="13" spans="1:8" ht="15" customHeight="1" x14ac:dyDescent="0.25">
      <c r="H13" s="608"/>
    </row>
    <row r="14" spans="1:8" ht="9.9499999999999993" customHeight="1" x14ac:dyDescent="0.25"/>
    <row r="15" spans="1:8" ht="15.75" thickBot="1" x14ac:dyDescent="0.3">
      <c r="A15" s="130" t="s">
        <v>171</v>
      </c>
      <c r="B15" s="285" t="str">
        <f>'6.7Ratemaking Data'!D$14</f>
        <v>20172</v>
      </c>
      <c r="C15" s="285" t="str">
        <f>'6.7Ratemaking Data'!E$14</f>
        <v>20182</v>
      </c>
      <c r="D15" s="285" t="str">
        <f>'6.7Ratemaking Data'!F$14</f>
        <v>20192</v>
      </c>
      <c r="E15" s="285" t="str">
        <f>'6.7Ratemaking Data'!G$14</f>
        <v>20202</v>
      </c>
      <c r="F15" s="285" t="str">
        <f>'6.7Ratemaking Data'!H$14</f>
        <v>20212</v>
      </c>
      <c r="G15" s="285">
        <f>'6.7Ratemaking Data'!I$14</f>
        <v>20222</v>
      </c>
      <c r="H15" s="105" t="s">
        <v>306</v>
      </c>
    </row>
    <row r="16" spans="1:8" x14ac:dyDescent="0.25">
      <c r="A16" s="131" t="s">
        <v>173</v>
      </c>
      <c r="B16" s="132" t="str">
        <f>IF(ISBLANK('6.7Ratemaking Data'!D15),"",'6.7Ratemaking Data'!D15)</f>
        <v/>
      </c>
      <c r="C16" s="132" t="str">
        <f>IF(ISBLANK('6.7Ratemaking Data'!E15),"",'6.7Ratemaking Data'!E15)</f>
        <v/>
      </c>
      <c r="D16" s="132" t="str">
        <f>IF(ISBLANK('6.7Ratemaking Data'!F15),"",'6.7Ratemaking Data'!F15)</f>
        <v/>
      </c>
      <c r="E16" s="132" t="str">
        <f>IF(ISBLANK('6.7Ratemaking Data'!G15),"",'6.7Ratemaking Data'!G15)</f>
        <v/>
      </c>
      <c r="F16" s="132" t="str">
        <f>IF(ISBLANK('6.7Ratemaking Data'!H15),"",'6.7Ratemaking Data'!H15)</f>
        <v/>
      </c>
      <c r="G16" s="132" t="str">
        <f>IF(ISBLANK('6.7Ratemaking Data'!I15),"",'6.7Ratemaking Data'!I15)</f>
        <v/>
      </c>
      <c r="H16" s="133">
        <f>IF(New_Program=TRUE,'6.7Ratemaking Data'!$K$15,SUM($B16:$G16))</f>
        <v>0</v>
      </c>
    </row>
    <row r="17" spans="1:10" x14ac:dyDescent="0.25">
      <c r="A17" s="134" t="s">
        <v>172</v>
      </c>
      <c r="B17" s="135" t="str">
        <f>IF(ISBLANK('6.7Ratemaking Data'!D16),"",'6.7Ratemaking Data'!D16)</f>
        <v/>
      </c>
      <c r="C17" s="135" t="str">
        <f>IF(ISBLANK('6.7Ratemaking Data'!E16),"",'6.7Ratemaking Data'!E16)</f>
        <v/>
      </c>
      <c r="D17" s="135" t="str">
        <f>IF(ISBLANK('6.7Ratemaking Data'!F16),"",'6.7Ratemaking Data'!F16)</f>
        <v/>
      </c>
      <c r="E17" s="135" t="str">
        <f>IF(ISBLANK('6.7Ratemaking Data'!G16),"",'6.7Ratemaking Data'!G16)</f>
        <v/>
      </c>
      <c r="F17" s="135" t="str">
        <f>IF(ISBLANK('6.7Ratemaking Data'!H16),"",'6.7Ratemaking Data'!H16)</f>
        <v/>
      </c>
      <c r="G17" s="135" t="str">
        <f>IF(ISBLANK('6.7Ratemaking Data'!I16),"",'6.7Ratemaking Data'!I16)</f>
        <v/>
      </c>
      <c r="H17" s="136">
        <f>IF(New_Program=TRUE,'6.7Ratemaking Data'!$K$16,SUM($B17:$G17))</f>
        <v>0</v>
      </c>
    </row>
    <row r="18" spans="1:10" x14ac:dyDescent="0.25">
      <c r="A18" s="134" t="s">
        <v>174</v>
      </c>
      <c r="B18" s="137" t="str">
        <f>IF(ISBLANK('6.7Ratemaking Data'!D17),"",'6.7Ratemaking Data'!D17)</f>
        <v/>
      </c>
      <c r="C18" s="137" t="str">
        <f>IF(ISBLANK('6.7Ratemaking Data'!E17),"",'6.7Ratemaking Data'!E17)</f>
        <v/>
      </c>
      <c r="D18" s="137" t="str">
        <f>IF(ISBLANK('6.7Ratemaking Data'!F17),"",'6.7Ratemaking Data'!F17)</f>
        <v/>
      </c>
      <c r="E18" s="137" t="str">
        <f>IF(ISBLANK('6.7Ratemaking Data'!G17),"",'6.7Ratemaking Data'!G17)</f>
        <v/>
      </c>
      <c r="F18" s="137" t="str">
        <f>IF(ISBLANK('6.7Ratemaking Data'!H17),"",'6.7Ratemaking Data'!H17)</f>
        <v/>
      </c>
      <c r="G18" s="137" t="str">
        <f>IF(ISBLANK('6.7Ratemaking Data'!I17),"",'6.7Ratemaking Data'!I17)</f>
        <v/>
      </c>
      <c r="H18" s="138"/>
    </row>
    <row r="19" spans="1:10" x14ac:dyDescent="0.25">
      <c r="A19" s="134" t="s">
        <v>175</v>
      </c>
      <c r="B19" s="137" t="str">
        <f>IF(ISBLANK('6.7Ratemaking Data'!D18),"",'6.7Ratemaking Data'!D18)</f>
        <v/>
      </c>
      <c r="C19" s="137" t="str">
        <f>IF(ISBLANK('6.7Ratemaking Data'!E18),"",'6.7Ratemaking Data'!E18)</f>
        <v/>
      </c>
      <c r="D19" s="137" t="str">
        <f>IF(ISBLANK('6.7Ratemaking Data'!F18),"",'6.7Ratemaking Data'!F18)</f>
        <v/>
      </c>
      <c r="E19" s="137" t="str">
        <f>IF(ISBLANK('6.7Ratemaking Data'!G18),"",'6.7Ratemaking Data'!G18)</f>
        <v/>
      </c>
      <c r="F19" s="137" t="str">
        <f>IF(ISBLANK('6.7Ratemaking Data'!H18),"",'6.7Ratemaking Data'!H18)</f>
        <v/>
      </c>
      <c r="G19" s="137" t="str">
        <f>IF(ISBLANK('6.7Ratemaking Data'!I18),"",'6.7Ratemaking Data'!I18)</f>
        <v/>
      </c>
      <c r="H19" s="144">
        <f>IF(New_Program=TRUE,0,'6.7Ratemaking Data'!$J$18)</f>
        <v>0</v>
      </c>
    </row>
    <row r="20" spans="1:10" x14ac:dyDescent="0.25">
      <c r="A20" s="134" t="s">
        <v>176</v>
      </c>
      <c r="B20" s="135" t="str">
        <f>IF(ISBLANK('6.7Ratemaking Data'!D19),"",'6.7Ratemaking Data'!D19)</f>
        <v/>
      </c>
      <c r="C20" s="135" t="str">
        <f>IF(ISBLANK('6.7Ratemaking Data'!E19),"",'6.7Ratemaking Data'!E19)</f>
        <v/>
      </c>
      <c r="D20" s="135" t="str">
        <f>IF(ISBLANK('6.7Ratemaking Data'!F19),"",'6.7Ratemaking Data'!F19)</f>
        <v/>
      </c>
      <c r="E20" s="135" t="str">
        <f>IF(ISBLANK('6.7Ratemaking Data'!G19),"",'6.7Ratemaking Data'!G19)</f>
        <v/>
      </c>
      <c r="F20" s="135" t="str">
        <f>IF(ISBLANK('6.7Ratemaking Data'!H19),"",'6.7Ratemaking Data'!H19)</f>
        <v/>
      </c>
      <c r="G20" s="135" t="str">
        <f>IF(ISBLANK('6.7Ratemaking Data'!I19),"",'6.7Ratemaking Data'!I19)</f>
        <v/>
      </c>
      <c r="H20" s="136">
        <f>IF(New_Program=TRUE,'6.7Ratemaking Data'!$K$19,SUM($B20:$G20))</f>
        <v>0</v>
      </c>
    </row>
    <row r="21" spans="1:10" x14ac:dyDescent="0.25">
      <c r="A21" s="134" t="s">
        <v>177</v>
      </c>
      <c r="B21" s="135" t="str">
        <f>IF(ISBLANK('6.7Ratemaking Data'!D20),"",'6.7Ratemaking Data'!D20)</f>
        <v/>
      </c>
      <c r="C21" s="135" t="str">
        <f>IF(ISBLANK('6.7Ratemaking Data'!E20),"",'6.7Ratemaking Data'!E20)</f>
        <v/>
      </c>
      <c r="D21" s="135" t="str">
        <f>IF(ISBLANK('6.7Ratemaking Data'!F20),"",'6.7Ratemaking Data'!F20)</f>
        <v/>
      </c>
      <c r="E21" s="135" t="str">
        <f>IF(ISBLANK('6.7Ratemaking Data'!G20),"",'6.7Ratemaking Data'!G20)</f>
        <v/>
      </c>
      <c r="F21" s="135" t="str">
        <f>IF(ISBLANK('6.7Ratemaking Data'!H20),"",'6.7Ratemaking Data'!H20)</f>
        <v/>
      </c>
      <c r="G21" s="135" t="str">
        <f>IF(ISBLANK('6.7Ratemaking Data'!I20),"",'6.7Ratemaking Data'!I20)</f>
        <v/>
      </c>
      <c r="H21" s="136">
        <f>IF(New_Program=TRUE,'6.7Ratemaking Data'!$K$20,SUM($B21:$G21))</f>
        <v>0</v>
      </c>
      <c r="J21" s="126"/>
    </row>
    <row r="22" spans="1:10" x14ac:dyDescent="0.25">
      <c r="A22" s="134" t="s">
        <v>178</v>
      </c>
      <c r="B22" s="135" t="str">
        <f>IF(ISBLANK('6.7Ratemaking Data'!D21),"",'6.7Ratemaking Data'!D21)</f>
        <v/>
      </c>
      <c r="C22" s="135" t="str">
        <f>IF(ISBLANK('6.7Ratemaking Data'!E21),"",'6.7Ratemaking Data'!E21)</f>
        <v/>
      </c>
      <c r="D22" s="135" t="str">
        <f>IF(ISBLANK('6.7Ratemaking Data'!F21),"",'6.7Ratemaking Data'!F21)</f>
        <v/>
      </c>
      <c r="E22" s="135" t="str">
        <f>IF(ISBLANK('6.7Ratemaking Data'!G21),"",'6.7Ratemaking Data'!G21)</f>
        <v/>
      </c>
      <c r="F22" s="135" t="str">
        <f>IF(ISBLANK('6.7Ratemaking Data'!H21),"",'6.7Ratemaking Data'!H21)</f>
        <v/>
      </c>
      <c r="G22" s="135" t="str">
        <f>IF(ISBLANK('6.7Ratemaking Data'!I21),"",'6.7Ratemaking Data'!I21)</f>
        <v/>
      </c>
      <c r="H22" s="136">
        <f>IF(New_Program=TRUE,'6.7Ratemaking Data'!$K$21,SUM($B22:$G22))</f>
        <v>0</v>
      </c>
      <c r="J22" s="126"/>
    </row>
    <row r="23" spans="1:10" x14ac:dyDescent="0.25">
      <c r="A23" s="134" t="s">
        <v>144</v>
      </c>
      <c r="B23" s="135" t="str">
        <f>IF(ISBLANK('6.7Ratemaking Data'!D22),"",'6.7Ratemaking Data'!D22)</f>
        <v/>
      </c>
      <c r="C23" s="135" t="str">
        <f>IF(ISBLANK('6.7Ratemaking Data'!E22),"",'6.7Ratemaking Data'!E22)</f>
        <v/>
      </c>
      <c r="D23" s="135" t="str">
        <f>IF(ISBLANK('6.7Ratemaking Data'!F22),"",'6.7Ratemaking Data'!F22)</f>
        <v/>
      </c>
      <c r="E23" s="135" t="str">
        <f>IF(ISBLANK('6.7Ratemaking Data'!G22),"",'6.7Ratemaking Data'!G22)</f>
        <v/>
      </c>
      <c r="F23" s="135" t="str">
        <f>IF(ISBLANK('6.7Ratemaking Data'!H22),"",'6.7Ratemaking Data'!H22)</f>
        <v/>
      </c>
      <c r="G23" s="135" t="str">
        <f>IF(ISBLANK('6.7Ratemaking Data'!I22),"",'6.7Ratemaking Data'!I22)</f>
        <v/>
      </c>
      <c r="H23" s="136">
        <f>IF(New_Program=TRUE,'6.7Ratemaking Data'!$K$22,SUM($B23:$G23))</f>
        <v>0</v>
      </c>
      <c r="J23" s="126"/>
    </row>
    <row r="24" spans="1:10" x14ac:dyDescent="0.25">
      <c r="A24" s="134" t="s">
        <v>181</v>
      </c>
      <c r="B24" s="137" t="str">
        <f>IF(ISBLANK('6.7Ratemaking Data'!D23),"",'6.7Ratemaking Data'!D23)</f>
        <v/>
      </c>
      <c r="C24" s="137" t="str">
        <f>IF(ISBLANK('6.7Ratemaking Data'!E23),"",'6.7Ratemaking Data'!E23)</f>
        <v/>
      </c>
      <c r="D24" s="137" t="str">
        <f>IF(ISBLANK('6.7Ratemaking Data'!F23),"",'6.7Ratemaking Data'!F23)</f>
        <v/>
      </c>
      <c r="E24" s="137" t="str">
        <f>IF(ISBLANK('6.7Ratemaking Data'!G23),"",'6.7Ratemaking Data'!G23)</f>
        <v/>
      </c>
      <c r="F24" s="137" t="str">
        <f>IF(ISBLANK('6.7Ratemaking Data'!H23),"",'6.7Ratemaking Data'!H23)</f>
        <v/>
      </c>
      <c r="G24" s="137" t="str">
        <f>IF(ISBLANK('6.7Ratemaking Data'!I23),"",'6.7Ratemaking Data'!I23)</f>
        <v/>
      </c>
      <c r="H24" s="138"/>
    </row>
    <row r="25" spans="1:10" x14ac:dyDescent="0.25">
      <c r="A25" s="134" t="s">
        <v>182</v>
      </c>
      <c r="B25" s="137" t="str">
        <f>IF(ISBLANK('6.7Ratemaking Data'!D24),"",'6.7Ratemaking Data'!D24)</f>
        <v/>
      </c>
      <c r="C25" s="137" t="str">
        <f>IF(ISBLANK('6.7Ratemaking Data'!E24),"",'6.7Ratemaking Data'!E24)</f>
        <v/>
      </c>
      <c r="D25" s="137" t="str">
        <f>IF(ISBLANK('6.7Ratemaking Data'!F24),"",'6.7Ratemaking Data'!F24)</f>
        <v/>
      </c>
      <c r="E25" s="137" t="str">
        <f>IF(ISBLANK('6.7Ratemaking Data'!G24),"",'6.7Ratemaking Data'!G24)</f>
        <v/>
      </c>
      <c r="F25" s="137" t="str">
        <f>IF(ISBLANK('6.7Ratemaking Data'!H24),"",'6.7Ratemaking Data'!H24)</f>
        <v/>
      </c>
      <c r="G25" s="137" t="str">
        <f>IF(ISBLANK('6.7Ratemaking Data'!I24),"",'6.7Ratemaking Data'!I24)</f>
        <v/>
      </c>
      <c r="H25" s="138"/>
    </row>
    <row r="26" spans="1:10" x14ac:dyDescent="0.25">
      <c r="A26" s="134" t="s">
        <v>179</v>
      </c>
      <c r="B26" s="137" t="str">
        <f>IF(ISBLANK('6.7Ratemaking Data'!D25),"",'6.7Ratemaking Data'!D25)</f>
        <v/>
      </c>
      <c r="C26" s="137" t="str">
        <f>IF(ISBLANK('6.7Ratemaking Data'!E25),"",'6.7Ratemaking Data'!E25)</f>
        <v/>
      </c>
      <c r="D26" s="137" t="str">
        <f>IF(ISBLANK('6.7Ratemaking Data'!F25),"",'6.7Ratemaking Data'!F25)</f>
        <v/>
      </c>
      <c r="E26" s="137" t="str">
        <f>IF(ISBLANK('6.7Ratemaking Data'!G25),"",'6.7Ratemaking Data'!G25)</f>
        <v/>
      </c>
      <c r="F26" s="137" t="str">
        <f>IF(ISBLANK('6.7Ratemaking Data'!H25),"",'6.7Ratemaking Data'!H25)</f>
        <v/>
      </c>
      <c r="G26" s="137" t="str">
        <f>IF(ISBLANK('6.7Ratemaking Data'!I25),"",'6.7Ratemaking Data'!I25)</f>
        <v/>
      </c>
      <c r="H26" s="144">
        <f>IF(New_Program=TRUE,0,'6.7Ratemaking Data'!$J$25)</f>
        <v>0</v>
      </c>
    </row>
    <row r="27" spans="1:10" x14ac:dyDescent="0.25">
      <c r="A27" s="134" t="s">
        <v>180</v>
      </c>
      <c r="B27" s="137" t="str">
        <f>IF(ISBLANK('6.7Ratemaking Data'!D26),"",'6.7Ratemaking Data'!D26)</f>
        <v/>
      </c>
      <c r="C27" s="137" t="str">
        <f>IF(ISBLANK('6.7Ratemaking Data'!E26),"",'6.7Ratemaking Data'!E26)</f>
        <v/>
      </c>
      <c r="D27" s="137" t="str">
        <f>IF(ISBLANK('6.7Ratemaking Data'!F26),"",'6.7Ratemaking Data'!F26)</f>
        <v/>
      </c>
      <c r="E27" s="137" t="str">
        <f>IF(ISBLANK('6.7Ratemaking Data'!G26),"",'6.7Ratemaking Data'!G26)</f>
        <v/>
      </c>
      <c r="F27" s="137" t="str">
        <f>IF(ISBLANK('6.7Ratemaking Data'!H26),"",'6.7Ratemaking Data'!H26)</f>
        <v/>
      </c>
      <c r="G27" s="137" t="str">
        <f>IF(ISBLANK('6.7Ratemaking Data'!I26),"",'6.7Ratemaking Data'!I26)</f>
        <v/>
      </c>
      <c r="H27" s="144">
        <f>IF(New_Program=TRUE,0,'6.7Ratemaking Data'!$J$26)</f>
        <v>0</v>
      </c>
    </row>
    <row r="28" spans="1:10" x14ac:dyDescent="0.25">
      <c r="A28" s="134" t="s">
        <v>183</v>
      </c>
      <c r="B28" s="137" t="str">
        <f>IF(ISBLANK('6.7Ratemaking Data'!D27),"",'6.7Ratemaking Data'!D27)</f>
        <v/>
      </c>
      <c r="C28" s="137" t="str">
        <f>IF(ISBLANK('6.7Ratemaking Data'!E27),"",'6.7Ratemaking Data'!E27)</f>
        <v/>
      </c>
      <c r="D28" s="137" t="str">
        <f>IF(ISBLANK('6.7Ratemaking Data'!F27),"",'6.7Ratemaking Data'!F27)</f>
        <v/>
      </c>
      <c r="E28" s="137" t="str">
        <f>IF(ISBLANK('6.7Ratemaking Data'!G27),"",'6.7Ratemaking Data'!G27)</f>
        <v/>
      </c>
      <c r="F28" s="137" t="str">
        <f>IF(ISBLANK('6.7Ratemaking Data'!H27),"",'6.7Ratemaking Data'!H27)</f>
        <v/>
      </c>
      <c r="G28" s="137" t="str">
        <f>IF(ISBLANK('6.7Ratemaking Data'!I27),"",'6.7Ratemaking Data'!I27)</f>
        <v/>
      </c>
      <c r="H28" s="138"/>
    </row>
    <row r="29" spans="1:10" ht="15.75" thickBot="1" x14ac:dyDescent="0.3">
      <c r="A29" s="153" t="s">
        <v>188</v>
      </c>
      <c r="B29" s="154" t="str">
        <f>IF(ISBLANK('6.7Ratemaking Data'!D29),"",'6.7Ratemaking Data'!D29)</f>
        <v/>
      </c>
      <c r="C29" s="154" t="str">
        <f>IF(ISBLANK('6.7Ratemaking Data'!E29),"",'6.7Ratemaking Data'!E29)</f>
        <v/>
      </c>
      <c r="D29" s="154" t="str">
        <f>IF(ISBLANK('6.7Ratemaking Data'!F29),"",'6.7Ratemaking Data'!F29)</f>
        <v/>
      </c>
      <c r="E29" s="154" t="str">
        <f>IF(ISBLANK('6.7Ratemaking Data'!G29),"",'6.7Ratemaking Data'!G29)</f>
        <v/>
      </c>
      <c r="F29" s="154" t="str">
        <f>IF(ISBLANK('6.7Ratemaking Data'!H29),"",'6.7Ratemaking Data'!H29)</f>
        <v/>
      </c>
      <c r="G29" s="154" t="str">
        <f>IF(ISBLANK('6.7Ratemaking Data'!I29),"",'6.7Ratemaking Data'!I29)</f>
        <v/>
      </c>
      <c r="H29" s="155">
        <f>IF(New_Program=TRUE,'6.7Ratemaking Data'!$K$29,SUM($B29:$G29))</f>
        <v>0</v>
      </c>
    </row>
    <row r="30" spans="1:10" ht="15.75" thickTop="1" x14ac:dyDescent="0.25">
      <c r="A30" s="134" t="s">
        <v>184</v>
      </c>
      <c r="B30" s="139"/>
      <c r="C30" s="139"/>
      <c r="D30" s="139"/>
      <c r="E30" s="139"/>
      <c r="F30" s="139"/>
      <c r="G30" s="139"/>
      <c r="H30" s="144">
        <f>IF(New_Program=TRUE,100%,'6.7Ratemaking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EffStd_Final07</f>
        <v/>
      </c>
    </row>
    <row r="38" spans="1:9" x14ac:dyDescent="0.25">
      <c r="A38" s="134" t="s">
        <v>191</v>
      </c>
      <c r="B38" s="90"/>
      <c r="C38" s="90"/>
      <c r="D38" s="90"/>
      <c r="E38" s="90"/>
      <c r="F38" s="693" t="s">
        <v>317</v>
      </c>
      <c r="G38" s="694">
        <f>update_leverage</f>
        <v>2021</v>
      </c>
      <c r="H38" s="190" t="str">
        <f>LevFact_Final07</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1/LevFact_Final07</f>
        <v>#VALUE!</v>
      </c>
    </row>
    <row r="41" spans="1:9" x14ac:dyDescent="0.25">
      <c r="A41" s="134" t="s">
        <v>198</v>
      </c>
      <c r="B41" s="90"/>
      <c r="C41" s="90"/>
      <c r="D41" s="90"/>
      <c r="E41" s="90"/>
      <c r="F41" s="693" t="s">
        <v>317</v>
      </c>
      <c r="G41" s="694">
        <f>update_reserveratios</f>
        <v>2021</v>
      </c>
      <c r="H41" s="191" t="str">
        <f>ResRatio_UPR07</f>
        <v/>
      </c>
    </row>
    <row r="42" spans="1:9" x14ac:dyDescent="0.25">
      <c r="A42" s="192" t="s">
        <v>194</v>
      </c>
      <c r="B42" s="90"/>
      <c r="C42" s="90"/>
      <c r="D42" s="90"/>
      <c r="E42" s="90"/>
      <c r="F42" s="693" t="s">
        <v>317</v>
      </c>
      <c r="G42" s="694">
        <f>update_reserveratios</f>
        <v>2021</v>
      </c>
      <c r="H42" s="191" t="str">
        <f>ResRatio_Loss07</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'6.7Ratemaking Data'!D$14</f>
        <v>20172</v>
      </c>
      <c r="C47" s="285" t="str">
        <f>'6.7Ratemaking Data'!E$14</f>
        <v>20182</v>
      </c>
      <c r="D47" s="285" t="str">
        <f>'6.7Ratemaking Data'!F$14</f>
        <v>20192</v>
      </c>
      <c r="E47" s="285" t="str">
        <f>'6.7Ratemaking Data'!G$14</f>
        <v>20202</v>
      </c>
      <c r="F47" s="285" t="str">
        <f>'6.7Ratemaking Data'!H$14</f>
        <v>20212</v>
      </c>
      <c r="G47" s="285">
        <f>'6.7Ratemaking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Yield*((1-FIT_Inv)/(1-FIT_UW))*ResRatio_Loss07</f>
        <v>#VALUE!</v>
      </c>
    </row>
    <row r="58" spans="1:9" x14ac:dyDescent="0.25">
      <c r="A58" s="134" t="s">
        <v>218</v>
      </c>
      <c r="B58" s="90"/>
      <c r="C58" s="90"/>
      <c r="D58" s="90"/>
      <c r="E58" s="90"/>
      <c r="F58" s="90"/>
      <c r="G58" s="90"/>
      <c r="H58" s="144" t="e">
        <f>Yield*((1-FIT_Inv)/(1-FIT_UW))*(ResRatio_UPR07+SurplusRatio)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IF(New_Program=TRUE,0,(1+Net_AnnualTrend)^MIN(4,((EffDate_Proposed-EffDate_Prior07)/365.25))-1)</f>
        <v>#VALUE!</v>
      </c>
    </row>
    <row r="61" spans="1:9" x14ac:dyDescent="0.25">
      <c r="A61" s="134" t="s">
        <v>207</v>
      </c>
      <c r="B61" s="145"/>
      <c r="C61" s="145"/>
      <c r="D61" s="145"/>
      <c r="E61" s="145"/>
      <c r="F61" s="145"/>
      <c r="G61" s="145"/>
      <c r="H61" s="144" t="e">
        <f>(ROR_Max)/(LevFact_Final07*(1-FIT_UW))</f>
        <v>#VALUE!</v>
      </c>
    </row>
    <row r="62" spans="1:9" x14ac:dyDescent="0.25">
      <c r="A62" s="134" t="s">
        <v>208</v>
      </c>
      <c r="B62" s="90"/>
      <c r="C62" s="90"/>
      <c r="D62" s="90"/>
      <c r="E62" s="90"/>
      <c r="F62" s="90"/>
      <c r="G62" s="90"/>
      <c r="H62" s="144" t="e">
        <f>(ROR_Min)/(LevFact_Final07*(1-FIT_UW))</f>
        <v>#VALUE!</v>
      </c>
    </row>
    <row r="63" spans="1:9" x14ac:dyDescent="0.25">
      <c r="A63" s="134" t="s">
        <v>209</v>
      </c>
      <c r="B63" s="90"/>
      <c r="C63" s="90"/>
      <c r="D63" s="90"/>
      <c r="E63" s="90"/>
      <c r="F63" s="90"/>
      <c r="G63" s="90"/>
      <c r="H63" s="144" t="e">
        <f>1-CredLossDCCE_perExp/Max_Premium-EffStd_Final07</f>
        <v>#VALUE!</v>
      </c>
      <c r="I63" s="252"/>
    </row>
    <row r="64" spans="1:9" x14ac:dyDescent="0.25">
      <c r="A64" s="134" t="s">
        <v>211</v>
      </c>
      <c r="B64" s="90"/>
      <c r="C64" s="90"/>
      <c r="D64" s="90"/>
      <c r="E64" s="90"/>
      <c r="F64" s="90"/>
      <c r="G64" s="90"/>
      <c r="H64" s="146" t="e">
        <f>1-EffStd_Final07-Min_Profit+InvInc_Variable</f>
        <v>#VALUE!</v>
      </c>
      <c r="I64" s="252"/>
    </row>
    <row r="65" spans="1:9" x14ac:dyDescent="0.25">
      <c r="A65" s="134" t="s">
        <v>210</v>
      </c>
      <c r="B65" s="90"/>
      <c r="C65" s="90"/>
      <c r="D65" s="90"/>
      <c r="E65" s="90"/>
      <c r="F65" s="90"/>
      <c r="G65" s="90"/>
      <c r="H65" s="146" t="e">
        <f>1-EffStd_Final07-Max_Profit+InvInc_Variable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See Column M of Page '6.7Ratemaking Data' for errors that must be corrected.</v>
      </c>
    </row>
    <row r="70" spans="1:9" ht="5.0999999999999996" hidden="1" customHeight="1" x14ac:dyDescent="0.25"/>
    <row r="71" spans="1:9" ht="15.75" hidden="1" thickBot="1" x14ac:dyDescent="0.3">
      <c r="A71" s="130" t="s">
        <v>233</v>
      </c>
      <c r="B71" s="285" t="str">
        <f>'6.7Ratemaking Data'!D$14</f>
        <v>20172</v>
      </c>
      <c r="C71" s="285" t="str">
        <f>'6.7Ratemaking Data'!E$14</f>
        <v>20182</v>
      </c>
      <c r="D71" s="285" t="str">
        <f>'6.7Ratemaking Data'!F$14</f>
        <v>20192</v>
      </c>
      <c r="E71" s="285" t="str">
        <f>'6.7Ratemaking Data'!G$14</f>
        <v>20202</v>
      </c>
      <c r="F71" s="285" t="str">
        <f>'6.7Ratemaking Data'!H$14</f>
        <v>20212</v>
      </c>
      <c r="G71" s="285">
        <f>'6.7Ratemaking Data'!I$14</f>
        <v>20222</v>
      </c>
    </row>
    <row r="72" spans="1:9" hidden="1" x14ac:dyDescent="0.25">
      <c r="A72" s="148" t="s">
        <v>232</v>
      </c>
      <c r="B72" s="142"/>
      <c r="C72" s="142"/>
      <c r="D72" s="142"/>
      <c r="E72" s="142"/>
      <c r="F72" s="142"/>
      <c r="G72" s="142"/>
      <c r="H72" s="149" t="str">
        <f>IF(ISBLANK('6.7Ratemaking Data'!J44),"",'6.7Ratemaking Data'!J44)</f>
        <v/>
      </c>
    </row>
    <row r="73" spans="1:9" hidden="1" x14ac:dyDescent="0.25">
      <c r="A73" s="150" t="s">
        <v>219</v>
      </c>
      <c r="B73" s="135" t="str">
        <f>IF(ISBLANK('6.7Ratemaking Data'!D45),"",'6.7Ratemaking Data'!D45)</f>
        <v/>
      </c>
      <c r="C73" s="135" t="str">
        <f>IF(ISBLANK('6.7Ratemaking Data'!E45),"",'6.7Ratemaking Data'!E45)</f>
        <v/>
      </c>
      <c r="D73" s="135" t="str">
        <f>IF(ISBLANK('6.7Ratemaking Data'!F45),"",'6.7Ratemaking Data'!F45)</f>
        <v/>
      </c>
      <c r="E73" s="135" t="str">
        <f>IF(ISBLANK('6.7Ratemaking Data'!G45),"",'6.7Ratemaking Data'!G45)</f>
        <v/>
      </c>
      <c r="F73" s="135" t="str">
        <f>IF(ISBLANK('6.7Ratemaking Data'!H45),"",'6.7Ratemaking Data'!H45)</f>
        <v/>
      </c>
      <c r="G73" s="135" t="str">
        <f>IF(ISBLANK('6.7Ratemaking Data'!I45),"",'6.7Ratemaking Data'!I45)</f>
        <v/>
      </c>
      <c r="H73" s="136" t="str">
        <f>IF(RIGHT(Detailed_LineCode07,1)="R",IF(New_Program=TRUE,'6.7Ratemaking Data'!$K$45,SUM($B73:$G73)),"")</f>
        <v/>
      </c>
    </row>
    <row r="74" spans="1:9" hidden="1" x14ac:dyDescent="0.25">
      <c r="A74" s="150" t="s">
        <v>220</v>
      </c>
      <c r="B74" s="135" t="str">
        <f>IF(ISBLANK('6.7Ratemaking Data'!D46),"",'6.7Ratemaking Data'!D46)</f>
        <v/>
      </c>
      <c r="C74" s="135" t="str">
        <f>IF(ISBLANK('6.7Ratemaking Data'!E46),"",'6.7Ratemaking Data'!E46)</f>
        <v/>
      </c>
      <c r="D74" s="135" t="str">
        <f>IF(ISBLANK('6.7Ratemaking Data'!F46),"",'6.7Ratemaking Data'!F46)</f>
        <v/>
      </c>
      <c r="E74" s="135" t="str">
        <f>IF(ISBLANK('6.7Ratemaking Data'!G46),"",'6.7Ratemaking Data'!G46)</f>
        <v/>
      </c>
      <c r="F74" s="135" t="str">
        <f>IF(ISBLANK('6.7Ratemaking Data'!H46),"",'6.7Ratemaking Data'!H46)</f>
        <v/>
      </c>
      <c r="G74" s="135" t="str">
        <f>IF(ISBLANK('6.7Ratemaking Data'!I46),"",'6.7Ratemaking Data'!I46)</f>
        <v/>
      </c>
      <c r="H74" s="136">
        <f>IF(New_Program=TRUE,'6.7Ratemaking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IF(AND('6.7Ratemaking Data'!Error30="",'6.7Ratemaking Data'!Error31="",'6.7Ratemaking Data'!Error32=""),"","See Column M of Page '6.7Ratemaking Data' for errors that must be corrected.")</f>
        <v/>
      </c>
    </row>
    <row r="80" spans="1:9" ht="26.25" x14ac:dyDescent="0.25">
      <c r="F80" s="783" t="s">
        <v>617</v>
      </c>
      <c r="G80" s="783"/>
      <c r="H80" s="783"/>
    </row>
    <row r="81" spans="1:1" x14ac:dyDescent="0.25">
      <c r="A81" s="152"/>
    </row>
  </sheetData>
  <sheetProtection algorithmName="SHA-512" hashValue="7K7j9fZxzdMBygRj5UFqF+d6AtzWoZMRL14H/k8NmohXoDuwa8dR1u5Igj3V0kDdQYxYhmdsI7vZMsUzHYW0MA==" saltValue="0YIknoeQlDa1ukhnFzyZVg=="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IF('6.8Ratemaking Data'!$K$7="","VARIANCE - NONE","VARIANCE "&amp;'6.8Ratemaking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EffDate_Prior08</f>
        <v/>
      </c>
    </row>
    <row r="10" spans="1:8" ht="15" customHeight="1" x14ac:dyDescent="0.25">
      <c r="A10" s="14" t="s">
        <v>170</v>
      </c>
      <c r="B10" s="62"/>
      <c r="H10" s="189">
        <f>EffDate_Proposed</f>
        <v>45323</v>
      </c>
    </row>
    <row r="11" spans="1:8" ht="15" customHeight="1" x14ac:dyDescent="0.25">
      <c r="A11" s="14" t="s">
        <v>77</v>
      </c>
      <c r="B11" s="62"/>
      <c r="H11" s="28" t="str">
        <f>Detailed_LineDesc08</f>
        <v/>
      </c>
    </row>
    <row r="12" spans="1:8" ht="15" customHeight="1" x14ac:dyDescent="0.25">
      <c r="A12" s="14" t="s">
        <v>78</v>
      </c>
      <c r="B12" s="62"/>
      <c r="H12" s="28" t="str">
        <f>Covg08</f>
        <v/>
      </c>
    </row>
    <row r="13" spans="1:8" ht="15" customHeight="1" x14ac:dyDescent="0.25">
      <c r="H13" s="608"/>
    </row>
    <row r="14" spans="1:8" ht="9.9499999999999993" customHeight="1" x14ac:dyDescent="0.25"/>
    <row r="15" spans="1:8" ht="15.75" thickBot="1" x14ac:dyDescent="0.3">
      <c r="A15" s="130" t="s">
        <v>171</v>
      </c>
      <c r="B15" s="285" t="str">
        <f>'6.8Ratemaking Data'!D$14</f>
        <v>20172</v>
      </c>
      <c r="C15" s="285" t="str">
        <f>'6.8Ratemaking Data'!E$14</f>
        <v>20182</v>
      </c>
      <c r="D15" s="285" t="str">
        <f>'6.8Ratemaking Data'!F$14</f>
        <v>20192</v>
      </c>
      <c r="E15" s="285" t="str">
        <f>'6.8Ratemaking Data'!G$14</f>
        <v>20202</v>
      </c>
      <c r="F15" s="285" t="str">
        <f>'6.8Ratemaking Data'!H$14</f>
        <v>20212</v>
      </c>
      <c r="G15" s="285">
        <f>'6.8Ratemaking Data'!I$14</f>
        <v>20222</v>
      </c>
      <c r="H15" s="105" t="s">
        <v>306</v>
      </c>
    </row>
    <row r="16" spans="1:8" x14ac:dyDescent="0.25">
      <c r="A16" s="131" t="s">
        <v>173</v>
      </c>
      <c r="B16" s="132" t="str">
        <f>IF(ISBLANK('6.8Ratemaking Data'!D15),"",'6.8Ratemaking Data'!D15)</f>
        <v/>
      </c>
      <c r="C16" s="132" t="str">
        <f>IF(ISBLANK('6.8Ratemaking Data'!E15),"",'6.8Ratemaking Data'!E15)</f>
        <v/>
      </c>
      <c r="D16" s="132" t="str">
        <f>IF(ISBLANK('6.8Ratemaking Data'!F15),"",'6.8Ratemaking Data'!F15)</f>
        <v/>
      </c>
      <c r="E16" s="132" t="str">
        <f>IF(ISBLANK('6.8Ratemaking Data'!G15),"",'6.8Ratemaking Data'!G15)</f>
        <v/>
      </c>
      <c r="F16" s="132" t="str">
        <f>IF(ISBLANK('6.8Ratemaking Data'!H15),"",'6.8Ratemaking Data'!H15)</f>
        <v/>
      </c>
      <c r="G16" s="132" t="str">
        <f>IF(ISBLANK('6.8Ratemaking Data'!I15),"",'6.8Ratemaking Data'!I15)</f>
        <v/>
      </c>
      <c r="H16" s="133">
        <f>IF(New_Program=TRUE,'6.8Ratemaking Data'!$K$15,SUM($B16:$G16))</f>
        <v>0</v>
      </c>
    </row>
    <row r="17" spans="1:10" x14ac:dyDescent="0.25">
      <c r="A17" s="134" t="s">
        <v>172</v>
      </c>
      <c r="B17" s="135" t="str">
        <f>IF(ISBLANK('6.8Ratemaking Data'!D16),"",'6.8Ratemaking Data'!D16)</f>
        <v/>
      </c>
      <c r="C17" s="135" t="str">
        <f>IF(ISBLANK('6.8Ratemaking Data'!E16),"",'6.8Ratemaking Data'!E16)</f>
        <v/>
      </c>
      <c r="D17" s="135" t="str">
        <f>IF(ISBLANK('6.8Ratemaking Data'!F16),"",'6.8Ratemaking Data'!F16)</f>
        <v/>
      </c>
      <c r="E17" s="135" t="str">
        <f>IF(ISBLANK('6.8Ratemaking Data'!G16),"",'6.8Ratemaking Data'!G16)</f>
        <v/>
      </c>
      <c r="F17" s="135" t="str">
        <f>IF(ISBLANK('6.8Ratemaking Data'!H16),"",'6.8Ratemaking Data'!H16)</f>
        <v/>
      </c>
      <c r="G17" s="135" t="str">
        <f>IF(ISBLANK('6.8Ratemaking Data'!I16),"",'6.8Ratemaking Data'!I16)</f>
        <v/>
      </c>
      <c r="H17" s="136">
        <f>IF(New_Program=TRUE,'6.8Ratemaking Data'!$K$16,SUM($B17:$G17))</f>
        <v>0</v>
      </c>
    </row>
    <row r="18" spans="1:10" x14ac:dyDescent="0.25">
      <c r="A18" s="134" t="s">
        <v>174</v>
      </c>
      <c r="B18" s="137" t="str">
        <f>IF(ISBLANK('6.8Ratemaking Data'!D17),"",'6.8Ratemaking Data'!D17)</f>
        <v/>
      </c>
      <c r="C18" s="137" t="str">
        <f>IF(ISBLANK('6.8Ratemaking Data'!E17),"",'6.8Ratemaking Data'!E17)</f>
        <v/>
      </c>
      <c r="D18" s="137" t="str">
        <f>IF(ISBLANK('6.8Ratemaking Data'!F17),"",'6.8Ratemaking Data'!F17)</f>
        <v/>
      </c>
      <c r="E18" s="137" t="str">
        <f>IF(ISBLANK('6.8Ratemaking Data'!G17),"",'6.8Ratemaking Data'!G17)</f>
        <v/>
      </c>
      <c r="F18" s="137" t="str">
        <f>IF(ISBLANK('6.8Ratemaking Data'!H17),"",'6.8Ratemaking Data'!H17)</f>
        <v/>
      </c>
      <c r="G18" s="137" t="str">
        <f>IF(ISBLANK('6.8Ratemaking Data'!I17),"",'6.8Ratemaking Data'!I17)</f>
        <v/>
      </c>
      <c r="H18" s="138"/>
    </row>
    <row r="19" spans="1:10" x14ac:dyDescent="0.25">
      <c r="A19" s="134" t="s">
        <v>175</v>
      </c>
      <c r="B19" s="137" t="str">
        <f>IF(ISBLANK('6.8Ratemaking Data'!D18),"",'6.8Ratemaking Data'!D18)</f>
        <v/>
      </c>
      <c r="C19" s="137" t="str">
        <f>IF(ISBLANK('6.8Ratemaking Data'!E18),"",'6.8Ratemaking Data'!E18)</f>
        <v/>
      </c>
      <c r="D19" s="137" t="str">
        <f>IF(ISBLANK('6.8Ratemaking Data'!F18),"",'6.8Ratemaking Data'!F18)</f>
        <v/>
      </c>
      <c r="E19" s="137" t="str">
        <f>IF(ISBLANK('6.8Ratemaking Data'!G18),"",'6.8Ratemaking Data'!G18)</f>
        <v/>
      </c>
      <c r="F19" s="137" t="str">
        <f>IF(ISBLANK('6.8Ratemaking Data'!H18),"",'6.8Ratemaking Data'!H18)</f>
        <v/>
      </c>
      <c r="G19" s="137" t="str">
        <f>IF(ISBLANK('6.8Ratemaking Data'!I18),"",'6.8Ratemaking Data'!I18)</f>
        <v/>
      </c>
      <c r="H19" s="144">
        <f>IF(New_Program=TRUE,0,'6.8Ratemaking Data'!$J$18)</f>
        <v>0</v>
      </c>
    </row>
    <row r="20" spans="1:10" x14ac:dyDescent="0.25">
      <c r="A20" s="134" t="s">
        <v>176</v>
      </c>
      <c r="B20" s="135" t="str">
        <f>IF(ISBLANK('6.8Ratemaking Data'!D19),"",'6.8Ratemaking Data'!D19)</f>
        <v/>
      </c>
      <c r="C20" s="135" t="str">
        <f>IF(ISBLANK('6.8Ratemaking Data'!E19),"",'6.8Ratemaking Data'!E19)</f>
        <v/>
      </c>
      <c r="D20" s="135" t="str">
        <f>IF(ISBLANK('6.8Ratemaking Data'!F19),"",'6.8Ratemaking Data'!F19)</f>
        <v/>
      </c>
      <c r="E20" s="135" t="str">
        <f>IF(ISBLANK('6.8Ratemaking Data'!G19),"",'6.8Ratemaking Data'!G19)</f>
        <v/>
      </c>
      <c r="F20" s="135" t="str">
        <f>IF(ISBLANK('6.8Ratemaking Data'!H19),"",'6.8Ratemaking Data'!H19)</f>
        <v/>
      </c>
      <c r="G20" s="135" t="str">
        <f>IF(ISBLANK('6.8Ratemaking Data'!I19),"",'6.8Ratemaking Data'!I19)</f>
        <v/>
      </c>
      <c r="H20" s="136">
        <f>IF(New_Program=TRUE,'6.8Ratemaking Data'!$K$19,SUM($B20:$G20))</f>
        <v>0</v>
      </c>
    </row>
    <row r="21" spans="1:10" x14ac:dyDescent="0.25">
      <c r="A21" s="134" t="s">
        <v>177</v>
      </c>
      <c r="B21" s="135" t="str">
        <f>IF(ISBLANK('6.8Ratemaking Data'!D20),"",'6.8Ratemaking Data'!D20)</f>
        <v/>
      </c>
      <c r="C21" s="135" t="str">
        <f>IF(ISBLANK('6.8Ratemaking Data'!E20),"",'6.8Ratemaking Data'!E20)</f>
        <v/>
      </c>
      <c r="D21" s="135" t="str">
        <f>IF(ISBLANK('6.8Ratemaking Data'!F20),"",'6.8Ratemaking Data'!F20)</f>
        <v/>
      </c>
      <c r="E21" s="135" t="str">
        <f>IF(ISBLANK('6.8Ratemaking Data'!G20),"",'6.8Ratemaking Data'!G20)</f>
        <v/>
      </c>
      <c r="F21" s="135" t="str">
        <f>IF(ISBLANK('6.8Ratemaking Data'!H20),"",'6.8Ratemaking Data'!H20)</f>
        <v/>
      </c>
      <c r="G21" s="135" t="str">
        <f>IF(ISBLANK('6.8Ratemaking Data'!I20),"",'6.8Ratemaking Data'!I20)</f>
        <v/>
      </c>
      <c r="H21" s="136">
        <f>IF(New_Program=TRUE,'6.8Ratemaking Data'!$K$20,SUM($B21:$G21))</f>
        <v>0</v>
      </c>
      <c r="J21" s="126"/>
    </row>
    <row r="22" spans="1:10" x14ac:dyDescent="0.25">
      <c r="A22" s="134" t="s">
        <v>178</v>
      </c>
      <c r="B22" s="135" t="str">
        <f>IF(ISBLANK('6.8Ratemaking Data'!D21),"",'6.8Ratemaking Data'!D21)</f>
        <v/>
      </c>
      <c r="C22" s="135" t="str">
        <f>IF(ISBLANK('6.8Ratemaking Data'!E21),"",'6.8Ratemaking Data'!E21)</f>
        <v/>
      </c>
      <c r="D22" s="135" t="str">
        <f>IF(ISBLANK('6.8Ratemaking Data'!F21),"",'6.8Ratemaking Data'!F21)</f>
        <v/>
      </c>
      <c r="E22" s="135" t="str">
        <f>IF(ISBLANK('6.8Ratemaking Data'!G21),"",'6.8Ratemaking Data'!G21)</f>
        <v/>
      </c>
      <c r="F22" s="135" t="str">
        <f>IF(ISBLANK('6.8Ratemaking Data'!H21),"",'6.8Ratemaking Data'!H21)</f>
        <v/>
      </c>
      <c r="G22" s="135" t="str">
        <f>IF(ISBLANK('6.8Ratemaking Data'!I21),"",'6.8Ratemaking Data'!I21)</f>
        <v/>
      </c>
      <c r="H22" s="136">
        <f>IF(New_Program=TRUE,'6.8Ratemaking Data'!$K$21,SUM($B22:$G22))</f>
        <v>0</v>
      </c>
      <c r="J22" s="126"/>
    </row>
    <row r="23" spans="1:10" x14ac:dyDescent="0.25">
      <c r="A23" s="134" t="s">
        <v>144</v>
      </c>
      <c r="B23" s="135" t="str">
        <f>IF(ISBLANK('6.8Ratemaking Data'!D22),"",'6.8Ratemaking Data'!D22)</f>
        <v/>
      </c>
      <c r="C23" s="135" t="str">
        <f>IF(ISBLANK('6.8Ratemaking Data'!E22),"",'6.8Ratemaking Data'!E22)</f>
        <v/>
      </c>
      <c r="D23" s="135" t="str">
        <f>IF(ISBLANK('6.8Ratemaking Data'!F22),"",'6.8Ratemaking Data'!F22)</f>
        <v/>
      </c>
      <c r="E23" s="135" t="str">
        <f>IF(ISBLANK('6.8Ratemaking Data'!G22),"",'6.8Ratemaking Data'!G22)</f>
        <v/>
      </c>
      <c r="F23" s="135" t="str">
        <f>IF(ISBLANK('6.8Ratemaking Data'!H22),"",'6.8Ratemaking Data'!H22)</f>
        <v/>
      </c>
      <c r="G23" s="135" t="str">
        <f>IF(ISBLANK('6.8Ratemaking Data'!I22),"",'6.8Ratemaking Data'!I22)</f>
        <v/>
      </c>
      <c r="H23" s="136">
        <f>IF(New_Program=TRUE,'6.8Ratemaking Data'!$K$22,SUM($B23:$G23))</f>
        <v>0</v>
      </c>
      <c r="J23" s="126"/>
    </row>
    <row r="24" spans="1:10" x14ac:dyDescent="0.25">
      <c r="A24" s="134" t="s">
        <v>181</v>
      </c>
      <c r="B24" s="137" t="str">
        <f>IF(ISBLANK('6.8Ratemaking Data'!D23),"",'6.8Ratemaking Data'!D23)</f>
        <v/>
      </c>
      <c r="C24" s="137" t="str">
        <f>IF(ISBLANK('6.8Ratemaking Data'!E23),"",'6.8Ratemaking Data'!E23)</f>
        <v/>
      </c>
      <c r="D24" s="137" t="str">
        <f>IF(ISBLANK('6.8Ratemaking Data'!F23),"",'6.8Ratemaking Data'!F23)</f>
        <v/>
      </c>
      <c r="E24" s="137" t="str">
        <f>IF(ISBLANK('6.8Ratemaking Data'!G23),"",'6.8Ratemaking Data'!G23)</f>
        <v/>
      </c>
      <c r="F24" s="137" t="str">
        <f>IF(ISBLANK('6.8Ratemaking Data'!H23),"",'6.8Ratemaking Data'!H23)</f>
        <v/>
      </c>
      <c r="G24" s="137" t="str">
        <f>IF(ISBLANK('6.8Ratemaking Data'!I23),"",'6.8Ratemaking Data'!I23)</f>
        <v/>
      </c>
      <c r="H24" s="138"/>
    </row>
    <row r="25" spans="1:10" x14ac:dyDescent="0.25">
      <c r="A25" s="134" t="s">
        <v>182</v>
      </c>
      <c r="B25" s="137" t="str">
        <f>IF(ISBLANK('6.8Ratemaking Data'!D24),"",'6.8Ratemaking Data'!D24)</f>
        <v/>
      </c>
      <c r="C25" s="137" t="str">
        <f>IF(ISBLANK('6.8Ratemaking Data'!E24),"",'6.8Ratemaking Data'!E24)</f>
        <v/>
      </c>
      <c r="D25" s="137" t="str">
        <f>IF(ISBLANK('6.8Ratemaking Data'!F24),"",'6.8Ratemaking Data'!F24)</f>
        <v/>
      </c>
      <c r="E25" s="137" t="str">
        <f>IF(ISBLANK('6.8Ratemaking Data'!G24),"",'6.8Ratemaking Data'!G24)</f>
        <v/>
      </c>
      <c r="F25" s="137" t="str">
        <f>IF(ISBLANK('6.8Ratemaking Data'!H24),"",'6.8Ratemaking Data'!H24)</f>
        <v/>
      </c>
      <c r="G25" s="137" t="str">
        <f>IF(ISBLANK('6.8Ratemaking Data'!I24),"",'6.8Ratemaking Data'!I24)</f>
        <v/>
      </c>
      <c r="H25" s="138"/>
    </row>
    <row r="26" spans="1:10" x14ac:dyDescent="0.25">
      <c r="A26" s="134" t="s">
        <v>179</v>
      </c>
      <c r="B26" s="137" t="str">
        <f>IF(ISBLANK('6.8Ratemaking Data'!D25),"",'6.8Ratemaking Data'!D25)</f>
        <v/>
      </c>
      <c r="C26" s="137" t="str">
        <f>IF(ISBLANK('6.8Ratemaking Data'!E25),"",'6.8Ratemaking Data'!E25)</f>
        <v/>
      </c>
      <c r="D26" s="137" t="str">
        <f>IF(ISBLANK('6.8Ratemaking Data'!F25),"",'6.8Ratemaking Data'!F25)</f>
        <v/>
      </c>
      <c r="E26" s="137" t="str">
        <f>IF(ISBLANK('6.8Ratemaking Data'!G25),"",'6.8Ratemaking Data'!G25)</f>
        <v/>
      </c>
      <c r="F26" s="137" t="str">
        <f>IF(ISBLANK('6.8Ratemaking Data'!H25),"",'6.8Ratemaking Data'!H25)</f>
        <v/>
      </c>
      <c r="G26" s="137" t="str">
        <f>IF(ISBLANK('6.8Ratemaking Data'!I25),"",'6.8Ratemaking Data'!I25)</f>
        <v/>
      </c>
      <c r="H26" s="144">
        <f>IF(New_Program=TRUE,0,'6.8Ratemaking Data'!$J$25)</f>
        <v>0</v>
      </c>
    </row>
    <row r="27" spans="1:10" x14ac:dyDescent="0.25">
      <c r="A27" s="134" t="s">
        <v>180</v>
      </c>
      <c r="B27" s="137" t="str">
        <f>IF(ISBLANK('6.8Ratemaking Data'!D26),"",'6.8Ratemaking Data'!D26)</f>
        <v/>
      </c>
      <c r="C27" s="137" t="str">
        <f>IF(ISBLANK('6.8Ratemaking Data'!E26),"",'6.8Ratemaking Data'!E26)</f>
        <v/>
      </c>
      <c r="D27" s="137" t="str">
        <f>IF(ISBLANK('6.8Ratemaking Data'!F26),"",'6.8Ratemaking Data'!F26)</f>
        <v/>
      </c>
      <c r="E27" s="137" t="str">
        <f>IF(ISBLANK('6.8Ratemaking Data'!G26),"",'6.8Ratemaking Data'!G26)</f>
        <v/>
      </c>
      <c r="F27" s="137" t="str">
        <f>IF(ISBLANK('6.8Ratemaking Data'!H26),"",'6.8Ratemaking Data'!H26)</f>
        <v/>
      </c>
      <c r="G27" s="137" t="str">
        <f>IF(ISBLANK('6.8Ratemaking Data'!I26),"",'6.8Ratemaking Data'!I26)</f>
        <v/>
      </c>
      <c r="H27" s="144">
        <f>IF(New_Program=TRUE,0,'6.8Ratemaking Data'!$J$26)</f>
        <v>0</v>
      </c>
    </row>
    <row r="28" spans="1:10" x14ac:dyDescent="0.25">
      <c r="A28" s="134" t="s">
        <v>183</v>
      </c>
      <c r="B28" s="137" t="str">
        <f>IF(ISBLANK('6.8Ratemaking Data'!D27),"",'6.8Ratemaking Data'!D27)</f>
        <v/>
      </c>
      <c r="C28" s="137" t="str">
        <f>IF(ISBLANK('6.8Ratemaking Data'!E27),"",'6.8Ratemaking Data'!E27)</f>
        <v/>
      </c>
      <c r="D28" s="137" t="str">
        <f>IF(ISBLANK('6.8Ratemaking Data'!F27),"",'6.8Ratemaking Data'!F27)</f>
        <v/>
      </c>
      <c r="E28" s="137" t="str">
        <f>IF(ISBLANK('6.8Ratemaking Data'!G27),"",'6.8Ratemaking Data'!G27)</f>
        <v/>
      </c>
      <c r="F28" s="137" t="str">
        <f>IF(ISBLANK('6.8Ratemaking Data'!H27),"",'6.8Ratemaking Data'!H27)</f>
        <v/>
      </c>
      <c r="G28" s="137" t="str">
        <f>IF(ISBLANK('6.8Ratemaking Data'!I27),"",'6.8Ratemaking Data'!I27)</f>
        <v/>
      </c>
      <c r="H28" s="138"/>
    </row>
    <row r="29" spans="1:10" ht="15.75" thickBot="1" x14ac:dyDescent="0.3">
      <c r="A29" s="153" t="s">
        <v>188</v>
      </c>
      <c r="B29" s="154" t="str">
        <f>IF(ISBLANK('6.8Ratemaking Data'!D29),"",'6.8Ratemaking Data'!D29)</f>
        <v/>
      </c>
      <c r="C29" s="154" t="str">
        <f>IF(ISBLANK('6.8Ratemaking Data'!E29),"",'6.8Ratemaking Data'!E29)</f>
        <v/>
      </c>
      <c r="D29" s="154" t="str">
        <f>IF(ISBLANK('6.8Ratemaking Data'!F29),"",'6.8Ratemaking Data'!F29)</f>
        <v/>
      </c>
      <c r="E29" s="154" t="str">
        <f>IF(ISBLANK('6.8Ratemaking Data'!G29),"",'6.8Ratemaking Data'!G29)</f>
        <v/>
      </c>
      <c r="F29" s="154" t="str">
        <f>IF(ISBLANK('6.8Ratemaking Data'!H29),"",'6.8Ratemaking Data'!H29)</f>
        <v/>
      </c>
      <c r="G29" s="154" t="str">
        <f>IF(ISBLANK('6.8Ratemaking Data'!I29),"",'6.8Ratemaking Data'!I29)</f>
        <v/>
      </c>
      <c r="H29" s="155">
        <f>IF(New_Program=TRUE,'6.8Ratemaking Data'!$K$29,SUM($B29:$G29))</f>
        <v>0</v>
      </c>
    </row>
    <row r="30" spans="1:10" ht="15.75" thickTop="1" x14ac:dyDescent="0.25">
      <c r="A30" s="134" t="s">
        <v>184</v>
      </c>
      <c r="B30" s="139"/>
      <c r="C30" s="139"/>
      <c r="D30" s="139"/>
      <c r="E30" s="139"/>
      <c r="F30" s="139"/>
      <c r="G30" s="139"/>
      <c r="H30" s="144">
        <f>IF(New_Program=TRUE,100%,'6.8Ratemaking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EffStd_Final08</f>
        <v/>
      </c>
    </row>
    <row r="38" spans="1:9" x14ac:dyDescent="0.25">
      <c r="A38" s="134" t="s">
        <v>191</v>
      </c>
      <c r="B38" s="90"/>
      <c r="C38" s="90"/>
      <c r="D38" s="90"/>
      <c r="E38" s="90"/>
      <c r="F38" s="693" t="s">
        <v>317</v>
      </c>
      <c r="G38" s="694">
        <f>update_leverage</f>
        <v>2021</v>
      </c>
      <c r="H38" s="190" t="str">
        <f>LevFact_Final08</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1/LevFact_Final08</f>
        <v>#VALUE!</v>
      </c>
    </row>
    <row r="41" spans="1:9" x14ac:dyDescent="0.25">
      <c r="A41" s="134" t="s">
        <v>198</v>
      </c>
      <c r="B41" s="90"/>
      <c r="C41" s="90"/>
      <c r="D41" s="90"/>
      <c r="E41" s="90"/>
      <c r="F41" s="693" t="s">
        <v>317</v>
      </c>
      <c r="G41" s="694">
        <f>update_reserveratios</f>
        <v>2021</v>
      </c>
      <c r="H41" s="191" t="str">
        <f>ResRatio_UPR08</f>
        <v/>
      </c>
    </row>
    <row r="42" spans="1:9" x14ac:dyDescent="0.25">
      <c r="A42" s="192" t="s">
        <v>194</v>
      </c>
      <c r="B42" s="90"/>
      <c r="C42" s="90"/>
      <c r="D42" s="90"/>
      <c r="E42" s="90"/>
      <c r="F42" s="693" t="s">
        <v>317</v>
      </c>
      <c r="G42" s="694">
        <f>update_reserveratios</f>
        <v>2021</v>
      </c>
      <c r="H42" s="191" t="str">
        <f>ResRatio_Loss08</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'6.8Ratemaking Data'!D$14</f>
        <v>20172</v>
      </c>
      <c r="C47" s="285" t="str">
        <f>'6.8Ratemaking Data'!E$14</f>
        <v>20182</v>
      </c>
      <c r="D47" s="285" t="str">
        <f>'6.8Ratemaking Data'!F$14</f>
        <v>20192</v>
      </c>
      <c r="E47" s="285" t="str">
        <f>'6.8Ratemaking Data'!G$14</f>
        <v>20202</v>
      </c>
      <c r="F47" s="285" t="str">
        <f>'6.8Ratemaking Data'!H$14</f>
        <v>20212</v>
      </c>
      <c r="G47" s="285">
        <f>'6.8Ratemaking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Yield*((1-FIT_Inv)/(1-FIT_UW))*ResRatio_Loss08</f>
        <v>#VALUE!</v>
      </c>
    </row>
    <row r="58" spans="1:9" x14ac:dyDescent="0.25">
      <c r="A58" s="134" t="s">
        <v>218</v>
      </c>
      <c r="B58" s="90"/>
      <c r="C58" s="90"/>
      <c r="D58" s="90"/>
      <c r="E58" s="90"/>
      <c r="F58" s="90"/>
      <c r="G58" s="90"/>
      <c r="H58" s="144" t="e">
        <f>Yield*((1-FIT_Inv)/(1-FIT_UW))*(ResRatio_UPR08+SurplusRatio)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IF(New_Program=TRUE,0,(1+Net_AnnualTrend)^MIN(4,((EffDate_Proposed-EffDate_Prior08)/365.25))-1)</f>
        <v>#VALUE!</v>
      </c>
    </row>
    <row r="61" spans="1:9" x14ac:dyDescent="0.25">
      <c r="A61" s="134" t="s">
        <v>207</v>
      </c>
      <c r="B61" s="145"/>
      <c r="C61" s="145"/>
      <c r="D61" s="145"/>
      <c r="E61" s="145"/>
      <c r="F61" s="145"/>
      <c r="G61" s="145"/>
      <c r="H61" s="144" t="e">
        <f>(ROR_Max)/(LevFact_Final08*(1-FIT_UW))</f>
        <v>#VALUE!</v>
      </c>
    </row>
    <row r="62" spans="1:9" x14ac:dyDescent="0.25">
      <c r="A62" s="134" t="s">
        <v>208</v>
      </c>
      <c r="B62" s="90"/>
      <c r="C62" s="90"/>
      <c r="D62" s="90"/>
      <c r="E62" s="90"/>
      <c r="F62" s="90"/>
      <c r="G62" s="90"/>
      <c r="H62" s="144" t="e">
        <f>(ROR_Min)/(LevFact_Final08*(1-FIT_UW))</f>
        <v>#VALUE!</v>
      </c>
    </row>
    <row r="63" spans="1:9" x14ac:dyDescent="0.25">
      <c r="A63" s="134" t="s">
        <v>209</v>
      </c>
      <c r="B63" s="90"/>
      <c r="C63" s="90"/>
      <c r="D63" s="90"/>
      <c r="E63" s="90"/>
      <c r="F63" s="90"/>
      <c r="G63" s="90"/>
      <c r="H63" s="144" t="e">
        <f>1-CredLossDCCE_perExp/Max_Premium-EffStd_Final08</f>
        <v>#VALUE!</v>
      </c>
      <c r="I63" s="252"/>
    </row>
    <row r="64" spans="1:9" x14ac:dyDescent="0.25">
      <c r="A64" s="134" t="s">
        <v>211</v>
      </c>
      <c r="B64" s="90"/>
      <c r="C64" s="90"/>
      <c r="D64" s="90"/>
      <c r="E64" s="90"/>
      <c r="F64" s="90"/>
      <c r="G64" s="90"/>
      <c r="H64" s="146" t="e">
        <f>1-EffStd_Final08-Min_Profit+InvInc_Variable</f>
        <v>#VALUE!</v>
      </c>
      <c r="I64" s="252"/>
    </row>
    <row r="65" spans="1:9" x14ac:dyDescent="0.25">
      <c r="A65" s="134" t="s">
        <v>210</v>
      </c>
      <c r="B65" s="90"/>
      <c r="C65" s="90"/>
      <c r="D65" s="90"/>
      <c r="E65" s="90"/>
      <c r="F65" s="90"/>
      <c r="G65" s="90"/>
      <c r="H65" s="146" t="e">
        <f>1-EffStd_Final08-Max_Profit+InvInc_Variable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130" t="s">
        <v>233</v>
      </c>
      <c r="B71" s="285" t="str">
        <f>'6.8Ratemaking Data'!D$14</f>
        <v>20172</v>
      </c>
      <c r="C71" s="285" t="str">
        <f>'6.8Ratemaking Data'!E$14</f>
        <v>20182</v>
      </c>
      <c r="D71" s="285" t="str">
        <f>'6.8Ratemaking Data'!F$14</f>
        <v>20192</v>
      </c>
      <c r="E71" s="285" t="str">
        <f>'6.8Ratemaking Data'!G$14</f>
        <v>20202</v>
      </c>
      <c r="F71" s="285" t="str">
        <f>'6.8Ratemaking Data'!H$14</f>
        <v>20212</v>
      </c>
      <c r="G71" s="285">
        <f>'6.8Ratemaking Data'!I$14</f>
        <v>20222</v>
      </c>
    </row>
    <row r="72" spans="1:9" hidden="1" x14ac:dyDescent="0.25">
      <c r="A72" s="148" t="s">
        <v>232</v>
      </c>
      <c r="B72" s="142"/>
      <c r="C72" s="142"/>
      <c r="D72" s="142"/>
      <c r="E72" s="142"/>
      <c r="F72" s="142"/>
      <c r="G72" s="142"/>
      <c r="H72" s="149" t="str">
        <f>IF(ISBLANK('6.8Ratemaking Data'!J44),"",'6.8Ratemaking Data'!J44)</f>
        <v/>
      </c>
    </row>
    <row r="73" spans="1:9" hidden="1" x14ac:dyDescent="0.25">
      <c r="A73" s="150" t="s">
        <v>219</v>
      </c>
      <c r="B73" s="135" t="str">
        <f>IF(ISBLANK('6.8Ratemaking Data'!D45),"",'6.8Ratemaking Data'!D45)</f>
        <v/>
      </c>
      <c r="C73" s="135" t="str">
        <f>IF(ISBLANK('6.8Ratemaking Data'!E45),"",'6.8Ratemaking Data'!E45)</f>
        <v/>
      </c>
      <c r="D73" s="135" t="str">
        <f>IF(ISBLANK('6.8Ratemaking Data'!F45),"",'6.8Ratemaking Data'!F45)</f>
        <v/>
      </c>
      <c r="E73" s="135" t="str">
        <f>IF(ISBLANK('6.8Ratemaking Data'!G45),"",'6.8Ratemaking Data'!G45)</f>
        <v/>
      </c>
      <c r="F73" s="135" t="str">
        <f>IF(ISBLANK('6.8Ratemaking Data'!H45),"",'6.8Ratemaking Data'!H45)</f>
        <v/>
      </c>
      <c r="G73" s="135" t="str">
        <f>IF(ISBLANK('6.8Ratemaking Data'!I45),"",'6.8Ratemaking Data'!I45)</f>
        <v/>
      </c>
      <c r="H73" s="136" t="str">
        <f>IF(RIGHT(Detailed_LineCode08,1)="R",IF(New_Program=TRUE,'6.8Ratemaking Data'!$K$45,SUM($B73:$G73)),"")</f>
        <v/>
      </c>
    </row>
    <row r="74" spans="1:9" hidden="1" x14ac:dyDescent="0.25">
      <c r="A74" s="150" t="s">
        <v>220</v>
      </c>
      <c r="B74" s="135" t="str">
        <f>IF(ISBLANK('6.8Ratemaking Data'!D46),"",'6.8Ratemaking Data'!D46)</f>
        <v/>
      </c>
      <c r="C74" s="135" t="str">
        <f>IF(ISBLANK('6.8Ratemaking Data'!E46),"",'6.8Ratemaking Data'!E46)</f>
        <v/>
      </c>
      <c r="D74" s="135" t="str">
        <f>IF(ISBLANK('6.8Ratemaking Data'!F46),"",'6.8Ratemaking Data'!F46)</f>
        <v/>
      </c>
      <c r="E74" s="135" t="str">
        <f>IF(ISBLANK('6.8Ratemaking Data'!G46),"",'6.8Ratemaking Data'!G46)</f>
        <v/>
      </c>
      <c r="F74" s="135" t="str">
        <f>IF(ISBLANK('6.8Ratemaking Data'!H46),"",'6.8Ratemaking Data'!H46)</f>
        <v/>
      </c>
      <c r="G74" s="135" t="str">
        <f>IF(ISBLANK('6.8Ratemaking Data'!I46),"",'6.8Ratemaking Data'!I46)</f>
        <v/>
      </c>
      <c r="H74" s="136">
        <f>IF(New_Program=TRUE,'6.8Ratemaking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IF(AND('6.8Ratemaking Data'!Error30="",'6.8Ratemaking Data'!Error31="",'6.8Ratemaking Data'!Error32=""),"","See Column M of Page '6.8Ratemaking Data' for errors that must be corrected.")</f>
        <v/>
      </c>
    </row>
    <row r="80" spans="1:9" ht="26.25" x14ac:dyDescent="0.25">
      <c r="F80" s="783" t="s">
        <v>616</v>
      </c>
      <c r="G80" s="783"/>
      <c r="H80" s="783"/>
    </row>
    <row r="81" spans="1:1" x14ac:dyDescent="0.25">
      <c r="A81" s="152"/>
    </row>
  </sheetData>
  <sheetProtection algorithmName="SHA-512" hashValue="FzgDx+YvrjKXbOEMt5TvyLHDFUxImS0T6H1jOic+bLjzAYAms1hdrqSjjZbGvbf4exGgxuimR4Vf1QYtGXpoiA==" saltValue="tRCZImUpvfTre3OzF9NEug=="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IF('6.9Ratemaking Data'!$K$7="","VARIANCE - NONE","VARIANCE "&amp;'6.9Ratemaking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EffDate_Prior09</f>
        <v/>
      </c>
    </row>
    <row r="10" spans="1:8" ht="15" customHeight="1" x14ac:dyDescent="0.25">
      <c r="A10" s="14" t="s">
        <v>170</v>
      </c>
      <c r="B10" s="62"/>
      <c r="H10" s="189">
        <f>EffDate_Proposed</f>
        <v>45323</v>
      </c>
    </row>
    <row r="11" spans="1:8" ht="15" customHeight="1" x14ac:dyDescent="0.25">
      <c r="A11" s="14" t="s">
        <v>77</v>
      </c>
      <c r="B11" s="62"/>
      <c r="H11" s="28" t="str">
        <f>Detailed_LineDesc09</f>
        <v/>
      </c>
    </row>
    <row r="12" spans="1:8" ht="15" customHeight="1" x14ac:dyDescent="0.25">
      <c r="A12" s="14" t="s">
        <v>78</v>
      </c>
      <c r="B12" s="62"/>
      <c r="H12" s="28" t="str">
        <f>Covg09</f>
        <v/>
      </c>
    </row>
    <row r="13" spans="1:8" ht="15" customHeight="1" x14ac:dyDescent="0.25">
      <c r="H13" s="608"/>
    </row>
    <row r="14" spans="1:8" ht="9.9499999999999993" customHeight="1" x14ac:dyDescent="0.25"/>
    <row r="15" spans="1:8" ht="15.75" thickBot="1" x14ac:dyDescent="0.3">
      <c r="A15" s="130" t="s">
        <v>171</v>
      </c>
      <c r="B15" s="285" t="str">
        <f>'6.9Ratemaking Data'!D$14</f>
        <v>20172</v>
      </c>
      <c r="C15" s="285" t="str">
        <f>'6.9Ratemaking Data'!E$14</f>
        <v>20182</v>
      </c>
      <c r="D15" s="285" t="str">
        <f>'6.9Ratemaking Data'!F$14</f>
        <v>20192</v>
      </c>
      <c r="E15" s="285" t="str">
        <f>'6.9Ratemaking Data'!G$14</f>
        <v>20202</v>
      </c>
      <c r="F15" s="285" t="str">
        <f>'6.9Ratemaking Data'!H$14</f>
        <v>20212</v>
      </c>
      <c r="G15" s="285">
        <f>'6.9Ratemaking Data'!I$14</f>
        <v>20222</v>
      </c>
      <c r="H15" s="105" t="s">
        <v>306</v>
      </c>
    </row>
    <row r="16" spans="1:8" x14ac:dyDescent="0.25">
      <c r="A16" s="131" t="s">
        <v>173</v>
      </c>
      <c r="B16" s="132" t="str">
        <f>IF(ISBLANK('6.9Ratemaking Data'!D15),"",'6.9Ratemaking Data'!D15)</f>
        <v/>
      </c>
      <c r="C16" s="132" t="str">
        <f>IF(ISBLANK('6.9Ratemaking Data'!E15),"",'6.9Ratemaking Data'!E15)</f>
        <v/>
      </c>
      <c r="D16" s="132" t="str">
        <f>IF(ISBLANK('6.9Ratemaking Data'!F15),"",'6.9Ratemaking Data'!F15)</f>
        <v/>
      </c>
      <c r="E16" s="132" t="str">
        <f>IF(ISBLANK('6.9Ratemaking Data'!G15),"",'6.9Ratemaking Data'!G15)</f>
        <v/>
      </c>
      <c r="F16" s="132" t="str">
        <f>IF(ISBLANK('6.9Ratemaking Data'!H15),"",'6.9Ratemaking Data'!H15)</f>
        <v/>
      </c>
      <c r="G16" s="132" t="str">
        <f>IF(ISBLANK('6.9Ratemaking Data'!I15),"",'6.9Ratemaking Data'!I15)</f>
        <v/>
      </c>
      <c r="H16" s="133">
        <f>IF(New_Program=TRUE,'6.9Ratemaking Data'!$K$15,SUM($B16:$G16))</f>
        <v>0</v>
      </c>
    </row>
    <row r="17" spans="1:10" x14ac:dyDescent="0.25">
      <c r="A17" s="134" t="s">
        <v>172</v>
      </c>
      <c r="B17" s="135" t="str">
        <f>IF(ISBLANK('6.9Ratemaking Data'!D16),"",'6.9Ratemaking Data'!D16)</f>
        <v/>
      </c>
      <c r="C17" s="135" t="str">
        <f>IF(ISBLANK('6.9Ratemaking Data'!E16),"",'6.9Ratemaking Data'!E16)</f>
        <v/>
      </c>
      <c r="D17" s="135" t="str">
        <f>IF(ISBLANK('6.9Ratemaking Data'!F16),"",'6.9Ratemaking Data'!F16)</f>
        <v/>
      </c>
      <c r="E17" s="135" t="str">
        <f>IF(ISBLANK('6.9Ratemaking Data'!G16),"",'6.9Ratemaking Data'!G16)</f>
        <v/>
      </c>
      <c r="F17" s="135" t="str">
        <f>IF(ISBLANK('6.9Ratemaking Data'!H16),"",'6.9Ratemaking Data'!H16)</f>
        <v/>
      </c>
      <c r="G17" s="135" t="str">
        <f>IF(ISBLANK('6.9Ratemaking Data'!I16),"",'6.9Ratemaking Data'!I16)</f>
        <v/>
      </c>
      <c r="H17" s="136">
        <f>IF(New_Program=TRUE,'6.9Ratemaking Data'!$K$16,SUM($B17:$G17))</f>
        <v>0</v>
      </c>
    </row>
    <row r="18" spans="1:10" x14ac:dyDescent="0.25">
      <c r="A18" s="134" t="s">
        <v>174</v>
      </c>
      <c r="B18" s="137" t="str">
        <f>IF(ISBLANK('6.9Ratemaking Data'!D17),"",'6.9Ratemaking Data'!D17)</f>
        <v/>
      </c>
      <c r="C18" s="137" t="str">
        <f>IF(ISBLANK('6.9Ratemaking Data'!E17),"",'6.9Ratemaking Data'!E17)</f>
        <v/>
      </c>
      <c r="D18" s="137" t="str">
        <f>IF(ISBLANK('6.9Ratemaking Data'!F17),"",'6.9Ratemaking Data'!F17)</f>
        <v/>
      </c>
      <c r="E18" s="137" t="str">
        <f>IF(ISBLANK('6.9Ratemaking Data'!G17),"",'6.9Ratemaking Data'!G17)</f>
        <v/>
      </c>
      <c r="F18" s="137" t="str">
        <f>IF(ISBLANK('6.9Ratemaking Data'!H17),"",'6.9Ratemaking Data'!H17)</f>
        <v/>
      </c>
      <c r="G18" s="137" t="str">
        <f>IF(ISBLANK('6.9Ratemaking Data'!I17),"",'6.9Ratemaking Data'!I17)</f>
        <v/>
      </c>
      <c r="H18" s="138"/>
    </row>
    <row r="19" spans="1:10" x14ac:dyDescent="0.25">
      <c r="A19" s="134" t="s">
        <v>175</v>
      </c>
      <c r="B19" s="137" t="str">
        <f>IF(ISBLANK('6.9Ratemaking Data'!D18),"",'6.9Ratemaking Data'!D18)</f>
        <v/>
      </c>
      <c r="C19" s="137" t="str">
        <f>IF(ISBLANK('6.9Ratemaking Data'!E18),"",'6.9Ratemaking Data'!E18)</f>
        <v/>
      </c>
      <c r="D19" s="137" t="str">
        <f>IF(ISBLANK('6.9Ratemaking Data'!F18),"",'6.9Ratemaking Data'!F18)</f>
        <v/>
      </c>
      <c r="E19" s="137" t="str">
        <f>IF(ISBLANK('6.9Ratemaking Data'!G18),"",'6.9Ratemaking Data'!G18)</f>
        <v/>
      </c>
      <c r="F19" s="137" t="str">
        <f>IF(ISBLANK('6.9Ratemaking Data'!H18),"",'6.9Ratemaking Data'!H18)</f>
        <v/>
      </c>
      <c r="G19" s="137" t="str">
        <f>IF(ISBLANK('6.9Ratemaking Data'!I18),"",'6.9Ratemaking Data'!I18)</f>
        <v/>
      </c>
      <c r="H19" s="144">
        <f>IF(New_Program=TRUE,0,'6.9Ratemaking Data'!$J$18)</f>
        <v>0</v>
      </c>
    </row>
    <row r="20" spans="1:10" x14ac:dyDescent="0.25">
      <c r="A20" s="134" t="s">
        <v>176</v>
      </c>
      <c r="B20" s="135" t="str">
        <f>IF(ISBLANK('6.9Ratemaking Data'!D19),"",'6.9Ratemaking Data'!D19)</f>
        <v/>
      </c>
      <c r="C20" s="135" t="str">
        <f>IF(ISBLANK('6.9Ratemaking Data'!E19),"",'6.9Ratemaking Data'!E19)</f>
        <v/>
      </c>
      <c r="D20" s="135" t="str">
        <f>IF(ISBLANK('6.9Ratemaking Data'!F19),"",'6.9Ratemaking Data'!F19)</f>
        <v/>
      </c>
      <c r="E20" s="135" t="str">
        <f>IF(ISBLANK('6.9Ratemaking Data'!G19),"",'6.9Ratemaking Data'!G19)</f>
        <v/>
      </c>
      <c r="F20" s="135" t="str">
        <f>IF(ISBLANK('6.9Ratemaking Data'!H19),"",'6.9Ratemaking Data'!H19)</f>
        <v/>
      </c>
      <c r="G20" s="135" t="str">
        <f>IF(ISBLANK('6.9Ratemaking Data'!I19),"",'6.9Ratemaking Data'!I19)</f>
        <v/>
      </c>
      <c r="H20" s="136">
        <f>IF(New_Program=TRUE,'6.9Ratemaking Data'!$K$19,SUM($B20:$G20))</f>
        <v>0</v>
      </c>
    </row>
    <row r="21" spans="1:10" x14ac:dyDescent="0.25">
      <c r="A21" s="134" t="s">
        <v>177</v>
      </c>
      <c r="B21" s="135" t="str">
        <f>IF(ISBLANK('6.9Ratemaking Data'!D20),"",'6.9Ratemaking Data'!D20)</f>
        <v/>
      </c>
      <c r="C21" s="135" t="str">
        <f>IF(ISBLANK('6.9Ratemaking Data'!E20),"",'6.9Ratemaking Data'!E20)</f>
        <v/>
      </c>
      <c r="D21" s="135" t="str">
        <f>IF(ISBLANK('6.9Ratemaking Data'!F20),"",'6.9Ratemaking Data'!F20)</f>
        <v/>
      </c>
      <c r="E21" s="135" t="str">
        <f>IF(ISBLANK('6.9Ratemaking Data'!G20),"",'6.9Ratemaking Data'!G20)</f>
        <v/>
      </c>
      <c r="F21" s="135" t="str">
        <f>IF(ISBLANK('6.9Ratemaking Data'!H20),"",'6.9Ratemaking Data'!H20)</f>
        <v/>
      </c>
      <c r="G21" s="135" t="str">
        <f>IF(ISBLANK('6.9Ratemaking Data'!I20),"",'6.9Ratemaking Data'!I20)</f>
        <v/>
      </c>
      <c r="H21" s="136">
        <f>IF(New_Program=TRUE,'6.9Ratemaking Data'!$K$20,SUM($B21:$G21))</f>
        <v>0</v>
      </c>
      <c r="J21" s="126"/>
    </row>
    <row r="22" spans="1:10" x14ac:dyDescent="0.25">
      <c r="A22" s="134" t="s">
        <v>178</v>
      </c>
      <c r="B22" s="135" t="str">
        <f>IF(ISBLANK('6.9Ratemaking Data'!D21),"",'6.9Ratemaking Data'!D21)</f>
        <v/>
      </c>
      <c r="C22" s="135" t="str">
        <f>IF(ISBLANK('6.9Ratemaking Data'!E21),"",'6.9Ratemaking Data'!E21)</f>
        <v/>
      </c>
      <c r="D22" s="135" t="str">
        <f>IF(ISBLANK('6.9Ratemaking Data'!F21),"",'6.9Ratemaking Data'!F21)</f>
        <v/>
      </c>
      <c r="E22" s="135" t="str">
        <f>IF(ISBLANK('6.9Ratemaking Data'!G21),"",'6.9Ratemaking Data'!G21)</f>
        <v/>
      </c>
      <c r="F22" s="135" t="str">
        <f>IF(ISBLANK('6.9Ratemaking Data'!H21),"",'6.9Ratemaking Data'!H21)</f>
        <v/>
      </c>
      <c r="G22" s="135" t="str">
        <f>IF(ISBLANK('6.9Ratemaking Data'!I21),"",'6.9Ratemaking Data'!I21)</f>
        <v/>
      </c>
      <c r="H22" s="136">
        <f>IF(New_Program=TRUE,'6.9Ratemaking Data'!$K$21,SUM($B22:$G22))</f>
        <v>0</v>
      </c>
      <c r="J22" s="126"/>
    </row>
    <row r="23" spans="1:10" x14ac:dyDescent="0.25">
      <c r="A23" s="134" t="s">
        <v>144</v>
      </c>
      <c r="B23" s="135" t="str">
        <f>IF(ISBLANK('6.9Ratemaking Data'!D22),"",'6.9Ratemaking Data'!D22)</f>
        <v/>
      </c>
      <c r="C23" s="135" t="str">
        <f>IF(ISBLANK('6.9Ratemaking Data'!E22),"",'6.9Ratemaking Data'!E22)</f>
        <v/>
      </c>
      <c r="D23" s="135" t="str">
        <f>IF(ISBLANK('6.9Ratemaking Data'!F22),"",'6.9Ratemaking Data'!F22)</f>
        <v/>
      </c>
      <c r="E23" s="135" t="str">
        <f>IF(ISBLANK('6.9Ratemaking Data'!G22),"",'6.9Ratemaking Data'!G22)</f>
        <v/>
      </c>
      <c r="F23" s="135" t="str">
        <f>IF(ISBLANK('6.9Ratemaking Data'!H22),"",'6.9Ratemaking Data'!H22)</f>
        <v/>
      </c>
      <c r="G23" s="135" t="str">
        <f>IF(ISBLANK('6.9Ratemaking Data'!I22),"",'6.9Ratemaking Data'!I22)</f>
        <v/>
      </c>
      <c r="H23" s="136">
        <f>IF(New_Program=TRUE,'6.9Ratemaking Data'!$K$22,SUM($B23:$G23))</f>
        <v>0</v>
      </c>
      <c r="J23" s="126"/>
    </row>
    <row r="24" spans="1:10" x14ac:dyDescent="0.25">
      <c r="A24" s="134" t="s">
        <v>181</v>
      </c>
      <c r="B24" s="137" t="str">
        <f>IF(ISBLANK('6.9Ratemaking Data'!D23),"",'6.9Ratemaking Data'!D23)</f>
        <v/>
      </c>
      <c r="C24" s="137" t="str">
        <f>IF(ISBLANK('6.9Ratemaking Data'!E23),"",'6.9Ratemaking Data'!E23)</f>
        <v/>
      </c>
      <c r="D24" s="137" t="str">
        <f>IF(ISBLANK('6.9Ratemaking Data'!F23),"",'6.9Ratemaking Data'!F23)</f>
        <v/>
      </c>
      <c r="E24" s="137" t="str">
        <f>IF(ISBLANK('6.9Ratemaking Data'!G23),"",'6.9Ratemaking Data'!G23)</f>
        <v/>
      </c>
      <c r="F24" s="137" t="str">
        <f>IF(ISBLANK('6.9Ratemaking Data'!H23),"",'6.9Ratemaking Data'!H23)</f>
        <v/>
      </c>
      <c r="G24" s="137" t="str">
        <f>IF(ISBLANK('6.9Ratemaking Data'!I23),"",'6.9Ratemaking Data'!I23)</f>
        <v/>
      </c>
      <c r="H24" s="138"/>
    </row>
    <row r="25" spans="1:10" x14ac:dyDescent="0.25">
      <c r="A25" s="134" t="s">
        <v>182</v>
      </c>
      <c r="B25" s="137" t="str">
        <f>IF(ISBLANK('6.9Ratemaking Data'!D24),"",'6.9Ratemaking Data'!D24)</f>
        <v/>
      </c>
      <c r="C25" s="137" t="str">
        <f>IF(ISBLANK('6.9Ratemaking Data'!E24),"",'6.9Ratemaking Data'!E24)</f>
        <v/>
      </c>
      <c r="D25" s="137" t="str">
        <f>IF(ISBLANK('6.9Ratemaking Data'!F24),"",'6.9Ratemaking Data'!F24)</f>
        <v/>
      </c>
      <c r="E25" s="137" t="str">
        <f>IF(ISBLANK('6.9Ratemaking Data'!G24),"",'6.9Ratemaking Data'!G24)</f>
        <v/>
      </c>
      <c r="F25" s="137" t="str">
        <f>IF(ISBLANK('6.9Ratemaking Data'!H24),"",'6.9Ratemaking Data'!H24)</f>
        <v/>
      </c>
      <c r="G25" s="137" t="str">
        <f>IF(ISBLANK('6.9Ratemaking Data'!I24),"",'6.9Ratemaking Data'!I24)</f>
        <v/>
      </c>
      <c r="H25" s="138"/>
    </row>
    <row r="26" spans="1:10" x14ac:dyDescent="0.25">
      <c r="A26" s="134" t="s">
        <v>179</v>
      </c>
      <c r="B26" s="137" t="str">
        <f>IF(ISBLANK('6.9Ratemaking Data'!D25),"",'6.9Ratemaking Data'!D25)</f>
        <v/>
      </c>
      <c r="C26" s="137" t="str">
        <f>IF(ISBLANK('6.9Ratemaking Data'!E25),"",'6.9Ratemaking Data'!E25)</f>
        <v/>
      </c>
      <c r="D26" s="137" t="str">
        <f>IF(ISBLANK('6.9Ratemaking Data'!F25),"",'6.9Ratemaking Data'!F25)</f>
        <v/>
      </c>
      <c r="E26" s="137" t="str">
        <f>IF(ISBLANK('6.9Ratemaking Data'!G25),"",'6.9Ratemaking Data'!G25)</f>
        <v/>
      </c>
      <c r="F26" s="137" t="str">
        <f>IF(ISBLANK('6.9Ratemaking Data'!H25),"",'6.9Ratemaking Data'!H25)</f>
        <v/>
      </c>
      <c r="G26" s="137" t="str">
        <f>IF(ISBLANK('6.9Ratemaking Data'!I25),"",'6.9Ratemaking Data'!I25)</f>
        <v/>
      </c>
      <c r="H26" s="144">
        <f>IF(New_Program=TRUE,0,'6.9Ratemaking Data'!$J$25)</f>
        <v>0</v>
      </c>
    </row>
    <row r="27" spans="1:10" x14ac:dyDescent="0.25">
      <c r="A27" s="134" t="s">
        <v>180</v>
      </c>
      <c r="B27" s="137" t="str">
        <f>IF(ISBLANK('6.9Ratemaking Data'!D26),"",'6.9Ratemaking Data'!D26)</f>
        <v/>
      </c>
      <c r="C27" s="137" t="str">
        <f>IF(ISBLANK('6.9Ratemaking Data'!E26),"",'6.9Ratemaking Data'!E26)</f>
        <v/>
      </c>
      <c r="D27" s="137" t="str">
        <f>IF(ISBLANK('6.9Ratemaking Data'!F26),"",'6.9Ratemaking Data'!F26)</f>
        <v/>
      </c>
      <c r="E27" s="137" t="str">
        <f>IF(ISBLANK('6.9Ratemaking Data'!G26),"",'6.9Ratemaking Data'!G26)</f>
        <v/>
      </c>
      <c r="F27" s="137" t="str">
        <f>IF(ISBLANK('6.9Ratemaking Data'!H26),"",'6.9Ratemaking Data'!H26)</f>
        <v/>
      </c>
      <c r="G27" s="137" t="str">
        <f>IF(ISBLANK('6.9Ratemaking Data'!I26),"",'6.9Ratemaking Data'!I26)</f>
        <v/>
      </c>
      <c r="H27" s="144">
        <f>IF(New_Program=TRUE,0,'6.9Ratemaking Data'!$J$26)</f>
        <v>0</v>
      </c>
    </row>
    <row r="28" spans="1:10" x14ac:dyDescent="0.25">
      <c r="A28" s="134" t="s">
        <v>183</v>
      </c>
      <c r="B28" s="137" t="str">
        <f>IF(ISBLANK('6.9Ratemaking Data'!D27),"",'6.9Ratemaking Data'!D27)</f>
        <v/>
      </c>
      <c r="C28" s="137" t="str">
        <f>IF(ISBLANK('6.9Ratemaking Data'!E27),"",'6.9Ratemaking Data'!E27)</f>
        <v/>
      </c>
      <c r="D28" s="137" t="str">
        <f>IF(ISBLANK('6.9Ratemaking Data'!F27),"",'6.9Ratemaking Data'!F27)</f>
        <v/>
      </c>
      <c r="E28" s="137" t="str">
        <f>IF(ISBLANK('6.9Ratemaking Data'!G27),"",'6.9Ratemaking Data'!G27)</f>
        <v/>
      </c>
      <c r="F28" s="137" t="str">
        <f>IF(ISBLANK('6.9Ratemaking Data'!H27),"",'6.9Ratemaking Data'!H27)</f>
        <v/>
      </c>
      <c r="G28" s="137" t="str">
        <f>IF(ISBLANK('6.9Ratemaking Data'!I27),"",'6.9Ratemaking Data'!I27)</f>
        <v/>
      </c>
      <c r="H28" s="138"/>
    </row>
    <row r="29" spans="1:10" ht="15.75" thickBot="1" x14ac:dyDescent="0.3">
      <c r="A29" s="153" t="s">
        <v>188</v>
      </c>
      <c r="B29" s="154" t="str">
        <f>IF(ISBLANK('6.9Ratemaking Data'!D29),"",'6.9Ratemaking Data'!D29)</f>
        <v/>
      </c>
      <c r="C29" s="154" t="str">
        <f>IF(ISBLANK('6.9Ratemaking Data'!E29),"",'6.9Ratemaking Data'!E29)</f>
        <v/>
      </c>
      <c r="D29" s="154" t="str">
        <f>IF(ISBLANK('6.9Ratemaking Data'!F29),"",'6.9Ratemaking Data'!F29)</f>
        <v/>
      </c>
      <c r="E29" s="154" t="str">
        <f>IF(ISBLANK('6.9Ratemaking Data'!G29),"",'6.9Ratemaking Data'!G29)</f>
        <v/>
      </c>
      <c r="F29" s="154" t="str">
        <f>IF(ISBLANK('6.9Ratemaking Data'!H29),"",'6.9Ratemaking Data'!H29)</f>
        <v/>
      </c>
      <c r="G29" s="154" t="str">
        <f>IF(ISBLANK('6.9Ratemaking Data'!I29),"",'6.9Ratemaking Data'!I29)</f>
        <v/>
      </c>
      <c r="H29" s="155">
        <f>IF(New_Program=TRUE,'6.9Ratemaking Data'!$K$29,SUM('7.9Rate Change Calculation'!$B29:$G29))</f>
        <v>0</v>
      </c>
    </row>
    <row r="30" spans="1:10" ht="15.75" thickTop="1" x14ac:dyDescent="0.25">
      <c r="A30" s="134" t="s">
        <v>184</v>
      </c>
      <c r="B30" s="139"/>
      <c r="C30" s="139"/>
      <c r="D30" s="139"/>
      <c r="E30" s="139"/>
      <c r="F30" s="139"/>
      <c r="G30" s="139"/>
      <c r="H30" s="144">
        <f>IF(New_Program=TRUE,100%,'6.9Ratemaking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EffStd_Final09</f>
        <v/>
      </c>
    </row>
    <row r="38" spans="1:9" x14ac:dyDescent="0.25">
      <c r="A38" s="134" t="s">
        <v>191</v>
      </c>
      <c r="B38" s="90"/>
      <c r="C38" s="90"/>
      <c r="D38" s="90"/>
      <c r="E38" s="90"/>
      <c r="F38" s="693" t="s">
        <v>317</v>
      </c>
      <c r="G38" s="694">
        <f>update_leverage</f>
        <v>2021</v>
      </c>
      <c r="H38" s="190" t="str">
        <f>LevFact_Final09</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1/LevFact_Final09</f>
        <v>#VALUE!</v>
      </c>
    </row>
    <row r="41" spans="1:9" x14ac:dyDescent="0.25">
      <c r="A41" s="134" t="s">
        <v>198</v>
      </c>
      <c r="B41" s="90"/>
      <c r="C41" s="90"/>
      <c r="D41" s="90"/>
      <c r="E41" s="90"/>
      <c r="F41" s="693" t="s">
        <v>317</v>
      </c>
      <c r="G41" s="694">
        <f>update_reserveratios</f>
        <v>2021</v>
      </c>
      <c r="H41" s="191" t="str">
        <f>ResRatio_UPR09</f>
        <v/>
      </c>
    </row>
    <row r="42" spans="1:9" x14ac:dyDescent="0.25">
      <c r="A42" s="192" t="s">
        <v>194</v>
      </c>
      <c r="B42" s="90"/>
      <c r="C42" s="90"/>
      <c r="D42" s="90"/>
      <c r="E42" s="90"/>
      <c r="F42" s="693" t="s">
        <v>317</v>
      </c>
      <c r="G42" s="694">
        <f>update_reserveratios</f>
        <v>2021</v>
      </c>
      <c r="H42" s="191" t="str">
        <f>ResRatio_Loss09</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'6.9Ratemaking Data'!D$14</f>
        <v>20172</v>
      </c>
      <c r="C47" s="285" t="str">
        <f>'6.9Ratemaking Data'!E$14</f>
        <v>20182</v>
      </c>
      <c r="D47" s="285" t="str">
        <f>'6.9Ratemaking Data'!F$14</f>
        <v>20192</v>
      </c>
      <c r="E47" s="285" t="str">
        <f>'6.9Ratemaking Data'!G$14</f>
        <v>20202</v>
      </c>
      <c r="F47" s="285" t="str">
        <f>'6.9Ratemaking Data'!H$14</f>
        <v>20212</v>
      </c>
      <c r="G47" s="285">
        <f>'6.9Ratemaking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Yield*((1-FIT_Inv)/(1-FIT_UW))*ResRatio_Loss09</f>
        <v>#VALUE!</v>
      </c>
    </row>
    <row r="58" spans="1:9" x14ac:dyDescent="0.25">
      <c r="A58" s="134" t="s">
        <v>218</v>
      </c>
      <c r="B58" s="90"/>
      <c r="C58" s="90"/>
      <c r="D58" s="90"/>
      <c r="E58" s="90"/>
      <c r="F58" s="90"/>
      <c r="G58" s="90"/>
      <c r="H58" s="144" t="e">
        <f>Yield*((1-FIT_Inv)/(1-FIT_UW))*(ResRatio_UPR09+SurplusRatio)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IF(New_Program=TRUE,0,(1+Net_AnnualTrend)^MIN(4,((EffDate_Proposed-EffDate_Prior09)/365.25))-1)</f>
        <v>#VALUE!</v>
      </c>
    </row>
    <row r="61" spans="1:9" x14ac:dyDescent="0.25">
      <c r="A61" s="134" t="s">
        <v>207</v>
      </c>
      <c r="B61" s="145"/>
      <c r="C61" s="145"/>
      <c r="D61" s="145"/>
      <c r="E61" s="145"/>
      <c r="F61" s="145"/>
      <c r="G61" s="145"/>
      <c r="H61" s="144" t="e">
        <f>(ROR_Max)/(LevFact_Final09*(1-FIT_UW))</f>
        <v>#VALUE!</v>
      </c>
    </row>
    <row r="62" spans="1:9" x14ac:dyDescent="0.25">
      <c r="A62" s="134" t="s">
        <v>208</v>
      </c>
      <c r="B62" s="90"/>
      <c r="C62" s="90"/>
      <c r="D62" s="90"/>
      <c r="E62" s="90"/>
      <c r="F62" s="90"/>
      <c r="G62" s="90"/>
      <c r="H62" s="144" t="e">
        <f>(ROR_Min)/(LevFact_Final09*(1-FIT_UW))</f>
        <v>#VALUE!</v>
      </c>
    </row>
    <row r="63" spans="1:9" x14ac:dyDescent="0.25">
      <c r="A63" s="134" t="s">
        <v>209</v>
      </c>
      <c r="B63" s="90"/>
      <c r="C63" s="90"/>
      <c r="D63" s="90"/>
      <c r="E63" s="90"/>
      <c r="F63" s="90"/>
      <c r="G63" s="90"/>
      <c r="H63" s="144" t="e">
        <f>1-CredLossDCCE_perExp/Max_Premium-EffStd_Final09</f>
        <v>#VALUE!</v>
      </c>
      <c r="I63" s="252"/>
    </row>
    <row r="64" spans="1:9" x14ac:dyDescent="0.25">
      <c r="A64" s="134" t="s">
        <v>211</v>
      </c>
      <c r="B64" s="90"/>
      <c r="C64" s="90"/>
      <c r="D64" s="90"/>
      <c r="E64" s="90"/>
      <c r="F64" s="90"/>
      <c r="G64" s="90"/>
      <c r="H64" s="146" t="e">
        <f>1-EffStd_Final09-Min_Profit+InvInc_Variable</f>
        <v>#VALUE!</v>
      </c>
      <c r="I64" s="252"/>
    </row>
    <row r="65" spans="1:9" x14ac:dyDescent="0.25">
      <c r="A65" s="134" t="s">
        <v>210</v>
      </c>
      <c r="B65" s="90"/>
      <c r="C65" s="90"/>
      <c r="D65" s="90"/>
      <c r="E65" s="90"/>
      <c r="F65" s="90"/>
      <c r="G65" s="90"/>
      <c r="H65" s="146" t="e">
        <f>1-EffStd_Final09-Max_Profit+InvInc_Variable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130" t="s">
        <v>233</v>
      </c>
      <c r="B71" s="285" t="str">
        <f>'6.9Ratemaking Data'!D$14</f>
        <v>20172</v>
      </c>
      <c r="C71" s="285" t="str">
        <f>'6.9Ratemaking Data'!E$14</f>
        <v>20182</v>
      </c>
      <c r="D71" s="285" t="str">
        <f>'6.9Ratemaking Data'!F$14</f>
        <v>20192</v>
      </c>
      <c r="E71" s="285" t="str">
        <f>'6.9Ratemaking Data'!G$14</f>
        <v>20202</v>
      </c>
      <c r="F71" s="285" t="str">
        <f>'6.9Ratemaking Data'!H$14</f>
        <v>20212</v>
      </c>
      <c r="G71" s="285">
        <f>'6.9Ratemaking Data'!I$14</f>
        <v>20222</v>
      </c>
    </row>
    <row r="72" spans="1:9" hidden="1" x14ac:dyDescent="0.25">
      <c r="A72" s="148" t="s">
        <v>232</v>
      </c>
      <c r="B72" s="142"/>
      <c r="C72" s="142"/>
      <c r="D72" s="142"/>
      <c r="E72" s="142"/>
      <c r="F72" s="142"/>
      <c r="G72" s="142"/>
      <c r="H72" s="149" t="str">
        <f>IF(ISBLANK('6.9Ratemaking Data'!J44),"",'6.9Ratemaking Data'!J44)</f>
        <v/>
      </c>
    </row>
    <row r="73" spans="1:9" hidden="1" x14ac:dyDescent="0.25">
      <c r="A73" s="150" t="s">
        <v>219</v>
      </c>
      <c r="B73" s="135" t="str">
        <f>IF(ISBLANK('6.9Ratemaking Data'!D45),"",'6.9Ratemaking Data'!D45)</f>
        <v/>
      </c>
      <c r="C73" s="135" t="str">
        <f>IF(ISBLANK('6.9Ratemaking Data'!E45),"",'6.9Ratemaking Data'!E45)</f>
        <v/>
      </c>
      <c r="D73" s="135" t="str">
        <f>IF(ISBLANK('6.9Ratemaking Data'!F45),"",'6.9Ratemaking Data'!F45)</f>
        <v/>
      </c>
      <c r="E73" s="135" t="str">
        <f>IF(ISBLANK('6.9Ratemaking Data'!G45),"",'6.9Ratemaking Data'!G45)</f>
        <v/>
      </c>
      <c r="F73" s="135" t="str">
        <f>IF(ISBLANK('6.9Ratemaking Data'!H45),"",'6.9Ratemaking Data'!H45)</f>
        <v/>
      </c>
      <c r="G73" s="135" t="str">
        <f>IF(ISBLANK('6.9Ratemaking Data'!I45),"",'6.9Ratemaking Data'!I45)</f>
        <v/>
      </c>
      <c r="H73" s="136" t="str">
        <f>IF(RIGHT(Detailed_LineCode09,1)="R",IF(New_Program=TRUE,'6.9Ratemaking Data'!$K$45,SUM($B73:$G73)),"")</f>
        <v/>
      </c>
    </row>
    <row r="74" spans="1:9" hidden="1" x14ac:dyDescent="0.25">
      <c r="A74" s="150" t="s">
        <v>220</v>
      </c>
      <c r="B74" s="135" t="str">
        <f>IF(ISBLANK('6.9Ratemaking Data'!D46),"",'6.9Ratemaking Data'!D46)</f>
        <v/>
      </c>
      <c r="C74" s="135" t="str">
        <f>IF(ISBLANK('6.9Ratemaking Data'!E46),"",'6.9Ratemaking Data'!E46)</f>
        <v/>
      </c>
      <c r="D74" s="135" t="str">
        <f>IF(ISBLANK('6.9Ratemaking Data'!F46),"",'6.9Ratemaking Data'!F46)</f>
        <v/>
      </c>
      <c r="E74" s="135" t="str">
        <f>IF(ISBLANK('6.9Ratemaking Data'!G46),"",'6.9Ratemaking Data'!G46)</f>
        <v/>
      </c>
      <c r="F74" s="135" t="str">
        <f>IF(ISBLANK('6.9Ratemaking Data'!H46),"",'6.9Ratemaking Data'!H46)</f>
        <v/>
      </c>
      <c r="G74" s="135" t="str">
        <f>IF(ISBLANK('6.9Ratemaking Data'!I46),"",'6.9Ratemaking Data'!I46)</f>
        <v/>
      </c>
      <c r="H74" s="136">
        <f>IF(New_Program=TRUE,'6.9Ratemaking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IF(AND('6.9Ratemaking Data'!Error30="",'6.9Ratemaking Data'!Error31="",'6.9Ratemaking Data'!Error32=""),"","See Column M of Page '6.9Ratemaking Data' for errors that must be corrected.")</f>
        <v/>
      </c>
    </row>
    <row r="80" spans="1:9" ht="26.25" x14ac:dyDescent="0.25">
      <c r="F80" s="783" t="s">
        <v>615</v>
      </c>
      <c r="G80" s="783"/>
      <c r="H80" s="783"/>
    </row>
    <row r="81" spans="1:1" x14ac:dyDescent="0.25">
      <c r="A81" s="152"/>
    </row>
  </sheetData>
  <sheetProtection algorithmName="SHA-512" hashValue="CVKCRaihZAxUjUsgoXlkXzvNYDCGD+AYoaXFqOit8qUtvVq82vJcdTIgQRaS2Gp7avWyZ6QqRO8VC+8WIeTbgA==" saltValue="mEnxW6F/SVzfxrUMoq7f5A=="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General Insurance Company</v>
      </c>
    </row>
    <row r="2" spans="1:8" x14ac:dyDescent="0.25">
      <c r="A2" s="8" t="s">
        <v>32</v>
      </c>
      <c r="E2" s="124" t="s">
        <v>34</v>
      </c>
      <c r="H2" s="125" t="str">
        <f>General_Line</f>
        <v>Homeowners Multiple Peril</v>
      </c>
    </row>
    <row r="3" spans="1:8" x14ac:dyDescent="0.25">
      <c r="E3" s="181" t="s">
        <v>142</v>
      </c>
      <c r="F3" s="182"/>
      <c r="G3" s="182"/>
      <c r="H3" s="188" t="str">
        <f>CDI_FileNo</f>
        <v/>
      </c>
    </row>
    <row r="4" spans="1:8" ht="18" customHeight="1" x14ac:dyDescent="0.25">
      <c r="A4" s="607" t="str">
        <f>IF('6.10Ratemaking Data'!$K$7="","VARIANCE - NONE","VARIANCE "&amp;'6.10Ratemaking Data'!$K$7)</f>
        <v>VARIANCE - NONE</v>
      </c>
    </row>
    <row r="5" spans="1:8" ht="23.25" x14ac:dyDescent="0.25">
      <c r="A5" s="4" t="s">
        <v>664</v>
      </c>
      <c r="B5" s="123"/>
      <c r="C5" s="123"/>
      <c r="D5" s="123"/>
      <c r="E5" s="123"/>
      <c r="F5" s="123"/>
      <c r="G5" s="123"/>
      <c r="H5" s="123"/>
    </row>
    <row r="6" spans="1:8" ht="9.9499999999999993" customHeight="1" x14ac:dyDescent="0.25"/>
    <row r="7" spans="1:8" ht="15" customHeight="1" x14ac:dyDescent="0.25">
      <c r="A7" s="14" t="s">
        <v>1</v>
      </c>
      <c r="H7" s="28" t="str">
        <f>Completed_By</f>
        <v>Nicole Pettis</v>
      </c>
    </row>
    <row r="8" spans="1:8" ht="15" customHeight="1" x14ac:dyDescent="0.25">
      <c r="A8" s="14" t="s">
        <v>76</v>
      </c>
      <c r="H8" s="189">
        <f>Completed_Date</f>
        <v>44981</v>
      </c>
    </row>
    <row r="9" spans="1:8" ht="15" customHeight="1" x14ac:dyDescent="0.25">
      <c r="A9" s="14" t="s">
        <v>169</v>
      </c>
      <c r="H9" s="189" t="str">
        <f>EffDate_Prior10</f>
        <v/>
      </c>
    </row>
    <row r="10" spans="1:8" ht="15" customHeight="1" x14ac:dyDescent="0.25">
      <c r="A10" s="14" t="s">
        <v>170</v>
      </c>
      <c r="B10" s="62"/>
      <c r="H10" s="189">
        <f>EffDate_Proposed</f>
        <v>45323</v>
      </c>
    </row>
    <row r="11" spans="1:8" ht="15" customHeight="1" x14ac:dyDescent="0.25">
      <c r="A11" s="14" t="s">
        <v>77</v>
      </c>
      <c r="B11" s="62"/>
      <c r="H11" s="28" t="str">
        <f>Detailed_LineDesc10</f>
        <v/>
      </c>
    </row>
    <row r="12" spans="1:8" ht="15" customHeight="1" x14ac:dyDescent="0.25">
      <c r="A12" s="14" t="s">
        <v>78</v>
      </c>
      <c r="B12" s="62"/>
      <c r="H12" s="28" t="str">
        <f>Covg10</f>
        <v/>
      </c>
    </row>
    <row r="13" spans="1:8" ht="15" customHeight="1" x14ac:dyDescent="0.25">
      <c r="H13" s="608"/>
    </row>
    <row r="14" spans="1:8" ht="9.9499999999999993" customHeight="1" x14ac:dyDescent="0.25"/>
    <row r="15" spans="1:8" ht="15.75" thickBot="1" x14ac:dyDescent="0.3">
      <c r="A15" s="130" t="s">
        <v>171</v>
      </c>
      <c r="B15" s="285" t="str">
        <f>'6.10Ratemaking Data'!D$14</f>
        <v>20172</v>
      </c>
      <c r="C15" s="285" t="str">
        <f>'6.10Ratemaking Data'!E$14</f>
        <v>20182</v>
      </c>
      <c r="D15" s="285" t="str">
        <f>'6.10Ratemaking Data'!F$14</f>
        <v>20192</v>
      </c>
      <c r="E15" s="285" t="str">
        <f>'6.10Ratemaking Data'!G$14</f>
        <v>20202</v>
      </c>
      <c r="F15" s="285" t="str">
        <f>'6.10Ratemaking Data'!H$14</f>
        <v>20212</v>
      </c>
      <c r="G15" s="285">
        <f>'6.10Ratemaking Data'!I$14</f>
        <v>20222</v>
      </c>
      <c r="H15" s="105" t="s">
        <v>306</v>
      </c>
    </row>
    <row r="16" spans="1:8" x14ac:dyDescent="0.25">
      <c r="A16" s="131" t="s">
        <v>173</v>
      </c>
      <c r="B16" s="132" t="str">
        <f>IF(ISBLANK('6.10Ratemaking Data'!D15),"",'6.10Ratemaking Data'!D15)</f>
        <v/>
      </c>
      <c r="C16" s="132" t="str">
        <f>IF(ISBLANK('6.10Ratemaking Data'!E15),"",'6.10Ratemaking Data'!E15)</f>
        <v/>
      </c>
      <c r="D16" s="132" t="str">
        <f>IF(ISBLANK('6.10Ratemaking Data'!F15),"",'6.10Ratemaking Data'!F15)</f>
        <v/>
      </c>
      <c r="E16" s="132" t="str">
        <f>IF(ISBLANK('6.10Ratemaking Data'!G15),"",'6.10Ratemaking Data'!G15)</f>
        <v/>
      </c>
      <c r="F16" s="132" t="str">
        <f>IF(ISBLANK('6.10Ratemaking Data'!H15),"",'6.10Ratemaking Data'!H15)</f>
        <v/>
      </c>
      <c r="G16" s="132" t="str">
        <f>IF(ISBLANK('6.10Ratemaking Data'!I15),"",'6.10Ratemaking Data'!I15)</f>
        <v/>
      </c>
      <c r="H16" s="133">
        <f>IF(New_Program=TRUE,'6.10Ratemaking Data'!$K$15,SUM($B16:$G16))</f>
        <v>0</v>
      </c>
    </row>
    <row r="17" spans="1:10" x14ac:dyDescent="0.25">
      <c r="A17" s="134" t="s">
        <v>172</v>
      </c>
      <c r="B17" s="135" t="str">
        <f>IF(ISBLANK('6.10Ratemaking Data'!D16),"",'6.10Ratemaking Data'!D16)</f>
        <v/>
      </c>
      <c r="C17" s="135" t="str">
        <f>IF(ISBLANK('6.10Ratemaking Data'!E16),"",'6.10Ratemaking Data'!E16)</f>
        <v/>
      </c>
      <c r="D17" s="135" t="str">
        <f>IF(ISBLANK('6.10Ratemaking Data'!F16),"",'6.10Ratemaking Data'!F16)</f>
        <v/>
      </c>
      <c r="E17" s="135" t="str">
        <f>IF(ISBLANK('6.10Ratemaking Data'!G16),"",'6.10Ratemaking Data'!G16)</f>
        <v/>
      </c>
      <c r="F17" s="135" t="str">
        <f>IF(ISBLANK('6.10Ratemaking Data'!H16),"",'6.10Ratemaking Data'!H16)</f>
        <v/>
      </c>
      <c r="G17" s="135" t="str">
        <f>IF(ISBLANK('6.10Ratemaking Data'!I16),"",'6.10Ratemaking Data'!I16)</f>
        <v/>
      </c>
      <c r="H17" s="136">
        <f>IF(New_Program=TRUE,'6.10Ratemaking Data'!$K$16,SUM($B17:$G17))</f>
        <v>0</v>
      </c>
    </row>
    <row r="18" spans="1:10" x14ac:dyDescent="0.25">
      <c r="A18" s="134" t="s">
        <v>174</v>
      </c>
      <c r="B18" s="137" t="str">
        <f>IF(ISBLANK('6.10Ratemaking Data'!D17),"",'6.10Ratemaking Data'!D17)</f>
        <v/>
      </c>
      <c r="C18" s="137" t="str">
        <f>IF(ISBLANK('6.10Ratemaking Data'!E17),"",'6.10Ratemaking Data'!E17)</f>
        <v/>
      </c>
      <c r="D18" s="137" t="str">
        <f>IF(ISBLANK('6.10Ratemaking Data'!F17),"",'6.10Ratemaking Data'!F17)</f>
        <v/>
      </c>
      <c r="E18" s="137" t="str">
        <f>IF(ISBLANK('6.10Ratemaking Data'!G17),"",'6.10Ratemaking Data'!G17)</f>
        <v/>
      </c>
      <c r="F18" s="137" t="str">
        <f>IF(ISBLANK('6.10Ratemaking Data'!H17),"",'6.10Ratemaking Data'!H17)</f>
        <v/>
      </c>
      <c r="G18" s="137" t="str">
        <f>IF(ISBLANK('6.10Ratemaking Data'!I17),"",'6.10Ratemaking Data'!I17)</f>
        <v/>
      </c>
      <c r="H18" s="138"/>
    </row>
    <row r="19" spans="1:10" x14ac:dyDescent="0.25">
      <c r="A19" s="134" t="s">
        <v>175</v>
      </c>
      <c r="B19" s="137" t="str">
        <f>IF(ISBLANK('6.10Ratemaking Data'!D18),"",'6.10Ratemaking Data'!D18)</f>
        <v/>
      </c>
      <c r="C19" s="137" t="str">
        <f>IF(ISBLANK('6.10Ratemaking Data'!E18),"",'6.10Ratemaking Data'!E18)</f>
        <v/>
      </c>
      <c r="D19" s="137" t="str">
        <f>IF(ISBLANK('6.10Ratemaking Data'!F18),"",'6.10Ratemaking Data'!F18)</f>
        <v/>
      </c>
      <c r="E19" s="137" t="str">
        <f>IF(ISBLANK('6.10Ratemaking Data'!G18),"",'6.10Ratemaking Data'!G18)</f>
        <v/>
      </c>
      <c r="F19" s="137" t="str">
        <f>IF(ISBLANK('6.10Ratemaking Data'!H18),"",'6.10Ratemaking Data'!H18)</f>
        <v/>
      </c>
      <c r="G19" s="137" t="str">
        <f>IF(ISBLANK('6.10Ratemaking Data'!I18),"",'6.10Ratemaking Data'!I18)</f>
        <v/>
      </c>
      <c r="H19" s="144">
        <f>IF(New_Program=TRUE,0,'6.10Ratemaking Data'!$J$18)</f>
        <v>0</v>
      </c>
    </row>
    <row r="20" spans="1:10" x14ac:dyDescent="0.25">
      <c r="A20" s="134" t="s">
        <v>176</v>
      </c>
      <c r="B20" s="135" t="str">
        <f>IF(ISBLANK('6.10Ratemaking Data'!D19),"",'6.10Ratemaking Data'!D19)</f>
        <v/>
      </c>
      <c r="C20" s="135" t="str">
        <f>IF(ISBLANK('6.10Ratemaking Data'!E19),"",'6.10Ratemaking Data'!E19)</f>
        <v/>
      </c>
      <c r="D20" s="135" t="str">
        <f>IF(ISBLANK('6.10Ratemaking Data'!F19),"",'6.10Ratemaking Data'!F19)</f>
        <v/>
      </c>
      <c r="E20" s="135" t="str">
        <f>IF(ISBLANK('6.10Ratemaking Data'!G19),"",'6.10Ratemaking Data'!G19)</f>
        <v/>
      </c>
      <c r="F20" s="135" t="str">
        <f>IF(ISBLANK('6.10Ratemaking Data'!H19),"",'6.10Ratemaking Data'!H19)</f>
        <v/>
      </c>
      <c r="G20" s="135" t="str">
        <f>IF(ISBLANK('6.10Ratemaking Data'!I19),"",'6.10Ratemaking Data'!I19)</f>
        <v/>
      </c>
      <c r="H20" s="136">
        <f>IF(New_Program=TRUE,'6.10Ratemaking Data'!$K$19,SUM($B20:$G20))</f>
        <v>0</v>
      </c>
    </row>
    <row r="21" spans="1:10" x14ac:dyDescent="0.25">
      <c r="A21" s="134" t="s">
        <v>177</v>
      </c>
      <c r="B21" s="135" t="str">
        <f>IF(ISBLANK('6.10Ratemaking Data'!D20),"",'6.10Ratemaking Data'!D20)</f>
        <v/>
      </c>
      <c r="C21" s="135" t="str">
        <f>IF(ISBLANK('6.10Ratemaking Data'!E20),"",'6.10Ratemaking Data'!E20)</f>
        <v/>
      </c>
      <c r="D21" s="135" t="str">
        <f>IF(ISBLANK('6.10Ratemaking Data'!F20),"",'6.10Ratemaking Data'!F20)</f>
        <v/>
      </c>
      <c r="E21" s="135" t="str">
        <f>IF(ISBLANK('6.10Ratemaking Data'!G20),"",'6.10Ratemaking Data'!G20)</f>
        <v/>
      </c>
      <c r="F21" s="135" t="str">
        <f>IF(ISBLANK('6.10Ratemaking Data'!H20),"",'6.10Ratemaking Data'!H20)</f>
        <v/>
      </c>
      <c r="G21" s="135" t="str">
        <f>IF(ISBLANK('6.10Ratemaking Data'!I20),"",'6.10Ratemaking Data'!I20)</f>
        <v/>
      </c>
      <c r="H21" s="136">
        <f>IF(New_Program=TRUE,'6.10Ratemaking Data'!$K$20,SUM($B21:$G21))</f>
        <v>0</v>
      </c>
      <c r="J21" s="126"/>
    </row>
    <row r="22" spans="1:10" x14ac:dyDescent="0.25">
      <c r="A22" s="134" t="s">
        <v>178</v>
      </c>
      <c r="B22" s="135" t="str">
        <f>IF(ISBLANK('6.10Ratemaking Data'!D21),"",'6.10Ratemaking Data'!D21)</f>
        <v/>
      </c>
      <c r="C22" s="135" t="str">
        <f>IF(ISBLANK('6.10Ratemaking Data'!E21),"",'6.10Ratemaking Data'!E21)</f>
        <v/>
      </c>
      <c r="D22" s="135" t="str">
        <f>IF(ISBLANK('6.10Ratemaking Data'!F21),"",'6.10Ratemaking Data'!F21)</f>
        <v/>
      </c>
      <c r="E22" s="135" t="str">
        <f>IF(ISBLANK('6.10Ratemaking Data'!G21),"",'6.10Ratemaking Data'!G21)</f>
        <v/>
      </c>
      <c r="F22" s="135" t="str">
        <f>IF(ISBLANK('6.10Ratemaking Data'!H21),"",'6.10Ratemaking Data'!H21)</f>
        <v/>
      </c>
      <c r="G22" s="135" t="str">
        <f>IF(ISBLANK('6.10Ratemaking Data'!I21),"",'6.10Ratemaking Data'!I21)</f>
        <v/>
      </c>
      <c r="H22" s="136">
        <f>IF(New_Program=TRUE,'6.10Ratemaking Data'!$K$21,SUM($B22:$G22))</f>
        <v>0</v>
      </c>
      <c r="J22" s="126"/>
    </row>
    <row r="23" spans="1:10" x14ac:dyDescent="0.25">
      <c r="A23" s="134" t="s">
        <v>144</v>
      </c>
      <c r="B23" s="135" t="str">
        <f>IF(ISBLANK('6.10Ratemaking Data'!D22),"",'6.10Ratemaking Data'!D22)</f>
        <v/>
      </c>
      <c r="C23" s="135" t="str">
        <f>IF(ISBLANK('6.10Ratemaking Data'!E22),"",'6.10Ratemaking Data'!E22)</f>
        <v/>
      </c>
      <c r="D23" s="135" t="str">
        <f>IF(ISBLANK('6.10Ratemaking Data'!F22),"",'6.10Ratemaking Data'!F22)</f>
        <v/>
      </c>
      <c r="E23" s="135" t="str">
        <f>IF(ISBLANK('6.10Ratemaking Data'!G22),"",'6.10Ratemaking Data'!G22)</f>
        <v/>
      </c>
      <c r="F23" s="135" t="str">
        <f>IF(ISBLANK('6.10Ratemaking Data'!H22),"",'6.10Ratemaking Data'!H22)</f>
        <v/>
      </c>
      <c r="G23" s="135" t="str">
        <f>IF(ISBLANK('6.10Ratemaking Data'!I22),"",'6.10Ratemaking Data'!I22)</f>
        <v/>
      </c>
      <c r="H23" s="136">
        <f>IF(New_Program=TRUE,'6.10Ratemaking Data'!$K$22,SUM($B23:$G23))</f>
        <v>0</v>
      </c>
      <c r="J23" s="126"/>
    </row>
    <row r="24" spans="1:10" x14ac:dyDescent="0.25">
      <c r="A24" s="134" t="s">
        <v>181</v>
      </c>
      <c r="B24" s="137" t="str">
        <f>IF(ISBLANK('6.10Ratemaking Data'!D23),"",'6.10Ratemaking Data'!D23)</f>
        <v/>
      </c>
      <c r="C24" s="137" t="str">
        <f>IF(ISBLANK('6.10Ratemaking Data'!E23),"",'6.10Ratemaking Data'!E23)</f>
        <v/>
      </c>
      <c r="D24" s="137" t="str">
        <f>IF(ISBLANK('6.10Ratemaking Data'!F23),"",'6.10Ratemaking Data'!F23)</f>
        <v/>
      </c>
      <c r="E24" s="137" t="str">
        <f>IF(ISBLANK('6.10Ratemaking Data'!G23),"",'6.10Ratemaking Data'!G23)</f>
        <v/>
      </c>
      <c r="F24" s="137" t="str">
        <f>IF(ISBLANK('6.10Ratemaking Data'!H23),"",'6.10Ratemaking Data'!H23)</f>
        <v/>
      </c>
      <c r="G24" s="137" t="str">
        <f>IF(ISBLANK('6.10Ratemaking Data'!I23),"",'6.10Ratemaking Data'!I23)</f>
        <v/>
      </c>
      <c r="H24" s="138"/>
    </row>
    <row r="25" spans="1:10" x14ac:dyDescent="0.25">
      <c r="A25" s="134" t="s">
        <v>182</v>
      </c>
      <c r="B25" s="137" t="str">
        <f>IF(ISBLANK('6.10Ratemaking Data'!D24),"",'6.10Ratemaking Data'!D24)</f>
        <v/>
      </c>
      <c r="C25" s="137" t="str">
        <f>IF(ISBLANK('6.10Ratemaking Data'!E24),"",'6.10Ratemaking Data'!E24)</f>
        <v/>
      </c>
      <c r="D25" s="137" t="str">
        <f>IF(ISBLANK('6.10Ratemaking Data'!F24),"",'6.10Ratemaking Data'!F24)</f>
        <v/>
      </c>
      <c r="E25" s="137" t="str">
        <f>IF(ISBLANK('6.10Ratemaking Data'!G24),"",'6.10Ratemaking Data'!G24)</f>
        <v/>
      </c>
      <c r="F25" s="137" t="str">
        <f>IF(ISBLANK('6.10Ratemaking Data'!H24),"",'6.10Ratemaking Data'!H24)</f>
        <v/>
      </c>
      <c r="G25" s="137" t="str">
        <f>IF(ISBLANK('6.10Ratemaking Data'!I24),"",'6.10Ratemaking Data'!I24)</f>
        <v/>
      </c>
      <c r="H25" s="138"/>
    </row>
    <row r="26" spans="1:10" x14ac:dyDescent="0.25">
      <c r="A26" s="134" t="s">
        <v>179</v>
      </c>
      <c r="B26" s="137" t="str">
        <f>IF(ISBLANK('6.10Ratemaking Data'!D25),"",'6.10Ratemaking Data'!D25)</f>
        <v/>
      </c>
      <c r="C26" s="137" t="str">
        <f>IF(ISBLANK('6.10Ratemaking Data'!E25),"",'6.10Ratemaking Data'!E25)</f>
        <v/>
      </c>
      <c r="D26" s="137" t="str">
        <f>IF(ISBLANK('6.10Ratemaking Data'!F25),"",'6.10Ratemaking Data'!F25)</f>
        <v/>
      </c>
      <c r="E26" s="137" t="str">
        <f>IF(ISBLANK('6.10Ratemaking Data'!G25),"",'6.10Ratemaking Data'!G25)</f>
        <v/>
      </c>
      <c r="F26" s="137" t="str">
        <f>IF(ISBLANK('6.10Ratemaking Data'!H25),"",'6.10Ratemaking Data'!H25)</f>
        <v/>
      </c>
      <c r="G26" s="137" t="str">
        <f>IF(ISBLANK('6.10Ratemaking Data'!I25),"",'6.10Ratemaking Data'!I25)</f>
        <v/>
      </c>
      <c r="H26" s="144">
        <f>IF(New_Program=TRUE,0,'6.10Ratemaking Data'!$J$25)</f>
        <v>0</v>
      </c>
    </row>
    <row r="27" spans="1:10" x14ac:dyDescent="0.25">
      <c r="A27" s="134" t="s">
        <v>180</v>
      </c>
      <c r="B27" s="137" t="str">
        <f>IF(ISBLANK('6.10Ratemaking Data'!D26),"",'6.10Ratemaking Data'!D26)</f>
        <v/>
      </c>
      <c r="C27" s="137" t="str">
        <f>IF(ISBLANK('6.10Ratemaking Data'!E26),"",'6.10Ratemaking Data'!E26)</f>
        <v/>
      </c>
      <c r="D27" s="137" t="str">
        <f>IF(ISBLANK('6.10Ratemaking Data'!F26),"",'6.10Ratemaking Data'!F26)</f>
        <v/>
      </c>
      <c r="E27" s="137" t="str">
        <f>IF(ISBLANK('6.10Ratemaking Data'!G26),"",'6.10Ratemaking Data'!G26)</f>
        <v/>
      </c>
      <c r="F27" s="137" t="str">
        <f>IF(ISBLANK('6.10Ratemaking Data'!H26),"",'6.10Ratemaking Data'!H26)</f>
        <v/>
      </c>
      <c r="G27" s="137" t="str">
        <f>IF(ISBLANK('6.10Ratemaking Data'!I26),"",'6.10Ratemaking Data'!I26)</f>
        <v/>
      </c>
      <c r="H27" s="144">
        <f>IF(New_Program=TRUE,0,'6.10Ratemaking Data'!$J$26)</f>
        <v>0</v>
      </c>
    </row>
    <row r="28" spans="1:10" x14ac:dyDescent="0.25">
      <c r="A28" s="134" t="s">
        <v>183</v>
      </c>
      <c r="B28" s="137" t="str">
        <f>IF(ISBLANK('6.10Ratemaking Data'!D27),"",'6.10Ratemaking Data'!D27)</f>
        <v/>
      </c>
      <c r="C28" s="137" t="str">
        <f>IF(ISBLANK('6.10Ratemaking Data'!E27),"",'6.10Ratemaking Data'!E27)</f>
        <v/>
      </c>
      <c r="D28" s="137" t="str">
        <f>IF(ISBLANK('6.10Ratemaking Data'!F27),"",'6.10Ratemaking Data'!F27)</f>
        <v/>
      </c>
      <c r="E28" s="137" t="str">
        <f>IF(ISBLANK('6.10Ratemaking Data'!G27),"",'6.10Ratemaking Data'!G27)</f>
        <v/>
      </c>
      <c r="F28" s="137" t="str">
        <f>IF(ISBLANK('6.10Ratemaking Data'!H27),"",'6.10Ratemaking Data'!H27)</f>
        <v/>
      </c>
      <c r="G28" s="137" t="str">
        <f>IF(ISBLANK('6.10Ratemaking Data'!I27),"",'6.10Ratemaking Data'!I27)</f>
        <v/>
      </c>
      <c r="H28" s="138"/>
    </row>
    <row r="29" spans="1:10" ht="15.75" thickBot="1" x14ac:dyDescent="0.3">
      <c r="A29" s="153" t="s">
        <v>188</v>
      </c>
      <c r="B29" s="154" t="str">
        <f>IF(ISBLANK('6.10Ratemaking Data'!D29),"",'6.10Ratemaking Data'!D29)</f>
        <v/>
      </c>
      <c r="C29" s="154" t="str">
        <f>IF(ISBLANK('6.10Ratemaking Data'!E29),"",'6.10Ratemaking Data'!E29)</f>
        <v/>
      </c>
      <c r="D29" s="154" t="str">
        <f>IF(ISBLANK('6.10Ratemaking Data'!F29),"",'6.10Ratemaking Data'!F29)</f>
        <v/>
      </c>
      <c r="E29" s="154" t="str">
        <f>IF(ISBLANK('6.10Ratemaking Data'!G29),"",'6.10Ratemaking Data'!G29)</f>
        <v/>
      </c>
      <c r="F29" s="154" t="str">
        <f>IF(ISBLANK('6.10Ratemaking Data'!H29),"",'6.10Ratemaking Data'!H29)</f>
        <v/>
      </c>
      <c r="G29" s="154" t="str">
        <f>IF(ISBLANK('6.10Ratemaking Data'!I29),"",'6.10Ratemaking Data'!I29)</f>
        <v/>
      </c>
      <c r="H29" s="155">
        <f>IF(New_Program=TRUE,'6.10Ratemaking Data'!$K$29,SUM($B29:$G29))</f>
        <v>0</v>
      </c>
    </row>
    <row r="30" spans="1:10" ht="15.75" thickTop="1" x14ac:dyDescent="0.25">
      <c r="A30" s="134" t="s">
        <v>184</v>
      </c>
      <c r="B30" s="139"/>
      <c r="C30" s="139"/>
      <c r="D30" s="139"/>
      <c r="E30" s="139"/>
      <c r="F30" s="139"/>
      <c r="G30" s="139"/>
      <c r="H30" s="144">
        <f>IF(New_Program=TRUE,100%,'6.10Ratemaking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0.15389771415501849</v>
      </c>
    </row>
    <row r="33" spans="1:9" ht="15.75" thickBot="1" x14ac:dyDescent="0.3">
      <c r="A33" s="98" t="s">
        <v>165</v>
      </c>
      <c r="B33" s="140"/>
      <c r="C33" s="140"/>
      <c r="D33" s="140"/>
      <c r="E33" s="140"/>
      <c r="F33" s="140"/>
      <c r="G33" s="140"/>
      <c r="H33" s="141">
        <f>Yield</f>
        <v>4.3359497935155651E-2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EffStd_Final10</f>
        <v/>
      </c>
    </row>
    <row r="38" spans="1:9" x14ac:dyDescent="0.25">
      <c r="A38" s="134" t="s">
        <v>191</v>
      </c>
      <c r="B38" s="90"/>
      <c r="C38" s="90"/>
      <c r="D38" s="90"/>
      <c r="E38" s="90"/>
      <c r="F38" s="693" t="s">
        <v>317</v>
      </c>
      <c r="G38" s="694">
        <f>update_leverage</f>
        <v>2021</v>
      </c>
      <c r="H38" s="190" t="str">
        <f>LevFact_Final10</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1/LevFact_Final10</f>
        <v>#VALUE!</v>
      </c>
    </row>
    <row r="41" spans="1:9" x14ac:dyDescent="0.25">
      <c r="A41" s="134" t="s">
        <v>198</v>
      </c>
      <c r="B41" s="90"/>
      <c r="C41" s="90"/>
      <c r="D41" s="90"/>
      <c r="E41" s="90"/>
      <c r="F41" s="693" t="s">
        <v>317</v>
      </c>
      <c r="G41" s="694">
        <f>update_reserveratios</f>
        <v>2021</v>
      </c>
      <c r="H41" s="191" t="str">
        <f>ResRatio_UPR10</f>
        <v/>
      </c>
    </row>
    <row r="42" spans="1:9" x14ac:dyDescent="0.25">
      <c r="A42" s="192" t="s">
        <v>194</v>
      </c>
      <c r="B42" s="90"/>
      <c r="C42" s="90"/>
      <c r="D42" s="90"/>
      <c r="E42" s="90"/>
      <c r="F42" s="693" t="s">
        <v>317</v>
      </c>
      <c r="G42" s="694">
        <f>update_reserveratios</f>
        <v>2021</v>
      </c>
      <c r="H42" s="191" t="str">
        <f>ResRatio_Loss10</f>
        <v/>
      </c>
    </row>
    <row r="43" spans="1:9" x14ac:dyDescent="0.25">
      <c r="A43" s="192" t="s">
        <v>195</v>
      </c>
      <c r="B43" s="90"/>
      <c r="C43" s="90"/>
      <c r="D43" s="90"/>
      <c r="E43" s="90"/>
      <c r="F43" s="691" t="s">
        <v>317</v>
      </c>
      <c r="G43" s="691" t="str">
        <f>ROR_RiskFree_Date</f>
        <v>December 2022</v>
      </c>
      <c r="H43" s="692">
        <f>ROR_RiskFree</f>
        <v>3.9399999999999998E-2</v>
      </c>
      <c r="I43" s="20" t="s">
        <v>731</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9.9399999999999988E-2</v>
      </c>
    </row>
    <row r="46" spans="1:9" ht="5.0999999999999996" customHeight="1" x14ac:dyDescent="0.25"/>
    <row r="47" spans="1:9" ht="15.75" thickBot="1" x14ac:dyDescent="0.3">
      <c r="A47" s="130" t="s">
        <v>234</v>
      </c>
      <c r="B47" s="285" t="str">
        <f>'6.10Ratemaking Data'!D$14</f>
        <v>20172</v>
      </c>
      <c r="C47" s="285" t="str">
        <f>'6.10Ratemaking Data'!E$14</f>
        <v>20182</v>
      </c>
      <c r="D47" s="285" t="str">
        <f>'6.10Ratemaking Data'!F$14</f>
        <v>20192</v>
      </c>
      <c r="E47" s="285" t="str">
        <f>'6.10Ratemaking Data'!G$14</f>
        <v>20202</v>
      </c>
      <c r="F47" s="285" t="str">
        <f>'6.10Ratemaking Data'!H$14</f>
        <v>20212</v>
      </c>
      <c r="G47" s="285">
        <f>'6.10Ratemaking Data'!I$14</f>
        <v>20222</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Yield*((1-FIT_Inv)/(1-FIT_UW))*ResRatio_Loss10</f>
        <v>#VALUE!</v>
      </c>
    </row>
    <row r="58" spans="1:9" x14ac:dyDescent="0.25">
      <c r="A58" s="134" t="s">
        <v>218</v>
      </c>
      <c r="B58" s="90"/>
      <c r="C58" s="90"/>
      <c r="D58" s="90"/>
      <c r="E58" s="90"/>
      <c r="F58" s="90"/>
      <c r="G58" s="90"/>
      <c r="H58" s="144" t="e">
        <f>Yield*((1-FIT_Inv)/(1-FIT_UW))*(ResRatio_UPR10+SurplusRatio)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IF(New_Program=TRUE,0,(1+Net_AnnualTrend)^MIN(4,((EffDate_Proposed-EffDate_Prior10)/365.25))-1)</f>
        <v>#VALUE!</v>
      </c>
    </row>
    <row r="61" spans="1:9" x14ac:dyDescent="0.25">
      <c r="A61" s="134" t="s">
        <v>207</v>
      </c>
      <c r="B61" s="145"/>
      <c r="C61" s="145"/>
      <c r="D61" s="145"/>
      <c r="E61" s="145"/>
      <c r="F61" s="145"/>
      <c r="G61" s="145"/>
      <c r="H61" s="144" t="e">
        <f>(ROR_Max)/(LevFact_Final10*(1-FIT_UW))</f>
        <v>#VALUE!</v>
      </c>
    </row>
    <row r="62" spans="1:9" x14ac:dyDescent="0.25">
      <c r="A62" s="134" t="s">
        <v>208</v>
      </c>
      <c r="B62" s="90"/>
      <c r="C62" s="90"/>
      <c r="D62" s="90"/>
      <c r="E62" s="90"/>
      <c r="F62" s="90"/>
      <c r="G62" s="90"/>
      <c r="H62" s="144" t="e">
        <f>(ROR_Min)/(LevFact_Final10*(1-FIT_UW))</f>
        <v>#VALUE!</v>
      </c>
    </row>
    <row r="63" spans="1:9" x14ac:dyDescent="0.25">
      <c r="A63" s="134" t="s">
        <v>209</v>
      </c>
      <c r="B63" s="90"/>
      <c r="C63" s="90"/>
      <c r="D63" s="90"/>
      <c r="E63" s="90"/>
      <c r="F63" s="90"/>
      <c r="G63" s="90"/>
      <c r="H63" s="144" t="e">
        <f>1-CredLossDCCE_perExp/Max_Premium-EffStd_Final10</f>
        <v>#VALUE!</v>
      </c>
      <c r="I63" s="252"/>
    </row>
    <row r="64" spans="1:9" x14ac:dyDescent="0.25">
      <c r="A64" s="134" t="s">
        <v>211</v>
      </c>
      <c r="B64" s="90"/>
      <c r="C64" s="90"/>
      <c r="D64" s="90"/>
      <c r="E64" s="90"/>
      <c r="F64" s="90"/>
      <c r="G64" s="90"/>
      <c r="H64" s="146" t="e">
        <f>1-EffStd_Final10-Min_Profit+InvInc_Variable</f>
        <v>#VALUE!</v>
      </c>
      <c r="I64" s="252"/>
    </row>
    <row r="65" spans="1:9" x14ac:dyDescent="0.25">
      <c r="A65" s="134" t="s">
        <v>210</v>
      </c>
      <c r="B65" s="90"/>
      <c r="C65" s="90"/>
      <c r="D65" s="90"/>
      <c r="E65" s="90"/>
      <c r="F65" s="90"/>
      <c r="G65" s="90"/>
      <c r="H65" s="146" t="e">
        <f>1-EffStd_Final10-Max_Profit+InvInc_Variable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130" t="s">
        <v>233</v>
      </c>
      <c r="B71" s="285" t="str">
        <f>'6.10Ratemaking Data'!D$14</f>
        <v>20172</v>
      </c>
      <c r="C71" s="285" t="str">
        <f>'6.10Ratemaking Data'!E$14</f>
        <v>20182</v>
      </c>
      <c r="D71" s="285" t="str">
        <f>'6.10Ratemaking Data'!F$14</f>
        <v>20192</v>
      </c>
      <c r="E71" s="285" t="str">
        <f>'6.10Ratemaking Data'!G$14</f>
        <v>20202</v>
      </c>
      <c r="F71" s="285" t="str">
        <f>'6.10Ratemaking Data'!H$14</f>
        <v>20212</v>
      </c>
      <c r="G71" s="285">
        <f>'6.10Ratemaking Data'!I$14</f>
        <v>20222</v>
      </c>
    </row>
    <row r="72" spans="1:9" hidden="1" x14ac:dyDescent="0.25">
      <c r="A72" s="148" t="s">
        <v>232</v>
      </c>
      <c r="B72" s="142"/>
      <c r="C72" s="142"/>
      <c r="D72" s="142"/>
      <c r="E72" s="142"/>
      <c r="F72" s="142"/>
      <c r="G72" s="142"/>
      <c r="H72" s="149" t="str">
        <f>IF(ISBLANK('6.10Ratemaking Data'!J44),"",'6.10Ratemaking Data'!J44)</f>
        <v/>
      </c>
    </row>
    <row r="73" spans="1:9" hidden="1" x14ac:dyDescent="0.25">
      <c r="A73" s="150" t="s">
        <v>219</v>
      </c>
      <c r="B73" s="135" t="str">
        <f>IF(ISBLANK('6.10Ratemaking Data'!D45),"",'6.10Ratemaking Data'!D45)</f>
        <v/>
      </c>
      <c r="C73" s="135" t="str">
        <f>IF(ISBLANK('6.10Ratemaking Data'!E45),"",'6.10Ratemaking Data'!E45)</f>
        <v/>
      </c>
      <c r="D73" s="135" t="str">
        <f>IF(ISBLANK('6.10Ratemaking Data'!F45),"",'6.10Ratemaking Data'!F45)</f>
        <v/>
      </c>
      <c r="E73" s="135" t="str">
        <f>IF(ISBLANK('6.10Ratemaking Data'!G45),"",'6.10Ratemaking Data'!G45)</f>
        <v/>
      </c>
      <c r="F73" s="135" t="str">
        <f>IF(ISBLANK('6.10Ratemaking Data'!H45),"",'6.10Ratemaking Data'!H45)</f>
        <v/>
      </c>
      <c r="G73" s="135" t="str">
        <f>IF(ISBLANK('6.10Ratemaking Data'!I45),"",'6.10Ratemaking Data'!I45)</f>
        <v/>
      </c>
      <c r="H73" s="136" t="str">
        <f>IF(RIGHT(Detailed_LineCode10,1)="R",IF(New_Program=TRUE,'6.10Ratemaking Data'!$K$45,SUM($B73:$G73)),"")</f>
        <v/>
      </c>
    </row>
    <row r="74" spans="1:9" hidden="1" x14ac:dyDescent="0.25">
      <c r="A74" s="150" t="s">
        <v>220</v>
      </c>
      <c r="B74" s="135" t="str">
        <f>IF(ISBLANK('6.10Ratemaking Data'!D46),"",'6.10Ratemaking Data'!D46)</f>
        <v/>
      </c>
      <c r="C74" s="135" t="str">
        <f>IF(ISBLANK('6.10Ratemaking Data'!E46),"",'6.10Ratemaking Data'!E46)</f>
        <v/>
      </c>
      <c r="D74" s="135" t="str">
        <f>IF(ISBLANK('6.10Ratemaking Data'!F46),"",'6.10Ratemaking Data'!F46)</f>
        <v/>
      </c>
      <c r="E74" s="135" t="str">
        <f>IF(ISBLANK('6.10Ratemaking Data'!G46),"",'6.10Ratemaking Data'!G46)</f>
        <v/>
      </c>
      <c r="F74" s="135" t="str">
        <f>IF(ISBLANK('6.10Ratemaking Data'!H46),"",'6.10Ratemaking Data'!H46)</f>
        <v/>
      </c>
      <c r="G74" s="135" t="str">
        <f>IF(ISBLANK('6.10Ratemaking Data'!I46),"",'6.10Ratemaking Data'!I46)</f>
        <v/>
      </c>
      <c r="H74" s="136">
        <f>IF(New_Program=TRUE,'6.10Ratemaking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528" t="s">
        <v>654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IF(AND('6.10Ratemaking Data'!Error30="",'6.10Ratemaking Data'!Error31="",'6.10Ratemaking Data'!Error32=""),"","See Column M of Page '6.10Ratemaking Data' for errors that must be corrected.")</f>
        <v/>
      </c>
    </row>
    <row r="80" spans="1:9" ht="26.25" x14ac:dyDescent="0.25">
      <c r="F80" s="782" t="s">
        <v>614</v>
      </c>
      <c r="G80" s="782"/>
      <c r="H80" s="782"/>
    </row>
    <row r="81" spans="1:1" x14ac:dyDescent="0.25">
      <c r="A81" s="152"/>
    </row>
  </sheetData>
  <sheetProtection algorithmName="SHA-512" hashValue="558i7Zmt7szrWcwJQMpkckf+XlLzFf2eEdd+wdXQ4C9UAIGuK3ZADkCe9QSc2jAUnI+hUEb8l9wsZnM/wpjMYA==" saltValue="rb0Ikc8ifSLIzAIgriM10g=="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Detailed_LineDesc01</f>
        <v>Homeowners Multiple Peril</v>
      </c>
      <c r="F7" s="14" t="s">
        <v>1</v>
      </c>
      <c r="H7" s="18" t="str">
        <f>Completed_By</f>
        <v>Nicole Pettis</v>
      </c>
      <c r="I7" s="266"/>
    </row>
    <row r="8" spans="1:16" x14ac:dyDescent="0.25">
      <c r="A8" s="14" t="s">
        <v>78</v>
      </c>
      <c r="D8" s="14" t="str">
        <f>Covg01</f>
        <v>Rental Dwelling</v>
      </c>
      <c r="F8" s="14" t="s">
        <v>76</v>
      </c>
      <c r="H8" s="62">
        <f>Completed_Date</f>
        <v>44981</v>
      </c>
      <c r="I8" s="267"/>
      <c r="J8" s="184"/>
    </row>
    <row r="9" spans="1:16" x14ac:dyDescent="0.25">
      <c r="A9" s="14" t="s">
        <v>169</v>
      </c>
      <c r="D9" s="62">
        <f>EffDate_Prior01</f>
        <v>44287</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"&amp;Detailed_LineCode01&amp;" Industry P&amp;C"</f>
        <v>Total 2021 Line 4 Industry P&amp;C</v>
      </c>
      <c r="N20" s="180" t="s">
        <v>256</v>
      </c>
    </row>
    <row r="21" spans="1:16" ht="17.25" x14ac:dyDescent="0.25">
      <c r="A21" s="157"/>
      <c r="B21" s="157"/>
      <c r="I21" s="265"/>
      <c r="K21" s="165"/>
      <c r="L21" s="167" t="s">
        <v>289</v>
      </c>
      <c r="M21" s="169">
        <f ca="1">VLOOKUP(Detailed_LineCode01,Table_IncdLossDCCE,2,FALSE)</f>
        <v>78442342</v>
      </c>
      <c r="N21" s="174" t="e">
        <f>VLOOKUP($G$17,$L$16:$N$18,3,FALSE)</f>
        <v>#N/A</v>
      </c>
    </row>
    <row r="22" spans="1:16" ht="18" customHeight="1" thickBot="1" x14ac:dyDescent="0.3">
      <c r="A22" s="157"/>
      <c r="B22" s="94" t="s">
        <v>254</v>
      </c>
      <c r="C22" s="14" t="s">
        <v>299</v>
      </c>
      <c r="G22" s="713" t="e">
        <f>IF(ISBLANK($G$15),NA(),'7.1Rate Change Calculation'!Projected '7.1Rate Change Calculation'!Max_Premium/(('7.1Rate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VLOOKUP(Detailed_LineCode01,Table_IncdLossDCCE,3,FALSE)</f>
        <v>2519939</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ht="15" customHeight="1"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761" t="s">
        <v>733</v>
      </c>
      <c r="D37" s="761"/>
      <c r="E37" s="761"/>
      <c r="G37" s="237"/>
      <c r="I37" s="265"/>
      <c r="O37" s="16"/>
    </row>
    <row r="38" spans="1:16" x14ac:dyDescent="0.25">
      <c r="B38" s="94"/>
      <c r="C38" s="14" t="s">
        <v>734</v>
      </c>
      <c r="D38" s="720"/>
      <c r="E38" s="720"/>
      <c r="G38" s="722"/>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IF(OR(ISBLANK(Curr_LCM),ISBLANK(LossCost_PctChg_Co)),NA(),(1+'7.1Rate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EPyTtChjs0s3s9+Ib9mJTI7g3tuWt2TDozxFjMHisSVTy62oiKZi7mT1jkE/kTyoFPVIveUZrEHV/3360Rq76g==" saltValue="cA8bUyr+/KSVYL6LcAikbw=="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Detailed_LineDesc02</f>
        <v/>
      </c>
      <c r="F7" s="14" t="s">
        <v>1</v>
      </c>
      <c r="H7" s="18" t="str">
        <f>Completed_By</f>
        <v>Nicole Pettis</v>
      </c>
      <c r="I7" s="266"/>
    </row>
    <row r="8" spans="1:16" x14ac:dyDescent="0.25">
      <c r="A8" s="14" t="s">
        <v>78</v>
      </c>
      <c r="D8" s="14" t="str">
        <f>Covg02</f>
        <v/>
      </c>
      <c r="F8" s="14" t="s">
        <v>76</v>
      </c>
      <c r="H8" s="62">
        <f>Completed_Date</f>
        <v>44981</v>
      </c>
      <c r="I8" s="267"/>
      <c r="J8" s="184"/>
    </row>
    <row r="9" spans="1:16" x14ac:dyDescent="0.25">
      <c r="A9" s="14" t="s">
        <v>169</v>
      </c>
      <c r="D9" s="62" t="str">
        <f>EffDate_Prior02</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"&amp;Detailed_LineCode02&amp;" Industry P&amp;C"</f>
        <v>Total 2021 Line  Industry P&amp;C</v>
      </c>
      <c r="N20" s="180" t="s">
        <v>256</v>
      </c>
    </row>
    <row r="21" spans="1:16" ht="17.25" x14ac:dyDescent="0.25">
      <c r="A21" s="157"/>
      <c r="B21" s="157"/>
      <c r="I21" s="265"/>
      <c r="K21" s="165"/>
      <c r="L21" s="167" t="s">
        <v>289</v>
      </c>
      <c r="M21" s="169" t="e">
        <f>VLOOKUP(Detailed_LineCode02,Table_IncdLossDCCE,2,FALSE)</f>
        <v>#N/A</v>
      </c>
      <c r="N21" s="174" t="e">
        <f>VLOOKUP($G$17,$L$16:$N$18,3,FALSE)</f>
        <v>#N/A</v>
      </c>
    </row>
    <row r="22" spans="1:16" ht="18" customHeight="1" thickBot="1" x14ac:dyDescent="0.3">
      <c r="A22" s="157"/>
      <c r="B22" s="94" t="s">
        <v>254</v>
      </c>
      <c r="C22" s="14" t="s">
        <v>299</v>
      </c>
      <c r="G22" s="713" t="e">
        <f>IF(ISBLANK($G$15),NA(),'7.2Rate Change Calculation'!Projected '7.2Rate Change Calculation'!Max_Premium/(('7.2Rate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VLOOKUP(Detailed_LineCode02,Table_IncdLossDCCE,3,FALSE)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IF(OR(ISBLANK(Curr_LCM),ISBLANK(LossCost_PctChg_Co)),NA(),(1+'7.2Rate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VGqSSGkQZ96tqh2bfzkObM9vfMqV7YJTmK20lG+K5ZFWs9TT+sX8SzYviUyBaDEjEPcUwTg+GK8Qyjw3JPz6mA==" saltValue="6AKymjlm1IzCfbHl5vdBf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Detailed_LineDesc03</f>
        <v/>
      </c>
      <c r="F7" s="14" t="s">
        <v>1</v>
      </c>
      <c r="H7" s="18" t="str">
        <f>Completed_By</f>
        <v>Nicole Pettis</v>
      </c>
      <c r="I7" s="266"/>
    </row>
    <row r="8" spans="1:16" x14ac:dyDescent="0.25">
      <c r="A8" s="14" t="s">
        <v>78</v>
      </c>
      <c r="D8" s="14" t="str">
        <f>Covg03</f>
        <v/>
      </c>
      <c r="F8" s="14" t="s">
        <v>76</v>
      </c>
      <c r="H8" s="62">
        <f>Completed_Date</f>
        <v>44981</v>
      </c>
      <c r="I8" s="267"/>
      <c r="J8" s="184"/>
    </row>
    <row r="9" spans="1:16" x14ac:dyDescent="0.25">
      <c r="A9" s="14" t="s">
        <v>169</v>
      </c>
      <c r="D9" s="62" t="str">
        <f>EffDate_Prior03</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"&amp;Detailed_LineCode03&amp;" Industry P&amp;C"</f>
        <v>Total 2021 Line  Industry P&amp;C</v>
      </c>
      <c r="N20" s="180" t="s">
        <v>256</v>
      </c>
    </row>
    <row r="21" spans="1:16" ht="17.25" x14ac:dyDescent="0.25">
      <c r="A21" s="157"/>
      <c r="B21" s="157"/>
      <c r="I21" s="265"/>
      <c r="K21" s="165"/>
      <c r="L21" s="167" t="s">
        <v>289</v>
      </c>
      <c r="M21" s="169" t="e">
        <f>VLOOKUP(Detailed_LineCode03,Table_IncdLossDCCE,2,FALSE)</f>
        <v>#N/A</v>
      </c>
      <c r="N21" s="174" t="e">
        <f>VLOOKUP($G$17,$L$16:$N$18,3,FALSE)</f>
        <v>#N/A</v>
      </c>
    </row>
    <row r="22" spans="1:16" ht="18" customHeight="1" thickBot="1" x14ac:dyDescent="0.3">
      <c r="A22" s="157"/>
      <c r="B22" s="94" t="s">
        <v>254</v>
      </c>
      <c r="C22" s="14" t="s">
        <v>299</v>
      </c>
      <c r="G22" s="713" t="e">
        <f>IF(ISBLANK($G$15),NA(),'7.3Rate Change Calculation'!Projected '7.3Rate Change Calculation'!Max_Premium/(('7.3Rate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VLOOKUP(Detailed_LineCode03,Table_IncdLossDCCE,3,FALSE)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IF(OR(ISBLANK(Curr_LCM),ISBLANK(LossCost_PctChg_Co)),NA(),(1+'7.3Rate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E/4UrcQuq/0JNTpfcj6D+8ixMztIHyJb13yduXlxrURNUsnHz9Khn9kcfRgrX0txZs2GSC21agGA4rX7FvAOdg==" saltValue="LIP9rSBOo9xUUBxnhpxMq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Detailed_LineDesc04</f>
        <v/>
      </c>
      <c r="F7" s="14" t="s">
        <v>1</v>
      </c>
      <c r="H7" s="18" t="str">
        <f>Completed_By</f>
        <v>Nicole Pettis</v>
      </c>
      <c r="I7" s="266"/>
    </row>
    <row r="8" spans="1:16" x14ac:dyDescent="0.25">
      <c r="A8" s="14" t="s">
        <v>78</v>
      </c>
      <c r="D8" s="14" t="str">
        <f>Covg04</f>
        <v/>
      </c>
      <c r="F8" s="14" t="s">
        <v>76</v>
      </c>
      <c r="H8" s="62">
        <f>Completed_Date</f>
        <v>44981</v>
      </c>
      <c r="I8" s="267"/>
      <c r="J8" s="184"/>
    </row>
    <row r="9" spans="1:16" x14ac:dyDescent="0.25">
      <c r="A9" s="14" t="s">
        <v>169</v>
      </c>
      <c r="D9" s="62" t="str">
        <f>EffDate_Prior04</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"&amp;Detailed_LineCode04&amp;" Industry P&amp;C"</f>
        <v>Total 2021 Line  Industry P&amp;C</v>
      </c>
      <c r="N20" s="180" t="s">
        <v>256</v>
      </c>
    </row>
    <row r="21" spans="1:16" ht="17.25" x14ac:dyDescent="0.25">
      <c r="A21" s="157"/>
      <c r="B21" s="157"/>
      <c r="I21" s="265"/>
      <c r="K21" s="165"/>
      <c r="L21" s="167" t="s">
        <v>289</v>
      </c>
      <c r="M21" s="169" t="e">
        <f>VLOOKUP(Detailed_LineCode04,Table_IncdLossDCCE,2,FALSE)</f>
        <v>#N/A</v>
      </c>
      <c r="N21" s="174" t="e">
        <f>VLOOKUP($G$17,$L$16:$N$18,3,FALSE)</f>
        <v>#N/A</v>
      </c>
    </row>
    <row r="22" spans="1:16" ht="18" customHeight="1" thickBot="1" x14ac:dyDescent="0.3">
      <c r="A22" s="157"/>
      <c r="B22" s="94" t="s">
        <v>254</v>
      </c>
      <c r="C22" s="14" t="s">
        <v>299</v>
      </c>
      <c r="G22" s="713" t="e">
        <f>IF(ISBLANK($G$15),NA(),'7.4Rate Change Calculation'!Projected '7.4Rate Change Calculation'!Max_Premium/(('7.4Rate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VLOOKUP(Detailed_LineCode04,Table_IncdLossDCCE,3,FALSE)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IF(OR(ISBLANK(Curr_LCM),ISBLANK(LossCost_PctChg_Co)),NA(),(1+'7.4Rate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fTNQw4Dt7mItgKmNk6nRF80et7UkJsw8qjFrajPbTRhZOXKvRyjJGS4+MDTsTvJfBZtmL+NiwbXh4iyjidlCVQ==" saltValue="nK0azen8bZkMN12baDliL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Detailed_LineDesc05</f>
        <v/>
      </c>
      <c r="F7" s="14" t="s">
        <v>1</v>
      </c>
      <c r="H7" s="18" t="str">
        <f>Completed_By</f>
        <v>Nicole Pettis</v>
      </c>
      <c r="I7" s="266"/>
    </row>
    <row r="8" spans="1:16" x14ac:dyDescent="0.25">
      <c r="A8" s="14" t="s">
        <v>78</v>
      </c>
      <c r="D8" s="14" t="str">
        <f>Covg05</f>
        <v/>
      </c>
      <c r="F8" s="14" t="s">
        <v>76</v>
      </c>
      <c r="H8" s="62">
        <f>Completed_Date</f>
        <v>44981</v>
      </c>
      <c r="I8" s="267"/>
      <c r="J8" s="184"/>
    </row>
    <row r="9" spans="1:16" x14ac:dyDescent="0.25">
      <c r="A9" s="14" t="s">
        <v>169</v>
      </c>
      <c r="D9" s="62" t="str">
        <f>EffDate_Prior05</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"&amp;Detailed_LineCode05&amp;" Industry P&amp;C"</f>
        <v>Total 2021 Line  Industry P&amp;C</v>
      </c>
      <c r="N20" s="180" t="s">
        <v>256</v>
      </c>
    </row>
    <row r="21" spans="1:16" ht="17.25" x14ac:dyDescent="0.25">
      <c r="A21" s="157"/>
      <c r="B21" s="157"/>
      <c r="I21" s="265"/>
      <c r="K21" s="165"/>
      <c r="L21" s="167" t="s">
        <v>289</v>
      </c>
      <c r="M21" s="169" t="e">
        <f>VLOOKUP(Detailed_LineCode05,Table_IncdLossDCCE,2,FALSE)</f>
        <v>#N/A</v>
      </c>
      <c r="N21" s="174" t="e">
        <f>VLOOKUP($G$17,$L$16:$N$18,3,FALSE)</f>
        <v>#N/A</v>
      </c>
    </row>
    <row r="22" spans="1:16" ht="18" customHeight="1" thickBot="1" x14ac:dyDescent="0.3">
      <c r="A22" s="157"/>
      <c r="B22" s="94" t="s">
        <v>254</v>
      </c>
      <c r="C22" s="14" t="s">
        <v>299</v>
      </c>
      <c r="G22" s="713" t="e">
        <f>IF(ISBLANK($G$15),NA(),'7.5Rate Change Calculation'!Projected '7.5Rate Change Calculation'!Max_Premium/(('7.5Rate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VLOOKUP(Detailed_LineCode05,Table_IncdLossDCCE,3,FALSE)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IF(OR(ISBLANK(Curr_LCM),ISBLANK(LossCost_PctChg_Co)),NA(),(1+'7.5Rate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Xq0eumIuL0Oy6ALDLspjNRwwLo5eIkR3O3gY7o3pt1G1jfg403SCK1t9Xzp9VISNrj9ssDAPpXkxS+fSHU375A==" saltValue="l/FzxEiXE7mRnRYWAQxaj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Detailed_LineDesc06</f>
        <v/>
      </c>
      <c r="F7" s="14" t="s">
        <v>1</v>
      </c>
      <c r="H7" s="18" t="str">
        <f>Completed_By</f>
        <v>Nicole Pettis</v>
      </c>
      <c r="I7" s="266"/>
    </row>
    <row r="8" spans="1:16" x14ac:dyDescent="0.25">
      <c r="A8" s="14" t="s">
        <v>78</v>
      </c>
      <c r="D8" s="14" t="str">
        <f>Covg06</f>
        <v/>
      </c>
      <c r="F8" s="14" t="s">
        <v>76</v>
      </c>
      <c r="H8" s="62">
        <f>Completed_Date</f>
        <v>44981</v>
      </c>
      <c r="I8" s="267"/>
      <c r="J8" s="184"/>
    </row>
    <row r="9" spans="1:16" x14ac:dyDescent="0.25">
      <c r="A9" s="14" t="s">
        <v>169</v>
      </c>
      <c r="D9" s="62" t="str">
        <f>EffDate_Prior06</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"&amp;Detailed_LineCode06&amp;" Industry P&amp;C"</f>
        <v>Total 2021 Line  Industry P&amp;C</v>
      </c>
      <c r="N20" s="180" t="s">
        <v>256</v>
      </c>
    </row>
    <row r="21" spans="1:16" ht="17.25" x14ac:dyDescent="0.25">
      <c r="A21" s="157"/>
      <c r="B21" s="157"/>
      <c r="I21" s="265"/>
      <c r="K21" s="165"/>
      <c r="L21" s="167" t="s">
        <v>289</v>
      </c>
      <c r="M21" s="169" t="e">
        <f>VLOOKUP(Detailed_LineCode06,Table_IncdLossDCCE,2,FALSE)</f>
        <v>#N/A</v>
      </c>
      <c r="N21" s="174" t="e">
        <f>VLOOKUP($G$17,$L$16:$N$18,3,FALSE)</f>
        <v>#N/A</v>
      </c>
    </row>
    <row r="22" spans="1:16" ht="18" customHeight="1" thickBot="1" x14ac:dyDescent="0.3">
      <c r="A22" s="157"/>
      <c r="B22" s="94" t="s">
        <v>254</v>
      </c>
      <c r="C22" s="14" t="s">
        <v>299</v>
      </c>
      <c r="G22" s="713" t="e">
        <f>IF(ISBLANK($G$15),NA(),'7.6Rate Change Calculation'!Projected '7.6Rate Change Calculation'!Max_Premium/(('7.6Rate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VLOOKUP(Detailed_LineCode06,Table_IncdLossDCCE,3,FALSE)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IF(OR(ISBLANK(Curr_LCM),ISBLANK(LossCost_PctChg_Co)),NA(),(1+'7.6Rate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itcUrJCK/hftEjPPBuwyAH7Wp40nL11sSRky6Z/Vl+xi+Nlg9tTFVBFDPfyvwMsexdnzKqtvxyxutQSW7vfGpQ==" saltValue="cRj5fXcS90xpZ+iCbyW+S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Detailed_LineDesc07</f>
        <v/>
      </c>
      <c r="F7" s="14" t="s">
        <v>1</v>
      </c>
      <c r="H7" s="18" t="str">
        <f>Completed_By</f>
        <v>Nicole Pettis</v>
      </c>
      <c r="I7" s="266"/>
    </row>
    <row r="8" spans="1:16" x14ac:dyDescent="0.25">
      <c r="A8" s="14" t="s">
        <v>78</v>
      </c>
      <c r="D8" s="14" t="str">
        <f>Covg07</f>
        <v/>
      </c>
      <c r="F8" s="14" t="s">
        <v>76</v>
      </c>
      <c r="H8" s="62">
        <f>Completed_Date</f>
        <v>44981</v>
      </c>
      <c r="I8" s="267"/>
      <c r="J8" s="184"/>
    </row>
    <row r="9" spans="1:16" x14ac:dyDescent="0.25">
      <c r="A9" s="14" t="s">
        <v>169</v>
      </c>
      <c r="D9" s="62" t="str">
        <f>EffDate_Prior07</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"&amp;Detailed_LineCode07&amp;" Industry P&amp;C"</f>
        <v>Total 2021 Line  Industry P&amp;C</v>
      </c>
      <c r="N20" s="180" t="s">
        <v>256</v>
      </c>
    </row>
    <row r="21" spans="1:16" ht="17.25" x14ac:dyDescent="0.25">
      <c r="A21" s="157"/>
      <c r="B21" s="157"/>
      <c r="I21" s="265"/>
      <c r="K21" s="165"/>
      <c r="L21" s="167" t="s">
        <v>289</v>
      </c>
      <c r="M21" s="169" t="e">
        <f>VLOOKUP(Detailed_LineCode07,Table_IncdLossDCCE,2,FALSE)</f>
        <v>#N/A</v>
      </c>
      <c r="N21" s="174" t="e">
        <f>VLOOKUP($G$17,$L$16:$N$18,3,FALSE)</f>
        <v>#N/A</v>
      </c>
    </row>
    <row r="22" spans="1:16" ht="18" customHeight="1" thickBot="1" x14ac:dyDescent="0.3">
      <c r="A22" s="157"/>
      <c r="B22" s="94" t="s">
        <v>254</v>
      </c>
      <c r="C22" s="14" t="s">
        <v>299</v>
      </c>
      <c r="G22" s="713" t="e">
        <f>IF(ISBLANK($G$15),NA(),'7.7Rate Change Calculation'!Projected '7.7Rate Change Calculation'!Max_Premium/(('7.7Rate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VLOOKUP(Detailed_LineCode07,Table_IncdLossDCCE,3,FALSE)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IF(OR(ISBLANK(Curr_LCM),ISBLANK(LossCost_PctChg_Co)),NA(),(1+'7.7Rate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BU92chqf6m9o178p5/5ZOeFo1RSHd1TI0i/yaCrvMtf/CmrkDmqQXIo+dwWWOnAtuwwUzpvhy/gyfsNptbXjlA==" saltValue="Fm+HgXtye0NUNJZ5IDgWU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Detailed_LineDesc08</f>
        <v/>
      </c>
      <c r="F7" s="14" t="s">
        <v>1</v>
      </c>
      <c r="H7" s="18" t="str">
        <f>Completed_By</f>
        <v>Nicole Pettis</v>
      </c>
      <c r="I7" s="266"/>
    </row>
    <row r="8" spans="1:16" x14ac:dyDescent="0.25">
      <c r="A8" s="14" t="s">
        <v>78</v>
      </c>
      <c r="D8" s="14" t="str">
        <f>Covg08</f>
        <v/>
      </c>
      <c r="F8" s="14" t="s">
        <v>76</v>
      </c>
      <c r="H8" s="62">
        <f>Completed_Date</f>
        <v>44981</v>
      </c>
      <c r="I8" s="267"/>
      <c r="J8" s="184"/>
    </row>
    <row r="9" spans="1:16" x14ac:dyDescent="0.25">
      <c r="A9" s="14" t="s">
        <v>169</v>
      </c>
      <c r="D9" s="62" t="str">
        <f>EffDate_Prior08</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"&amp;Detailed_LineCode08&amp;" Industry P&amp;C"</f>
        <v>Total 2021 Line  Industry P&amp;C</v>
      </c>
      <c r="N20" s="180" t="s">
        <v>256</v>
      </c>
    </row>
    <row r="21" spans="1:16" ht="17.25" x14ac:dyDescent="0.25">
      <c r="A21" s="157"/>
      <c r="B21" s="157"/>
      <c r="I21" s="265"/>
      <c r="K21" s="165"/>
      <c r="L21" s="167" t="s">
        <v>289</v>
      </c>
      <c r="M21" s="169" t="e">
        <f>VLOOKUP(Detailed_LineCode08,Table_IncdLossDCCE,2,FALSE)</f>
        <v>#N/A</v>
      </c>
      <c r="N21" s="174" t="e">
        <f>VLOOKUP($G$17,$L$16:$N$18,3,FALSE)</f>
        <v>#N/A</v>
      </c>
    </row>
    <row r="22" spans="1:16" ht="18" customHeight="1" thickBot="1" x14ac:dyDescent="0.3">
      <c r="A22" s="157"/>
      <c r="B22" s="94" t="s">
        <v>254</v>
      </c>
      <c r="C22" s="14" t="s">
        <v>299</v>
      </c>
      <c r="G22" s="713" t="e">
        <f>IF(ISBLANK($G$15),NA(),'7.8Rate Change Calculation'!Projected '7.8Rate Change Calculation'!Max_Premium/(('7.8Rate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VLOOKUP(Detailed_LineCode08,Table_IncdLossDCCE,3,FALSE)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IF(OR(ISBLANK(Curr_LCM),ISBLANK(LossCost_PctChg_Co)),NA(),(1+'7.8Rate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1owIpMsu4thKcTtjA+NDelpttl2xQDM2lbjPgGhzLgHx0XsQMAbLMqPsA8chF8yfpi45y7y/B5PuG4OHcfFhoA==" saltValue="g4eeBbRrnc+iNn7Q0DcPa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Detailed_LineDesc09</f>
        <v/>
      </c>
      <c r="F7" s="14" t="s">
        <v>1</v>
      </c>
      <c r="H7" s="18" t="str">
        <f>Completed_By</f>
        <v>Nicole Pettis</v>
      </c>
      <c r="I7" s="266"/>
    </row>
    <row r="8" spans="1:16" x14ac:dyDescent="0.25">
      <c r="A8" s="14" t="s">
        <v>78</v>
      </c>
      <c r="D8" s="14" t="str">
        <f>Covg09</f>
        <v/>
      </c>
      <c r="F8" s="14" t="s">
        <v>76</v>
      </c>
      <c r="H8" s="62">
        <f>Completed_Date</f>
        <v>44981</v>
      </c>
      <c r="I8" s="267"/>
      <c r="J8" s="184"/>
    </row>
    <row r="9" spans="1:16" x14ac:dyDescent="0.25">
      <c r="A9" s="14" t="s">
        <v>169</v>
      </c>
      <c r="D9" s="62" t="str">
        <f>EffDate_Prior09</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"&amp;Detailed_LineCode09&amp;" Industry P&amp;C"</f>
        <v>Total 2021 Line  Industry P&amp;C</v>
      </c>
      <c r="N20" s="180" t="s">
        <v>256</v>
      </c>
    </row>
    <row r="21" spans="1:16" ht="17.25" x14ac:dyDescent="0.25">
      <c r="A21" s="157"/>
      <c r="B21" s="157"/>
      <c r="I21" s="265"/>
      <c r="K21" s="165"/>
      <c r="L21" s="167" t="s">
        <v>289</v>
      </c>
      <c r="M21" s="169" t="e">
        <f>VLOOKUP(Detailed_LineCode09,Table_IncdLossDCCE,2,FALSE)</f>
        <v>#N/A</v>
      </c>
      <c r="N21" s="174" t="e">
        <f>VLOOKUP($G$17,$L$16:$N$18,3,FALSE)</f>
        <v>#N/A</v>
      </c>
    </row>
    <row r="22" spans="1:16" ht="18" customHeight="1" thickBot="1" x14ac:dyDescent="0.3">
      <c r="A22" s="157"/>
      <c r="B22" s="94" t="s">
        <v>254</v>
      </c>
      <c r="C22" s="14" t="s">
        <v>299</v>
      </c>
      <c r="G22" s="713" t="e">
        <f>IF(ISBLANK($G$15),NA(),'7.9Rate Change Calculation'!Projected '7.9Rate Change Calculation'!Max_Premium/(('7.9Rate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VLOOKUP(Detailed_LineCode09,Table_IncdLossDCCE,3,FALSE)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18"/>
      <c r="D39" s="718"/>
      <c r="E39" s="718"/>
      <c r="G39" s="719"/>
      <c r="I39" s="265"/>
      <c r="O39" s="16"/>
    </row>
    <row r="40" spans="1:16" ht="18" customHeight="1" x14ac:dyDescent="0.25">
      <c r="B40" s="94" t="s">
        <v>732</v>
      </c>
      <c r="C40" s="14" t="s">
        <v>295</v>
      </c>
      <c r="G40" s="713" t="e">
        <f>IF(OR(ISBLANK(Curr_LCM),ISBLANK(LossCost_PctChg_Co)),NA(),(1+'7.9Rate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mE7NpMnkhmAlR4OUuCNjNgQFVrkZETPp3KO5Ve55C2Cg/7oiIgDO2Sclqj9ClxPOSyraJ7H4Y4f9itI5llZUxw==" saltValue="fAi+2v0zyLE3eGvR0tA0+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General Insurance Company</v>
      </c>
      <c r="I1" s="86" t="s">
        <v>711</v>
      </c>
      <c r="J1" s="8"/>
    </row>
    <row r="2" spans="1:16" x14ac:dyDescent="0.25">
      <c r="A2" s="8" t="s">
        <v>32</v>
      </c>
      <c r="B2" s="8"/>
      <c r="C2" s="8"/>
      <c r="E2" s="124" t="s">
        <v>34</v>
      </c>
      <c r="F2" s="124"/>
      <c r="G2" s="124"/>
      <c r="H2" s="125" t="str">
        <f>General_Line</f>
        <v>Homeowners Multiple Peril</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676</v>
      </c>
      <c r="B5" s="4"/>
      <c r="C5" s="4"/>
      <c r="D5" s="123"/>
      <c r="E5" s="123"/>
      <c r="F5" s="123"/>
      <c r="G5" s="123"/>
      <c r="H5" s="123"/>
      <c r="I5" s="265"/>
    </row>
    <row r="6" spans="1:16" x14ac:dyDescent="0.25">
      <c r="I6" s="265"/>
    </row>
    <row r="7" spans="1:16" x14ac:dyDescent="0.25">
      <c r="A7" s="14" t="s">
        <v>77</v>
      </c>
      <c r="D7" s="14" t="str">
        <f>Detailed_LineDesc10</f>
        <v/>
      </c>
      <c r="F7" s="14" t="s">
        <v>1</v>
      </c>
      <c r="H7" s="18" t="str">
        <f>Completed_By</f>
        <v>Nicole Pettis</v>
      </c>
      <c r="I7" s="266"/>
    </row>
    <row r="8" spans="1:16" x14ac:dyDescent="0.25">
      <c r="A8" s="14" t="s">
        <v>78</v>
      </c>
      <c r="D8" s="14" t="str">
        <f>Covg10</f>
        <v/>
      </c>
      <c r="F8" s="14" t="s">
        <v>76</v>
      </c>
      <c r="H8" s="62">
        <f>Completed_Date</f>
        <v>44981</v>
      </c>
      <c r="I8" s="267"/>
      <c r="J8" s="184"/>
    </row>
    <row r="9" spans="1:16" x14ac:dyDescent="0.25">
      <c r="A9" s="14" t="s">
        <v>169</v>
      </c>
      <c r="D9" s="62" t="str">
        <f>EffDate_Prior10</f>
        <v/>
      </c>
      <c r="F9" s="14" t="s">
        <v>170</v>
      </c>
      <c r="H9" s="62">
        <f>EffDate_Proposed</f>
        <v>45323</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"&amp;Detailed_LineCode10&amp;" Industry P&amp;C"</f>
        <v>Total 2021 Line  Industry P&amp;C</v>
      </c>
      <c r="N20" s="180" t="s">
        <v>256</v>
      </c>
    </row>
    <row r="21" spans="1:16" ht="17.25" x14ac:dyDescent="0.25">
      <c r="A21" s="157"/>
      <c r="B21" s="157"/>
      <c r="I21" s="265"/>
      <c r="K21" s="165"/>
      <c r="L21" s="167" t="s">
        <v>289</v>
      </c>
      <c r="M21" s="169" t="e">
        <f>VLOOKUP(Detailed_LineCode10,Table_IncdLossDCCE,2,FALSE)</f>
        <v>#N/A</v>
      </c>
      <c r="N21" s="174" t="e">
        <f>VLOOKUP($G$17,$L$16:$N$18,3,FALSE)</f>
        <v>#N/A</v>
      </c>
    </row>
    <row r="22" spans="1:16" ht="18" customHeight="1" thickBot="1" x14ac:dyDescent="0.3">
      <c r="A22" s="157"/>
      <c r="B22" s="94" t="s">
        <v>254</v>
      </c>
      <c r="C22" s="14" t="s">
        <v>299</v>
      </c>
      <c r="G22" s="713" t="e">
        <f>IF(ISBLANK($G$15),NA(),'7.10Rate Change Calculation'!Projected '7.10Rate Change Calculation'!Max_Premium/(('7.10Rate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VLOOKUP(Detailed_LineCode10,Table_IncdLossDCCE,3,FALSE)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2022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1" t="s">
        <v>336</v>
      </c>
      <c r="D30" s="761"/>
      <c r="E30" s="761"/>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ht="18" customHeight="1" x14ac:dyDescent="0.25">
      <c r="C36" s="17"/>
      <c r="I36" s="265"/>
      <c r="O36" s="16"/>
    </row>
    <row r="37" spans="1:16" ht="18" customHeight="1" x14ac:dyDescent="0.25">
      <c r="B37" s="94">
        <v>2.4</v>
      </c>
      <c r="C37" s="14" t="s">
        <v>733</v>
      </c>
      <c r="G37" s="237"/>
      <c r="I37" s="265"/>
      <c r="O37" s="16"/>
    </row>
    <row r="38" spans="1:16" x14ac:dyDescent="0.25">
      <c r="B38" s="94"/>
      <c r="C38" s="14" t="s">
        <v>734</v>
      </c>
      <c r="G38" s="719"/>
      <c r="I38" s="265"/>
      <c r="O38" s="16"/>
    </row>
    <row r="39" spans="1:16" x14ac:dyDescent="0.25">
      <c r="B39" s="94"/>
      <c r="C39" s="721"/>
      <c r="D39" s="721"/>
      <c r="E39" s="721"/>
      <c r="G39" s="719"/>
      <c r="I39" s="265"/>
      <c r="O39" s="16"/>
    </row>
    <row r="40" spans="1:16" ht="18" customHeight="1" x14ac:dyDescent="0.25">
      <c r="B40" s="94" t="s">
        <v>732</v>
      </c>
      <c r="C40" s="14" t="s">
        <v>295</v>
      </c>
      <c r="G40" s="713" t="e">
        <f>IF(OR(ISBLANK(Curr_LCM),ISBLANK(LossCost_PctChg_Co)),NA(),(1+'7.10Rate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436</v>
      </c>
      <c r="B42" s="159" t="s">
        <v>341</v>
      </c>
      <c r="G42" s="238"/>
      <c r="I42" s="265"/>
      <c r="O42" s="16"/>
    </row>
    <row r="43" spans="1:16" ht="15.75" thickBot="1" x14ac:dyDescent="0.3">
      <c r="I43" s="518"/>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aMIVHdHq/DDlaNAuxznuhhp9c4dPVfmdjxx2/nVNjpSUMVyO/Wp0qaY4KvDtpTHw0MoLq2H5n8r8NI6vGqVcdw==" saltValue="eHpMmrfy3XHjRRu16Iwra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style="212" customWidth="1"/>
    <col min="2" max="4" width="15.7109375" style="212" customWidth="1"/>
    <col min="5" max="5" width="54.7109375" style="212" bestFit="1" customWidth="1"/>
    <col min="6" max="16384" width="9.140625" style="212"/>
  </cols>
  <sheetData>
    <row r="1" spans="1:8" ht="18.75" x14ac:dyDescent="0.25">
      <c r="A1" s="208" t="s">
        <v>126</v>
      </c>
      <c r="B1" s="209"/>
      <c r="C1" s="210"/>
      <c r="D1" s="210"/>
      <c r="E1" s="211"/>
      <c r="F1" s="211"/>
    </row>
    <row r="2" spans="1:8" x14ac:dyDescent="0.25">
      <c r="A2" s="213" t="s">
        <v>123</v>
      </c>
      <c r="B2" s="539" t="s">
        <v>121</v>
      </c>
      <c r="C2" s="210"/>
      <c r="D2" s="210"/>
      <c r="E2" s="211"/>
      <c r="F2" s="211"/>
    </row>
    <row r="3" spans="1:8" x14ac:dyDescent="0.25">
      <c r="A3" s="213"/>
      <c r="B3" s="539" t="s">
        <v>313</v>
      </c>
      <c r="C3" s="210"/>
      <c r="D3" s="210"/>
      <c r="E3" s="211"/>
      <c r="F3" s="211"/>
    </row>
    <row r="4" spans="1:8" x14ac:dyDescent="0.25">
      <c r="A4" s="213" t="s">
        <v>127</v>
      </c>
      <c r="B4" s="534">
        <v>2020</v>
      </c>
      <c r="C4" s="210"/>
      <c r="D4" s="210"/>
      <c r="E4" s="211"/>
      <c r="F4" s="211"/>
    </row>
    <row r="5" spans="1:8" x14ac:dyDescent="0.25">
      <c r="A5" s="213" t="s">
        <v>122</v>
      </c>
      <c r="B5" s="532" t="s">
        <v>294</v>
      </c>
      <c r="C5" s="210"/>
      <c r="D5" s="210"/>
      <c r="E5" s="211"/>
      <c r="F5" s="211"/>
    </row>
    <row r="6" spans="1:8" x14ac:dyDescent="0.25">
      <c r="A6" s="213" t="s">
        <v>128</v>
      </c>
      <c r="B6" s="540">
        <v>44551</v>
      </c>
      <c r="C6" s="210"/>
      <c r="D6" s="210"/>
      <c r="E6" s="211"/>
      <c r="F6" s="211"/>
    </row>
    <row r="7" spans="1:8" x14ac:dyDescent="0.25">
      <c r="A7" s="213"/>
      <c r="B7" s="215"/>
      <c r="C7" s="210"/>
      <c r="D7" s="210"/>
      <c r="E7" s="211"/>
      <c r="F7" s="211"/>
    </row>
    <row r="8" spans="1:8" x14ac:dyDescent="0.25">
      <c r="A8" s="216"/>
      <c r="B8" s="216">
        <v>1</v>
      </c>
      <c r="C8" s="216">
        <v>2</v>
      </c>
      <c r="D8" s="216">
        <v>3</v>
      </c>
      <c r="E8" s="216">
        <v>4</v>
      </c>
      <c r="F8" s="210"/>
      <c r="G8" s="214"/>
      <c r="H8" s="214"/>
    </row>
    <row r="9" spans="1:8" ht="15.75" thickBot="1" x14ac:dyDescent="0.3">
      <c r="A9" s="216" t="s">
        <v>59</v>
      </c>
      <c r="B9" s="216" t="s">
        <v>117</v>
      </c>
      <c r="C9" s="216" t="s">
        <v>118</v>
      </c>
      <c r="D9" s="216" t="s">
        <v>125</v>
      </c>
      <c r="E9" s="216" t="s">
        <v>119</v>
      </c>
      <c r="F9" s="217"/>
      <c r="G9" s="218"/>
      <c r="H9" s="218"/>
    </row>
    <row r="10" spans="1:8" x14ac:dyDescent="0.25">
      <c r="A10" s="219">
        <v>1</v>
      </c>
      <c r="B10" s="730">
        <v>0.32264057080430214</v>
      </c>
      <c r="C10" s="731">
        <v>0.28579684106741904</v>
      </c>
      <c r="D10" s="731">
        <v>0.32264057080430214</v>
      </c>
      <c r="E10" s="220" t="s">
        <v>17</v>
      </c>
      <c r="F10" s="606"/>
      <c r="G10" s="606"/>
      <c r="H10" s="606"/>
    </row>
    <row r="11" spans="1:8" x14ac:dyDescent="0.25">
      <c r="A11" s="219">
        <v>2.1</v>
      </c>
      <c r="B11" s="732">
        <v>0.32705299209368172</v>
      </c>
      <c r="C11" s="733">
        <v>0.29474007750233949</v>
      </c>
      <c r="D11" s="733">
        <v>0.32705299209368172</v>
      </c>
      <c r="E11" s="220" t="s">
        <v>9</v>
      </c>
      <c r="F11" s="606"/>
      <c r="G11" s="606"/>
      <c r="H11" s="606"/>
    </row>
    <row r="12" spans="1:8" x14ac:dyDescent="0.25">
      <c r="A12" s="219">
        <v>3</v>
      </c>
      <c r="B12" s="732">
        <v>0.38733373273714594</v>
      </c>
      <c r="C12" s="733">
        <v>0.38733373273714594</v>
      </c>
      <c r="D12" s="733">
        <v>0.39095109805250727</v>
      </c>
      <c r="E12" s="220" t="s">
        <v>44</v>
      </c>
      <c r="F12" s="606"/>
      <c r="G12" s="606"/>
      <c r="H12" s="606"/>
    </row>
    <row r="13" spans="1:8" x14ac:dyDescent="0.25">
      <c r="A13" s="219">
        <v>4</v>
      </c>
      <c r="B13" s="732">
        <v>0.35349169170468153</v>
      </c>
      <c r="C13" s="733">
        <v>0.30450233691492307</v>
      </c>
      <c r="D13" s="733">
        <v>0.37957507454237077</v>
      </c>
      <c r="E13" s="220" t="s">
        <v>45</v>
      </c>
      <c r="F13" s="606"/>
      <c r="G13" s="606"/>
      <c r="H13" s="606"/>
    </row>
    <row r="14" spans="1:8" x14ac:dyDescent="0.25">
      <c r="A14" s="219">
        <v>5</v>
      </c>
      <c r="B14" s="732">
        <v>0.38056656334177358</v>
      </c>
      <c r="C14" s="733">
        <v>0.34972458045182453</v>
      </c>
      <c r="D14" s="733">
        <v>0.36988795076778636</v>
      </c>
      <c r="E14" s="220" t="s">
        <v>124</v>
      </c>
      <c r="F14" s="606"/>
      <c r="G14" s="606"/>
      <c r="H14" s="606"/>
    </row>
    <row r="15" spans="1:8" x14ac:dyDescent="0.25">
      <c r="A15" s="219">
        <v>5.0999999999999996</v>
      </c>
      <c r="B15" s="734">
        <v>0.3745301566852699</v>
      </c>
      <c r="C15" s="735">
        <v>0.35457187705951404</v>
      </c>
      <c r="D15" s="735">
        <v>0.35968282489531528</v>
      </c>
      <c r="E15" s="220" t="s">
        <v>43</v>
      </c>
      <c r="F15" s="606"/>
      <c r="G15" s="606"/>
      <c r="H15" s="606"/>
    </row>
    <row r="16" spans="1:8" x14ac:dyDescent="0.25">
      <c r="A16" s="219">
        <v>5.2</v>
      </c>
      <c r="B16" s="734">
        <v>0.39817283158893568</v>
      </c>
      <c r="C16" s="735">
        <v>0.34749382309908511</v>
      </c>
      <c r="D16" s="735">
        <v>0.38531762841141753</v>
      </c>
      <c r="E16" s="220" t="s">
        <v>42</v>
      </c>
      <c r="F16" s="606"/>
      <c r="G16" s="606"/>
      <c r="H16" s="606"/>
    </row>
    <row r="17" spans="1:8" x14ac:dyDescent="0.25">
      <c r="A17" s="219">
        <v>9</v>
      </c>
      <c r="B17" s="732">
        <v>0.28354526722923851</v>
      </c>
      <c r="C17" s="733">
        <v>0.27729260124284777</v>
      </c>
      <c r="D17" s="733">
        <v>0.28354526722923851</v>
      </c>
      <c r="E17" s="220" t="s">
        <v>20</v>
      </c>
      <c r="F17" s="606"/>
      <c r="G17" s="606"/>
      <c r="H17" s="606"/>
    </row>
    <row r="18" spans="1:8" x14ac:dyDescent="0.25">
      <c r="A18" s="219">
        <v>11</v>
      </c>
      <c r="B18" s="732">
        <v>0.40343289491496614</v>
      </c>
      <c r="C18" s="733">
        <v>0.27260526794637335</v>
      </c>
      <c r="D18" s="733">
        <v>0.36666228578975457</v>
      </c>
      <c r="E18" s="221" t="s">
        <v>21</v>
      </c>
      <c r="F18" s="606"/>
      <c r="G18" s="606"/>
      <c r="H18" s="606"/>
    </row>
    <row r="19" spans="1:8" x14ac:dyDescent="0.25">
      <c r="A19" s="219">
        <v>11.1</v>
      </c>
      <c r="B19" s="732">
        <v>0.40343289491496614</v>
      </c>
      <c r="C19" s="733">
        <v>0.27260526794637335</v>
      </c>
      <c r="D19" s="733">
        <v>0.36666228578975457</v>
      </c>
      <c r="E19" s="221" t="s">
        <v>47</v>
      </c>
      <c r="F19" s="606"/>
      <c r="G19" s="606"/>
      <c r="H19" s="606"/>
    </row>
    <row r="20" spans="1:8" x14ac:dyDescent="0.25">
      <c r="A20" s="219">
        <v>11.2</v>
      </c>
      <c r="B20" s="732">
        <v>0.40343289491496614</v>
      </c>
      <c r="C20" s="733">
        <v>0.27260526794637335</v>
      </c>
      <c r="D20" s="733">
        <v>0.36666228578975457</v>
      </c>
      <c r="E20" s="221" t="s">
        <v>46</v>
      </c>
      <c r="F20" s="606"/>
      <c r="G20" s="606"/>
      <c r="H20" s="606"/>
    </row>
    <row r="21" spans="1:8" x14ac:dyDescent="0.25">
      <c r="A21" s="219" t="s">
        <v>328</v>
      </c>
      <c r="B21" s="732">
        <v>0.40343289491496614</v>
      </c>
      <c r="C21" s="733">
        <v>0.27260526794637335</v>
      </c>
      <c r="D21" s="733">
        <v>0.36666228578975457</v>
      </c>
      <c r="E21" s="221" t="s">
        <v>326</v>
      </c>
      <c r="F21" s="606"/>
      <c r="G21" s="606"/>
      <c r="H21" s="606"/>
    </row>
    <row r="22" spans="1:8" x14ac:dyDescent="0.25">
      <c r="A22" s="219" t="s">
        <v>329</v>
      </c>
      <c r="B22" s="732">
        <v>0.40343289491496614</v>
      </c>
      <c r="C22" s="733">
        <v>0.27260526794637335</v>
      </c>
      <c r="D22" s="733">
        <v>0.36666228578975457</v>
      </c>
      <c r="E22" s="221" t="s">
        <v>327</v>
      </c>
      <c r="F22" s="606"/>
      <c r="G22" s="606"/>
      <c r="H22" s="606"/>
    </row>
    <row r="23" spans="1:8" x14ac:dyDescent="0.25">
      <c r="A23" s="219" t="s">
        <v>330</v>
      </c>
      <c r="B23" s="732">
        <v>0.40343289491496614</v>
      </c>
      <c r="C23" s="733">
        <v>0.27260526794637335</v>
      </c>
      <c r="D23" s="733">
        <v>0.36666228578975457</v>
      </c>
      <c r="E23" s="221" t="s">
        <v>324</v>
      </c>
      <c r="F23" s="606"/>
      <c r="G23" s="606"/>
      <c r="H23" s="606"/>
    </row>
    <row r="24" spans="1:8" x14ac:dyDescent="0.25">
      <c r="A24" s="219">
        <v>12</v>
      </c>
      <c r="B24" s="732">
        <v>0.24340754228838934</v>
      </c>
      <c r="C24" s="733">
        <v>0.26606284274177755</v>
      </c>
      <c r="D24" s="733">
        <v>0.27375831026408481</v>
      </c>
      <c r="E24" s="221" t="s">
        <v>14</v>
      </c>
      <c r="F24" s="606"/>
      <c r="G24" s="606"/>
      <c r="H24" s="606"/>
    </row>
    <row r="25" spans="1:8" x14ac:dyDescent="0.25">
      <c r="A25" s="219" t="s">
        <v>331</v>
      </c>
      <c r="B25" s="732">
        <v>0.24340754228838934</v>
      </c>
      <c r="C25" s="733">
        <v>0.26606284274177755</v>
      </c>
      <c r="D25" s="733">
        <v>0.27375831026408481</v>
      </c>
      <c r="E25" s="221" t="s">
        <v>325</v>
      </c>
      <c r="F25" s="606"/>
      <c r="G25" s="606"/>
      <c r="H25" s="606"/>
    </row>
    <row r="26" spans="1:8" x14ac:dyDescent="0.25">
      <c r="A26" s="222">
        <v>17</v>
      </c>
      <c r="B26" s="732">
        <v>0.31140389477587366</v>
      </c>
      <c r="C26" s="733">
        <v>0.31849075950320105</v>
      </c>
      <c r="D26" s="733">
        <v>0.3358560996385816</v>
      </c>
      <c r="E26" s="221" t="s">
        <v>23</v>
      </c>
      <c r="F26" s="606"/>
      <c r="G26" s="606"/>
      <c r="H26" s="606"/>
    </row>
    <row r="27" spans="1:8" x14ac:dyDescent="0.25">
      <c r="A27" s="222">
        <v>17.100000000000001</v>
      </c>
      <c r="B27" s="734">
        <v>0.31358328821404757</v>
      </c>
      <c r="C27" s="735">
        <v>0.2640756898392243</v>
      </c>
      <c r="D27" s="735">
        <v>0.3046244823314368</v>
      </c>
      <c r="E27" s="221" t="s">
        <v>49</v>
      </c>
      <c r="F27" s="606"/>
      <c r="G27" s="606"/>
      <c r="H27" s="606"/>
    </row>
    <row r="28" spans="1:8" x14ac:dyDescent="0.25">
      <c r="A28" s="222">
        <v>17.2</v>
      </c>
      <c r="B28" s="734">
        <v>0.27846536373927272</v>
      </c>
      <c r="C28" s="735">
        <v>0.44398764048589995</v>
      </c>
      <c r="D28" s="735">
        <v>0.37532081186251792</v>
      </c>
      <c r="E28" s="221" t="s">
        <v>48</v>
      </c>
      <c r="F28" s="606"/>
      <c r="G28" s="606"/>
      <c r="H28" s="606"/>
    </row>
    <row r="29" spans="1:8" x14ac:dyDescent="0.25">
      <c r="A29" s="219">
        <v>18</v>
      </c>
      <c r="B29" s="732">
        <v>0.32250884671599844</v>
      </c>
      <c r="C29" s="733">
        <v>0.32250884671599844</v>
      </c>
      <c r="D29" s="733">
        <v>0.32250884671599844</v>
      </c>
      <c r="E29" s="221" t="s">
        <v>24</v>
      </c>
      <c r="F29" s="606"/>
      <c r="G29" s="606"/>
      <c r="H29" s="606"/>
    </row>
    <row r="30" spans="1:8" x14ac:dyDescent="0.25">
      <c r="A30" s="219">
        <v>18.100000000000001</v>
      </c>
      <c r="B30" s="732">
        <v>0.32250884671599844</v>
      </c>
      <c r="C30" s="733">
        <v>0.32250884671599844</v>
      </c>
      <c r="D30" s="733">
        <v>0.32250884671599844</v>
      </c>
      <c r="E30" s="221" t="s">
        <v>53</v>
      </c>
      <c r="F30" s="606"/>
      <c r="G30" s="606"/>
      <c r="H30" s="606"/>
    </row>
    <row r="31" spans="1:8" x14ac:dyDescent="0.25">
      <c r="A31" s="219">
        <v>18.2</v>
      </c>
      <c r="B31" s="732">
        <v>0.32250884671599844</v>
      </c>
      <c r="C31" s="733">
        <v>0.32250884671599844</v>
      </c>
      <c r="D31" s="733">
        <v>0.32250884671599844</v>
      </c>
      <c r="E31" s="221" t="s">
        <v>52</v>
      </c>
      <c r="F31" s="606"/>
      <c r="G31" s="606"/>
      <c r="H31" s="606"/>
    </row>
    <row r="32" spans="1:8" x14ac:dyDescent="0.25">
      <c r="A32" s="219">
        <v>19.2</v>
      </c>
      <c r="B32" s="736">
        <v>0.31092212368038935</v>
      </c>
      <c r="C32" s="737">
        <v>0.26622784813216294</v>
      </c>
      <c r="D32" s="737">
        <v>0.35653087916941489</v>
      </c>
      <c r="E32" s="221" t="s">
        <v>50</v>
      </c>
      <c r="F32" s="606"/>
      <c r="G32" s="606"/>
      <c r="H32" s="606"/>
    </row>
    <row r="33" spans="1:8" x14ac:dyDescent="0.25">
      <c r="A33" s="219">
        <v>19.399999999999999</v>
      </c>
      <c r="B33" s="732">
        <v>0.36988312159365738</v>
      </c>
      <c r="C33" s="733">
        <v>0.26571120433885059</v>
      </c>
      <c r="D33" s="733">
        <v>0.33189577609755033</v>
      </c>
      <c r="E33" s="221" t="s">
        <v>39</v>
      </c>
      <c r="F33" s="606"/>
      <c r="G33" s="606"/>
      <c r="H33" s="606"/>
    </row>
    <row r="34" spans="1:8" x14ac:dyDescent="0.25">
      <c r="A34" s="219">
        <v>21.1</v>
      </c>
      <c r="B34" s="736">
        <v>0.31225781752376819</v>
      </c>
      <c r="C34" s="737">
        <v>0.25586059542168726</v>
      </c>
      <c r="D34" s="737">
        <v>0.35144754344074641</v>
      </c>
      <c r="E34" s="221" t="s">
        <v>51</v>
      </c>
      <c r="F34" s="606"/>
      <c r="G34" s="606"/>
      <c r="H34" s="606"/>
    </row>
    <row r="35" spans="1:8" x14ac:dyDescent="0.25">
      <c r="A35" s="219">
        <v>21.2</v>
      </c>
      <c r="B35" s="732">
        <v>0.35483822794744674</v>
      </c>
      <c r="C35" s="733">
        <v>0.33158840050480298</v>
      </c>
      <c r="D35" s="733">
        <v>0.34154482499729527</v>
      </c>
      <c r="E35" s="221" t="s">
        <v>40</v>
      </c>
      <c r="F35" s="606"/>
      <c r="G35" s="606"/>
      <c r="H35" s="606"/>
    </row>
    <row r="36" spans="1:8" x14ac:dyDescent="0.25">
      <c r="A36" s="219">
        <v>22</v>
      </c>
      <c r="B36" s="736">
        <v>0.32506537946659148</v>
      </c>
      <c r="C36" s="737">
        <v>0.43688479599760016</v>
      </c>
      <c r="D36" s="737">
        <v>0.32267770428390924</v>
      </c>
      <c r="E36" s="221" t="s">
        <v>8</v>
      </c>
      <c r="F36" s="606"/>
      <c r="G36" s="606"/>
      <c r="H36" s="606"/>
    </row>
    <row r="37" spans="1:8" x14ac:dyDescent="0.25">
      <c r="A37" s="219">
        <v>23</v>
      </c>
      <c r="B37" s="732">
        <v>0.37415753593585527</v>
      </c>
      <c r="C37" s="733">
        <v>0.32326291703914967</v>
      </c>
      <c r="D37" s="733">
        <v>0.37793442232116087</v>
      </c>
      <c r="E37" s="221" t="s">
        <v>16</v>
      </c>
      <c r="F37" s="606"/>
      <c r="G37" s="606"/>
      <c r="H37" s="606"/>
    </row>
    <row r="38" spans="1:8" x14ac:dyDescent="0.25">
      <c r="A38" s="219">
        <v>24</v>
      </c>
      <c r="B38" s="736">
        <v>0.45570039826671277</v>
      </c>
      <c r="C38" s="737">
        <v>0.45570039826671277</v>
      </c>
      <c r="D38" s="737">
        <v>0.45570039826671277</v>
      </c>
      <c r="E38" s="221" t="s">
        <v>25</v>
      </c>
      <c r="F38" s="606"/>
      <c r="G38" s="606"/>
      <c r="H38" s="606"/>
    </row>
    <row r="39" spans="1:8" x14ac:dyDescent="0.25">
      <c r="A39" s="223">
        <v>26</v>
      </c>
      <c r="B39" s="732">
        <v>0.40879334795969163</v>
      </c>
      <c r="C39" s="733">
        <v>0.40879334795969163</v>
      </c>
      <c r="D39" s="733">
        <v>0.40879334795969163</v>
      </c>
      <c r="E39" s="221" t="s">
        <v>13</v>
      </c>
      <c r="F39" s="606"/>
      <c r="G39" s="606"/>
      <c r="H39" s="606"/>
    </row>
    <row r="40" spans="1:8" x14ac:dyDescent="0.25">
      <c r="A40" s="223">
        <v>27</v>
      </c>
      <c r="B40" s="732">
        <v>0.37056208371139149</v>
      </c>
      <c r="C40" s="733">
        <v>0.25454478470121661</v>
      </c>
      <c r="D40" s="733">
        <v>0.3541709116108695</v>
      </c>
      <c r="E40" s="221" t="s">
        <v>12</v>
      </c>
      <c r="F40" s="606"/>
      <c r="G40" s="606"/>
      <c r="H40" s="606"/>
    </row>
    <row r="41" spans="1:8" x14ac:dyDescent="0.25">
      <c r="A41" s="211"/>
      <c r="B41" s="211"/>
      <c r="C41" s="211"/>
      <c r="D41" s="211"/>
      <c r="E41" s="211"/>
      <c r="F41" s="211"/>
      <c r="H41" s="214"/>
    </row>
    <row r="42" spans="1:8" x14ac:dyDescent="0.25">
      <c r="A42" s="211"/>
      <c r="B42" s="211"/>
      <c r="C42" s="211"/>
      <c r="D42" s="211"/>
      <c r="E42" s="211"/>
      <c r="F42" s="211"/>
    </row>
    <row r="43" spans="1:8" x14ac:dyDescent="0.25">
      <c r="A43" s="211"/>
      <c r="B43" s="211"/>
      <c r="C43" s="211"/>
      <c r="D43" s="211"/>
      <c r="E43" s="211"/>
      <c r="F43" s="211"/>
    </row>
    <row r="44" spans="1:8" x14ac:dyDescent="0.25">
      <c r="A44" s="211"/>
      <c r="B44" s="211"/>
      <c r="C44" s="211"/>
      <c r="D44" s="211"/>
      <c r="E44" s="211"/>
      <c r="F44" s="211"/>
    </row>
    <row r="45" spans="1:8" x14ac:dyDescent="0.25">
      <c r="A45" s="211"/>
      <c r="B45" s="211"/>
      <c r="C45" s="211"/>
      <c r="D45" s="211"/>
      <c r="E45" s="211"/>
      <c r="F45" s="211"/>
    </row>
    <row r="46" spans="1:8" x14ac:dyDescent="0.25">
      <c r="A46" s="211"/>
      <c r="B46" s="211"/>
      <c r="C46" s="211"/>
      <c r="D46" s="211"/>
      <c r="E46" s="211"/>
      <c r="F46" s="211"/>
    </row>
  </sheetData>
  <sheetProtection algorithmName="SHA-512" hashValue="8YCt0xTgZAxr5KfaVTEC2bthqgnge4BtOnZQwWKX5+L8yx9dQA2T5Ss11XcJevoQ5OWuRjxCdWNVsJVjaaZfhA==" saltValue="m7PjtXDgPEohMnMw78WTBA=="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style="11" customWidth="1"/>
    <col min="2" max="2" width="15.7109375" style="11" customWidth="1"/>
    <col min="3" max="3" width="54.7109375" style="11" bestFit="1" customWidth="1"/>
    <col min="4" max="5" width="9.140625" style="11"/>
    <col min="6" max="9" width="9.42578125" style="11" bestFit="1" customWidth="1"/>
    <col min="10" max="16384" width="9.140625" style="11"/>
  </cols>
  <sheetData>
    <row r="1" spans="1:12" ht="18.75" x14ac:dyDescent="0.25">
      <c r="A1" s="79" t="s">
        <v>134</v>
      </c>
      <c r="B1" s="67"/>
      <c r="C1" s="68"/>
      <c r="D1" s="51"/>
    </row>
    <row r="2" spans="1:12" x14ac:dyDescent="0.25">
      <c r="A2" s="66" t="s">
        <v>120</v>
      </c>
      <c r="B2" s="532" t="s">
        <v>319</v>
      </c>
      <c r="C2" s="68"/>
      <c r="D2" s="52"/>
    </row>
    <row r="3" spans="1:12" x14ac:dyDescent="0.25">
      <c r="A3" s="66" t="s">
        <v>135</v>
      </c>
      <c r="B3" s="533">
        <v>2022</v>
      </c>
      <c r="C3" s="68"/>
      <c r="D3" s="52"/>
    </row>
    <row r="4" spans="1:12" x14ac:dyDescent="0.25">
      <c r="A4" s="213" t="s">
        <v>127</v>
      </c>
      <c r="B4" s="534">
        <v>2021</v>
      </c>
      <c r="C4" s="68"/>
      <c r="D4" s="52"/>
    </row>
    <row r="5" spans="1:12" x14ac:dyDescent="0.25">
      <c r="A5" s="66" t="s">
        <v>122</v>
      </c>
      <c r="B5" s="532" t="s">
        <v>294</v>
      </c>
      <c r="C5" s="68"/>
      <c r="D5" s="52"/>
    </row>
    <row r="6" spans="1:12" x14ac:dyDescent="0.25">
      <c r="A6" s="66" t="s">
        <v>128</v>
      </c>
      <c r="B6" s="535">
        <v>44854</v>
      </c>
      <c r="C6" s="68"/>
      <c r="D6" s="52"/>
    </row>
    <row r="7" spans="1:12" x14ac:dyDescent="0.25">
      <c r="A7" s="66"/>
      <c r="B7" s="69"/>
      <c r="C7" s="68"/>
      <c r="D7" s="52"/>
    </row>
    <row r="8" spans="1:12" x14ac:dyDescent="0.25">
      <c r="A8" s="66"/>
      <c r="B8" s="70"/>
      <c r="C8" s="68"/>
      <c r="D8" s="52"/>
    </row>
    <row r="9" spans="1:12" x14ac:dyDescent="0.25">
      <c r="A9" s="71"/>
      <c r="B9" s="71">
        <v>1</v>
      </c>
      <c r="C9" s="71">
        <v>2</v>
      </c>
      <c r="D9" s="51"/>
    </row>
    <row r="10" spans="1:12" x14ac:dyDescent="0.25">
      <c r="A10" s="71" t="s">
        <v>59</v>
      </c>
      <c r="B10" s="71" t="s">
        <v>134</v>
      </c>
      <c r="C10" s="71" t="s">
        <v>119</v>
      </c>
      <c r="D10" s="53"/>
    </row>
    <row r="11" spans="1:12" x14ac:dyDescent="0.25">
      <c r="A11" s="72">
        <v>1</v>
      </c>
      <c r="B11" s="639">
        <v>0.81235644058807355</v>
      </c>
      <c r="C11" s="73" t="s">
        <v>17</v>
      </c>
      <c r="D11" s="53"/>
    </row>
    <row r="12" spans="1:12" x14ac:dyDescent="0.25">
      <c r="A12" s="72">
        <v>2.1</v>
      </c>
      <c r="B12" s="639">
        <v>0.93435152504930674</v>
      </c>
      <c r="C12" s="73" t="s">
        <v>9</v>
      </c>
      <c r="D12" s="53"/>
    </row>
    <row r="13" spans="1:12" x14ac:dyDescent="0.25">
      <c r="A13" s="72">
        <v>3</v>
      </c>
      <c r="B13" s="639">
        <v>1.0198850033807605</v>
      </c>
      <c r="C13" s="73" t="s">
        <v>44</v>
      </c>
      <c r="D13" s="53"/>
    </row>
    <row r="14" spans="1:12" x14ac:dyDescent="0.25">
      <c r="A14" s="72">
        <v>4</v>
      </c>
      <c r="B14" s="639">
        <v>0.91552166118720324</v>
      </c>
      <c r="C14" s="73" t="s">
        <v>45</v>
      </c>
      <c r="D14" s="53"/>
      <c r="G14" s="624"/>
      <c r="H14" s="623"/>
      <c r="I14" s="625"/>
      <c r="J14" s="625"/>
      <c r="K14" s="625"/>
      <c r="L14" s="623"/>
    </row>
    <row r="15" spans="1:12" x14ac:dyDescent="0.25">
      <c r="A15" s="72">
        <v>5</v>
      </c>
      <c r="B15" s="639">
        <v>0.64904356508147709</v>
      </c>
      <c r="C15" s="73" t="s">
        <v>124</v>
      </c>
      <c r="D15" s="53"/>
      <c r="G15" s="624"/>
      <c r="H15" s="623"/>
      <c r="I15" s="625"/>
      <c r="J15" s="625"/>
      <c r="K15" s="625"/>
      <c r="L15" s="623"/>
    </row>
    <row r="16" spans="1:12" x14ac:dyDescent="0.25">
      <c r="A16" s="72">
        <v>5.0999999999999996</v>
      </c>
      <c r="B16" s="639">
        <v>0.85959575239859431</v>
      </c>
      <c r="C16" s="73" t="s">
        <v>43</v>
      </c>
      <c r="D16" s="53"/>
      <c r="G16" s="624"/>
      <c r="H16" s="623"/>
      <c r="I16" s="625"/>
      <c r="J16" s="625"/>
      <c r="K16" s="625"/>
      <c r="L16" s="623"/>
    </row>
    <row r="17" spans="1:12" x14ac:dyDescent="0.25">
      <c r="A17" s="72">
        <v>5.2</v>
      </c>
      <c r="B17" s="639">
        <v>0.44524500946674733</v>
      </c>
      <c r="C17" s="73" t="s">
        <v>42</v>
      </c>
      <c r="D17" s="53"/>
      <c r="G17" s="624"/>
      <c r="H17" s="623"/>
      <c r="I17" s="625"/>
      <c r="J17" s="625"/>
      <c r="K17" s="625"/>
      <c r="L17" s="623"/>
    </row>
    <row r="18" spans="1:12" x14ac:dyDescent="0.25">
      <c r="A18" s="72">
        <v>9</v>
      </c>
      <c r="B18" s="639">
        <v>0.99942836921193801</v>
      </c>
      <c r="C18" s="73" t="s">
        <v>20</v>
      </c>
      <c r="D18" s="53"/>
      <c r="G18" s="624"/>
      <c r="H18" s="623"/>
      <c r="I18" s="625"/>
      <c r="J18" s="625"/>
      <c r="K18" s="625"/>
      <c r="L18" s="623"/>
    </row>
    <row r="19" spans="1:12" x14ac:dyDescent="0.25">
      <c r="A19" s="72">
        <v>11</v>
      </c>
      <c r="B19" s="639">
        <v>0.37793006729923817</v>
      </c>
      <c r="C19" s="74" t="s">
        <v>21</v>
      </c>
      <c r="D19" s="53"/>
      <c r="G19" s="624"/>
      <c r="H19" s="623"/>
      <c r="I19" s="625"/>
      <c r="J19" s="625"/>
      <c r="K19" s="625"/>
      <c r="L19" s="623"/>
    </row>
    <row r="20" spans="1:12" x14ac:dyDescent="0.25">
      <c r="A20" s="72">
        <v>11.1</v>
      </c>
      <c r="B20" s="639">
        <v>0.27891657529127117</v>
      </c>
      <c r="C20" s="74" t="s">
        <v>47</v>
      </c>
      <c r="D20" s="53"/>
      <c r="G20" s="624"/>
      <c r="H20" s="623"/>
      <c r="I20" s="625"/>
      <c r="J20" s="625"/>
      <c r="K20" s="625"/>
      <c r="L20" s="623"/>
    </row>
    <row r="21" spans="1:12" x14ac:dyDescent="0.25">
      <c r="A21" s="72">
        <v>11.2</v>
      </c>
      <c r="B21" s="639">
        <v>0.42512058682655723</v>
      </c>
      <c r="C21" s="74" t="s">
        <v>46</v>
      </c>
      <c r="D21" s="53"/>
      <c r="G21" s="624"/>
      <c r="H21" s="623"/>
      <c r="I21" s="625"/>
      <c r="J21" s="625"/>
      <c r="K21" s="625"/>
      <c r="L21" s="623"/>
    </row>
    <row r="22" spans="1:12" x14ac:dyDescent="0.25">
      <c r="A22" s="72" t="s">
        <v>328</v>
      </c>
      <c r="B22" s="639">
        <v>0.37793006729923817</v>
      </c>
      <c r="C22" s="221" t="s">
        <v>326</v>
      </c>
      <c r="D22" s="53"/>
      <c r="G22" s="624"/>
      <c r="H22" s="623"/>
      <c r="I22" s="625"/>
      <c r="J22" s="625"/>
      <c r="K22" s="625"/>
      <c r="L22" s="623"/>
    </row>
    <row r="23" spans="1:12" x14ac:dyDescent="0.25">
      <c r="A23" s="72" t="s">
        <v>329</v>
      </c>
      <c r="B23" s="639">
        <v>0.27891657529127117</v>
      </c>
      <c r="C23" s="221" t="s">
        <v>327</v>
      </c>
      <c r="D23" s="53"/>
      <c r="G23" s="624"/>
      <c r="H23" s="623"/>
      <c r="I23" s="625"/>
      <c r="J23" s="625"/>
      <c r="K23" s="625"/>
      <c r="L23" s="623"/>
    </row>
    <row r="24" spans="1:12" x14ac:dyDescent="0.25">
      <c r="A24" s="72" t="s">
        <v>330</v>
      </c>
      <c r="B24" s="639">
        <v>0.42512058682655723</v>
      </c>
      <c r="C24" s="221" t="s">
        <v>324</v>
      </c>
      <c r="D24" s="53"/>
      <c r="G24" s="624"/>
      <c r="H24" s="623"/>
      <c r="I24" s="625"/>
      <c r="J24" s="625"/>
      <c r="K24" s="625"/>
      <c r="L24" s="623"/>
    </row>
    <row r="25" spans="1:12" x14ac:dyDescent="0.25">
      <c r="A25" s="72">
        <v>12</v>
      </c>
      <c r="B25" s="639">
        <v>1</v>
      </c>
      <c r="C25" s="74" t="s">
        <v>14</v>
      </c>
      <c r="D25" s="53"/>
      <c r="G25" s="624"/>
      <c r="H25" s="623"/>
      <c r="I25" s="625"/>
      <c r="J25" s="625"/>
      <c r="K25" s="625"/>
      <c r="L25" s="623"/>
    </row>
    <row r="26" spans="1:12" x14ac:dyDescent="0.25">
      <c r="A26" s="72" t="s">
        <v>331</v>
      </c>
      <c r="B26" s="639">
        <v>1</v>
      </c>
      <c r="C26" s="221" t="s">
        <v>325</v>
      </c>
      <c r="D26" s="53"/>
      <c r="G26" s="624"/>
      <c r="H26" s="623"/>
      <c r="I26" s="625"/>
      <c r="J26" s="625"/>
      <c r="K26" s="625"/>
      <c r="L26" s="623"/>
    </row>
    <row r="27" spans="1:12" x14ac:dyDescent="0.25">
      <c r="A27" s="75">
        <v>17</v>
      </c>
      <c r="B27" s="639">
        <v>0.46281471895830895</v>
      </c>
      <c r="C27" s="74" t="s">
        <v>23</v>
      </c>
      <c r="D27" s="53"/>
      <c r="G27" s="624"/>
      <c r="H27" s="623"/>
      <c r="I27" s="625"/>
      <c r="J27" s="625"/>
      <c r="K27" s="625"/>
      <c r="L27" s="623"/>
    </row>
    <row r="28" spans="1:12" x14ac:dyDescent="0.25">
      <c r="A28" s="75">
        <v>17.100000000000001</v>
      </c>
      <c r="B28" s="639">
        <v>0.44885827339732171</v>
      </c>
      <c r="C28" s="74" t="s">
        <v>49</v>
      </c>
      <c r="D28" s="53"/>
      <c r="G28" s="624"/>
      <c r="H28" s="623"/>
      <c r="I28" s="625"/>
      <c r="J28" s="625"/>
      <c r="K28" s="625"/>
      <c r="L28" s="623"/>
    </row>
    <row r="29" spans="1:12" x14ac:dyDescent="0.25">
      <c r="A29" s="75">
        <v>17.2</v>
      </c>
      <c r="B29" s="639">
        <v>0.52489488713442756</v>
      </c>
      <c r="C29" s="74" t="s">
        <v>48</v>
      </c>
      <c r="D29" s="53"/>
      <c r="G29" s="624"/>
      <c r="H29" s="623"/>
      <c r="I29" s="625"/>
      <c r="J29" s="625"/>
      <c r="K29" s="625"/>
      <c r="L29" s="623"/>
    </row>
    <row r="30" spans="1:12" x14ac:dyDescent="0.25">
      <c r="A30" s="72">
        <v>18</v>
      </c>
      <c r="B30" s="639">
        <v>0.30408454550823855</v>
      </c>
      <c r="C30" s="74" t="s">
        <v>24</v>
      </c>
      <c r="D30" s="53"/>
      <c r="G30" s="624"/>
      <c r="H30" s="623"/>
      <c r="I30" s="625"/>
      <c r="J30" s="625"/>
      <c r="K30" s="625"/>
      <c r="L30" s="623"/>
    </row>
    <row r="31" spans="1:12" x14ac:dyDescent="0.25">
      <c r="A31" s="72">
        <v>18.100000000000001</v>
      </c>
      <c r="B31" s="639">
        <v>0.28303723223900357</v>
      </c>
      <c r="C31" s="74" t="s">
        <v>53</v>
      </c>
      <c r="D31" s="53"/>
      <c r="G31" s="624"/>
      <c r="H31" s="623"/>
      <c r="I31" s="625"/>
      <c r="J31" s="625"/>
      <c r="K31" s="625"/>
      <c r="L31" s="623"/>
    </row>
    <row r="32" spans="1:12" x14ac:dyDescent="0.25">
      <c r="A32" s="72">
        <v>18.2</v>
      </c>
      <c r="B32" s="639">
        <v>0.47263905766817937</v>
      </c>
      <c r="C32" s="74" t="s">
        <v>52</v>
      </c>
      <c r="D32" s="53"/>
      <c r="G32" s="624"/>
      <c r="H32" s="623"/>
      <c r="I32" s="625"/>
      <c r="J32" s="625"/>
      <c r="K32" s="625"/>
      <c r="L32" s="623"/>
    </row>
    <row r="33" spans="1:12" x14ac:dyDescent="0.25">
      <c r="A33" s="72">
        <v>19.2</v>
      </c>
      <c r="B33" s="639">
        <v>0.7746748896822202</v>
      </c>
      <c r="C33" s="74" t="s">
        <v>50</v>
      </c>
      <c r="D33" s="53"/>
      <c r="G33" s="624"/>
      <c r="H33" s="623"/>
      <c r="I33" s="625"/>
      <c r="J33" s="625"/>
      <c r="K33" s="625"/>
      <c r="L33" s="623"/>
    </row>
    <row r="34" spans="1:12" x14ac:dyDescent="0.25">
      <c r="A34" s="72">
        <v>19.399999999999999</v>
      </c>
      <c r="B34" s="639">
        <v>0.59901615822906618</v>
      </c>
      <c r="C34" s="74" t="s">
        <v>39</v>
      </c>
      <c r="D34" s="53"/>
      <c r="G34" s="624"/>
      <c r="H34" s="623"/>
      <c r="I34" s="625"/>
      <c r="J34" s="625"/>
      <c r="K34" s="625"/>
      <c r="L34" s="623"/>
    </row>
    <row r="35" spans="1:12" x14ac:dyDescent="0.25">
      <c r="A35" s="72">
        <v>21.1</v>
      </c>
      <c r="B35" s="639">
        <v>1.2507122087328104</v>
      </c>
      <c r="C35" s="74" t="s">
        <v>51</v>
      </c>
      <c r="D35" s="53"/>
      <c r="G35" s="624"/>
      <c r="H35" s="623"/>
      <c r="I35" s="625"/>
      <c r="J35" s="625"/>
      <c r="K35" s="625"/>
      <c r="L35" s="623"/>
    </row>
    <row r="36" spans="1:12" x14ac:dyDescent="0.25">
      <c r="A36" s="72">
        <v>21.2</v>
      </c>
      <c r="B36" s="639">
        <v>1.0493049283677423</v>
      </c>
      <c r="C36" s="74" t="s">
        <v>40</v>
      </c>
      <c r="D36" s="53"/>
      <c r="G36" s="624"/>
      <c r="H36" s="623"/>
      <c r="I36" s="625"/>
      <c r="J36" s="625"/>
      <c r="K36" s="625"/>
      <c r="L36" s="623"/>
    </row>
    <row r="37" spans="1:12" x14ac:dyDescent="0.25">
      <c r="A37" s="72">
        <v>22</v>
      </c>
      <c r="B37" s="639">
        <v>0.64009706302218006</v>
      </c>
      <c r="C37" s="74" t="s">
        <v>8</v>
      </c>
      <c r="D37" s="53"/>
      <c r="G37" s="624"/>
      <c r="H37" s="623"/>
      <c r="I37" s="625"/>
      <c r="J37" s="625"/>
      <c r="K37" s="625"/>
      <c r="L37" s="623"/>
    </row>
    <row r="38" spans="1:12" x14ac:dyDescent="0.25">
      <c r="A38" s="72">
        <v>23</v>
      </c>
      <c r="B38" s="639">
        <v>0.66582394844950954</v>
      </c>
      <c r="C38" s="74" t="s">
        <v>16</v>
      </c>
      <c r="D38" s="53"/>
      <c r="G38" s="624"/>
      <c r="H38" s="623"/>
      <c r="I38" s="625"/>
      <c r="J38" s="625"/>
      <c r="K38" s="625"/>
      <c r="L38" s="623"/>
    </row>
    <row r="39" spans="1:12" x14ac:dyDescent="0.25">
      <c r="A39" s="72">
        <v>24</v>
      </c>
      <c r="B39" s="639">
        <v>0.76745623128212148</v>
      </c>
      <c r="C39" s="74" t="s">
        <v>25</v>
      </c>
      <c r="D39" s="53"/>
      <c r="G39" s="624"/>
      <c r="H39" s="623"/>
      <c r="I39" s="625"/>
      <c r="J39" s="625"/>
      <c r="K39" s="625"/>
      <c r="L39" s="623"/>
    </row>
    <row r="40" spans="1:12" x14ac:dyDescent="0.25">
      <c r="A40" s="76">
        <v>26</v>
      </c>
      <c r="B40" s="639">
        <v>0.75476105053395415</v>
      </c>
      <c r="C40" s="74" t="s">
        <v>13</v>
      </c>
      <c r="D40" s="53"/>
      <c r="G40" s="624"/>
      <c r="H40" s="623"/>
      <c r="I40" s="625"/>
      <c r="J40" s="625"/>
      <c r="K40" s="625"/>
      <c r="L40" s="623"/>
    </row>
    <row r="41" spans="1:12" x14ac:dyDescent="0.25">
      <c r="A41" s="76">
        <v>27</v>
      </c>
      <c r="B41" s="639">
        <v>0.93538598940936746</v>
      </c>
      <c r="C41" s="74" t="s">
        <v>12</v>
      </c>
      <c r="D41" s="53"/>
      <c r="G41" s="624"/>
      <c r="H41" s="623"/>
      <c r="I41" s="625"/>
      <c r="J41" s="625"/>
      <c r="K41" s="625"/>
      <c r="L41" s="623"/>
    </row>
    <row r="42" spans="1:12" x14ac:dyDescent="0.25">
      <c r="A42" s="68"/>
      <c r="B42" s="68"/>
      <c r="C42" s="68"/>
      <c r="D42" s="53"/>
    </row>
    <row r="43" spans="1:12" x14ac:dyDescent="0.25">
      <c r="A43" s="68"/>
      <c r="B43" s="68"/>
      <c r="C43" s="68"/>
      <c r="D43" s="53"/>
    </row>
    <row r="44" spans="1:12" x14ac:dyDescent="0.25">
      <c r="A44" s="68"/>
      <c r="B44" s="68"/>
      <c r="C44" s="68"/>
      <c r="D44" s="53"/>
    </row>
    <row r="45" spans="1:12" x14ac:dyDescent="0.25">
      <c r="A45" s="68"/>
      <c r="B45" s="68"/>
      <c r="C45" s="68"/>
      <c r="D45" s="53"/>
    </row>
    <row r="46" spans="1:12" x14ac:dyDescent="0.25">
      <c r="A46" s="68"/>
      <c r="B46" s="68"/>
      <c r="C46" s="68"/>
      <c r="D46" s="53"/>
    </row>
    <row r="47" spans="1:12" x14ac:dyDescent="0.25">
      <c r="D47" s="53"/>
    </row>
    <row r="48" spans="1:12" x14ac:dyDescent="0.25">
      <c r="D48" s="53"/>
    </row>
    <row r="49" spans="4:4" x14ac:dyDescent="0.25">
      <c r="D49" s="53"/>
    </row>
    <row r="50" spans="4:4" x14ac:dyDescent="0.25">
      <c r="D50" s="53"/>
    </row>
    <row r="51" spans="4:4" x14ac:dyDescent="0.25">
      <c r="D51" s="53"/>
    </row>
    <row r="52" spans="4:4" x14ac:dyDescent="0.25">
      <c r="D52" s="53"/>
    </row>
    <row r="53" spans="4:4" x14ac:dyDescent="0.25">
      <c r="D53" s="53"/>
    </row>
    <row r="54" spans="4:4" x14ac:dyDescent="0.25">
      <c r="D54" s="53"/>
    </row>
    <row r="55" spans="4:4" x14ac:dyDescent="0.25">
      <c r="D55" s="53"/>
    </row>
  </sheetData>
  <sheetProtection algorithmName="SHA-512" hashValue="pVDazOEZKfvbdQcMBkp3fffYjPsdQA8PorxuwHKRiGXoBJTjK03HTvYEGTKxiCu46CsS3iJqNQVy99VIMhLKUA==" saltValue="iFtL0TUkKXt1ArSc4oZYMg=="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style="268" customWidth="1"/>
    <col min="2" max="3" width="15.7109375" style="268" customWidth="1"/>
    <col min="4" max="4" width="54.7109375" style="268" bestFit="1" customWidth="1"/>
    <col min="5" max="10" width="9.140625" style="268"/>
    <col min="11" max="14" width="9.42578125" style="268" bestFit="1" customWidth="1"/>
    <col min="15" max="16384" width="9.140625" style="268"/>
  </cols>
  <sheetData>
    <row r="1" spans="1:11" ht="18.75" x14ac:dyDescent="0.3">
      <c r="A1" s="78" t="s">
        <v>136</v>
      </c>
      <c r="B1" s="51"/>
      <c r="C1" s="52"/>
      <c r="H1" s="51"/>
    </row>
    <row r="2" spans="1:11" x14ac:dyDescent="0.25">
      <c r="A2" s="50" t="s">
        <v>120</v>
      </c>
      <c r="B2" s="536" t="s">
        <v>320</v>
      </c>
      <c r="C2" s="52"/>
      <c r="H2" s="52"/>
    </row>
    <row r="3" spans="1:11" x14ac:dyDescent="0.25">
      <c r="A3" s="50" t="s">
        <v>137</v>
      </c>
      <c r="B3" s="537" t="s">
        <v>749</v>
      </c>
      <c r="C3" s="64"/>
      <c r="H3" s="52"/>
    </row>
    <row r="4" spans="1:11" x14ac:dyDescent="0.25">
      <c r="A4" s="213" t="s">
        <v>127</v>
      </c>
      <c r="B4" s="64">
        <v>2021</v>
      </c>
      <c r="C4" s="64"/>
      <c r="H4" s="52"/>
    </row>
    <row r="5" spans="1:11" x14ac:dyDescent="0.25">
      <c r="A5" s="66" t="s">
        <v>122</v>
      </c>
      <c r="B5" s="532" t="s">
        <v>294</v>
      </c>
      <c r="C5" s="52"/>
      <c r="H5" s="52"/>
    </row>
    <row r="6" spans="1:11" x14ac:dyDescent="0.25">
      <c r="A6" s="50" t="s">
        <v>128</v>
      </c>
      <c r="B6" s="535">
        <v>44854</v>
      </c>
      <c r="C6" s="52"/>
      <c r="H6" s="52"/>
    </row>
    <row r="7" spans="1:11" x14ac:dyDescent="0.25">
      <c r="A7" s="50"/>
      <c r="B7" s="65"/>
      <c r="C7" s="52"/>
      <c r="H7" s="52"/>
    </row>
    <row r="8" spans="1:11" x14ac:dyDescent="0.25">
      <c r="A8" s="50"/>
      <c r="B8" s="56"/>
      <c r="C8" s="52"/>
      <c r="H8" s="52"/>
    </row>
    <row r="9" spans="1:11" x14ac:dyDescent="0.25">
      <c r="A9" s="269"/>
      <c r="B9" s="269">
        <v>1</v>
      </c>
      <c r="C9" s="269">
        <v>2</v>
      </c>
      <c r="D9" s="269">
        <v>3</v>
      </c>
      <c r="E9" s="52"/>
      <c r="H9" s="51"/>
    </row>
    <row r="10" spans="1:11" ht="45" x14ac:dyDescent="0.25">
      <c r="A10" s="276" t="s">
        <v>59</v>
      </c>
      <c r="B10" s="739" t="s">
        <v>138</v>
      </c>
      <c r="C10" s="739" t="s">
        <v>139</v>
      </c>
      <c r="D10" s="277" t="s">
        <v>119</v>
      </c>
      <c r="E10" s="54"/>
      <c r="H10" s="53"/>
    </row>
    <row r="11" spans="1:11" x14ac:dyDescent="0.25">
      <c r="A11" s="270">
        <v>1</v>
      </c>
      <c r="B11" s="738">
        <v>0.51516606024523603</v>
      </c>
      <c r="C11" s="740">
        <v>1.7040300096297394</v>
      </c>
      <c r="D11" s="271" t="s">
        <v>17</v>
      </c>
      <c r="E11" s="54"/>
      <c r="I11" s="51"/>
      <c r="J11" s="51"/>
      <c r="K11" s="51"/>
    </row>
    <row r="12" spans="1:11" x14ac:dyDescent="0.25">
      <c r="A12" s="270">
        <v>2.1</v>
      </c>
      <c r="B12" s="738">
        <v>0.49642851354661766</v>
      </c>
      <c r="C12" s="740">
        <v>1.2313835016781414</v>
      </c>
      <c r="D12" s="271" t="s">
        <v>9</v>
      </c>
      <c r="E12" s="54"/>
      <c r="I12" s="51"/>
      <c r="J12" s="51"/>
      <c r="K12" s="51"/>
    </row>
    <row r="13" spans="1:11" x14ac:dyDescent="0.25">
      <c r="A13" s="270">
        <v>3</v>
      </c>
      <c r="B13" s="738">
        <v>0.47510354758054174</v>
      </c>
      <c r="C13" s="740">
        <v>2.8248039649956782</v>
      </c>
      <c r="D13" s="271" t="s">
        <v>44</v>
      </c>
      <c r="E13" s="54"/>
      <c r="I13" s="51"/>
      <c r="J13" s="51"/>
      <c r="K13" s="51"/>
    </row>
    <row r="14" spans="1:11" x14ac:dyDescent="0.25">
      <c r="A14" s="270">
        <v>4</v>
      </c>
      <c r="B14" s="738">
        <v>0.52182970801271056</v>
      </c>
      <c r="C14" s="740">
        <v>1.3010095886105004</v>
      </c>
      <c r="D14" s="271" t="s">
        <v>45</v>
      </c>
      <c r="E14" s="54"/>
      <c r="I14" s="51"/>
      <c r="J14" s="51"/>
      <c r="K14" s="51"/>
    </row>
    <row r="15" spans="1:11" x14ac:dyDescent="0.25">
      <c r="A15" s="270">
        <v>5</v>
      </c>
      <c r="B15" s="738">
        <v>0.48392631846747231</v>
      </c>
      <c r="C15" s="740">
        <v>2.0377358580832317</v>
      </c>
      <c r="D15" s="271" t="s">
        <v>124</v>
      </c>
      <c r="E15" s="54"/>
      <c r="I15" s="51"/>
      <c r="J15" s="51"/>
      <c r="K15" s="51"/>
    </row>
    <row r="16" spans="1:11" x14ac:dyDescent="0.25">
      <c r="A16" s="270">
        <v>5.0999999999999996</v>
      </c>
      <c r="B16" s="738">
        <v>0.48502164469252623</v>
      </c>
      <c r="C16" s="740">
        <v>1.0191601205006116</v>
      </c>
      <c r="D16" s="271" t="s">
        <v>43</v>
      </c>
      <c r="E16" s="54"/>
      <c r="I16" s="51"/>
      <c r="J16" s="51"/>
      <c r="K16" s="51"/>
    </row>
    <row r="17" spans="1:11" x14ac:dyDescent="0.25">
      <c r="A17" s="270">
        <v>5.2</v>
      </c>
      <c r="B17" s="738">
        <v>0.48202380222454394</v>
      </c>
      <c r="C17" s="740">
        <v>3.3123146730476747</v>
      </c>
      <c r="D17" s="271" t="s">
        <v>42</v>
      </c>
      <c r="E17" s="54"/>
      <c r="I17" s="51"/>
      <c r="J17" s="51"/>
      <c r="K17" s="51"/>
    </row>
    <row r="18" spans="1:11" x14ac:dyDescent="0.25">
      <c r="A18" s="270">
        <v>9</v>
      </c>
      <c r="B18" s="738">
        <v>0.27369996801304597</v>
      </c>
      <c r="C18" s="740">
        <v>0.60770239313748553</v>
      </c>
      <c r="D18" s="271" t="s">
        <v>20</v>
      </c>
      <c r="E18" s="54"/>
      <c r="I18" s="51"/>
      <c r="J18" s="51"/>
      <c r="K18" s="51"/>
    </row>
    <row r="19" spans="1:11" x14ac:dyDescent="0.25">
      <c r="A19" s="270">
        <v>11</v>
      </c>
      <c r="B19" s="738">
        <v>0.51579067986210736</v>
      </c>
      <c r="C19" s="740">
        <v>3.7595937759163247</v>
      </c>
      <c r="D19" s="272" t="s">
        <v>21</v>
      </c>
      <c r="E19" s="54"/>
      <c r="I19" s="51"/>
      <c r="J19" s="51"/>
      <c r="K19" s="51"/>
    </row>
    <row r="20" spans="1:11" x14ac:dyDescent="0.25">
      <c r="A20" s="270">
        <v>11.1</v>
      </c>
      <c r="B20" s="738">
        <v>0.65070208019710307</v>
      </c>
      <c r="C20" s="740">
        <v>5.681739994784329</v>
      </c>
      <c r="D20" s="272" t="s">
        <v>47</v>
      </c>
      <c r="E20" s="54"/>
      <c r="I20" s="51"/>
      <c r="J20" s="51"/>
      <c r="K20" s="51"/>
    </row>
    <row r="21" spans="1:11" x14ac:dyDescent="0.25">
      <c r="A21" s="270">
        <v>11.2</v>
      </c>
      <c r="B21" s="738">
        <v>0.47360440103971485</v>
      </c>
      <c r="C21" s="740">
        <v>3.1834079401988218</v>
      </c>
      <c r="D21" s="272" t="s">
        <v>46</v>
      </c>
      <c r="E21" s="54"/>
      <c r="I21" s="51"/>
      <c r="J21" s="51"/>
      <c r="K21" s="51"/>
    </row>
    <row r="22" spans="1:11" x14ac:dyDescent="0.25">
      <c r="A22" s="270" t="s">
        <v>328</v>
      </c>
      <c r="B22" s="738">
        <v>0.51579067986210736</v>
      </c>
      <c r="C22" s="740">
        <v>3.7595937759163247</v>
      </c>
      <c r="D22" s="273" t="s">
        <v>326</v>
      </c>
      <c r="E22" s="54"/>
      <c r="I22" s="51"/>
      <c r="J22" s="51"/>
      <c r="K22" s="51"/>
    </row>
    <row r="23" spans="1:11" x14ac:dyDescent="0.25">
      <c r="A23" s="270" t="s">
        <v>329</v>
      </c>
      <c r="B23" s="738">
        <v>0.65070208019710307</v>
      </c>
      <c r="C23" s="740">
        <v>5.681739994784329</v>
      </c>
      <c r="D23" s="273" t="s">
        <v>327</v>
      </c>
      <c r="E23" s="54"/>
      <c r="I23" s="51"/>
      <c r="J23" s="51"/>
      <c r="K23" s="51"/>
    </row>
    <row r="24" spans="1:11" x14ac:dyDescent="0.25">
      <c r="A24" s="270" t="s">
        <v>330</v>
      </c>
      <c r="B24" s="738">
        <v>0.47360440103971485</v>
      </c>
      <c r="C24" s="740">
        <v>3.1834079401988218</v>
      </c>
      <c r="D24" s="273" t="s">
        <v>324</v>
      </c>
      <c r="E24" s="54"/>
      <c r="I24" s="51"/>
      <c r="J24" s="51"/>
      <c r="K24" s="51"/>
    </row>
    <row r="25" spans="1:11" x14ac:dyDescent="0.25">
      <c r="A25" s="270">
        <v>12</v>
      </c>
      <c r="B25" s="738">
        <v>0.48451621817511087</v>
      </c>
      <c r="C25" s="740">
        <v>1</v>
      </c>
      <c r="D25" s="272" t="s">
        <v>14</v>
      </c>
      <c r="E25" s="54"/>
      <c r="I25" s="51"/>
      <c r="J25" s="51"/>
      <c r="K25" s="51"/>
    </row>
    <row r="26" spans="1:11" x14ac:dyDescent="0.25">
      <c r="A26" s="270" t="s">
        <v>331</v>
      </c>
      <c r="B26" s="738">
        <v>0.48451621817511087</v>
      </c>
      <c r="C26" s="740">
        <v>1</v>
      </c>
      <c r="D26" s="273" t="s">
        <v>325</v>
      </c>
      <c r="E26" s="54"/>
      <c r="I26" s="51"/>
      <c r="J26" s="51"/>
      <c r="K26" s="51"/>
    </row>
    <row r="27" spans="1:11" x14ac:dyDescent="0.25">
      <c r="A27" s="274">
        <v>17</v>
      </c>
      <c r="B27" s="738">
        <v>0.58528819990434822</v>
      </c>
      <c r="C27" s="740">
        <v>2.9111888031361275</v>
      </c>
      <c r="D27" s="272" t="s">
        <v>23</v>
      </c>
      <c r="E27" s="54"/>
      <c r="I27" s="51"/>
      <c r="J27" s="51"/>
      <c r="K27" s="51"/>
    </row>
    <row r="28" spans="1:11" x14ac:dyDescent="0.25">
      <c r="A28" s="274">
        <v>17.100000000000001</v>
      </c>
      <c r="B28" s="738">
        <v>0.55295503184862405</v>
      </c>
      <c r="C28" s="740">
        <v>3.3465701709731945</v>
      </c>
      <c r="D28" s="272" t="s">
        <v>49</v>
      </c>
      <c r="E28" s="54"/>
      <c r="I28" s="51"/>
      <c r="J28" s="51"/>
      <c r="K28" s="51"/>
    </row>
    <row r="29" spans="1:11" x14ac:dyDescent="0.25">
      <c r="A29" s="274">
        <v>17.2</v>
      </c>
      <c r="B29" s="738">
        <v>0.61792808944924293</v>
      </c>
      <c r="C29" s="740">
        <v>2.3649617288307461</v>
      </c>
      <c r="D29" s="272" t="s">
        <v>48</v>
      </c>
      <c r="E29" s="54"/>
      <c r="I29" s="51"/>
      <c r="J29" s="51"/>
      <c r="K29" s="51"/>
    </row>
    <row r="30" spans="1:11" x14ac:dyDescent="0.25">
      <c r="A30" s="270">
        <v>18</v>
      </c>
      <c r="B30" s="738">
        <v>0.51413510474410018</v>
      </c>
      <c r="C30" s="740">
        <v>4.8877985793418555</v>
      </c>
      <c r="D30" s="272" t="s">
        <v>24</v>
      </c>
      <c r="E30" s="54"/>
      <c r="I30" s="51"/>
      <c r="J30" s="51"/>
      <c r="K30" s="51"/>
    </row>
    <row r="31" spans="1:11" x14ac:dyDescent="0.25">
      <c r="A31" s="270">
        <v>18.100000000000001</v>
      </c>
      <c r="B31" s="738">
        <v>0.51359746993608479</v>
      </c>
      <c r="C31" s="740">
        <v>4.9315489105475434</v>
      </c>
      <c r="D31" s="272" t="s">
        <v>53</v>
      </c>
      <c r="E31" s="54"/>
      <c r="I31" s="51"/>
      <c r="J31" s="51"/>
      <c r="K31" s="51"/>
    </row>
    <row r="32" spans="1:11" x14ac:dyDescent="0.25">
      <c r="A32" s="270">
        <v>18.2</v>
      </c>
      <c r="B32" s="738">
        <v>0.51671347366223186</v>
      </c>
      <c r="C32" s="740">
        <v>4.5326794212049251</v>
      </c>
      <c r="D32" s="272" t="s">
        <v>52</v>
      </c>
      <c r="E32" s="54"/>
      <c r="I32" s="51"/>
      <c r="J32" s="51"/>
      <c r="K32" s="51"/>
    </row>
    <row r="33" spans="1:14" x14ac:dyDescent="0.25">
      <c r="A33" s="270">
        <v>19.2</v>
      </c>
      <c r="B33" s="738">
        <v>0.32027023269708416</v>
      </c>
      <c r="C33" s="740">
        <v>1.3266740292453059</v>
      </c>
      <c r="D33" s="272" t="s">
        <v>50</v>
      </c>
      <c r="E33" s="54"/>
      <c r="I33" s="51"/>
      <c r="J33" s="51"/>
      <c r="K33" s="51"/>
    </row>
    <row r="34" spans="1:14" x14ac:dyDescent="0.25">
      <c r="A34" s="270">
        <v>19.399999999999999</v>
      </c>
      <c r="B34" s="738">
        <v>0.41925110530461207</v>
      </c>
      <c r="C34" s="740">
        <v>1.9240568199838088</v>
      </c>
      <c r="D34" s="272" t="s">
        <v>39</v>
      </c>
      <c r="E34" s="54"/>
      <c r="I34" s="51"/>
      <c r="J34" s="51"/>
      <c r="K34" s="51"/>
    </row>
    <row r="35" spans="1:14" x14ac:dyDescent="0.25">
      <c r="A35" s="270">
        <v>21.1</v>
      </c>
      <c r="B35" s="738">
        <v>0.32682025394820319</v>
      </c>
      <c r="C35" s="740">
        <v>9.1896214076458593E-2</v>
      </c>
      <c r="D35" s="272" t="s">
        <v>51</v>
      </c>
      <c r="E35" s="54"/>
      <c r="I35" s="51"/>
      <c r="J35" s="51"/>
      <c r="K35" s="51"/>
    </row>
    <row r="36" spans="1:14" x14ac:dyDescent="0.25">
      <c r="A36" s="270">
        <v>21.2</v>
      </c>
      <c r="B36" s="738">
        <v>0.43261817958907034</v>
      </c>
      <c r="C36" s="740">
        <v>0.37318993704908698</v>
      </c>
      <c r="D36" s="272" t="s">
        <v>40</v>
      </c>
      <c r="E36" s="54"/>
      <c r="I36" s="51"/>
      <c r="J36" s="51"/>
      <c r="K36" s="51"/>
    </row>
    <row r="37" spans="1:14" x14ac:dyDescent="0.25">
      <c r="A37" s="270">
        <v>22</v>
      </c>
      <c r="B37" s="738">
        <v>0.37709210011505745</v>
      </c>
      <c r="C37" s="740">
        <v>1.6026870856101356</v>
      </c>
      <c r="D37" s="272" t="s">
        <v>8</v>
      </c>
      <c r="E37" s="54"/>
      <c r="I37" s="51"/>
      <c r="J37" s="51"/>
      <c r="K37" s="51"/>
    </row>
    <row r="38" spans="1:14" x14ac:dyDescent="0.25">
      <c r="A38" s="270">
        <v>23</v>
      </c>
      <c r="B38" s="738">
        <v>0.58938023445056631</v>
      </c>
      <c r="C38" s="740">
        <v>2.5123822430454048</v>
      </c>
      <c r="D38" s="272" t="s">
        <v>16</v>
      </c>
      <c r="E38" s="54"/>
      <c r="I38" s="51"/>
      <c r="J38" s="51"/>
      <c r="K38" s="51"/>
    </row>
    <row r="39" spans="1:14" x14ac:dyDescent="0.25">
      <c r="A39" s="270">
        <v>24</v>
      </c>
      <c r="B39" s="738">
        <v>0.60731910332732419</v>
      </c>
      <c r="C39" s="740">
        <v>5.2003348914235596</v>
      </c>
      <c r="D39" s="272" t="s">
        <v>25</v>
      </c>
      <c r="E39" s="54"/>
      <c r="I39" s="51"/>
      <c r="J39" s="51"/>
      <c r="K39" s="51"/>
    </row>
    <row r="40" spans="1:14" x14ac:dyDescent="0.25">
      <c r="A40" s="275">
        <v>26</v>
      </c>
      <c r="B40" s="738">
        <v>0.57014870884824997</v>
      </c>
      <c r="C40" s="740">
        <v>1.0071134162229891</v>
      </c>
      <c r="D40" s="272" t="s">
        <v>13</v>
      </c>
      <c r="E40" s="54"/>
      <c r="I40" s="51"/>
      <c r="J40" s="51"/>
      <c r="K40" s="51"/>
    </row>
    <row r="41" spans="1:14" x14ac:dyDescent="0.25">
      <c r="A41" s="275">
        <v>27</v>
      </c>
      <c r="B41" s="738">
        <v>0.55307831943034702</v>
      </c>
      <c r="C41" s="740">
        <v>2.7802793379072308</v>
      </c>
      <c r="D41" s="272" t="s">
        <v>12</v>
      </c>
      <c r="E41" s="54"/>
      <c r="I41" s="51"/>
      <c r="J41" s="51"/>
      <c r="K41" s="51"/>
    </row>
    <row r="42" spans="1:14" x14ac:dyDescent="0.25">
      <c r="H42" s="51"/>
    </row>
    <row r="45" spans="1:14" x14ac:dyDescent="0.25">
      <c r="I45" s="51"/>
      <c r="J45" s="51"/>
      <c r="K45" s="51"/>
      <c r="L45" s="54"/>
      <c r="M45" s="54"/>
      <c r="N45" s="54"/>
    </row>
    <row r="46" spans="1:14" x14ac:dyDescent="0.25">
      <c r="E46" s="54"/>
      <c r="I46" s="55"/>
      <c r="J46" s="55"/>
      <c r="K46" s="52"/>
      <c r="L46" s="52"/>
      <c r="M46" s="52"/>
      <c r="N46" s="52"/>
    </row>
    <row r="47" spans="1:14" x14ac:dyDescent="0.25">
      <c r="E47" s="54"/>
    </row>
    <row r="48" spans="1:14" x14ac:dyDescent="0.25">
      <c r="E48" s="54"/>
    </row>
    <row r="49" spans="5:6" x14ac:dyDescent="0.25">
      <c r="E49" s="54"/>
    </row>
    <row r="50" spans="5:6" x14ac:dyDescent="0.25">
      <c r="E50" s="54"/>
    </row>
    <row r="51" spans="5:6" x14ac:dyDescent="0.25">
      <c r="E51" s="54"/>
    </row>
    <row r="52" spans="5:6" x14ac:dyDescent="0.25">
      <c r="E52" s="54"/>
    </row>
    <row r="53" spans="5:6" x14ac:dyDescent="0.25">
      <c r="E53" s="54"/>
      <c r="F53" s="54"/>
    </row>
    <row r="54" spans="5:6" x14ac:dyDescent="0.25">
      <c r="E54" s="54"/>
      <c r="F54" s="54"/>
    </row>
    <row r="55" spans="5:6" x14ac:dyDescent="0.25">
      <c r="E55" s="54"/>
      <c r="F55" s="54"/>
    </row>
  </sheetData>
  <sheetProtection algorithmName="SHA-512" hashValue="mK9ks3qE6Bza5M/2v2mXPsEjZK1vwpvuBcNlPBjJFDyK10G0kK7NbU31+nW54Ym4jWLMF5dfkOuoaZjnPXf6ag==" saltValue="2FHcN59LUtz9ttH/CdtXaQ=="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79" t="s">
        <v>143</v>
      </c>
      <c r="B1" s="67"/>
      <c r="C1" s="77"/>
      <c r="D1" s="68"/>
    </row>
    <row r="2" spans="1:4" x14ac:dyDescent="0.25">
      <c r="A2" s="66" t="s">
        <v>120</v>
      </c>
      <c r="B2" s="536" t="s">
        <v>320</v>
      </c>
      <c r="C2" s="77"/>
      <c r="D2" s="68"/>
    </row>
    <row r="3" spans="1:4" x14ac:dyDescent="0.25">
      <c r="A3" s="66"/>
      <c r="B3" s="532" t="s">
        <v>280</v>
      </c>
      <c r="C3" s="77"/>
      <c r="D3" s="68"/>
    </row>
    <row r="4" spans="1:4" x14ac:dyDescent="0.25">
      <c r="A4" s="50" t="s">
        <v>135</v>
      </c>
      <c r="B4" s="533">
        <v>2022</v>
      </c>
      <c r="C4" s="77"/>
      <c r="D4" s="68"/>
    </row>
    <row r="5" spans="1:4" x14ac:dyDescent="0.25">
      <c r="A5" s="213" t="s">
        <v>127</v>
      </c>
      <c r="B5" s="64">
        <v>2021</v>
      </c>
      <c r="C5" s="77"/>
      <c r="D5" s="68"/>
    </row>
    <row r="6" spans="1:4" x14ac:dyDescent="0.25">
      <c r="A6" s="66" t="s">
        <v>122</v>
      </c>
      <c r="B6" s="532" t="s">
        <v>293</v>
      </c>
      <c r="C6" s="77"/>
      <c r="D6" s="68"/>
    </row>
    <row r="7" spans="1:4" x14ac:dyDescent="0.25">
      <c r="A7" s="66" t="s">
        <v>128</v>
      </c>
      <c r="B7" s="538">
        <v>44854</v>
      </c>
      <c r="C7" s="77"/>
      <c r="D7" s="68"/>
    </row>
    <row r="8" spans="1:4" x14ac:dyDescent="0.25">
      <c r="A8" s="66"/>
      <c r="B8" s="70"/>
      <c r="C8" s="77"/>
      <c r="D8" s="68"/>
    </row>
    <row r="9" spans="1:4" x14ac:dyDescent="0.25">
      <c r="A9" s="63"/>
      <c r="B9" s="63">
        <v>1</v>
      </c>
      <c r="C9" s="63">
        <v>2</v>
      </c>
      <c r="D9" s="63">
        <v>3</v>
      </c>
    </row>
    <row r="10" spans="1:4" ht="30" x14ac:dyDescent="0.25">
      <c r="A10" s="63" t="s">
        <v>59</v>
      </c>
      <c r="B10" s="80" t="s">
        <v>153</v>
      </c>
      <c r="C10" s="80" t="s">
        <v>154</v>
      </c>
      <c r="D10" s="80" t="s">
        <v>119</v>
      </c>
    </row>
    <row r="11" spans="1:4" x14ac:dyDescent="0.25">
      <c r="A11" s="57">
        <v>1</v>
      </c>
      <c r="B11" s="741">
        <v>11826158</v>
      </c>
      <c r="C11" s="741">
        <v>417095</v>
      </c>
      <c r="D11" s="58" t="s">
        <v>17</v>
      </c>
    </row>
    <row r="12" spans="1:4" x14ac:dyDescent="0.25">
      <c r="A12" s="57">
        <v>2.1</v>
      </c>
      <c r="B12" s="741">
        <v>13538386</v>
      </c>
      <c r="C12" s="741">
        <v>532833</v>
      </c>
      <c r="D12" s="58" t="s">
        <v>9</v>
      </c>
    </row>
    <row r="13" spans="1:4" x14ac:dyDescent="0.25">
      <c r="A13" s="57">
        <v>3</v>
      </c>
      <c r="B13" s="741">
        <v>3139891</v>
      </c>
      <c r="C13" s="741">
        <v>60771</v>
      </c>
      <c r="D13" s="58" t="s">
        <v>44</v>
      </c>
    </row>
    <row r="14" spans="1:4" x14ac:dyDescent="0.25">
      <c r="A14" s="57">
        <v>4</v>
      </c>
      <c r="B14" s="741">
        <v>78442342</v>
      </c>
      <c r="C14" s="741">
        <v>2519939</v>
      </c>
      <c r="D14" s="58" t="s">
        <v>45</v>
      </c>
    </row>
    <row r="15" spans="1:4" x14ac:dyDescent="0.25">
      <c r="A15" s="57">
        <v>5</v>
      </c>
      <c r="B15" s="640">
        <v>28993699</v>
      </c>
      <c r="C15" s="640">
        <v>3299910</v>
      </c>
      <c r="D15" s="58" t="s">
        <v>124</v>
      </c>
    </row>
    <row r="16" spans="1:4" x14ac:dyDescent="0.25">
      <c r="A16" s="57">
        <v>5.0999999999999996</v>
      </c>
      <c r="B16" s="741">
        <v>20744380</v>
      </c>
      <c r="C16" s="741">
        <v>720768</v>
      </c>
      <c r="D16" s="58" t="s">
        <v>43</v>
      </c>
    </row>
    <row r="17" spans="1:4" x14ac:dyDescent="0.25">
      <c r="A17" s="57">
        <v>5.2</v>
      </c>
      <c r="B17" s="741">
        <v>8249319</v>
      </c>
      <c r="C17" s="741">
        <v>2579142</v>
      </c>
      <c r="D17" s="58" t="s">
        <v>42</v>
      </c>
    </row>
    <row r="18" spans="1:4" x14ac:dyDescent="0.25">
      <c r="A18" s="57">
        <v>9</v>
      </c>
      <c r="B18" s="741">
        <v>13976435</v>
      </c>
      <c r="C18" s="741">
        <v>437124</v>
      </c>
      <c r="D18" s="58" t="s">
        <v>20</v>
      </c>
    </row>
    <row r="19" spans="1:4" x14ac:dyDescent="0.25">
      <c r="A19" s="57">
        <v>11</v>
      </c>
      <c r="B19" s="741">
        <v>5895978</v>
      </c>
      <c r="C19" s="741">
        <v>2315900</v>
      </c>
      <c r="D19" s="59" t="s">
        <v>21</v>
      </c>
    </row>
    <row r="20" spans="1:4" ht="17.25" x14ac:dyDescent="0.25">
      <c r="A20" s="57">
        <v>11.1</v>
      </c>
      <c r="B20" s="640">
        <v>5895978</v>
      </c>
      <c r="C20" s="640">
        <v>2315900</v>
      </c>
      <c r="D20" s="59" t="s">
        <v>145</v>
      </c>
    </row>
    <row r="21" spans="1:4" ht="17.25" x14ac:dyDescent="0.25">
      <c r="A21" s="57">
        <v>11.2</v>
      </c>
      <c r="B21" s="640">
        <v>5895978</v>
      </c>
      <c r="C21" s="640">
        <v>2315900</v>
      </c>
      <c r="D21" s="59" t="s">
        <v>146</v>
      </c>
    </row>
    <row r="22" spans="1:4" x14ac:dyDescent="0.25">
      <c r="A22" s="57" t="s">
        <v>328</v>
      </c>
      <c r="B22" s="640">
        <v>5895978</v>
      </c>
      <c r="C22" s="640">
        <v>2315900</v>
      </c>
      <c r="D22" s="221" t="s">
        <v>326</v>
      </c>
    </row>
    <row r="23" spans="1:4" ht="17.25" x14ac:dyDescent="0.25">
      <c r="A23" s="57" t="s">
        <v>329</v>
      </c>
      <c r="B23" s="640">
        <v>5895978</v>
      </c>
      <c r="C23" s="640">
        <v>2315900</v>
      </c>
      <c r="D23" s="221" t="s">
        <v>332</v>
      </c>
    </row>
    <row r="24" spans="1:4" ht="17.25" x14ac:dyDescent="0.25">
      <c r="A24" s="57" t="s">
        <v>330</v>
      </c>
      <c r="B24" s="640">
        <v>5895978</v>
      </c>
      <c r="C24" s="640">
        <v>2315900</v>
      </c>
      <c r="D24" s="221" t="s">
        <v>333</v>
      </c>
    </row>
    <row r="25" spans="1:4" x14ac:dyDescent="0.25">
      <c r="A25" s="57">
        <v>12</v>
      </c>
      <c r="B25" s="741">
        <v>104603</v>
      </c>
      <c r="C25" s="741">
        <v>10742</v>
      </c>
      <c r="D25" s="59" t="s">
        <v>14</v>
      </c>
    </row>
    <row r="26" spans="1:4" x14ac:dyDescent="0.25">
      <c r="A26" s="57" t="s">
        <v>331</v>
      </c>
      <c r="B26" s="640">
        <v>104603</v>
      </c>
      <c r="C26" s="640">
        <v>10742</v>
      </c>
      <c r="D26" s="221" t="s">
        <v>325</v>
      </c>
    </row>
    <row r="27" spans="1:4" x14ac:dyDescent="0.25">
      <c r="A27" s="60">
        <v>17</v>
      </c>
      <c r="B27" s="640">
        <v>56824021</v>
      </c>
      <c r="C27" s="640">
        <v>8982312</v>
      </c>
      <c r="D27" s="59" t="s">
        <v>23</v>
      </c>
    </row>
    <row r="28" spans="1:4" ht="17.25" x14ac:dyDescent="0.25">
      <c r="A28" s="60">
        <v>17.100000000000001</v>
      </c>
      <c r="B28" s="741">
        <v>36765600</v>
      </c>
      <c r="C28" s="741">
        <v>4961372</v>
      </c>
      <c r="D28" s="59" t="s">
        <v>147</v>
      </c>
    </row>
    <row r="29" spans="1:4" ht="17.25" x14ac:dyDescent="0.25">
      <c r="A29" s="60">
        <v>17.2</v>
      </c>
      <c r="B29" s="741">
        <v>20058421</v>
      </c>
      <c r="C29" s="741">
        <v>4020940</v>
      </c>
      <c r="D29" s="59" t="s">
        <v>148</v>
      </c>
    </row>
    <row r="30" spans="1:4" x14ac:dyDescent="0.25">
      <c r="A30" s="57">
        <v>18</v>
      </c>
      <c r="B30" s="741">
        <v>2276950</v>
      </c>
      <c r="C30" s="741">
        <v>1064052</v>
      </c>
      <c r="D30" s="59" t="s">
        <v>24</v>
      </c>
    </row>
    <row r="31" spans="1:4" ht="17.25" x14ac:dyDescent="0.25">
      <c r="A31" s="57">
        <v>18.100000000000001</v>
      </c>
      <c r="B31" s="640">
        <v>2276950</v>
      </c>
      <c r="C31" s="640">
        <v>1064052</v>
      </c>
      <c r="D31" s="59" t="s">
        <v>149</v>
      </c>
    </row>
    <row r="32" spans="1:4" ht="17.25" x14ac:dyDescent="0.25">
      <c r="A32" s="57">
        <v>18.2</v>
      </c>
      <c r="B32" s="640">
        <v>2276950</v>
      </c>
      <c r="C32" s="640">
        <v>1064052</v>
      </c>
      <c r="D32" s="59" t="s">
        <v>150</v>
      </c>
    </row>
    <row r="33" spans="1:4" x14ac:dyDescent="0.25">
      <c r="A33" s="57">
        <v>19.2</v>
      </c>
      <c r="B33" s="741">
        <v>87906944</v>
      </c>
      <c r="C33" s="741">
        <v>4620018</v>
      </c>
      <c r="D33" s="59" t="s">
        <v>50</v>
      </c>
    </row>
    <row r="34" spans="1:4" x14ac:dyDescent="0.25">
      <c r="A34" s="57">
        <v>19.399999999999999</v>
      </c>
      <c r="B34" s="741">
        <v>25462076</v>
      </c>
      <c r="C34" s="741">
        <v>2757956</v>
      </c>
      <c r="D34" s="59" t="s">
        <v>39</v>
      </c>
    </row>
    <row r="35" spans="1:4" x14ac:dyDescent="0.25">
      <c r="A35" s="57">
        <v>21.1</v>
      </c>
      <c r="B35" s="741">
        <v>76204554</v>
      </c>
      <c r="C35" s="741">
        <v>338826</v>
      </c>
      <c r="D35" s="59" t="s">
        <v>51</v>
      </c>
    </row>
    <row r="36" spans="1:4" x14ac:dyDescent="0.25">
      <c r="A36" s="57">
        <v>21.2</v>
      </c>
      <c r="B36" s="741">
        <v>6606599</v>
      </c>
      <c r="C36" s="741">
        <v>134860</v>
      </c>
      <c r="D36" s="59" t="s">
        <v>40</v>
      </c>
    </row>
    <row r="37" spans="1:4" x14ac:dyDescent="0.25">
      <c r="A37" s="57">
        <v>22</v>
      </c>
      <c r="B37" s="741">
        <v>1283943</v>
      </c>
      <c r="C37" s="741">
        <v>185169</v>
      </c>
      <c r="D37" s="59" t="s">
        <v>8</v>
      </c>
    </row>
    <row r="38" spans="1:4" x14ac:dyDescent="0.25">
      <c r="A38" s="57">
        <v>23</v>
      </c>
      <c r="B38" s="741">
        <v>391446</v>
      </c>
      <c r="C38" s="741">
        <v>12298</v>
      </c>
      <c r="D38" s="59" t="s">
        <v>16</v>
      </c>
    </row>
    <row r="39" spans="1:4" x14ac:dyDescent="0.25">
      <c r="A39" s="57">
        <v>24</v>
      </c>
      <c r="B39" s="741">
        <v>1249439</v>
      </c>
      <c r="C39" s="741">
        <v>174455</v>
      </c>
      <c r="D39" s="59" t="s">
        <v>25</v>
      </c>
    </row>
    <row r="40" spans="1:4" x14ac:dyDescent="0.25">
      <c r="A40" s="61">
        <v>26</v>
      </c>
      <c r="B40" s="741">
        <v>233734</v>
      </c>
      <c r="C40" s="741">
        <v>3202</v>
      </c>
      <c r="D40" s="59" t="s">
        <v>13</v>
      </c>
    </row>
    <row r="41" spans="1:4" x14ac:dyDescent="0.25">
      <c r="A41" s="61">
        <v>27</v>
      </c>
      <c r="B41" s="741">
        <v>825880</v>
      </c>
      <c r="C41" s="741">
        <v>-12244</v>
      </c>
      <c r="D41" s="59" t="s">
        <v>12</v>
      </c>
    </row>
    <row r="42" spans="1:4" x14ac:dyDescent="0.25">
      <c r="A42" s="11"/>
      <c r="B42" s="11"/>
      <c r="C42" s="11"/>
      <c r="D42" s="11"/>
    </row>
    <row r="43" spans="1:4" ht="17.25" x14ac:dyDescent="0.25">
      <c r="A43" s="14" t="s">
        <v>151</v>
      </c>
    </row>
    <row r="44" spans="1:4" ht="17.25" customHeight="1" x14ac:dyDescent="0.25">
      <c r="A44" s="2" t="s">
        <v>152</v>
      </c>
    </row>
  </sheetData>
  <sheetProtection algorithmName="SHA-512" hashValue="Br4koLdqQojzPr5T+tXnxOvxi3J1ZiBn+WLIj+YG6PwtCk27+e3R66ebL5NZw5XUj7jVFxg7wSLYsAUXcTUr6Q==" saltValue="20tsiuCEs7fvBMc2nxTO2g=="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style="272" customWidth="1"/>
    <col min="2" max="2" width="27.42578125" style="272" customWidth="1"/>
    <col min="3" max="3" width="15.7109375" style="272" customWidth="1"/>
    <col min="4" max="4" width="27.42578125" style="272" customWidth="1"/>
    <col min="5" max="16384" width="9.140625" style="272"/>
  </cols>
  <sheetData>
    <row r="1" spans="1:4" s="647" customFormat="1" ht="18.75" x14ac:dyDescent="0.25">
      <c r="A1" s="644" t="s">
        <v>441</v>
      </c>
      <c r="B1" s="646"/>
      <c r="C1" s="645"/>
      <c r="D1" s="646"/>
    </row>
    <row r="2" spans="1:4" s="647" customFormat="1" x14ac:dyDescent="0.25">
      <c r="A2" s="648" t="s">
        <v>120</v>
      </c>
      <c r="B2" s="649" t="s">
        <v>721</v>
      </c>
      <c r="C2" s="649"/>
      <c r="D2" s="646"/>
    </row>
    <row r="3" spans="1:4" s="647" customFormat="1" x14ac:dyDescent="0.25">
      <c r="A3" s="650" t="s">
        <v>135</v>
      </c>
      <c r="B3" s="651">
        <v>2018</v>
      </c>
      <c r="C3" s="651"/>
      <c r="D3" s="646"/>
    </row>
    <row r="4" spans="1:4" s="647" customFormat="1" x14ac:dyDescent="0.25">
      <c r="A4" s="648" t="s">
        <v>122</v>
      </c>
      <c r="B4" s="652" t="s">
        <v>293</v>
      </c>
      <c r="C4" s="652"/>
      <c r="D4" s="646"/>
    </row>
    <row r="5" spans="1:4" s="647" customFormat="1" x14ac:dyDescent="0.25">
      <c r="A5" s="648" t="s">
        <v>128</v>
      </c>
      <c r="B5" s="538">
        <v>43154</v>
      </c>
      <c r="C5" s="538"/>
      <c r="D5" s="646"/>
    </row>
    <row r="6" spans="1:4" s="647" customFormat="1" x14ac:dyDescent="0.25">
      <c r="A6" s="669"/>
      <c r="B6" s="669"/>
      <c r="C6" s="669"/>
      <c r="D6" s="669"/>
    </row>
    <row r="7" spans="1:4" s="647" customFormat="1" ht="15.75" thickBot="1" x14ac:dyDescent="0.3">
      <c r="A7" s="648"/>
      <c r="B7" s="653">
        <v>1</v>
      </c>
      <c r="C7" s="653"/>
      <c r="D7" s="653"/>
    </row>
    <row r="8" spans="1:4" s="647" customFormat="1" ht="15.75" thickBot="1" x14ac:dyDescent="0.3">
      <c r="A8" s="671"/>
      <c r="B8" s="672" t="s">
        <v>721</v>
      </c>
      <c r="C8" s="653"/>
      <c r="D8" s="653"/>
    </row>
    <row r="9" spans="1:4" s="647" customFormat="1" ht="15.75" thickBot="1" x14ac:dyDescent="0.3">
      <c r="A9" s="659"/>
      <c r="B9" s="668">
        <v>0.21</v>
      </c>
      <c r="C9" s="684"/>
      <c r="D9" s="684"/>
    </row>
    <row r="10" spans="1:4" s="647" customFormat="1" x14ac:dyDescent="0.25">
      <c r="A10" s="673" t="s">
        <v>448</v>
      </c>
      <c r="B10" s="674"/>
      <c r="C10" s="685"/>
      <c r="D10" s="686"/>
    </row>
    <row r="11" spans="1:4" s="647" customFormat="1" x14ac:dyDescent="0.25">
      <c r="A11" s="675" t="s">
        <v>449</v>
      </c>
      <c r="B11" s="676">
        <v>0.21</v>
      </c>
      <c r="C11" s="686"/>
      <c r="D11" s="686"/>
    </row>
    <row r="12" spans="1:4" s="647" customFormat="1" x14ac:dyDescent="0.25">
      <c r="A12" s="675" t="s">
        <v>450</v>
      </c>
      <c r="B12" s="676">
        <v>0.21</v>
      </c>
      <c r="C12" s="686"/>
      <c r="D12" s="686"/>
    </row>
    <row r="13" spans="1:4" s="647" customFormat="1" x14ac:dyDescent="0.25">
      <c r="A13" s="675" t="s">
        <v>451</v>
      </c>
      <c r="B13" s="676">
        <v>0.21</v>
      </c>
      <c r="C13" s="686"/>
      <c r="D13" s="686"/>
    </row>
    <row r="14" spans="1:4" s="647" customFormat="1" x14ac:dyDescent="0.25">
      <c r="A14" s="677" t="s">
        <v>452</v>
      </c>
      <c r="B14" s="676"/>
      <c r="C14" s="686"/>
      <c r="D14" s="686"/>
    </row>
    <row r="15" spans="1:4" s="647" customFormat="1" x14ac:dyDescent="0.25">
      <c r="A15" s="675" t="s">
        <v>449</v>
      </c>
      <c r="B15" s="676">
        <v>0.21</v>
      </c>
      <c r="C15" s="686"/>
      <c r="D15" s="686"/>
    </row>
    <row r="16" spans="1:4" s="647" customFormat="1" x14ac:dyDescent="0.25">
      <c r="A16" s="675" t="s">
        <v>450</v>
      </c>
      <c r="B16" s="676">
        <v>0.21</v>
      </c>
      <c r="C16" s="686"/>
      <c r="D16" s="686"/>
    </row>
    <row r="17" spans="1:4" s="647" customFormat="1" x14ac:dyDescent="0.25">
      <c r="A17" s="675" t="s">
        <v>451</v>
      </c>
      <c r="B17" s="676">
        <v>0.21</v>
      </c>
      <c r="C17" s="686"/>
      <c r="D17" s="686"/>
    </row>
    <row r="18" spans="1:4" s="647" customFormat="1" x14ac:dyDescent="0.25">
      <c r="A18" s="678" t="s">
        <v>453</v>
      </c>
      <c r="B18" s="676"/>
      <c r="C18" s="686"/>
      <c r="D18" s="686"/>
    </row>
    <row r="19" spans="1:4" s="647" customFormat="1" x14ac:dyDescent="0.25">
      <c r="A19" s="675" t="s">
        <v>449</v>
      </c>
      <c r="B19" s="676">
        <f>0.25*21%</f>
        <v>5.2499999999999998E-2</v>
      </c>
      <c r="C19" s="686"/>
      <c r="D19" s="686"/>
    </row>
    <row r="20" spans="1:4" s="647" customFormat="1" x14ac:dyDescent="0.25">
      <c r="A20" s="675" t="s">
        <v>450</v>
      </c>
      <c r="B20" s="676">
        <f>0.25*21%</f>
        <v>5.2499999999999998E-2</v>
      </c>
      <c r="C20" s="686"/>
      <c r="D20" s="686"/>
    </row>
    <row r="21" spans="1:4" x14ac:dyDescent="0.25">
      <c r="A21" s="675" t="s">
        <v>451</v>
      </c>
      <c r="B21" s="676">
        <f>0.25*21%</f>
        <v>5.2499999999999998E-2</v>
      </c>
      <c r="C21" s="686"/>
      <c r="D21" s="686"/>
    </row>
    <row r="22" spans="1:4" x14ac:dyDescent="0.25">
      <c r="A22" s="679" t="s">
        <v>455</v>
      </c>
      <c r="B22" s="676"/>
      <c r="C22" s="686"/>
      <c r="D22" s="686"/>
    </row>
    <row r="23" spans="1:4" x14ac:dyDescent="0.25">
      <c r="A23" s="675" t="s">
        <v>456</v>
      </c>
      <c r="B23" s="676">
        <v>0.13125000000000001</v>
      </c>
      <c r="C23" s="686"/>
      <c r="D23" s="686"/>
    </row>
    <row r="24" spans="1:4" ht="14.25" customHeight="1" x14ac:dyDescent="0.25">
      <c r="A24" s="675" t="s">
        <v>457</v>
      </c>
      <c r="B24" s="676">
        <v>0.21</v>
      </c>
      <c r="C24" s="686"/>
      <c r="D24" s="686"/>
    </row>
    <row r="25" spans="1:4" x14ac:dyDescent="0.25">
      <c r="A25" s="678" t="s">
        <v>459</v>
      </c>
      <c r="B25" s="676">
        <v>0.13125000000000001</v>
      </c>
      <c r="C25" s="686"/>
      <c r="D25" s="686"/>
    </row>
    <row r="26" spans="1:4" x14ac:dyDescent="0.25">
      <c r="A26" s="678" t="s">
        <v>461</v>
      </c>
      <c r="B26" s="676">
        <v>0.21</v>
      </c>
      <c r="C26" s="686"/>
      <c r="D26" s="686"/>
    </row>
    <row r="27" spans="1:4" x14ac:dyDescent="0.25">
      <c r="A27" s="678" t="s">
        <v>463</v>
      </c>
      <c r="B27" s="676">
        <v>0.21</v>
      </c>
      <c r="C27" s="686"/>
      <c r="D27" s="686"/>
    </row>
    <row r="28" spans="1:4" x14ac:dyDescent="0.25">
      <c r="A28" s="678" t="s">
        <v>465</v>
      </c>
      <c r="B28" s="676">
        <v>0.21</v>
      </c>
      <c r="C28" s="686"/>
      <c r="D28" s="686"/>
    </row>
    <row r="29" spans="1:4" x14ac:dyDescent="0.25">
      <c r="A29" s="678" t="s">
        <v>467</v>
      </c>
      <c r="B29" s="676"/>
      <c r="C29" s="686"/>
      <c r="D29" s="686"/>
    </row>
    <row r="30" spans="1:4" x14ac:dyDescent="0.25">
      <c r="A30" s="675" t="s">
        <v>456</v>
      </c>
      <c r="B30" s="676">
        <v>0.13125000000000001</v>
      </c>
      <c r="C30" s="686"/>
      <c r="D30" s="686"/>
    </row>
    <row r="31" spans="1:4" x14ac:dyDescent="0.25">
      <c r="A31" s="675" t="s">
        <v>457</v>
      </c>
      <c r="B31" s="676">
        <v>0.21</v>
      </c>
      <c r="C31" s="686"/>
      <c r="D31" s="686"/>
    </row>
    <row r="32" spans="1:4" ht="15.75" thickBot="1" x14ac:dyDescent="0.3">
      <c r="A32" s="680" t="s">
        <v>469</v>
      </c>
      <c r="B32" s="681"/>
      <c r="C32" s="686"/>
      <c r="D32" s="686"/>
    </row>
    <row r="33" spans="1:4" ht="16.5" thickTop="1" thickBot="1" x14ac:dyDescent="0.3">
      <c r="A33" s="682" t="s">
        <v>728</v>
      </c>
      <c r="B33" s="683">
        <v>0.21</v>
      </c>
      <c r="C33" s="687"/>
      <c r="D33" s="687"/>
    </row>
    <row r="34" spans="1:4" x14ac:dyDescent="0.25">
      <c r="A34" s="274"/>
      <c r="B34" s="654"/>
      <c r="C34" s="654"/>
      <c r="D34" s="654"/>
    </row>
    <row r="35" spans="1:4" x14ac:dyDescent="0.25">
      <c r="A35" s="274"/>
      <c r="B35" s="654"/>
      <c r="C35" s="654"/>
      <c r="D35" s="654"/>
    </row>
    <row r="36" spans="1:4" x14ac:dyDescent="0.25">
      <c r="A36" s="274"/>
      <c r="B36" s="654"/>
      <c r="C36" s="654"/>
      <c r="D36" s="654"/>
    </row>
    <row r="37" spans="1:4" x14ac:dyDescent="0.25">
      <c r="A37" s="655"/>
      <c r="B37" s="654"/>
      <c r="C37" s="654"/>
      <c r="D37" s="654"/>
    </row>
    <row r="38" spans="1:4" x14ac:dyDescent="0.25">
      <c r="A38" s="655"/>
      <c r="B38" s="654"/>
      <c r="C38" s="654"/>
      <c r="D38" s="654"/>
    </row>
    <row r="39" spans="1:4" x14ac:dyDescent="0.25">
      <c r="A39" s="656"/>
      <c r="B39" s="656"/>
      <c r="C39" s="656"/>
      <c r="D39" s="656"/>
    </row>
    <row r="40" spans="1:4" x14ac:dyDescent="0.25">
      <c r="A40" s="657"/>
    </row>
    <row r="41" spans="1:4" ht="17.25" customHeight="1" x14ac:dyDescent="0.25">
      <c r="A41" s="658"/>
    </row>
  </sheetData>
  <sheetProtection algorithmName="SHA-512" hashValue="oGO4mP5olkbBt7D6UISF2J/Vi01J3S79Z14H7Ehb2nhe7N6UpUdLCt8wVSjuWHim8zFsd02rDvdH133ps+jscA==" saltValue="ZUDMs6d0U9Qmv+JiCwYf7Q=="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Brett Ware</cp:lastModifiedBy>
  <cp:lastPrinted>2023-01-13T18:47:04Z</cp:lastPrinted>
  <dcterms:created xsi:type="dcterms:W3CDTF">2014-04-24T17:59:28Z</dcterms:created>
  <dcterms:modified xsi:type="dcterms:W3CDTF">2023-10-24T16:03:18Z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2023-01-13T18:23:39Z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d3b0b9a5-ab0d-4147-ac7f-679f452a50e9</vt:lpwstr>
  </property>
  <property fmtid="{D5CDD505-2E9C-101B-9397-08002B2CF9AE}" pid="8" name="MSIP_Label_261ecbe3-7ba9-4124-b9d7-ffd820687beb_ContentBits">
    <vt:lpwstr>0</vt:lpwstr>
  </property>
</Properties>
</file>