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5.xml" ContentType="application/vnd.openxmlformats-officedocument.drawing+xml"/>
  <Override PartName="/xl/ctrlProps/ctrlProp90.xml" ContentType="application/vnd.ms-excel.controlproperties+xml"/>
  <Override PartName="/xl/ctrlProps/ctrlProp91.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7.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8.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drawings/drawing9.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0.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11.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12.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drawings/drawing13.xml" ContentType="application/vnd.openxmlformats-officedocument.drawing+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14.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drawings/drawing15.xml" ContentType="application/vnd.openxmlformats-officedocument.drawing+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drawings/drawing16.xml" ContentType="application/vnd.openxmlformats-officedocument.drawing+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drawings/drawing17.xml" ContentType="application/vnd.openxmlformats-officedocument.drawing+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drawings/drawing18.xml" ContentType="application/vnd.openxmlformats-officedocument.drawing+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drawings/drawing19.xml" ContentType="application/vnd.openxmlformats-officedocument.drawing+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drawings/drawing20.xml" ContentType="application/vnd.openxmlformats-officedocument.drawing+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drawings/drawing21.xml" ContentType="application/vnd.openxmlformats-officedocument.drawing+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drawings/drawing22.xml" ContentType="application/vnd.openxmlformats-officedocument.drawing+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W HO-6\Filing\Filing Responses\12-7 Amendment\"/>
    </mc:Choice>
  </mc:AlternateContent>
  <xr:revisionPtr revIDLastSave="0" documentId="13_ncr:1_{D1159839-4A34-454B-BA92-164F9A35B0BA}" xr6:coauthVersionLast="47" xr6:coauthVersionMax="47" xr10:uidLastSave="{00000000-0000-0000-0000-000000000000}"/>
  <bookViews>
    <workbookView xWindow="5730" yWindow="1320" windowWidth="21600" windowHeight="11385"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r:id="rId14"/>
    <sheet name="12.1Model Disclosure" sheetId="32" r:id="rId15"/>
    <sheet name="12.2Model Disclosure" sheetId="33" r:id="rId16"/>
    <sheet name="12.3Model Disclosure" sheetId="34" r:id="rId17"/>
    <sheet name="12.4Model Disclosure" sheetId="35" r:id="rId18"/>
    <sheet name="12.5Model Disclosure" sheetId="36" r:id="rId19"/>
    <sheet name="12.6Model Disclosure" sheetId="37" r:id="rId20"/>
    <sheet name="12.7Model Disclosure" sheetId="38" r:id="rId21"/>
    <sheet name="12.8Model Disclosure" sheetId="39" r:id="rId22"/>
    <sheet name="12.9Model Disclosure" sheetId="40" r:id="rId23"/>
    <sheet name="12.10Model Disclosure" sheetId="41" r:id="rId24"/>
    <sheet name="12.11Model Disclosure" sheetId="43" r:id="rId25"/>
    <sheet name="12.12Model Disclosure" sheetId="44" r:id="rId26"/>
    <sheet name="12.13Model Disclosure" sheetId="45" r:id="rId27"/>
  </sheets>
  <functionGroups builtInGroupCount="19"/>
  <externalReferences>
    <externalReference r:id="rId28"/>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References!$F$6:$F$27</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24">'12.11Model Disclosure'!$L$34</definedName>
    <definedName name="Model_Refresh" localSheetId="25">'12.12Model Disclosure'!$L$34</definedName>
    <definedName name="Model_Refresh" localSheetId="26">'12.13Model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24">'12.11Model Disclosure'!$G$34</definedName>
    <definedName name="Model_Revision" localSheetId="25">'12.12Model Disclosure'!$G$34</definedName>
    <definedName name="Model_Revision" localSheetId="26">'12.13Model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24">'12.11Model Disclosure'!$B$35</definedName>
    <definedName name="Model_RevisionNo" localSheetId="25">'12.12Model Disclosure'!$B$35</definedName>
    <definedName name="Model_RevisionNo" localSheetId="26">'12.13Model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24">'12.11Model Disclosure'!$A$1:$P$45</definedName>
    <definedName name="_xlnm.Print_Area" localSheetId="25">'12.12Model Disclosure'!$A$1:$P$45</definedName>
    <definedName name="_xlnm.Print_Area" localSheetId="26">'12.13Model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Checklist'!$A$1:$G$64</definedName>
    <definedName name="_xlnm.Print_Area" localSheetId="6">'4.Proposed Impact'!$A$1:$F$36</definedName>
    <definedName name="_xlnm.Print_Area" localSheetId="7">'5.Reconciliation'!$A$1:$F$29</definedName>
    <definedName name="_xlnm.Print_Area" localSheetId="8">'6.Program Detail'!$A$1:$J$71</definedName>
    <definedName name="_xlnm.Print_Area" localSheetId="9">'7.Statutory Data'!$A$1:$E$31</definedName>
    <definedName name="_xlnm.Print_Area" localSheetId="10">'8.Miscellaneous Fees'!$A$1:$F$39</definedName>
    <definedName name="_xlnm.Print_Area" localSheetId="11">'9.Forms'!$A$1:$L$75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3" i="45" l="1"/>
  <c r="K40" i="45"/>
  <c r="P1" i="45"/>
  <c r="I43" i="44"/>
  <c r="K40" i="44"/>
  <c r="P1" i="44"/>
  <c r="I43" i="43"/>
  <c r="K40" i="43"/>
  <c r="P1" i="43"/>
  <c r="K40" i="41"/>
  <c r="K40" i="40"/>
  <c r="K40" i="39"/>
  <c r="K40" i="38"/>
  <c r="K40" i="37"/>
  <c r="K40" i="36"/>
  <c r="K40" i="35"/>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19" i="3" s="1"/>
  <c r="K40" i="33" l="1"/>
  <c r="V19" i="3" l="1"/>
  <c r="K40" i="32" l="1"/>
  <c r="H11" i="5" l="1"/>
  <c r="M55" i="21" l="1"/>
  <c r="M48" i="21"/>
  <c r="M41" i="21"/>
  <c r="M34" i="21"/>
  <c r="O5" i="3" l="1"/>
  <c r="E12" i="5" l="1"/>
  <c r="H12" i="5" s="1"/>
  <c r="U42" i="3"/>
  <c r="U38" i="3"/>
  <c r="U34" i="3"/>
  <c r="U18" i="3"/>
  <c r="U9" i="3"/>
  <c r="R5" i="3"/>
  <c r="Q5" i="3"/>
  <c r="P5" i="3"/>
  <c r="H10" i="5"/>
  <c r="H9" i="5"/>
  <c r="H8" i="5"/>
  <c r="H7" i="5"/>
  <c r="H6" i="5"/>
  <c r="H4" i="5"/>
  <c r="A17" i="5" l="1"/>
  <c r="N5" i="3" s="1"/>
  <c r="U53" i="3"/>
  <c r="V53" i="3" s="1"/>
  <c r="V42" i="3"/>
  <c r="V38" i="3"/>
  <c r="V34" i="3"/>
  <c r="V21" i="3"/>
  <c r="V18" i="3"/>
  <c r="V9" i="3"/>
  <c r="U17" i="3" l="1"/>
  <c r="V17" i="3" s="1"/>
  <c r="U20" i="3"/>
  <c r="V20" i="3" s="1"/>
  <c r="U43" i="3"/>
  <c r="V43" i="3" s="1"/>
  <c r="U22" i="3"/>
  <c r="V22" i="3" s="1"/>
  <c r="U26" i="3"/>
  <c r="V26" i="3" s="1"/>
  <c r="U28" i="3"/>
  <c r="V28" i="3" s="1"/>
  <c r="U30" i="3"/>
  <c r="V30" i="3" s="1"/>
  <c r="U32" i="3"/>
  <c r="V32" i="3" s="1"/>
  <c r="U36" i="3"/>
  <c r="V36" i="3" s="1"/>
  <c r="U40" i="3"/>
  <c r="V40" i="3" s="1"/>
  <c r="U44" i="3"/>
  <c r="V44" i="3" s="1"/>
  <c r="U46" i="3"/>
  <c r="V46" i="3" s="1"/>
  <c r="U48" i="3"/>
  <c r="V48" i="3" s="1"/>
  <c r="U50" i="3"/>
  <c r="V50" i="3" s="1"/>
  <c r="U52" i="3"/>
  <c r="V52" i="3" s="1"/>
  <c r="U8" i="3"/>
  <c r="V8" i="3" s="1"/>
  <c r="U10" i="3"/>
  <c r="V10" i="3" s="1"/>
  <c r="U12" i="3"/>
  <c r="V12" i="3" s="1"/>
  <c r="U14" i="3"/>
  <c r="V14" i="3" s="1"/>
  <c r="U16" i="3"/>
  <c r="V16" i="3" s="1"/>
  <c r="U45" i="3"/>
  <c r="V45" i="3" s="1"/>
  <c r="U47" i="3"/>
  <c r="V47" i="3" s="1"/>
  <c r="U49" i="3"/>
  <c r="V49" i="3" s="1"/>
  <c r="U51" i="3"/>
  <c r="V51" i="3" s="1"/>
  <c r="U24" i="3"/>
  <c r="V24" i="3" s="1"/>
  <c r="U23" i="3"/>
  <c r="V23" i="3" s="1"/>
  <c r="U25" i="3"/>
  <c r="V25" i="3" s="1"/>
  <c r="U27" i="3"/>
  <c r="V27" i="3" s="1"/>
  <c r="U29" i="3"/>
  <c r="V29" i="3" s="1"/>
  <c r="U31" i="3"/>
  <c r="V31" i="3" s="1"/>
  <c r="U33" i="3"/>
  <c r="V33" i="3" s="1"/>
  <c r="U35" i="3"/>
  <c r="V35" i="3" s="1"/>
  <c r="U37" i="3"/>
  <c r="V37" i="3" s="1"/>
  <c r="U39" i="3"/>
  <c r="V39" i="3" s="1"/>
  <c r="U41" i="3"/>
  <c r="V41" i="3" s="1"/>
  <c r="U11" i="3"/>
  <c r="V11" i="3" s="1"/>
  <c r="U13" i="3"/>
  <c r="V13" i="3" s="1"/>
  <c r="U15" i="3"/>
  <c r="V15" i="3" s="1"/>
  <c r="V5" i="3" l="1"/>
  <c r="G8" i="17"/>
  <c r="G7" i="17" l="1"/>
  <c r="L30" i="2" l="1"/>
  <c r="L32" i="2" l="1"/>
  <c r="L28" i="2"/>
  <c r="F28" i="23" l="1"/>
  <c r="B13" i="4" l="1"/>
  <c r="B28" i="1" l="1"/>
  <c r="E24" i="2" l="1"/>
  <c r="B29" i="1" l="1"/>
  <c r="B30" i="1"/>
  <c r="B31" i="1"/>
  <c r="L39" i="2" l="1"/>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l="1"/>
  <c r="B32"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40"/>
  <c r="P1" i="34"/>
  <c r="P1" i="36"/>
  <c r="P1" i="38"/>
  <c r="P1" i="35"/>
  <c r="P1" i="41"/>
  <c r="P1" i="37"/>
  <c r="L1" i="21"/>
  <c r="P1" i="33"/>
  <c r="P1" i="32"/>
  <c r="G47" i="18"/>
  <c r="G23" i="18"/>
  <c r="I28" i="3"/>
  <c r="F19" i="15"/>
  <c r="F21" i="15" s="1"/>
  <c r="E19" i="15"/>
  <c r="E21" i="15" s="1"/>
  <c r="D19" i="15"/>
  <c r="D21" i="15" s="1"/>
  <c r="B22" i="1"/>
  <c r="P2" i="45" s="1"/>
  <c r="D22" i="6"/>
  <c r="H39" i="2" s="1"/>
  <c r="F21" i="6"/>
  <c r="F20" i="6"/>
  <c r="F19" i="6"/>
  <c r="F18" i="6"/>
  <c r="F17" i="6"/>
  <c r="F16" i="6"/>
  <c r="F15" i="6"/>
  <c r="F14" i="6"/>
  <c r="F13" i="6"/>
  <c r="F12" i="6"/>
  <c r="I1" i="2"/>
  <c r="B20" i="1"/>
  <c r="P2" i="43" l="1"/>
  <c r="P2" i="44"/>
  <c r="P2" i="40"/>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3" i="41" l="1"/>
  <c r="I43" i="37"/>
  <c r="I43" i="40"/>
  <c r="I43" i="36"/>
  <c r="I43" i="35"/>
  <c r="I43" i="38"/>
  <c r="I43" i="39"/>
  <c r="I43" i="34"/>
  <c r="I43" i="33"/>
  <c r="I4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<sst xmlns="http://schemas.openxmlformats.org/spreadsheetml/2006/main" count="1857" uniqueCount="569">
  <si>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</si>
  <si>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</si>
  <si>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</si>
  <si>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</si>
  <si>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</si>
  <si>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</si>
  <si>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</si>
  <si>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</si>
  <si>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</si>
  <si>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</si>
  <si>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</si>
  <si>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</si>
  <si>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</si>
  <si>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</si>
  <si>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</si>
  <si>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</si>
  <si>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</si>
  <si>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</si>
  <si>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</si>
  <si>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</si>
  <si>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</si>
  <si>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</si>
  <si>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</si>
  <si>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</si>
  <si>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</si>
  <si>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</si>
  <si>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</si>
  <si>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</si>
  <si>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</si>
  <si>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</si>
  <si>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</si>
  <si>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</si>
  <si>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</si>
  <si>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</si>
  <si>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</si>
  <si>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</si>
  <si>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</si>
  <si>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</si>
  <si>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</si>
  <si>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</si>
  <si>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</si>
  <si>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</si>
  <si>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</si>
  <si>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</si>
  <si>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</si>
  <si>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</si>
  <si>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</si>
  <si>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</si>
  <si>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</si>
  <si>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</si>
  <si>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</si>
  <si>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</si>
  <si>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</si>
  <si>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</si>
  <si>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</si>
  <si>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</si>
  <si>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</si>
  <si>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</si>
  <si>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</si>
  <si>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</si>
  <si>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</si>
  <si>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</si>
  <si>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</si>
  <si>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</si>
  <si>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</si>
  <si>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</si>
  <si>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</si>
  <si>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</si>
  <si>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</si>
  <si>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</si>
  <si>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</si>
  <si>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</si>
  <si>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</si>
  <si>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</si>
  <si>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</si>
  <si>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</si>
  <si>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</si>
  <si>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</si>
  <si>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</si>
  <si>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</si>
  <si>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</si>
  <si>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</si>
  <si>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</si>
  <si>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</si>
  <si>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</si>
  <si>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</si>
  <si>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</si>
  <si>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</si>
  <si>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</si>
  <si>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</si>
  <si>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</si>
  <si>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</si>
  <si>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</si>
  <si>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</si>
  <si>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</si>
  <si>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</si>
  <si>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</si>
  <si>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</si>
  <si>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</si>
  <si>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</si>
  <si>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</si>
  <si>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</si>
  <si>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</si>
  <si>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</si>
  <si>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</si>
  <si>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</si>
  <si>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</si>
  <si>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</si>
  <si>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</si>
  <si>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</si>
  <si>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</si>
  <si>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</si>
  <si>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</si>
  <si>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</si>
  <si>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</si>
  <si>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</si>
  <si>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</si>
  <si>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</si>
  <si>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</si>
  <si>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</si>
  <si>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</si>
  <si>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</si>
  <si>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</si>
  <si>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</si>
  <si>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</si>
  <si>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</si>
  <si>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</si>
  <si>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</si>
  <si>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</si>
  <si>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</si>
  <si>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</si>
  <si>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</si>
  <si>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</si>
  <si>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</si>
  <si>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</si>
  <si>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</si>
  <si>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</si>
  <si>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</si>
  <si>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</si>
  <si>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</si>
  <si>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</si>
  <si>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</si>
  <si>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</si>
  <si>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</si>
  <si>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</si>
  <si>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</si>
  <si>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</si>
  <si>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</si>
  <si>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</si>
  <si>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</si>
  <si>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</si>
  <si>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</si>
  <si>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</si>
  <si>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</si>
  <si>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</si>
  <si>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</si>
  <si>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</si>
  <si>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</si>
  <si>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</si>
  <si>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</si>
  <si>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</si>
  <si>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</si>
  <si>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</si>
  <si>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</si>
  <si>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</si>
  <si>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</si>
  <si>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</si>
  <si>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</si>
  <si>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</si>
  <si>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</si>
  <si>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</si>
  <si>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</si>
  <si>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</si>
  <si>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</si>
  <si>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</si>
  <si>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</si>
  <si>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</si>
  <si>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</si>
  <si>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</si>
  <si>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</si>
  <si>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</si>
  <si>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</si>
  <si>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</si>
  <si>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</si>
  <si>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</si>
  <si>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</si>
  <si>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</si>
  <si>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</si>
  <si>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</si>
  <si>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</si>
  <si>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</si>
  <si>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</si>
  <si>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</si>
  <si>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</si>
  <si>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</si>
  <si>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</si>
  <si>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</si>
  <si>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</si>
  <si>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</si>
  <si>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</si>
  <si>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</si>
  <si>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</si>
  <si>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</si>
  <si>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</si>
  <si>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</si>
  <si>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</si>
  <si>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</si>
  <si>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</si>
  <si>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</si>
  <si>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</si>
  <si>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</si>
  <si>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</si>
  <si>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</si>
  <si>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</si>
  <si>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</si>
  <si>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</si>
  <si>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</si>
  <si>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</si>
  <si>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</si>
  <si>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</si>
  <si>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</si>
  <si>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</si>
  <si>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</si>
  <si>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</si>
  <si>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</si>
  <si>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</si>
  <si>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</si>
  <si>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</si>
  <si>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</si>
  <si>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</si>
  <si>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</si>
  <si>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</si>
  <si>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</si>
  <si>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</si>
  <si>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</si>
  <si>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</si>
  <si>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</si>
  <si>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</si>
  <si>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</si>
  <si>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</si>
  <si>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</si>
  <si>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</si>
  <si>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</si>
  <si>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</si>
  <si>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</si>
  <si>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</si>
  <si>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</si>
  <si>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</si>
  <si>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</si>
  <si>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</si>
  <si>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</si>
  <si>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</si>
  <si>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</si>
  <si>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</si>
  <si>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</si>
  <si>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</si>
  <si>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</si>
  <si>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</si>
  <si>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</si>
  <si>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</si>
  <si>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</si>
  <si>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</si>
  <si>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</si>
  <si>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</si>
  <si>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</si>
  <si>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</si>
  <si>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</si>
  <si>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</si>
  <si>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</si>
  <si>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</si>
  <si>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</si>
  <si>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</si>
  <si>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</si>
  <si>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</si>
  <si>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</si>
  <si>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</si>
  <si>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</si>
  <si>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</si>
  <si>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</si>
  <si>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</si>
  <si>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</si>
  <si>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</si>
  <si>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</si>
  <si>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</si>
  <si>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</si>
  <si>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</si>
  <si>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</si>
  <si>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</si>
  <si>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</si>
  <si>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</si>
  <si>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</si>
  <si>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</si>
  <si>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</si>
  <si>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</si>
  <si>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</si>
  <si>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</si>
  <si>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</si>
  <si>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</si>
  <si>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</si>
  <si>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</si>
  <si>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</si>
  <si>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</si>
  <si>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</si>
  <si>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</si>
  <si>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</si>
  <si>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</si>
  <si>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</si>
  <si>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</si>
  <si>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</si>
  <si>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</si>
  <si>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</si>
  <si>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</si>
  <si>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</si>
  <si>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</si>
  <si>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</si>
  <si>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</si>
  <si>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</si>
  <si>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</si>
  <si>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</si>
  <si>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</si>
  <si>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</si>
  <si>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</si>
  <si>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</si>
  <si>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</si>
  <si>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</si>
  <si>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</si>
  <si>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</si>
  <si>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</si>
  <si>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</si>
  <si>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</si>
  <si>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</si>
  <si>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</si>
  <si>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</si>
  <si>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</si>
  <si>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</si>
  <si>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</si>
  <si>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</si>
  <si>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</si>
  <si>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</si>
  <si>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</si>
  <si>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</si>
  <si>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</si>
  <si>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</si>
  <si>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</si>
  <si>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</si>
  <si>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</si>
  <si>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</si>
  <si>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</si>
  <si>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</si>
  <si>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</si>
  <si>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</si>
  <si>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</si>
  <si>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</si>
  <si>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</si>
  <si>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</si>
  <si>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</si>
  <si>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</si>
  <si>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</si>
  <si>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</si>
  <si>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</si>
  <si>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</si>
  <si>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</si>
  <si>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</si>
  <si>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</si>
  <si>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</si>
  <si>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</si>
  <si>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</si>
  <si>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</si>
  <si>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</si>
  <si>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</si>
  <si>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</si>
  <si>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</si>
  <si>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</si>
  <si>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</si>
  <si>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</si>
  <si>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</si>
  <si>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</si>
  <si>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</si>
  <si>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</si>
  <si>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</si>
  <si>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</si>
  <si>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</si>
  <si>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</si>
  <si>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</si>
  <si>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</si>
  <si>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</si>
  <si>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</si>
  <si>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</si>
  <si>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</si>
  <si>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</si>
  <si>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</si>
  <si>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</si>
  <si>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</si>
  <si>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</si>
  <si>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</si>
  <si>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</si>
  <si>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</si>
  <si>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</si>
  <si>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</si>
  <si>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</si>
  <si>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</si>
  <si>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</si>
  <si>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</si>
  <si>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</si>
  <si>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</si>
  <si>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</si>
  <si>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</si>
  <si>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</si>
  <si>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</si>
  <si>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</si>
  <si>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</si>
  <si>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</si>
  <si>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</si>
  <si>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</si>
  <si>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</si>
  <si>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</si>
  <si>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</si>
  <si>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</si>
  <si>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</si>
  <si>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</si>
  <si>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</si>
  <si>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</si>
  <si>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</si>
  <si>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</si>
  <si>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</si>
  <si>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</si>
  <si>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</si>
  <si>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</si>
  <si>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</si>
  <si>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</si>
  <si>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</si>
  <si>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</si>
  <si>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</si>
  <si>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</si>
  <si>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</si>
  <si>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</si>
  <si>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</si>
  <si>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</si>
  <si>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</si>
  <si>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</si>
  <si>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</si>
  <si>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</si>
  <si>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</si>
  <si>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</si>
  <si>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</si>
  <si>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</si>
  <si>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</si>
  <si>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</si>
  <si>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</si>
  <si>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</si>
  <si>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</si>
  <si>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</si>
  <si>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</si>
  <si>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</si>
  <si>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</si>
  <si>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</si>
  <si>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</si>
  <si>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</si>
  <si>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</si>
  <si>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</si>
  <si>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</si>
  <si>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</si>
  <si>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</si>
  <si>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</si>
  <si>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</si>
  <si>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</si>
  <si>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</si>
  <si>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</si>
  <si>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</si>
  <si>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</si>
  <si>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</si>
  <si>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</si>
  <si>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</si>
  <si>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</si>
  <si>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</si>
  <si>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</si>
  <si>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</si>
  <si>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</si>
  <si>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</si>
  <si>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t>Other Liability and Product Liability</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</si>
  <si>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</si>
  <si>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</si>
  <si>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</si>
  <si>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</si>
  <si>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</si>
  <si>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</si>
  <si>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</si>
  <si>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</si>
  <si>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Fire Folloing Earthquake</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</si>
  <si>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</si>
  <si>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</si>
  <si>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</si>
  <si>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</si>
  <si>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</si>
  <si>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</si>
  <si>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</si>
  <si>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</si>
  <si>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</si>
  <si>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</si>
  <si>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</si>
  <si>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</si>
  <si>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</si>
  <si>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</si>
  <si>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</si>
  <si>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</si>
  <si>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</si>
  <si>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</si>
  <si>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</si>
  <si>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</si>
  <si>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</si>
  <si>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</si>
  <si>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</si>
  <si>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</si>
  <si>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t>1/11/2022</t>
  </si>
  <si>
    <t>Nicole Pettis</t>
  </si>
  <si>
    <t>HO-44690</t>
  </si>
  <si>
    <t>Non-Tenant Homeowners</t>
  </si>
  <si>
    <t>21-1404</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</si>
  <si>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</si>
  <si>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</si>
  <si>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</si>
  <si>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</si>
  <si>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</si>
  <si>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</si>
  <si>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</si>
  <si>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</si>
  <si>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19-2063</t>
  </si>
  <si>
    <t>Renters</t>
  </si>
  <si>
    <t>Condominium Unitowners</t>
  </si>
  <si>
    <t>Manufactured Homes</t>
  </si>
  <si>
    <t>20-1734</t>
  </si>
  <si>
    <t>Rental Dwelling</t>
  </si>
  <si>
    <t>19-3750</t>
  </si>
  <si>
    <t>Rental Condo Unitowners</t>
  </si>
  <si>
    <t>20-1733</t>
  </si>
  <si>
    <t>Identity Restoration Coverage</t>
  </si>
  <si>
    <t>08-9010,9011</t>
  </si>
  <si>
    <t>2020</t>
  </si>
  <si>
    <t>HO-2842</t>
  </si>
  <si>
    <t>Increased Limits Endorsement</t>
  </si>
  <si>
    <t>HO-2842 is a new endorsement available to policyholders for optional use with the Homeowners Policy. The endorsement increases the policy's Special Limits of Liability for various classes of personal property. In addition, it increases the per item limit for Additional Coverages - Trees, Shrubs, and Landscaping.</t>
  </si>
  <si>
    <t>State Farm General Insurance Company</t>
  </si>
  <si>
    <t>Non-Tenant Homeowners and Condominium Unitowners</t>
  </si>
  <si>
    <t>Probabilistic</t>
  </si>
  <si>
    <t>SFMA-132818767</t>
  </si>
  <si>
    <t xml:space="preserve">CoreLogic, Inc. </t>
  </si>
  <si>
    <t>N/A</t>
  </si>
  <si>
    <t>AIR Worldwide Corporation</t>
  </si>
  <si>
    <t>RMS RiskLink 18.1</t>
  </si>
  <si>
    <t>Risk Management Solutions, Inc</t>
  </si>
  <si>
    <t>RMS RiskLink 17.0.1</t>
  </si>
  <si>
    <t>Fire Following EQ</t>
  </si>
  <si>
    <t>CoreLogic RQE v17.0</t>
  </si>
  <si>
    <t>AIR Touchstone 6.0</t>
  </si>
  <si>
    <t>GRID Fire Model</t>
  </si>
  <si>
    <t>CoreLogic RQE v19.2</t>
  </si>
  <si>
    <t>AIR Touchstone v8.0</t>
  </si>
  <si>
    <t>Impact Forecasting ELEMENTS v14</t>
  </si>
  <si>
    <t>AIR Touchstone 8.0</t>
  </si>
  <si>
    <t>There is no rate impact as this is a newly offered optional coverage.</t>
  </si>
  <si>
    <t>AON Impact Forecasting</t>
  </si>
  <si>
    <t>The Increased Limits Endorsement provides the customer with the option to increase a collection of limits.  An estimated dollar per policy impact was determined from a state specific analysis of each increased limit based on the level of exposure and expected impact to loss costs.  The charge for this endorsement will be $28. We intend to monitor the experience over time and adjust the rate accordingly.</t>
  </si>
  <si>
    <t xml:space="preserve">Corelogic Brushfire and Firebreak+     
</t>
  </si>
  <si>
    <t xml:space="preserve">Deterministic model where the four wildfire risk factors (low, moderate, high or very high) are used to determine eligibility.  
</t>
  </si>
  <si>
    <t>Please refer to page 200 of the attached rate manual.</t>
  </si>
  <si>
    <t>2021</t>
  </si>
  <si>
    <t>AIR Touchstone v6.0</t>
  </si>
  <si>
    <t>CoreLogic RQE v18</t>
  </si>
  <si>
    <t>xwwsMIxP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</si>
</sst>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5" formatCode="&quot;$&quot;#,##0_);\(&quot;$&quot;#,##0\)"/>
    <numFmt numFmtId="7" formatCode="&quot;$&quot;#,##0.00_);\(&quot;$&quot;#,##0.00\)"/>
    <numFmt numFmtId="44" formatCode="_(&quot;$&quot;* #,##0.00_);_(&quot;$&quot;* \(#,##0.00\);_(&quot;$&quot;* &quot;-&quot;??_);_(@_)"/>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83"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6"/>
      <color indexed="8"/>
      <name val="Times New Roman"/>
      <family val="1"/>
    </font>
    <font>
      <sz val="8.25"/>
      <name val="Microsoft Sans Serif"/>
      <family val="2"/>
    </font>
    <font>
      <sz val="10"/>
      <color rgb="FF000000"/>
      <name val="Times New Roman"/>
      <family val="1"/>
    </font>
  </fonts>
  <fills count="29">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98">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12">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xf numFmtId="0" fontId="49" fillId="0" borderId="0"/>
    <xf numFmtId="43" fontId="49" fillId="0" borderId="0" applyFont="0" applyFill="0" applyBorder="0" applyAlignment="0" applyProtection="0"/>
    <xf numFmtId="0" fontId="62" fillId="7" borderId="0" applyNumberFormat="0" applyBorder="0" applyAlignment="0" applyProtection="0"/>
    <xf numFmtId="0" fontId="62" fillId="7"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62" fillId="9" borderId="0" applyNumberFormat="0" applyBorder="0" applyAlignment="0" applyProtection="0"/>
    <xf numFmtId="0" fontId="62" fillId="9" borderId="0" applyNumberFormat="0" applyBorder="0" applyAlignment="0" applyProtection="0"/>
    <xf numFmtId="0" fontId="62" fillId="10" borderId="0" applyNumberFormat="0" applyBorder="0" applyAlignment="0" applyProtection="0"/>
    <xf numFmtId="0" fontId="62" fillId="10" borderId="0" applyNumberFormat="0" applyBorder="0" applyAlignment="0" applyProtection="0"/>
    <xf numFmtId="0" fontId="62" fillId="11" borderId="0" applyNumberFormat="0" applyBorder="0" applyAlignment="0" applyProtection="0"/>
    <xf numFmtId="0" fontId="62" fillId="11" borderId="0" applyNumberFormat="0" applyBorder="0" applyAlignment="0" applyProtection="0"/>
    <xf numFmtId="0" fontId="62" fillId="12" borderId="0" applyNumberFormat="0" applyBorder="0" applyAlignment="0" applyProtection="0"/>
    <xf numFmtId="0" fontId="62" fillId="12" borderId="0" applyNumberFormat="0" applyBorder="0" applyAlignment="0" applyProtection="0"/>
    <xf numFmtId="0" fontId="62" fillId="13" borderId="0" applyNumberFormat="0" applyBorder="0" applyAlignment="0" applyProtection="0"/>
    <xf numFmtId="0" fontId="62" fillId="13" borderId="0" applyNumberFormat="0" applyBorder="0" applyAlignment="0" applyProtection="0"/>
    <xf numFmtId="0" fontId="62" fillId="14" borderId="0" applyNumberFormat="0" applyBorder="0" applyAlignment="0" applyProtection="0"/>
    <xf numFmtId="0" fontId="62" fillId="14" borderId="0" applyNumberFormat="0" applyBorder="0" applyAlignment="0" applyProtection="0"/>
    <xf numFmtId="0" fontId="62" fillId="15" borderId="0" applyNumberFormat="0" applyBorder="0" applyAlignment="0" applyProtection="0"/>
    <xf numFmtId="0" fontId="62" fillId="15" borderId="0" applyNumberFormat="0" applyBorder="0" applyAlignment="0" applyProtection="0"/>
    <xf numFmtId="0" fontId="62" fillId="10" borderId="0" applyNumberFormat="0" applyBorder="0" applyAlignment="0" applyProtection="0"/>
    <xf numFmtId="0" fontId="62" fillId="10" borderId="0" applyNumberFormat="0" applyBorder="0" applyAlignment="0" applyProtection="0"/>
    <xf numFmtId="0" fontId="62" fillId="13" borderId="0" applyNumberFormat="0" applyBorder="0" applyAlignment="0" applyProtection="0"/>
    <xf numFmtId="0" fontId="62" fillId="13" borderId="0" applyNumberFormat="0" applyBorder="0" applyAlignment="0" applyProtection="0"/>
    <xf numFmtId="0" fontId="62" fillId="16" borderId="0" applyNumberFormat="0" applyBorder="0" applyAlignment="0" applyProtection="0"/>
    <xf numFmtId="0" fontId="62" fillId="16" borderId="0" applyNumberFormat="0" applyBorder="0" applyAlignment="0" applyProtection="0"/>
    <xf numFmtId="0" fontId="63" fillId="17" borderId="0" applyNumberFormat="0" applyBorder="0" applyAlignment="0" applyProtection="0"/>
    <xf numFmtId="0" fontId="63" fillId="14" borderId="0" applyNumberFormat="0" applyBorder="0" applyAlignment="0" applyProtection="0"/>
    <xf numFmtId="0" fontId="63" fillId="15" borderId="0" applyNumberFormat="0" applyBorder="0" applyAlignment="0" applyProtection="0"/>
    <xf numFmtId="0" fontId="63" fillId="18" borderId="0" applyNumberFormat="0" applyBorder="0" applyAlignment="0" applyProtection="0"/>
    <xf numFmtId="0" fontId="63" fillId="19" borderId="0" applyNumberFormat="0" applyBorder="0" applyAlignment="0" applyProtection="0"/>
    <xf numFmtId="0" fontId="63" fillId="20" borderId="0" applyNumberFormat="0" applyBorder="0" applyAlignment="0" applyProtection="0"/>
    <xf numFmtId="0" fontId="63" fillId="21" borderId="0" applyNumberFormat="0" applyBorder="0" applyAlignment="0" applyProtection="0"/>
    <xf numFmtId="0" fontId="63" fillId="22" borderId="0" applyNumberFormat="0" applyBorder="0" applyAlignment="0" applyProtection="0"/>
    <xf numFmtId="0" fontId="63" fillId="23" borderId="0" applyNumberFormat="0" applyBorder="0" applyAlignment="0" applyProtection="0"/>
    <xf numFmtId="0" fontId="63" fillId="18" borderId="0" applyNumberFormat="0" applyBorder="0" applyAlignment="0" applyProtection="0"/>
    <xf numFmtId="0" fontId="63" fillId="19" borderId="0" applyNumberFormat="0" applyBorder="0" applyAlignment="0" applyProtection="0"/>
    <xf numFmtId="0" fontId="63" fillId="24" borderId="0" applyNumberFormat="0" applyBorder="0" applyAlignment="0" applyProtection="0"/>
    <xf numFmtId="0" fontId="64" fillId="8" borderId="0" applyNumberFormat="0" applyBorder="0" applyAlignment="0" applyProtection="0"/>
    <xf numFmtId="0" fontId="65" fillId="25" borderId="89" applyNumberFormat="0" applyAlignment="0" applyProtection="0"/>
    <xf numFmtId="0" fontId="66" fillId="26" borderId="90" applyNumberFormat="0" applyAlignment="0" applyProtection="0"/>
    <xf numFmtId="43" fontId="62" fillId="0" borderId="0" applyFont="0" applyFill="0" applyBorder="0" applyAlignment="0" applyProtection="0"/>
    <xf numFmtId="43" fontId="49" fillId="0" borderId="0" applyFont="0" applyFill="0" applyBorder="0" applyAlignment="0" applyProtection="0"/>
    <xf numFmtId="43" fontId="49" fillId="0" borderId="0" applyFont="0" applyFill="0" applyBorder="0" applyAlignment="0" applyProtection="0"/>
    <xf numFmtId="43" fontId="49" fillId="0" borderId="0" applyFont="0" applyFill="0" applyBorder="0" applyAlignment="0" applyProtection="0"/>
    <xf numFmtId="44" fontId="49" fillId="0" borderId="0" applyFont="0" applyFill="0" applyBorder="0" applyAlignment="0" applyProtection="0"/>
    <xf numFmtId="44" fontId="62" fillId="0" borderId="0" applyFont="0" applyFill="0" applyBorder="0" applyAlignment="0" applyProtection="0"/>
    <xf numFmtId="44" fontId="49" fillId="0" borderId="0" applyFont="0" applyFill="0" applyBorder="0" applyAlignment="0" applyProtection="0"/>
    <xf numFmtId="44" fontId="49" fillId="0" borderId="0" applyFont="0" applyFill="0" applyBorder="0" applyAlignment="0" applyProtection="0"/>
    <xf numFmtId="44" fontId="49" fillId="0" borderId="0" applyFont="0" applyFill="0" applyBorder="0" applyAlignment="0" applyProtection="0"/>
    <xf numFmtId="0" fontId="67" fillId="0" borderId="0" applyNumberFormat="0" applyFill="0" applyBorder="0" applyAlignment="0" applyProtection="0"/>
    <xf numFmtId="0" fontId="68" fillId="9" borderId="0" applyNumberFormat="0" applyBorder="0" applyAlignment="0" applyProtection="0"/>
    <xf numFmtId="0" fontId="69" fillId="0" borderId="91" applyNumberFormat="0" applyFill="0" applyAlignment="0" applyProtection="0"/>
    <xf numFmtId="0" fontId="70" fillId="0" borderId="92" applyNumberFormat="0" applyFill="0" applyAlignment="0" applyProtection="0"/>
    <xf numFmtId="0" fontId="71" fillId="0" borderId="93" applyNumberFormat="0" applyFill="0" applyAlignment="0" applyProtection="0"/>
    <xf numFmtId="0" fontId="71" fillId="0" borderId="0" applyNumberFormat="0" applyFill="0" applyBorder="0" applyAlignment="0" applyProtection="0"/>
    <xf numFmtId="0" fontId="72" fillId="12" borderId="89" applyNumberFormat="0" applyAlignment="0" applyProtection="0"/>
    <xf numFmtId="0" fontId="73" fillId="0" borderId="94" applyNumberFormat="0" applyFill="0" applyAlignment="0" applyProtection="0"/>
    <xf numFmtId="0" fontId="74" fillId="27" borderId="0" applyNumberFormat="0" applyBorder="0" applyAlignment="0" applyProtection="0"/>
    <xf numFmtId="0" fontId="62" fillId="0" borderId="0"/>
    <xf numFmtId="0" fontId="15" fillId="0" borderId="0"/>
    <xf numFmtId="0" fontId="49" fillId="0" borderId="0"/>
    <xf numFmtId="0" fontId="62" fillId="0" borderId="0"/>
    <xf numFmtId="0" fontId="62" fillId="0" borderId="0"/>
    <xf numFmtId="0" fontId="49" fillId="0" borderId="0"/>
    <xf numFmtId="0" fontId="49" fillId="0" borderId="0"/>
    <xf numFmtId="0" fontId="62" fillId="28" borderId="95" applyNumberFormat="0" applyFont="0" applyAlignment="0" applyProtection="0"/>
    <xf numFmtId="0" fontId="62" fillId="28" borderId="95" applyNumberFormat="0" applyFont="0" applyAlignment="0" applyProtection="0"/>
    <xf numFmtId="0" fontId="75" fillId="25" borderId="96" applyNumberFormat="0" applyAlignment="0" applyProtection="0"/>
    <xf numFmtId="9" fontId="49" fillId="0" borderId="0" applyFont="0" applyFill="0" applyBorder="0" applyAlignment="0" applyProtection="0"/>
    <xf numFmtId="9" fontId="49" fillId="0" borderId="0" applyFont="0" applyFill="0" applyBorder="0" applyAlignment="0" applyProtection="0"/>
    <xf numFmtId="9" fontId="49" fillId="0" borderId="0" applyFont="0" applyFill="0" applyBorder="0" applyAlignment="0" applyProtection="0"/>
    <xf numFmtId="9" fontId="49" fillId="0" borderId="0" applyFont="0" applyFill="0" applyBorder="0" applyAlignment="0" applyProtection="0"/>
    <xf numFmtId="0" fontId="76" fillId="0" borderId="0" applyNumberFormat="0" applyFill="0" applyBorder="0" applyAlignment="0" applyProtection="0"/>
    <xf numFmtId="0" fontId="77" fillId="0" borderId="97" applyNumberFormat="0" applyFill="0" applyAlignment="0" applyProtection="0"/>
    <xf numFmtId="0" fontId="78" fillId="0" borderId="0" applyNumberFormat="0" applyFill="0" applyBorder="0" applyAlignment="0" applyProtection="0"/>
    <xf numFmtId="0" fontId="79" fillId="0" borderId="0"/>
    <xf numFmtId="43" fontId="79" fillId="0" borderId="0" applyFont="0" applyFill="0" applyBorder="0" applyAlignment="0" applyProtection="0"/>
    <xf numFmtId="43" fontId="79" fillId="0" borderId="0" applyFont="0" applyFill="0" applyBorder="0" applyAlignment="0" applyProtection="0"/>
    <xf numFmtId="44" fontId="79" fillId="0" borderId="0" applyFont="0" applyFill="0" applyBorder="0" applyAlignment="0" applyProtection="0"/>
    <xf numFmtId="44" fontId="79"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0" fontId="49" fillId="0" borderId="0"/>
    <xf numFmtId="0" fontId="49" fillId="0" borderId="0"/>
    <xf numFmtId="43" fontId="79" fillId="0" borderId="0" applyFont="0" applyFill="0" applyBorder="0" applyAlignment="0" applyProtection="0"/>
    <xf numFmtId="9" fontId="79"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3" fontId="49" fillId="0" borderId="0" applyFont="0" applyFill="0" applyBorder="0" applyAlignment="0" applyProtection="0"/>
    <xf numFmtId="43" fontId="80" fillId="0" borderId="0" applyFont="0" applyFill="0" applyBorder="0" applyAlignment="0" applyProtection="0"/>
    <xf numFmtId="43" fontId="62" fillId="0" borderId="0" applyFont="0" applyFill="0" applyBorder="0" applyAlignment="0" applyProtection="0"/>
    <xf numFmtId="0" fontId="81" fillId="0" borderId="0">
      <protection locked="0"/>
    </xf>
    <xf numFmtId="0" fontId="62" fillId="0" borderId="0"/>
    <xf numFmtId="0" fontId="82" fillId="0" borderId="0"/>
    <xf numFmtId="0" fontId="62" fillId="0" borderId="0"/>
    <xf numFmtId="0" fontId="82" fillId="0" borderId="0"/>
    <xf numFmtId="0" fontId="49" fillId="0" borderId="0"/>
    <xf numFmtId="0" fontId="49" fillId="0" borderId="0"/>
    <xf numFmtId="0" fontId="5" fillId="0" borderId="0"/>
    <xf numFmtId="0" fontId="5" fillId="0" borderId="0"/>
    <xf numFmtId="0" fontId="81" fillId="0" borderId="0">
      <protection locked="0"/>
    </xf>
    <xf numFmtId="0" fontId="49" fillId="0" borderId="0"/>
    <xf numFmtId="9" fontId="5" fillId="0" borderId="0" applyFont="0" applyFill="0" applyBorder="0" applyAlignment="0" applyProtection="0"/>
    <xf numFmtId="9" fontId="62" fillId="0" borderId="0" applyFont="0" applyFill="0" applyBorder="0" applyAlignment="0" applyProtection="0"/>
  </cellStyleXfs>
  <cellXfs count="631">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49" fontId="59"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9" fillId="2" borderId="38" xfId="0" applyNumberFormat="1" applyFont="1" applyFill="1" applyBorder="1" applyAlignment="1" applyProtection="1">
      <alignment horizontal="left" vertical="top"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9"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0" borderId="0"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112">
    <cellStyle name="20% - Accent1 2" xfId="10" xr:uid="{245CA26F-E654-498C-90F5-D805150F04A7}"/>
    <cellStyle name="20% - Accent1 3" xfId="9" xr:uid="{C1180E57-C54C-4CAC-884C-350C84BB5BF9}"/>
    <cellStyle name="20% - Accent2 2" xfId="12" xr:uid="{14390CBC-09DA-4A4E-9D45-74B00F8521F7}"/>
    <cellStyle name="20% - Accent2 3" xfId="11" xr:uid="{48BCCD83-71B7-4ED0-852E-A4838D64A402}"/>
    <cellStyle name="20% - Accent3 2" xfId="14" xr:uid="{169215B2-5A60-4199-96D3-2C3BA7DB8601}"/>
    <cellStyle name="20% - Accent3 3" xfId="13" xr:uid="{9ABFADBF-D21A-4D63-9798-434131FE0B07}"/>
    <cellStyle name="20% - Accent4 2" xfId="16" xr:uid="{273C7A5A-6FD4-4DA1-9793-6662CF87921D}"/>
    <cellStyle name="20% - Accent4 3" xfId="15" xr:uid="{5A22EDC8-7496-44FB-868F-A2D8DD9A234E}"/>
    <cellStyle name="20% - Accent5 2" xfId="18" xr:uid="{23F4F5EB-FCDC-41E9-B980-1C7D775937CE}"/>
    <cellStyle name="20% - Accent5 3" xfId="17" xr:uid="{07F79527-25D1-4DBC-93D5-A4019D4491B6}"/>
    <cellStyle name="20% - Accent6 2" xfId="20" xr:uid="{89C09C82-A39B-4CE6-B0AC-6575FACD4D04}"/>
    <cellStyle name="20% - Accent6 3" xfId="19" xr:uid="{1509CBD5-8CA0-443B-9308-A0D480C4FC50}"/>
    <cellStyle name="40% - Accent1 2" xfId="22" xr:uid="{7F326824-B265-487F-8A1E-CAB5ADDB439F}"/>
    <cellStyle name="40% - Accent1 3" xfId="21" xr:uid="{BE345DB8-B216-4567-8A8B-DF43B3BC0FF4}"/>
    <cellStyle name="40% - Accent2 2" xfId="24" xr:uid="{9281BE83-2253-4633-B194-92EF71498CA4}"/>
    <cellStyle name="40% - Accent2 3" xfId="23" xr:uid="{EBBEC792-5AAE-457D-8508-D0A8CC85AE02}"/>
    <cellStyle name="40% - Accent3 2" xfId="26" xr:uid="{66BD47F1-B99B-44B4-9387-31CE20378B81}"/>
    <cellStyle name="40% - Accent3 3" xfId="25" xr:uid="{2A060B58-3046-4010-A13A-48336ADCF686}"/>
    <cellStyle name="40% - Accent4 2" xfId="28" xr:uid="{01489EDB-7388-49D7-91B3-1FF898A2F07A}"/>
    <cellStyle name="40% - Accent4 3" xfId="27" xr:uid="{40CE4E9D-21FE-4FB8-B70D-297EC18879B6}"/>
    <cellStyle name="40% - Accent5 2" xfId="30" xr:uid="{2506A131-7314-4EFD-997D-935CE402C2CE}"/>
    <cellStyle name="40% - Accent5 3" xfId="29" xr:uid="{216A4450-D6D7-4480-B9D6-1B62A39142EA}"/>
    <cellStyle name="40% - Accent6 2" xfId="32" xr:uid="{012279B3-E7D3-4DDB-820A-9EED1C27BACD}"/>
    <cellStyle name="40% - Accent6 3" xfId="31" xr:uid="{B03EE5E0-6236-4996-8870-61A8FD7B0696}"/>
    <cellStyle name="60% - Accent1 2" xfId="33" xr:uid="{A0864E5D-A18B-42BF-8BF2-8F3AB14F3CEE}"/>
    <cellStyle name="60% - Accent2 2" xfId="34" xr:uid="{4F7CBDF0-8F82-4629-9191-8427AA88D44D}"/>
    <cellStyle name="60% - Accent3 2" xfId="35" xr:uid="{57663F0D-6844-42E9-AD52-711828A57EB6}"/>
    <cellStyle name="60% - Accent4 2" xfId="36" xr:uid="{EE3D5596-BA1A-4349-BF10-486ED0DD890E}"/>
    <cellStyle name="60% - Accent5 2" xfId="37" xr:uid="{986F7F15-54EE-4A7F-B545-DE960357CE6D}"/>
    <cellStyle name="60% - Accent6 2" xfId="38" xr:uid="{320B7CA1-14A7-46DF-9135-806B39210667}"/>
    <cellStyle name="Accent1 2" xfId="39" xr:uid="{2856EA33-CF39-415D-82DD-E5C00A197E90}"/>
    <cellStyle name="Accent2 2" xfId="40" xr:uid="{27F978DB-EB79-477D-9459-DA5A152EA060}"/>
    <cellStyle name="Accent3 2" xfId="41" xr:uid="{5CBE090B-9310-4DB5-816A-6F5892639648}"/>
    <cellStyle name="Accent4 2" xfId="42" xr:uid="{B2916D15-F853-454A-8D3B-16A2EC1769B7}"/>
    <cellStyle name="Accent5 2" xfId="43" xr:uid="{21B2C017-A38C-4A64-8B50-529273263354}"/>
    <cellStyle name="Accent6 2" xfId="44" xr:uid="{5905E5D3-DF9D-4E8F-B676-CD53541956FA}"/>
    <cellStyle name="Bad 2" xfId="45" xr:uid="{C4206190-4A6C-467C-8AE1-208158AB87C8}"/>
    <cellStyle name="Calculation 2" xfId="46" xr:uid="{D4BD8BF3-8FB7-406E-9448-42299518F2D2}"/>
    <cellStyle name="Check Cell 2" xfId="47" xr:uid="{A245F213-45DF-4A48-A9F5-D5F8F9142AF4}"/>
    <cellStyle name="Comma" xfId="5" builtinId="3"/>
    <cellStyle name="Comma 2" xfId="8" xr:uid="{3964A23E-2673-4E0F-BB16-93ADA02A857A}"/>
    <cellStyle name="Comma 2 2" xfId="48" xr:uid="{B8249678-9140-491D-AFBC-B49EBDDC0586}"/>
    <cellStyle name="Comma 2 3" xfId="85" xr:uid="{49C25A73-2E7E-47CD-998E-23461FBD471D}"/>
    <cellStyle name="Comma 3" xfId="49" xr:uid="{8B353715-DCAA-4882-9E23-CF8722258CC5}"/>
    <cellStyle name="Comma 3 2" xfId="92" xr:uid="{B76E640A-A626-42C9-96C5-45F3C65442DC}"/>
    <cellStyle name="Comma 3 2 2" xfId="96" xr:uid="{15398E6C-3F60-4D9B-8C34-785523B3B39F}"/>
    <cellStyle name="Comma 3 3" xfId="97" xr:uid="{26D5C2E5-3A1A-4891-A973-E0726099D88E}"/>
    <cellStyle name="Comma 4" xfId="50" xr:uid="{E622A0B3-D3C3-4DA0-B7B5-ED9739CC7BB9}"/>
    <cellStyle name="Comma 4 2" xfId="51" xr:uid="{0C875C7A-9369-4E1B-A44C-3148E03DA58C}"/>
    <cellStyle name="Comma 4 3" xfId="98" xr:uid="{979154FE-5C2B-412A-A782-7AD80D6CDB36}"/>
    <cellStyle name="Comma 5" xfId="84" xr:uid="{B1B29BCF-ADCE-4BCA-B26E-29C0E1AB5C88}"/>
    <cellStyle name="Comma 5 2" xfId="94" xr:uid="{A36D1F26-90A1-4FD4-808D-6B6680C7EFC7}"/>
    <cellStyle name="Currency 2" xfId="53" xr:uid="{52777073-2B5E-4AF6-B15E-BE0EE1DD03CD}"/>
    <cellStyle name="Currency 2 2" xfId="87" xr:uid="{5C26F893-B568-4306-81ED-E62DAE23306F}"/>
    <cellStyle name="Currency 3" xfId="54" xr:uid="{64737FA6-029B-4C4C-B11B-01FEFFA68A66}"/>
    <cellStyle name="Currency 4" xfId="55" xr:uid="{2272F218-E918-4468-A3D0-27115C81292E}"/>
    <cellStyle name="Currency 4 2" xfId="56" xr:uid="{C8893EAC-EC59-4681-AA98-7750DA97BBBF}"/>
    <cellStyle name="Currency 5" xfId="52" xr:uid="{203DB282-7964-422B-8CA3-507639997518}"/>
    <cellStyle name="Currency 5 2" xfId="95" xr:uid="{C95AEE52-3F67-4DD8-8CC1-53A18A5986F4}"/>
    <cellStyle name="Currency 6" xfId="86" xr:uid="{A9F61C3B-B9CA-4F0E-92AB-2C950E2D69F1}"/>
    <cellStyle name="Explanatory Text 2" xfId="57" xr:uid="{76940C0C-B9B6-4BFB-AD57-5A4D66061798}"/>
    <cellStyle name="Good 2" xfId="58" xr:uid="{C3F3C75B-3355-4580-9758-E689E726C0ED}"/>
    <cellStyle name="Heading 1 2" xfId="59" xr:uid="{0474784D-D5CE-4E1C-BDC0-ADD1B346521F}"/>
    <cellStyle name="Heading 2 2" xfId="60" xr:uid="{FC5C5179-91A0-49E6-8C52-3D79A6C7A63F}"/>
    <cellStyle name="Heading 3 2" xfId="61" xr:uid="{0F88CCF5-98A2-4052-95FA-745A2BD38FAB}"/>
    <cellStyle name="Heading 4 2" xfId="62" xr:uid="{7F24E3EB-5508-44BF-8BA9-A3393BAF9B13}"/>
    <cellStyle name="Hyperlink" xfId="1" builtinId="8"/>
    <cellStyle name="Input 2" xfId="63" xr:uid="{B7578BF8-9E6E-4D69-ACCB-01C3C68152A9}"/>
    <cellStyle name="Linked Cell 2" xfId="64" xr:uid="{A85B39F4-BA8D-4E66-9CF5-1D986E4C94AE}"/>
    <cellStyle name="Neutral 2" xfId="65" xr:uid="{A25D418F-939C-41F6-9C49-CA0A153E7F5D}"/>
    <cellStyle name="Normal" xfId="0" builtinId="0"/>
    <cellStyle name="Normal 10" xfId="99" xr:uid="{89CCA138-A442-4C8F-8B8C-0AEF640F87D8}"/>
    <cellStyle name="Normal 11" xfId="100" xr:uid="{BFCA5A9D-AE11-4C3D-8CDA-AE97BDEF02A8}"/>
    <cellStyle name="Normal 12" xfId="101" xr:uid="{C4CFE548-91CD-48EE-A3EC-E20C319F8B75}"/>
    <cellStyle name="Normal 13" xfId="102" xr:uid="{CF5CAE25-54E3-485C-A540-4D7C6916DB4F}"/>
    <cellStyle name="Normal 2" xfId="2" xr:uid="{00000000-0005-0000-0000-000003000000}"/>
    <cellStyle name="Normal 2 2" xfId="6" xr:uid="{00000000-0005-0000-0000-000004000000}"/>
    <cellStyle name="Normal 2 2 2" xfId="103" xr:uid="{B13AE462-E73B-43C6-96B8-1A8C9B3756FE}"/>
    <cellStyle name="Normal 2 2 3" xfId="66" xr:uid="{8A50F189-120D-478B-B494-45C11ED5274B}"/>
    <cellStyle name="Normal 3" xfId="7" xr:uid="{398A8B32-5B2C-4DB9-9A07-CFE0B4B8954C}"/>
    <cellStyle name="Normal 3 2" xfId="67" xr:uid="{9D2377F4-D96F-4E8A-9F9C-2D958E3FF1FC}"/>
    <cellStyle name="Normal 3 2 2" xfId="104" xr:uid="{74EC4EBC-5067-49E3-973A-80D8EB3EBFF7}"/>
    <cellStyle name="Normal 4" xfId="68" xr:uid="{37E90CD5-91C3-4349-9524-6DA97B591867}"/>
    <cellStyle name="Normal 4 2" xfId="105" xr:uid="{0E427760-7094-47A7-8BE8-95D59D51F5C8}"/>
    <cellStyle name="Normal 4 2 2" xfId="106" xr:uid="{7C6E0ABD-70B4-45A6-B97F-BBDEFD583BC5}"/>
    <cellStyle name="Normal 5" xfId="69" xr:uid="{D768F25E-B7E4-4674-B92D-2E95D1052479}"/>
    <cellStyle name="Normal 5 2" xfId="70" xr:uid="{BD19B828-599B-4688-949F-D7F07E88155B}"/>
    <cellStyle name="Normal 5 3" xfId="107" xr:uid="{E5B7C481-E8C9-4513-9176-C6BBD23C303E}"/>
    <cellStyle name="Normal 6" xfId="71" xr:uid="{4A3FFB77-9CBA-45F7-9FCB-35565285D1B7}"/>
    <cellStyle name="Normal 7" xfId="72" xr:uid="{CE01534D-E730-4624-801A-21DC9C7C15AD}"/>
    <cellStyle name="Normal 8" xfId="83" xr:uid="{DD99839B-7E24-4BC1-93D7-2E46ECA49134}"/>
    <cellStyle name="Normal 8 2" xfId="108" xr:uid="{F5704B2D-7F06-4E49-9766-6C4670F9585B}"/>
    <cellStyle name="Normal 9" xfId="90" xr:uid="{A7CEF234-10B4-4B7C-8CDD-B220C09E811E}"/>
    <cellStyle name="Normal 9 2" xfId="91" xr:uid="{58E54ABB-1279-4103-9570-C0BC45B76550}"/>
    <cellStyle name="Normal 9 3" xfId="109" xr:uid="{FDE84254-7B98-493D-90D5-C7B77A1F8402}"/>
    <cellStyle name="Note 2" xfId="74" xr:uid="{434E8F5B-C2B4-437C-96CD-C840BEE3ACBB}"/>
    <cellStyle name="Note 3" xfId="73" xr:uid="{DE42F741-6496-4696-A709-82F2B9062188}"/>
    <cellStyle name="Output 2" xfId="75" xr:uid="{E77C7276-DE95-42CA-A653-DDA951D8009D}"/>
    <cellStyle name="Percent" xfId="3" builtinId="5"/>
    <cellStyle name="Percent 2" xfId="77" xr:uid="{6A7D0045-2F62-4933-B17E-7ECBAD204944}"/>
    <cellStyle name="Percent 2 2" xfId="89" xr:uid="{A00412FD-3989-4A5A-94EB-AB4C76B81F2A}"/>
    <cellStyle name="Percent 3" xfId="4" xr:uid="{00000000-0005-0000-0000-000006000000}"/>
    <cellStyle name="Percent 3 2" xfId="79" xr:uid="{F7F8C4CB-15EA-41F4-B21D-59F2E9F3EA31}"/>
    <cellStyle name="Percent 3 3" xfId="78" xr:uid="{28C3B78F-F631-4D30-BFDA-5C5134A46102}"/>
    <cellStyle name="Percent 3 4" xfId="93" xr:uid="{19C4C4FD-A723-4A97-BF3B-A4BF1D89B833}"/>
    <cellStyle name="Percent 4" xfId="76" xr:uid="{EAE294C4-4971-462C-A607-6B93B38E37D1}"/>
    <cellStyle name="Percent 4 2" xfId="110" xr:uid="{D44EDEED-FCB2-4626-8D97-E5A3220AAE28}"/>
    <cellStyle name="Percent 5" xfId="88" xr:uid="{A33F6AAD-F9FE-4258-96AC-DB5A0999575F}"/>
    <cellStyle name="Percent 5 2" xfId="111" xr:uid="{72DDDFF5-402A-4AE2-9F21-C23EB20C4D6E}"/>
    <cellStyle name="Title 2" xfId="80" xr:uid="{F2E74B16-DC6A-43AE-B118-342242A92339}"/>
    <cellStyle name="Total 2" xfId="81" xr:uid="{9F350ABC-2DA3-45E6-9DB9-5EE5AE4E07FE}"/>
    <cellStyle name="Warning Text 2" xfId="82" xr:uid="{A17AD542-AFF6-4300-8B69-5D91A2753070}"/>
  </cellStyles>
  <dxfs count="28">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1" val="0"/>
</file>

<file path=xl/ctrlProps/ctrlProp6.xml><?xml version="1.0" encoding="utf-8"?>
<formControlPr xmlns="http://schemas.microsoft.com/office/spreadsheetml/2009/9/main" objectType="Drop" dropLines="3" dropStyle="combo" dx="16" fmlaLink="$K$20" fmlaRange="List_YNnaIndicator" sel="2"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checked="Checked" fmlaLink="$M$36" lockText="1"/>
</file>

<file path=xl/ctrlProps/ctrlProp12.xml><?xml version="1.0" encoding="utf-8"?>
<formControlPr xmlns="http://schemas.microsoft.com/office/spreadsheetml/2009/9/main" objectType="CheckBox" checked="Checked"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2"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11"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checked="Checked" fmlaLink="No_Fees"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lockText="1"/>
</file>

<file path=xl/ctrlProps/ctrlProp134.xml><?xml version="1.0" encoding="utf-8"?>
<formControlPr xmlns="http://schemas.microsoft.com/office/spreadsheetml/2009/9/main" objectType="CheckBox" lockText="1"/>
</file>

<file path=xl/ctrlProps/ctrlProp135.xml><?xml version="1.0" encoding="utf-8"?>
<formControlPr xmlns="http://schemas.microsoft.com/office/spreadsheetml/2009/9/main" objectType="CheckBox" fmlaLink="Change_Fees" lockText="1"/>
</file>

<file path=xl/ctrlProps/ctrlProp136.xml><?xml version="1.0" encoding="utf-8"?>
<formControlPr xmlns="http://schemas.microsoft.com/office/spreadsheetml/2009/9/main" objectType="Button"/>
</file>

<file path=xl/ctrlProps/ctrlProp137.xml><?xml version="1.0" encoding="utf-8"?>
<formControlPr xmlns="http://schemas.microsoft.com/office/spreadsheetml/2009/9/main" objectType="Button"/>
</file>

<file path=xl/ctrlProps/ctrlProp138.xml><?xml version="1.0" encoding="utf-8"?>
<formControlPr xmlns="http://schemas.microsoft.com/office/spreadsheetml/2009/9/main" objectType="Button"/>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checked="Checked" lockText="1"/>
</file>

<file path=xl/ctrlProps/ctrlProp142.xml><?xml version="1.0" encoding="utf-8"?>
<formControlPr xmlns="http://schemas.microsoft.com/office/spreadsheetml/2009/9/main" objectType="CheckBox" fmlaLink="$E$12"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CheckBox" lockText="1"/>
</file>

<file path=xl/ctrlProps/ctrlProp145.xml><?xml version="1.0" encoding="utf-8"?>
<formControlPr xmlns="http://schemas.microsoft.com/office/spreadsheetml/2009/9/main" objectType="CheckBox" checked="Checked" lockText="1"/>
</file>

<file path=xl/ctrlProps/ctrlProp146.xml><?xml version="1.0" encoding="utf-8"?>
<formControlPr xmlns="http://schemas.microsoft.com/office/spreadsheetml/2009/9/main" objectType="CheckBox" checked="Checked" lockText="1"/>
</file>

<file path=xl/ctrlProps/ctrlProp147.xml><?xml version="1.0" encoding="utf-8"?>
<formControlPr xmlns="http://schemas.microsoft.com/office/spreadsheetml/2009/9/main" objectType="Drop" dropLines="23" dropStyle="combo" dx="16" fmlaLink="$H$23" fmlaRange="References!$H$6:$H$28" sel="23" val="0"/>
</file>

<file path=xl/ctrlProps/ctrlProp148.xml><?xml version="1.0" encoding="utf-8"?>
<formControlPr xmlns="http://schemas.microsoft.com/office/spreadsheetml/2009/9/main" objectType="Drop" dropLines="23" dropStyle="combo" dx="16" fmlaLink="$H$26" fmlaRange="References!$H$6:$H$28" sel="23" val="0"/>
</file>

<file path=xl/ctrlProps/ctrlProp149.xml><?xml version="1.0" encoding="utf-8"?>
<formControlPr xmlns="http://schemas.microsoft.com/office/spreadsheetml/2009/9/main" objectType="Drop" dropLines="23" dropStyle="combo" dx="16" fmlaLink="$H$29" fmlaRange="References!$H$6:$H$28" sel="23" val="0"/>
</file>

<file path=xl/ctrlProps/ctrlProp150.xml><?xml version="1.0" encoding="utf-8"?>
<formControlPr xmlns="http://schemas.microsoft.com/office/spreadsheetml/2009/9/main" objectType="Drop" dropLines="23" dropStyle="combo" dx="16" fmlaLink="$H$16" fmlaRange="References!$H$6:$H$28" sel="13" val="0"/>
</file>

<file path=xl/ctrlProps/ctrlProp151.xml><?xml version="1.0" encoding="utf-8"?>
<formControlPr xmlns="http://schemas.microsoft.com/office/spreadsheetml/2009/9/main" objectType="Drop" dropLines="23" dropStyle="combo" dx="16" fmlaLink="$H$20" fmlaRange="References!$H$6:$H$28" sel="21" val="0"/>
</file>

<file path=xl/ctrlProps/ctrlProp152.xml><?xml version="1.0" encoding="utf-8"?>
<formControlPr xmlns="http://schemas.microsoft.com/office/spreadsheetml/2009/9/main" objectType="Drop" dropLines="23" dropStyle="combo" dx="16" fmlaLink="$H$32" fmlaRange="References!$H$6:$H$28" sel="23" val="0"/>
</file>

<file path=xl/ctrlProps/ctrlProp153.xml><?xml version="1.0" encoding="utf-8"?>
<formControlPr xmlns="http://schemas.microsoft.com/office/spreadsheetml/2009/9/main" objectType="Drop" dropLines="23" dropStyle="combo" dx="16" fmlaLink="$H$35" fmlaRange="References!$H$6:$H$28" sel="23" val="0"/>
</file>

<file path=xl/ctrlProps/ctrlProp154.xml><?xml version="1.0" encoding="utf-8"?>
<formControlPr xmlns="http://schemas.microsoft.com/office/spreadsheetml/2009/9/main" objectType="Drop" dropLines="23" dropStyle="combo" dx="16" fmlaLink="$H$38" fmlaRange="References!$H$6:$H$28" sel="23" val="0"/>
</file>

<file path=xl/ctrlProps/ctrlProp155.xml><?xml version="1.0" encoding="utf-8"?>
<formControlPr xmlns="http://schemas.microsoft.com/office/spreadsheetml/2009/9/main" objectType="Drop" dropLines="23" dropStyle="combo" dx="16" fmlaLink="$H$41" fmlaRange="References!$H$6:$H$28" sel="23" val="0"/>
</file>

<file path=xl/ctrlProps/ctrlProp156.xml><?xml version="1.0" encoding="utf-8"?>
<formControlPr xmlns="http://schemas.microsoft.com/office/spreadsheetml/2009/9/main" objectType="Drop" dropLines="23" dropStyle="combo" dx="16" fmlaLink="$H$44" fmlaRange="References!$H$6:$H$28" sel="23" val="0"/>
</file>

<file path=xl/ctrlProps/ctrlProp157.xml><?xml version="1.0" encoding="utf-8"?>
<formControlPr xmlns="http://schemas.microsoft.com/office/spreadsheetml/2009/9/main" objectType="CheckBox" checked="Checked" fmlaLink="B9" lockText="1" noThreeD="1"/>
</file>

<file path=xl/ctrlProps/ctrlProp158.xml><?xml version="1.0" encoding="utf-8"?>
<formControlPr xmlns="http://schemas.microsoft.com/office/spreadsheetml/2009/9/main" objectType="CheckBox" fmlaLink="G9" lockText="1" noThreeD="1"/>
</file>

<file path=xl/ctrlProps/ctrlProp159.xml><?xml version="1.0" encoding="utf-8"?>
<formControlPr xmlns="http://schemas.microsoft.com/office/spreadsheetml/2009/9/main" objectType="CheckBox" fmlaLink="G12" lockText="1" noThreeD="1"/>
</file>

<file path=xl/ctrlProps/ctrlProp160.xml><?xml version="1.0" encoding="utf-8"?>
<formControlPr xmlns="http://schemas.microsoft.com/office/spreadsheetml/2009/9/main" objectType="CheckBox" fmlaLink="G13" lockText="1" noThreeD="1"/>
</file>

<file path=xl/ctrlProps/ctrlProp161.xml><?xml version="1.0" encoding="utf-8"?>
<formControlPr xmlns="http://schemas.microsoft.com/office/spreadsheetml/2009/9/main" objectType="CheckBox" fmlaLink="G16" lockText="1" noThreeD="1"/>
</file>

<file path=xl/ctrlProps/ctrlProp162.xml><?xml version="1.0" encoding="utf-8"?>
<formControlPr xmlns="http://schemas.microsoft.com/office/spreadsheetml/2009/9/main" objectType="CheckBox" checked="Checked" fmlaLink="G17" lockText="1" noThreeD="1"/>
</file>

<file path=xl/ctrlProps/ctrlProp163.xml><?xml version="1.0" encoding="utf-8"?>
<formControlPr xmlns="http://schemas.microsoft.com/office/spreadsheetml/2009/9/main" objectType="CheckBox" fmlaLink="L16" lockText="1" noThreeD="1"/>
</file>

<file path=xl/ctrlProps/ctrlProp164.xml><?xml version="1.0" encoding="utf-8"?>
<formControlPr xmlns="http://schemas.microsoft.com/office/spreadsheetml/2009/9/main" objectType="CheckBox" fmlaLink="L17" lockText="1" noThreeD="1"/>
</file>

<file path=xl/ctrlProps/ctrlProp165.xml><?xml version="1.0" encoding="utf-8"?>
<formControlPr xmlns="http://schemas.microsoft.com/office/spreadsheetml/2009/9/main" objectType="CheckBox" fmlaLink="B16" lockText="1" noThreeD="1"/>
</file>

<file path=xl/ctrlProps/ctrlProp166.xml><?xml version="1.0" encoding="utf-8"?>
<formControlPr xmlns="http://schemas.microsoft.com/office/spreadsheetml/2009/9/main" objectType="CheckBox" fmlaLink="B17" lockText="1" noThreeD="1"/>
</file>

<file path=xl/ctrlProps/ctrlProp167.xml><?xml version="1.0" encoding="utf-8"?>
<formControlPr xmlns="http://schemas.microsoft.com/office/spreadsheetml/2009/9/main" objectType="CheckBox" fmlaLink="B12" lockText="1" noThreeD="1"/>
</file>

<file path=xl/ctrlProps/ctrlProp168.xml><?xml version="1.0" encoding="utf-8"?>
<formControlPr xmlns="http://schemas.microsoft.com/office/spreadsheetml/2009/9/main" objectType="CheckBox" checked="Checked" fmlaLink="B13" lockText="1" noThreeD="1"/>
</file>

<file path=xl/ctrlProps/ctrlProp169.xml><?xml version="1.0" encoding="utf-8"?>
<formControlPr xmlns="http://schemas.microsoft.com/office/spreadsheetml/2009/9/main" objectType="CheckBox" fmlaLink="B21" lockText="1" noThreeD="1"/>
</file>

<file path=xl/ctrlProps/ctrlProp170.xml><?xml version="1.0" encoding="utf-8"?>
<formControlPr xmlns="http://schemas.microsoft.com/office/spreadsheetml/2009/9/main" objectType="CheckBox" fmlaLink="B25" lockText="1" noThreeD="1"/>
</file>

<file path=xl/ctrlProps/ctrlProp171.xml><?xml version="1.0" encoding="utf-8"?>
<formControlPr xmlns="http://schemas.microsoft.com/office/spreadsheetml/2009/9/main" objectType="CheckBox" fmlaLink="G25" lockText="1" noThreeD="1"/>
</file>

<file path=xl/ctrlProps/ctrlProp172.xml><?xml version="1.0" encoding="utf-8"?>
<formControlPr xmlns="http://schemas.microsoft.com/office/spreadsheetml/2009/9/main" objectType="CheckBox" fmlaLink="L25" lockText="1" noThreeD="1"/>
</file>

<file path=xl/ctrlProps/ctrlProp173.xml><?xml version="1.0" encoding="utf-8"?>
<formControlPr xmlns="http://schemas.microsoft.com/office/spreadsheetml/2009/9/main" objectType="CheckBox" fmlaLink="G21" lockText="1" noThreeD="1"/>
</file>

<file path=xl/ctrlProps/ctrlProp174.xml><?xml version="1.0" encoding="utf-8"?>
<formControlPr xmlns="http://schemas.microsoft.com/office/spreadsheetml/2009/9/main" objectType="CheckBox" fmlaLink="B29" lockText="1" noThreeD="1"/>
</file>

<file path=xl/ctrlProps/ctrlProp175.xml><?xml version="1.0" encoding="utf-8"?>
<formControlPr xmlns="http://schemas.microsoft.com/office/spreadsheetml/2009/9/main" objectType="CheckBox" fmlaLink="B30" lockText="1" noThreeD="1"/>
</file>

<file path=xl/ctrlProps/ctrlProp176.xml><?xml version="1.0" encoding="utf-8"?>
<formControlPr xmlns="http://schemas.microsoft.com/office/spreadsheetml/2009/9/main" objectType="CheckBox" fmlaLink="B31" lockText="1" noThreeD="1"/>
</file>

<file path=xl/ctrlProps/ctrlProp177.xml><?xml version="1.0" encoding="utf-8"?>
<formControlPr xmlns="http://schemas.microsoft.com/office/spreadsheetml/2009/9/main" objectType="CheckBox" fmlaLink="G29" lockText="1" noThreeD="1"/>
</file>

<file path=xl/ctrlProps/ctrlProp178.xml><?xml version="1.0" encoding="utf-8"?>
<formControlPr xmlns="http://schemas.microsoft.com/office/spreadsheetml/2009/9/main" objectType="CheckBox" fmlaLink="G30" lockText="1" noThreeD="1"/>
</file>

<file path=xl/ctrlProps/ctrlProp179.xml><?xml version="1.0" encoding="utf-8"?>
<formControlPr xmlns="http://schemas.microsoft.com/office/spreadsheetml/2009/9/main" objectType="CheckBox" checked="Checked" fmlaLink="G31" lockText="1" noThreeD="1"/>
</file>

<file path=xl/ctrlProps/ctrlProp180.xml><?xml version="1.0" encoding="utf-8"?>
<formControlPr xmlns="http://schemas.microsoft.com/office/spreadsheetml/2009/9/main" objectType="CheckBox" fmlaLink="L29" lockText="1" noThreeD="1"/>
</file>

<file path=xl/ctrlProps/ctrlProp181.xml><?xml version="1.0" encoding="utf-8"?>
<formControlPr xmlns="http://schemas.microsoft.com/office/spreadsheetml/2009/9/main" objectType="CheckBox" fmlaLink="L30" lockText="1" noThreeD="1"/>
</file>

<file path=xl/ctrlProps/ctrlProp182.xml><?xml version="1.0" encoding="utf-8"?>
<formControlPr xmlns="http://schemas.microsoft.com/office/spreadsheetml/2009/9/main" objectType="CheckBox" fmlaLink="B34" lockText="1" noThreeD="1"/>
</file>

<file path=xl/ctrlProps/ctrlProp183.xml><?xml version="1.0" encoding="utf-8"?>
<formControlPr xmlns="http://schemas.microsoft.com/office/spreadsheetml/2009/9/main" objectType="CheckBox" checked="Checked" fmlaLink="G34" lockText="1" noThreeD="1"/>
</file>

<file path=xl/ctrlProps/ctrlProp184.xml><?xml version="1.0" encoding="utf-8"?>
<formControlPr xmlns="http://schemas.microsoft.com/office/spreadsheetml/2009/9/main" objectType="CheckBox" fmlaLink="L34" lockText="1" noThreeD="1"/>
</file>

<file path=xl/ctrlProps/ctrlProp185.xml><?xml version="1.0" encoding="utf-8"?>
<formControlPr xmlns="http://schemas.microsoft.com/office/spreadsheetml/2009/9/main" objectType="CheckBox" fmlaLink="B40" lockText="1" noThreeD="1"/>
</file>

<file path=xl/ctrlProps/ctrlProp186.xml><?xml version="1.0" encoding="utf-8"?>
<formControlPr xmlns="http://schemas.microsoft.com/office/spreadsheetml/2009/9/main" objectType="CheckBox" checked="Checked" fmlaLink="G40" lockText="1" noThreeD="1"/>
</file>

<file path=xl/ctrlProps/ctrlProp187.xml><?xml version="1.0" encoding="utf-8"?>
<formControlPr xmlns="http://schemas.microsoft.com/office/spreadsheetml/2009/9/main" objectType="CheckBox" fmlaLink="B35" lockText="1" noThreeD="1"/>
</file>

<file path=xl/ctrlProps/ctrlProp188.xml><?xml version="1.0" encoding="utf-8"?>
<formControlPr xmlns="http://schemas.microsoft.com/office/spreadsheetml/2009/9/main" objectType="CheckBox" fmlaLink="B18" lockText="1" noThreeD="1"/>
</file>

<file path=xl/ctrlProps/ctrlProp189.xml><?xml version="1.0" encoding="utf-8"?>
<formControlPr xmlns="http://schemas.microsoft.com/office/spreadsheetml/2009/9/main" objectType="CheckBox" checked="Checked" fmlaLink="B9" lockText="1" noThreeD="1"/>
</file>

<file path=xl/ctrlProps/ctrlProp190.xml><?xml version="1.0" encoding="utf-8"?>
<formControlPr xmlns="http://schemas.microsoft.com/office/spreadsheetml/2009/9/main" objectType="CheckBox" fmlaLink="G9" lockText="1" noThreeD="1"/>
</file>

<file path=xl/ctrlProps/ctrlProp191.xml><?xml version="1.0" encoding="utf-8"?>
<formControlPr xmlns="http://schemas.microsoft.com/office/spreadsheetml/2009/9/main" objectType="CheckBox" fmlaLink="G12" lockText="1" noThreeD="1"/>
</file>

<file path=xl/ctrlProps/ctrlProp192.xml><?xml version="1.0" encoding="utf-8"?>
<formControlPr xmlns="http://schemas.microsoft.com/office/spreadsheetml/2009/9/main" objectType="CheckBox" fmlaLink="G13" lockText="1" noThreeD="1"/>
</file>

<file path=xl/ctrlProps/ctrlProp193.xml><?xml version="1.0" encoding="utf-8"?>
<formControlPr xmlns="http://schemas.microsoft.com/office/spreadsheetml/2009/9/main" objectType="CheckBox" fmlaLink="G16" lockText="1" noThreeD="1"/>
</file>

<file path=xl/ctrlProps/ctrlProp194.xml><?xml version="1.0" encoding="utf-8"?>
<formControlPr xmlns="http://schemas.microsoft.com/office/spreadsheetml/2009/9/main" objectType="CheckBox" fmlaLink="G17" lockText="1" noThreeD="1"/>
</file>

<file path=xl/ctrlProps/ctrlProp195.xml><?xml version="1.0" encoding="utf-8"?>
<formControlPr xmlns="http://schemas.microsoft.com/office/spreadsheetml/2009/9/main" objectType="CheckBox" fmlaLink="L16" lockText="1" noThreeD="1"/>
</file>

<file path=xl/ctrlProps/ctrlProp196.xml><?xml version="1.0" encoding="utf-8"?>
<formControlPr xmlns="http://schemas.microsoft.com/office/spreadsheetml/2009/9/main" objectType="CheckBox" fmlaLink="L17" lockText="1" noThreeD="1"/>
</file>

<file path=xl/ctrlProps/ctrlProp197.xml><?xml version="1.0" encoding="utf-8"?>
<formControlPr xmlns="http://schemas.microsoft.com/office/spreadsheetml/2009/9/main" objectType="CheckBox" fmlaLink="B16" lockText="1" noThreeD="1"/>
</file>

<file path=xl/ctrlProps/ctrlProp198.xml><?xml version="1.0" encoding="utf-8"?>
<formControlPr xmlns="http://schemas.microsoft.com/office/spreadsheetml/2009/9/main" objectType="CheckBox" checked="Checked" fmlaLink="B17" lockText="1" noThreeD="1"/>
</file>

<file path=xl/ctrlProps/ctrlProp199.xml><?xml version="1.0" encoding="utf-8"?>
<formControlPr xmlns="http://schemas.microsoft.com/office/spreadsheetml/2009/9/main" objectType="CheckBox" fmlaLink="B12" lockText="1" noThreeD="1"/>
</file>

<file path=xl/ctrlProps/ctrlProp200.xml><?xml version="1.0" encoding="utf-8"?>
<formControlPr xmlns="http://schemas.microsoft.com/office/spreadsheetml/2009/9/main" objectType="CheckBox" checked="Checked" fmlaLink="B13" lockText="1" noThreeD="1"/>
</file>

<file path=xl/ctrlProps/ctrlProp201.xml><?xml version="1.0" encoding="utf-8"?>
<formControlPr xmlns="http://schemas.microsoft.com/office/spreadsheetml/2009/9/main" objectType="CheckBox" fmlaLink="B21" lockText="1" noThreeD="1"/>
</file>

<file path=xl/ctrlProps/ctrlProp202.xml><?xml version="1.0" encoding="utf-8"?>
<formControlPr xmlns="http://schemas.microsoft.com/office/spreadsheetml/2009/9/main" objectType="CheckBox" fmlaLink="B25" lockText="1" noThreeD="1"/>
</file>

<file path=xl/ctrlProps/ctrlProp203.xml><?xml version="1.0" encoding="utf-8"?>
<formControlPr xmlns="http://schemas.microsoft.com/office/spreadsheetml/2009/9/main" objectType="CheckBox" fmlaLink="G25" lockText="1" noThreeD="1"/>
</file>

<file path=xl/ctrlProps/ctrlProp204.xml><?xml version="1.0" encoding="utf-8"?>
<formControlPr xmlns="http://schemas.microsoft.com/office/spreadsheetml/2009/9/main" objectType="CheckBox" fmlaLink="L25" lockText="1" noThreeD="1"/>
</file>

<file path=xl/ctrlProps/ctrlProp205.xml><?xml version="1.0" encoding="utf-8"?>
<formControlPr xmlns="http://schemas.microsoft.com/office/spreadsheetml/2009/9/main" objectType="CheckBox" fmlaLink="G21" lockText="1" noThreeD="1"/>
</file>

<file path=xl/ctrlProps/ctrlProp206.xml><?xml version="1.0" encoding="utf-8"?>
<formControlPr xmlns="http://schemas.microsoft.com/office/spreadsheetml/2009/9/main" objectType="CheckBox" fmlaLink="B29" lockText="1" noThreeD="1"/>
</file>

<file path=xl/ctrlProps/ctrlProp207.xml><?xml version="1.0" encoding="utf-8"?>
<formControlPr xmlns="http://schemas.microsoft.com/office/spreadsheetml/2009/9/main" objectType="CheckBox" fmlaLink="B30" lockText="1" noThreeD="1"/>
</file>

<file path=xl/ctrlProps/ctrlProp208.xml><?xml version="1.0" encoding="utf-8"?>
<formControlPr xmlns="http://schemas.microsoft.com/office/spreadsheetml/2009/9/main" objectType="CheckBox" fmlaLink="B31" lockText="1" noThreeD="1"/>
</file>

<file path=xl/ctrlProps/ctrlProp209.xml><?xml version="1.0" encoding="utf-8"?>
<formControlPr xmlns="http://schemas.microsoft.com/office/spreadsheetml/2009/9/main" objectType="CheckBox" fmlaLink="G29" lockText="1" noThreeD="1"/>
</file>

<file path=xl/ctrlProps/ctrlProp210.xml><?xml version="1.0" encoding="utf-8"?>
<formControlPr xmlns="http://schemas.microsoft.com/office/spreadsheetml/2009/9/main" objectType="CheckBox" fmlaLink="G30" lockText="1" noThreeD="1"/>
</file>

<file path=xl/ctrlProps/ctrlProp211.xml><?xml version="1.0" encoding="utf-8"?>
<formControlPr xmlns="http://schemas.microsoft.com/office/spreadsheetml/2009/9/main" objectType="CheckBox" checked="Checked" fmlaLink="G31" lockText="1" noThreeD="1"/>
</file>

<file path=xl/ctrlProps/ctrlProp212.xml><?xml version="1.0" encoding="utf-8"?>
<formControlPr xmlns="http://schemas.microsoft.com/office/spreadsheetml/2009/9/main" objectType="CheckBox" fmlaLink="L29" lockText="1" noThreeD="1"/>
</file>

<file path=xl/ctrlProps/ctrlProp213.xml><?xml version="1.0" encoding="utf-8"?>
<formControlPr xmlns="http://schemas.microsoft.com/office/spreadsheetml/2009/9/main" objectType="CheckBox" fmlaLink="L30" lockText="1" noThreeD="1"/>
</file>

<file path=xl/ctrlProps/ctrlProp214.xml><?xml version="1.0" encoding="utf-8"?>
<formControlPr xmlns="http://schemas.microsoft.com/office/spreadsheetml/2009/9/main" objectType="CheckBox" fmlaLink="B34" lockText="1" noThreeD="1"/>
</file>

<file path=xl/ctrlProps/ctrlProp215.xml><?xml version="1.0" encoding="utf-8"?>
<formControlPr xmlns="http://schemas.microsoft.com/office/spreadsheetml/2009/9/main" objectType="CheckBox" checked="Checked" fmlaLink="G34" lockText="1" noThreeD="1"/>
</file>

<file path=xl/ctrlProps/ctrlProp216.xml><?xml version="1.0" encoding="utf-8"?>
<formControlPr xmlns="http://schemas.microsoft.com/office/spreadsheetml/2009/9/main" objectType="CheckBox" fmlaLink="L34" lockText="1" noThreeD="1"/>
</file>

<file path=xl/ctrlProps/ctrlProp217.xml><?xml version="1.0" encoding="utf-8"?>
<formControlPr xmlns="http://schemas.microsoft.com/office/spreadsheetml/2009/9/main" objectType="CheckBox" fmlaLink="B40" lockText="1" noThreeD="1"/>
</file>

<file path=xl/ctrlProps/ctrlProp218.xml><?xml version="1.0" encoding="utf-8"?>
<formControlPr xmlns="http://schemas.microsoft.com/office/spreadsheetml/2009/9/main" objectType="CheckBox" checked="Checked" fmlaLink="G40" lockText="1" noThreeD="1"/>
</file>

<file path=xl/ctrlProps/ctrlProp219.xml><?xml version="1.0" encoding="utf-8"?>
<formControlPr xmlns="http://schemas.microsoft.com/office/spreadsheetml/2009/9/main" objectType="CheckBox" fmlaLink="B35" lockText="1" noThreeD="1"/>
</file>

<file path=xl/ctrlProps/ctrlProp220.xml><?xml version="1.0" encoding="utf-8"?>
<formControlPr xmlns="http://schemas.microsoft.com/office/spreadsheetml/2009/9/main" objectType="CheckBox" fmlaLink="B18" lockText="1" noThreeD="1"/>
</file>

<file path=xl/ctrlProps/ctrlProp221.xml><?xml version="1.0" encoding="utf-8"?>
<formControlPr xmlns="http://schemas.microsoft.com/office/spreadsheetml/2009/9/main" objectType="CheckBox" checked="Checked" fmlaLink="B9" lockText="1" noThreeD="1"/>
</file>

<file path=xl/ctrlProps/ctrlProp222.xml><?xml version="1.0" encoding="utf-8"?>
<formControlPr xmlns="http://schemas.microsoft.com/office/spreadsheetml/2009/9/main" objectType="CheckBox" fmlaLink="G9" lockText="1" noThreeD="1"/>
</file>

<file path=xl/ctrlProps/ctrlProp223.xml><?xml version="1.0" encoding="utf-8"?>
<formControlPr xmlns="http://schemas.microsoft.com/office/spreadsheetml/2009/9/main" objectType="CheckBox" fmlaLink="G12" lockText="1" noThreeD="1"/>
</file>

<file path=xl/ctrlProps/ctrlProp224.xml><?xml version="1.0" encoding="utf-8"?>
<formControlPr xmlns="http://schemas.microsoft.com/office/spreadsheetml/2009/9/main" objectType="CheckBox" fmlaLink="G13" lockText="1" noThreeD="1"/>
</file>

<file path=xl/ctrlProps/ctrlProp225.xml><?xml version="1.0" encoding="utf-8"?>
<formControlPr xmlns="http://schemas.microsoft.com/office/spreadsheetml/2009/9/main" objectType="CheckBox" fmlaLink="G16" lockText="1" noThreeD="1"/>
</file>

<file path=xl/ctrlProps/ctrlProp226.xml><?xml version="1.0" encoding="utf-8"?>
<formControlPr xmlns="http://schemas.microsoft.com/office/spreadsheetml/2009/9/main" objectType="CheckBox" fmlaLink="G17" lockText="1" noThreeD="1"/>
</file>

<file path=xl/ctrlProps/ctrlProp227.xml><?xml version="1.0" encoding="utf-8"?>
<formControlPr xmlns="http://schemas.microsoft.com/office/spreadsheetml/2009/9/main" objectType="CheckBox" fmlaLink="L16" lockText="1" noThreeD="1"/>
</file>

<file path=xl/ctrlProps/ctrlProp228.xml><?xml version="1.0" encoding="utf-8"?>
<formControlPr xmlns="http://schemas.microsoft.com/office/spreadsheetml/2009/9/main" objectType="CheckBox" fmlaLink="L17" lockText="1" noThreeD="1"/>
</file>

<file path=xl/ctrlProps/ctrlProp229.xml><?xml version="1.0" encoding="utf-8"?>
<formControlPr xmlns="http://schemas.microsoft.com/office/spreadsheetml/2009/9/main" objectType="CheckBox" fmlaLink="B16" lockText="1" noThreeD="1"/>
</file>

<file path=xl/ctrlProps/ctrlProp230.xml><?xml version="1.0" encoding="utf-8"?>
<formControlPr xmlns="http://schemas.microsoft.com/office/spreadsheetml/2009/9/main" objectType="CheckBox" checked="Checked" fmlaLink="B17" lockText="1" noThreeD="1"/>
</file>

<file path=xl/ctrlProps/ctrlProp231.xml><?xml version="1.0" encoding="utf-8"?>
<formControlPr xmlns="http://schemas.microsoft.com/office/spreadsheetml/2009/9/main" objectType="CheckBox" fmlaLink="B12" lockText="1" noThreeD="1"/>
</file>

<file path=xl/ctrlProps/ctrlProp232.xml><?xml version="1.0" encoding="utf-8"?>
<formControlPr xmlns="http://schemas.microsoft.com/office/spreadsheetml/2009/9/main" objectType="CheckBox" checked="Checked" fmlaLink="B13" lockText="1" noThreeD="1"/>
</file>

<file path=xl/ctrlProps/ctrlProp233.xml><?xml version="1.0" encoding="utf-8"?>
<formControlPr xmlns="http://schemas.microsoft.com/office/spreadsheetml/2009/9/main" objectType="CheckBox" fmlaLink="B21" lockText="1" noThreeD="1"/>
</file>

<file path=xl/ctrlProps/ctrlProp234.xml><?xml version="1.0" encoding="utf-8"?>
<formControlPr xmlns="http://schemas.microsoft.com/office/spreadsheetml/2009/9/main" objectType="CheckBox" fmlaLink="B25" lockText="1" noThreeD="1"/>
</file>

<file path=xl/ctrlProps/ctrlProp235.xml><?xml version="1.0" encoding="utf-8"?>
<formControlPr xmlns="http://schemas.microsoft.com/office/spreadsheetml/2009/9/main" objectType="CheckBox" fmlaLink="G25" lockText="1" noThreeD="1"/>
</file>

<file path=xl/ctrlProps/ctrlProp236.xml><?xml version="1.0" encoding="utf-8"?>
<formControlPr xmlns="http://schemas.microsoft.com/office/spreadsheetml/2009/9/main" objectType="CheckBox" fmlaLink="L25" lockText="1" noThreeD="1"/>
</file>

<file path=xl/ctrlProps/ctrlProp237.xml><?xml version="1.0" encoding="utf-8"?>
<formControlPr xmlns="http://schemas.microsoft.com/office/spreadsheetml/2009/9/main" objectType="CheckBox" checked="Checked" fmlaLink="G21" lockText="1" noThreeD="1"/>
</file>

<file path=xl/ctrlProps/ctrlProp238.xml><?xml version="1.0" encoding="utf-8"?>
<formControlPr xmlns="http://schemas.microsoft.com/office/spreadsheetml/2009/9/main" objectType="CheckBox" fmlaLink="B29" lockText="1" noThreeD="1"/>
</file>

<file path=xl/ctrlProps/ctrlProp239.xml><?xml version="1.0" encoding="utf-8"?>
<formControlPr xmlns="http://schemas.microsoft.com/office/spreadsheetml/2009/9/main" objectType="CheckBox" fmlaLink="B30" lockText="1" noThreeD="1"/>
</file>

<file path=xl/ctrlProps/ctrlProp240.xml><?xml version="1.0" encoding="utf-8"?>
<formControlPr xmlns="http://schemas.microsoft.com/office/spreadsheetml/2009/9/main" objectType="CheckBox" fmlaLink="B31" lockText="1" noThreeD="1"/>
</file>

<file path=xl/ctrlProps/ctrlProp241.xml><?xml version="1.0" encoding="utf-8"?>
<formControlPr xmlns="http://schemas.microsoft.com/office/spreadsheetml/2009/9/main" objectType="CheckBox" fmlaLink="G29" lockText="1" noThreeD="1"/>
</file>

<file path=xl/ctrlProps/ctrlProp242.xml><?xml version="1.0" encoding="utf-8"?>
<formControlPr xmlns="http://schemas.microsoft.com/office/spreadsheetml/2009/9/main" objectType="CheckBox" fmlaLink="G30" lockText="1" noThreeD="1"/>
</file>

<file path=xl/ctrlProps/ctrlProp243.xml><?xml version="1.0" encoding="utf-8"?>
<formControlPr xmlns="http://schemas.microsoft.com/office/spreadsheetml/2009/9/main" objectType="CheckBox" checked="Checked" fmlaLink="G31" lockText="1" noThreeD="1"/>
</file>

<file path=xl/ctrlProps/ctrlProp244.xml><?xml version="1.0" encoding="utf-8"?>
<formControlPr xmlns="http://schemas.microsoft.com/office/spreadsheetml/2009/9/main" objectType="CheckBox" fmlaLink="L29" lockText="1" noThreeD="1"/>
</file>

<file path=xl/ctrlProps/ctrlProp245.xml><?xml version="1.0" encoding="utf-8"?>
<formControlPr xmlns="http://schemas.microsoft.com/office/spreadsheetml/2009/9/main" objectType="CheckBox" fmlaLink="L30" lockText="1" noThreeD="1"/>
</file>

<file path=xl/ctrlProps/ctrlProp246.xml><?xml version="1.0" encoding="utf-8"?>
<formControlPr xmlns="http://schemas.microsoft.com/office/spreadsheetml/2009/9/main" objectType="CheckBox" checked="Checked" fmlaLink="B34"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4" lockText="1" noThreeD="1"/>
</file>

<file path=xl/ctrlProps/ctrlProp249.xml><?xml version="1.0" encoding="utf-8"?>
<formControlPr xmlns="http://schemas.microsoft.com/office/spreadsheetml/2009/9/main" objectType="CheckBox" fmlaLink="B40" lockText="1" noThreeD="1"/>
</file>

<file path=xl/ctrlProps/ctrlProp250.xml><?xml version="1.0" encoding="utf-8"?>
<formControlPr xmlns="http://schemas.microsoft.com/office/spreadsheetml/2009/9/main" objectType="CheckBox" checked="Checked" fmlaLink="G40" lockText="1" noThreeD="1"/>
</file>

<file path=xl/ctrlProps/ctrlProp251.xml><?xml version="1.0" encoding="utf-8"?>
<formControlPr xmlns="http://schemas.microsoft.com/office/spreadsheetml/2009/9/main" objectType="CheckBox" fmlaLink="B35" lockText="1" noThreeD="1"/>
</file>

<file path=xl/ctrlProps/ctrlProp252.xml><?xml version="1.0" encoding="utf-8"?>
<formControlPr xmlns="http://schemas.microsoft.com/office/spreadsheetml/2009/9/main" objectType="CheckBox" fmlaLink="B18" lockText="1" noThreeD="1"/>
</file>

<file path=xl/ctrlProps/ctrlProp253.xml><?xml version="1.0" encoding="utf-8"?>
<formControlPr xmlns="http://schemas.microsoft.com/office/spreadsheetml/2009/9/main" objectType="CheckBox" checked="Checked" fmlaLink="B9" lockText="1" noThreeD="1"/>
</file>

<file path=xl/ctrlProps/ctrlProp254.xml><?xml version="1.0" encoding="utf-8"?>
<formControlPr xmlns="http://schemas.microsoft.com/office/spreadsheetml/2009/9/main" objectType="CheckBox" fmlaLink="G9" lockText="1" noThreeD="1"/>
</file>

<file path=xl/ctrlProps/ctrlProp255.xml><?xml version="1.0" encoding="utf-8"?>
<formControlPr xmlns="http://schemas.microsoft.com/office/spreadsheetml/2009/9/main" objectType="CheckBox" checked="Checked" fmlaLink="G12" lockText="1" noThreeD="1"/>
</file>

<file path=xl/ctrlProps/ctrlProp256.xml><?xml version="1.0" encoding="utf-8"?>
<formControlPr xmlns="http://schemas.microsoft.com/office/spreadsheetml/2009/9/main" objectType="CheckBox" fmlaLink="G13" lockText="1" noThreeD="1"/>
</file>

<file path=xl/ctrlProps/ctrlProp257.xml><?xml version="1.0" encoding="utf-8"?>
<formControlPr xmlns="http://schemas.microsoft.com/office/spreadsheetml/2009/9/main" objectType="CheckBox" fmlaLink="G16" lockText="1" noThreeD="1"/>
</file>

<file path=xl/ctrlProps/ctrlProp258.xml><?xml version="1.0" encoding="utf-8"?>
<formControlPr xmlns="http://schemas.microsoft.com/office/spreadsheetml/2009/9/main" objectType="CheckBox" fmlaLink="G17" lockText="1" noThreeD="1"/>
</file>

<file path=xl/ctrlProps/ctrlProp259.xml><?xml version="1.0" encoding="utf-8"?>
<formControlPr xmlns="http://schemas.microsoft.com/office/spreadsheetml/2009/9/main" objectType="CheckBox" fmlaLink="L16" lockText="1" noThreeD="1"/>
</file>

<file path=xl/ctrlProps/ctrlProp260.xml><?xml version="1.0" encoding="utf-8"?>
<formControlPr xmlns="http://schemas.microsoft.com/office/spreadsheetml/2009/9/main" objectType="CheckBox" fmlaLink="L17" lockText="1" noThreeD="1"/>
</file>

<file path=xl/ctrlProps/ctrlProp261.xml><?xml version="1.0" encoding="utf-8"?>
<formControlPr xmlns="http://schemas.microsoft.com/office/spreadsheetml/2009/9/main" objectType="CheckBox" fmlaLink="B16" lockText="1" noThreeD="1"/>
</file>

<file path=xl/ctrlProps/ctrlProp262.xml><?xml version="1.0" encoding="utf-8"?>
<formControlPr xmlns="http://schemas.microsoft.com/office/spreadsheetml/2009/9/main" objectType="CheckBox" fmlaLink="B17" lockText="1" noThreeD="1"/>
</file>

<file path=xl/ctrlProps/ctrlProp263.xml><?xml version="1.0" encoding="utf-8"?>
<formControlPr xmlns="http://schemas.microsoft.com/office/spreadsheetml/2009/9/main" objectType="CheckBox" fmlaLink="B12" lockText="1" noThreeD="1"/>
</file>

<file path=xl/ctrlProps/ctrlProp264.xml><?xml version="1.0" encoding="utf-8"?>
<formControlPr xmlns="http://schemas.microsoft.com/office/spreadsheetml/2009/9/main" objectType="CheckBox" fmlaLink="B13" lockText="1" noThreeD="1"/>
</file>

<file path=xl/ctrlProps/ctrlProp265.xml><?xml version="1.0" encoding="utf-8"?>
<formControlPr xmlns="http://schemas.microsoft.com/office/spreadsheetml/2009/9/main" objectType="CheckBox" fmlaLink="B21" lockText="1" noThreeD="1"/>
</file>

<file path=xl/ctrlProps/ctrlProp266.xml><?xml version="1.0" encoding="utf-8"?>
<formControlPr xmlns="http://schemas.microsoft.com/office/spreadsheetml/2009/9/main" objectType="CheckBox" fmlaLink="B25" lockText="1" noThreeD="1"/>
</file>

<file path=xl/ctrlProps/ctrlProp267.xml><?xml version="1.0" encoding="utf-8"?>
<formControlPr xmlns="http://schemas.microsoft.com/office/spreadsheetml/2009/9/main" objectType="CheckBox" fmlaLink="G25" lockText="1" noThreeD="1"/>
</file>

<file path=xl/ctrlProps/ctrlProp268.xml><?xml version="1.0" encoding="utf-8"?>
<formControlPr xmlns="http://schemas.microsoft.com/office/spreadsheetml/2009/9/main" objectType="CheckBox" fmlaLink="L25" lockText="1" noThreeD="1"/>
</file>

<file path=xl/ctrlProps/ctrlProp269.xml><?xml version="1.0" encoding="utf-8"?>
<formControlPr xmlns="http://schemas.microsoft.com/office/spreadsheetml/2009/9/main" objectType="CheckBox" checked="Checked" fmlaLink="G21" lockText="1" noThreeD="1"/>
</file>

<file path=xl/ctrlProps/ctrlProp270.xml><?xml version="1.0" encoding="utf-8"?>
<formControlPr xmlns="http://schemas.microsoft.com/office/spreadsheetml/2009/9/main" objectType="CheckBox" fmlaLink="B29" lockText="1" noThreeD="1"/>
</file>

<file path=xl/ctrlProps/ctrlProp271.xml><?xml version="1.0" encoding="utf-8"?>
<formControlPr xmlns="http://schemas.microsoft.com/office/spreadsheetml/2009/9/main" objectType="CheckBox" fmlaLink="B30" lockText="1" noThreeD="1"/>
</file>

<file path=xl/ctrlProps/ctrlProp272.xml><?xml version="1.0" encoding="utf-8"?>
<formControlPr xmlns="http://schemas.microsoft.com/office/spreadsheetml/2009/9/main" objectType="CheckBox" fmlaLink="B31" lockText="1" noThreeD="1"/>
</file>

<file path=xl/ctrlProps/ctrlProp273.xml><?xml version="1.0" encoding="utf-8"?>
<formControlPr xmlns="http://schemas.microsoft.com/office/spreadsheetml/2009/9/main" objectType="CheckBox" fmlaLink="G29" lockText="1" noThreeD="1"/>
</file>

<file path=xl/ctrlProps/ctrlProp274.xml><?xml version="1.0" encoding="utf-8"?>
<formControlPr xmlns="http://schemas.microsoft.com/office/spreadsheetml/2009/9/main" objectType="CheckBox" fmlaLink="G30" lockText="1" noThreeD="1"/>
</file>

<file path=xl/ctrlProps/ctrlProp275.xml><?xml version="1.0" encoding="utf-8"?>
<formControlPr xmlns="http://schemas.microsoft.com/office/spreadsheetml/2009/9/main" objectType="CheckBox" checked="Checked" fmlaLink="G31" lockText="1" noThreeD="1"/>
</file>

<file path=xl/ctrlProps/ctrlProp276.xml><?xml version="1.0" encoding="utf-8"?>
<formControlPr xmlns="http://schemas.microsoft.com/office/spreadsheetml/2009/9/main" objectType="CheckBox" fmlaLink="L29" lockText="1" noThreeD="1"/>
</file>

<file path=xl/ctrlProps/ctrlProp277.xml><?xml version="1.0" encoding="utf-8"?>
<formControlPr xmlns="http://schemas.microsoft.com/office/spreadsheetml/2009/9/main" objectType="CheckBox" fmlaLink="L30" lockText="1" noThreeD="1"/>
</file>

<file path=xl/ctrlProps/ctrlProp278.xml><?xml version="1.0" encoding="utf-8"?>
<formControlPr xmlns="http://schemas.microsoft.com/office/spreadsheetml/2009/9/main" objectType="CheckBox" fmlaLink="B34" lockText="1" noThreeD="1"/>
</file>

<file path=xl/ctrlProps/ctrlProp279.xml><?xml version="1.0" encoding="utf-8"?>
<formControlPr xmlns="http://schemas.microsoft.com/office/spreadsheetml/2009/9/main" objectType="CheckBox" fmlaLink="G34" lockText="1" noThreeD="1"/>
</file>

<file path=xl/ctrlProps/ctrlProp280.xml><?xml version="1.0" encoding="utf-8"?>
<formControlPr xmlns="http://schemas.microsoft.com/office/spreadsheetml/2009/9/main" objectType="CheckBox" checked="Checked" fmlaLink="L34" lockText="1" noThreeD="1"/>
</file>

<file path=xl/ctrlProps/ctrlProp281.xml><?xml version="1.0" encoding="utf-8"?>
<formControlPr xmlns="http://schemas.microsoft.com/office/spreadsheetml/2009/9/main" objectType="CheckBox" fmlaLink="B40" lockText="1" noThreeD="1"/>
</file>

<file path=xl/ctrlProps/ctrlProp282.xml><?xml version="1.0" encoding="utf-8"?>
<formControlPr xmlns="http://schemas.microsoft.com/office/spreadsheetml/2009/9/main" objectType="CheckBox" checked="Checked" fmlaLink="G40" lockText="1" noThreeD="1"/>
</file>

<file path=xl/ctrlProps/ctrlProp283.xml><?xml version="1.0" encoding="utf-8"?>
<formControlPr xmlns="http://schemas.microsoft.com/office/spreadsheetml/2009/9/main" objectType="CheckBox" fmlaLink="B35" lockText="1" noThreeD="1"/>
</file>

<file path=xl/ctrlProps/ctrlProp284.xml><?xml version="1.0" encoding="utf-8"?>
<formControlPr xmlns="http://schemas.microsoft.com/office/spreadsheetml/2009/9/main" objectType="CheckBox" fmlaLink="B18" lockText="1" noThreeD="1"/>
</file>

<file path=xl/ctrlProps/ctrlProp285.xml><?xml version="1.0" encoding="utf-8"?>
<formControlPr xmlns="http://schemas.microsoft.com/office/spreadsheetml/2009/9/main" objectType="CheckBox" checked="Checked" fmlaLink="B9" lockText="1" noThreeD="1"/>
</file>

<file path=xl/ctrlProps/ctrlProp286.xml><?xml version="1.0" encoding="utf-8"?>
<formControlPr xmlns="http://schemas.microsoft.com/office/spreadsheetml/2009/9/main" objectType="CheckBox" fmlaLink="G9" lockText="1" noThreeD="1"/>
</file>

<file path=xl/ctrlProps/ctrlProp287.xml><?xml version="1.0" encoding="utf-8"?>
<formControlPr xmlns="http://schemas.microsoft.com/office/spreadsheetml/2009/9/main" objectType="CheckBox" checked="Checked" fmlaLink="G12" lockText="1" noThreeD="1"/>
</file>

<file path=xl/ctrlProps/ctrlProp288.xml><?xml version="1.0" encoding="utf-8"?>
<formControlPr xmlns="http://schemas.microsoft.com/office/spreadsheetml/2009/9/main" objectType="CheckBox" fmlaLink="G13" lockText="1" noThreeD="1"/>
</file>

<file path=xl/ctrlProps/ctrlProp289.xml><?xml version="1.0" encoding="utf-8"?>
<formControlPr xmlns="http://schemas.microsoft.com/office/spreadsheetml/2009/9/main" objectType="CheckBox" fmlaLink="G16" lockText="1" noThreeD="1"/>
</file>

<file path=xl/ctrlProps/ctrlProp290.xml><?xml version="1.0" encoding="utf-8"?>
<formControlPr xmlns="http://schemas.microsoft.com/office/spreadsheetml/2009/9/main" objectType="CheckBox" fmlaLink="G17" lockText="1" noThreeD="1"/>
</file>

<file path=xl/ctrlProps/ctrlProp291.xml><?xml version="1.0" encoding="utf-8"?>
<formControlPr xmlns="http://schemas.microsoft.com/office/spreadsheetml/2009/9/main" objectType="CheckBox" fmlaLink="L16" lockText="1" noThreeD="1"/>
</file>

<file path=xl/ctrlProps/ctrlProp292.xml><?xml version="1.0" encoding="utf-8"?>
<formControlPr xmlns="http://schemas.microsoft.com/office/spreadsheetml/2009/9/main" objectType="CheckBox" fmlaLink="L17" lockText="1" noThreeD="1"/>
</file>

<file path=xl/ctrlProps/ctrlProp293.xml><?xml version="1.0" encoding="utf-8"?>
<formControlPr xmlns="http://schemas.microsoft.com/office/spreadsheetml/2009/9/main" objectType="CheckBox" fmlaLink="B16" lockText="1" noThreeD="1"/>
</file>

<file path=xl/ctrlProps/ctrlProp294.xml><?xml version="1.0" encoding="utf-8"?>
<formControlPr xmlns="http://schemas.microsoft.com/office/spreadsheetml/2009/9/main" objectType="CheckBox" fmlaLink="B17" lockText="1" noThreeD="1"/>
</file>

<file path=xl/ctrlProps/ctrlProp295.xml><?xml version="1.0" encoding="utf-8"?>
<formControlPr xmlns="http://schemas.microsoft.com/office/spreadsheetml/2009/9/main" objectType="CheckBox" fmlaLink="B12" lockText="1" noThreeD="1"/>
</file>

<file path=xl/ctrlProps/ctrlProp296.xml><?xml version="1.0" encoding="utf-8"?>
<formControlPr xmlns="http://schemas.microsoft.com/office/spreadsheetml/2009/9/main" objectType="CheckBox" fmlaLink="B13" lockText="1" noThreeD="1"/>
</file>

<file path=xl/ctrlProps/ctrlProp297.xml><?xml version="1.0" encoding="utf-8"?>
<formControlPr xmlns="http://schemas.microsoft.com/office/spreadsheetml/2009/9/main" objectType="CheckBox" fmlaLink="B21" lockText="1" noThreeD="1"/>
</file>

<file path=xl/ctrlProps/ctrlProp298.xml><?xml version="1.0" encoding="utf-8"?>
<formControlPr xmlns="http://schemas.microsoft.com/office/spreadsheetml/2009/9/main" objectType="CheckBox" fmlaLink="B25" lockText="1" noThreeD="1"/>
</file>

<file path=xl/ctrlProps/ctrlProp299.xml><?xml version="1.0" encoding="utf-8"?>
<formControlPr xmlns="http://schemas.microsoft.com/office/spreadsheetml/2009/9/main" objectType="CheckBox" fmlaLink="G25" lockText="1" noThreeD="1"/>
</file>

<file path=xl/ctrlProps/ctrlProp300.xml><?xml version="1.0" encoding="utf-8"?>
<formControlPr xmlns="http://schemas.microsoft.com/office/spreadsheetml/2009/9/main" objectType="CheckBox" fmlaLink="L25" lockText="1" noThreeD="1"/>
</file>

<file path=xl/ctrlProps/ctrlProp301.xml><?xml version="1.0" encoding="utf-8"?>
<formControlPr xmlns="http://schemas.microsoft.com/office/spreadsheetml/2009/9/main" objectType="CheckBox" checked="Checked" fmlaLink="G21" lockText="1" noThreeD="1"/>
</file>

<file path=xl/ctrlProps/ctrlProp302.xml><?xml version="1.0" encoding="utf-8"?>
<formControlPr xmlns="http://schemas.microsoft.com/office/spreadsheetml/2009/9/main" objectType="CheckBox" fmlaLink="B29" lockText="1" noThreeD="1"/>
</file>

<file path=xl/ctrlProps/ctrlProp303.xml><?xml version="1.0" encoding="utf-8"?>
<formControlPr xmlns="http://schemas.microsoft.com/office/spreadsheetml/2009/9/main" objectType="CheckBox" fmlaLink="B30" lockText="1" noThreeD="1"/>
</file>

<file path=xl/ctrlProps/ctrlProp304.xml><?xml version="1.0" encoding="utf-8"?>
<formControlPr xmlns="http://schemas.microsoft.com/office/spreadsheetml/2009/9/main" objectType="CheckBox" fmlaLink="B31" lockText="1" noThreeD="1"/>
</file>

<file path=xl/ctrlProps/ctrlProp305.xml><?xml version="1.0" encoding="utf-8"?>
<formControlPr xmlns="http://schemas.microsoft.com/office/spreadsheetml/2009/9/main" objectType="CheckBox" fmlaLink="G29" lockText="1" noThreeD="1"/>
</file>

<file path=xl/ctrlProps/ctrlProp306.xml><?xml version="1.0" encoding="utf-8"?>
<formControlPr xmlns="http://schemas.microsoft.com/office/spreadsheetml/2009/9/main" objectType="CheckBox" fmlaLink="G30" lockText="1" noThreeD="1"/>
</file>

<file path=xl/ctrlProps/ctrlProp307.xml><?xml version="1.0" encoding="utf-8"?>
<formControlPr xmlns="http://schemas.microsoft.com/office/spreadsheetml/2009/9/main" objectType="CheckBox" checked="Checked" fmlaLink="G31" lockText="1" noThreeD="1"/>
</file>

<file path=xl/ctrlProps/ctrlProp308.xml><?xml version="1.0" encoding="utf-8"?>
<formControlPr xmlns="http://schemas.microsoft.com/office/spreadsheetml/2009/9/main" objectType="CheckBox" fmlaLink="L29" lockText="1" noThreeD="1"/>
</file>

<file path=xl/ctrlProps/ctrlProp309.xml><?xml version="1.0" encoding="utf-8"?>
<formControlPr xmlns="http://schemas.microsoft.com/office/spreadsheetml/2009/9/main" objectType="CheckBox" fmlaLink="L30" lockText="1" noThreeD="1"/>
</file>

<file path=xl/ctrlProps/ctrlProp310.xml><?xml version="1.0" encoding="utf-8"?>
<formControlPr xmlns="http://schemas.microsoft.com/office/spreadsheetml/2009/9/main" objectType="CheckBox" fmlaLink="B34" lockText="1" noThreeD="1"/>
</file>

<file path=xl/ctrlProps/ctrlProp311.xml><?xml version="1.0" encoding="utf-8"?>
<formControlPr xmlns="http://schemas.microsoft.com/office/spreadsheetml/2009/9/main" objectType="CheckBox" checked="Checked" fmlaLink="G34" lockText="1" noThreeD="1"/>
</file>

<file path=xl/ctrlProps/ctrlProp312.xml><?xml version="1.0" encoding="utf-8"?>
<formControlPr xmlns="http://schemas.microsoft.com/office/spreadsheetml/2009/9/main" objectType="CheckBox" checked="Checked" fmlaLink="L34" lockText="1" noThreeD="1"/>
</file>

<file path=xl/ctrlProps/ctrlProp313.xml><?xml version="1.0" encoding="utf-8"?>
<formControlPr xmlns="http://schemas.microsoft.com/office/spreadsheetml/2009/9/main" objectType="CheckBox" fmlaLink="B40" lockText="1" noThreeD="1"/>
</file>

<file path=xl/ctrlProps/ctrlProp314.xml><?xml version="1.0" encoding="utf-8"?>
<formControlPr xmlns="http://schemas.microsoft.com/office/spreadsheetml/2009/9/main" objectType="CheckBox" checked="Checked" fmlaLink="G40" lockText="1" noThreeD="1"/>
</file>

<file path=xl/ctrlProps/ctrlProp315.xml><?xml version="1.0" encoding="utf-8"?>
<formControlPr xmlns="http://schemas.microsoft.com/office/spreadsheetml/2009/9/main" objectType="CheckBox" fmlaLink="B35" lockText="1" noThreeD="1"/>
</file>

<file path=xl/ctrlProps/ctrlProp316.xml><?xml version="1.0" encoding="utf-8"?>
<formControlPr xmlns="http://schemas.microsoft.com/office/spreadsheetml/2009/9/main" objectType="CheckBox" fmlaLink="B18" lockText="1" noThreeD="1"/>
</file>

<file path=xl/ctrlProps/ctrlProp317.xml><?xml version="1.0" encoding="utf-8"?>
<formControlPr xmlns="http://schemas.microsoft.com/office/spreadsheetml/2009/9/main" objectType="CheckBox" checked="Checked" fmlaLink="B9" lockText="1" noThreeD="1"/>
</file>

<file path=xl/ctrlProps/ctrlProp318.xml><?xml version="1.0" encoding="utf-8"?>
<formControlPr xmlns="http://schemas.microsoft.com/office/spreadsheetml/2009/9/main" objectType="CheckBox" fmlaLink="G9" lockText="1" noThreeD="1"/>
</file>

<file path=xl/ctrlProps/ctrlProp319.xml><?xml version="1.0" encoding="utf-8"?>
<formControlPr xmlns="http://schemas.microsoft.com/office/spreadsheetml/2009/9/main" objectType="CheckBox" checked="Checked" fmlaLink="G12" lockText="1" noThreeD="1"/>
</file>

<file path=xl/ctrlProps/ctrlProp320.xml><?xml version="1.0" encoding="utf-8"?>
<formControlPr xmlns="http://schemas.microsoft.com/office/spreadsheetml/2009/9/main" objectType="CheckBox" fmlaLink="G13" lockText="1" noThreeD="1"/>
</file>

<file path=xl/ctrlProps/ctrlProp321.xml><?xml version="1.0" encoding="utf-8"?>
<formControlPr xmlns="http://schemas.microsoft.com/office/spreadsheetml/2009/9/main" objectType="CheckBox" fmlaLink="G16" lockText="1" noThreeD="1"/>
</file>

<file path=xl/ctrlProps/ctrlProp322.xml><?xml version="1.0" encoding="utf-8"?>
<formControlPr xmlns="http://schemas.microsoft.com/office/spreadsheetml/2009/9/main" objectType="CheckBox" fmlaLink="G17" lockText="1" noThreeD="1"/>
</file>

<file path=xl/ctrlProps/ctrlProp323.xml><?xml version="1.0" encoding="utf-8"?>
<formControlPr xmlns="http://schemas.microsoft.com/office/spreadsheetml/2009/9/main" objectType="CheckBox" fmlaLink="L16" lockText="1" noThreeD="1"/>
</file>

<file path=xl/ctrlProps/ctrlProp324.xml><?xml version="1.0" encoding="utf-8"?>
<formControlPr xmlns="http://schemas.microsoft.com/office/spreadsheetml/2009/9/main" objectType="CheckBox" fmlaLink="L17" lockText="1" noThreeD="1"/>
</file>

<file path=xl/ctrlProps/ctrlProp325.xml><?xml version="1.0" encoding="utf-8"?>
<formControlPr xmlns="http://schemas.microsoft.com/office/spreadsheetml/2009/9/main" objectType="CheckBox" fmlaLink="B16" lockText="1" noThreeD="1"/>
</file>

<file path=xl/ctrlProps/ctrlProp326.xml><?xml version="1.0" encoding="utf-8"?>
<formControlPr xmlns="http://schemas.microsoft.com/office/spreadsheetml/2009/9/main" objectType="CheckBox" fmlaLink="B17" lockText="1" noThreeD="1"/>
</file>

<file path=xl/ctrlProps/ctrlProp327.xml><?xml version="1.0" encoding="utf-8"?>
<formControlPr xmlns="http://schemas.microsoft.com/office/spreadsheetml/2009/9/main" objectType="CheckBox" fmlaLink="B12" lockText="1" noThreeD="1"/>
</file>

<file path=xl/ctrlProps/ctrlProp328.xml><?xml version="1.0" encoding="utf-8"?>
<formControlPr xmlns="http://schemas.microsoft.com/office/spreadsheetml/2009/9/main" objectType="CheckBox" fmlaLink="B13" lockText="1" noThreeD="1"/>
</file>

<file path=xl/ctrlProps/ctrlProp329.xml><?xml version="1.0" encoding="utf-8"?>
<formControlPr xmlns="http://schemas.microsoft.com/office/spreadsheetml/2009/9/main" objectType="CheckBox" fmlaLink="B21" lockText="1" noThreeD="1"/>
</file>

<file path=xl/ctrlProps/ctrlProp330.xml><?xml version="1.0" encoding="utf-8"?>
<formControlPr xmlns="http://schemas.microsoft.com/office/spreadsheetml/2009/9/main" objectType="CheckBox" fmlaLink="B25" lockText="1" noThreeD="1"/>
</file>

<file path=xl/ctrlProps/ctrlProp331.xml><?xml version="1.0" encoding="utf-8"?>
<formControlPr xmlns="http://schemas.microsoft.com/office/spreadsheetml/2009/9/main" objectType="CheckBox" fmlaLink="G25" lockText="1" noThreeD="1"/>
</file>

<file path=xl/ctrlProps/ctrlProp332.xml><?xml version="1.0" encoding="utf-8"?>
<formControlPr xmlns="http://schemas.microsoft.com/office/spreadsheetml/2009/9/main" objectType="CheckBox" fmlaLink="L25" lockText="1" noThreeD="1"/>
</file>

<file path=xl/ctrlProps/ctrlProp333.xml><?xml version="1.0" encoding="utf-8"?>
<formControlPr xmlns="http://schemas.microsoft.com/office/spreadsheetml/2009/9/main" objectType="CheckBox" checked="Checked" fmlaLink="G21" lockText="1" noThreeD="1"/>
</file>

<file path=xl/ctrlProps/ctrlProp334.xml><?xml version="1.0" encoding="utf-8"?>
<formControlPr xmlns="http://schemas.microsoft.com/office/spreadsheetml/2009/9/main" objectType="CheckBox" fmlaLink="B29" lockText="1" noThreeD="1"/>
</file>

<file path=xl/ctrlProps/ctrlProp335.xml><?xml version="1.0" encoding="utf-8"?>
<formControlPr xmlns="http://schemas.microsoft.com/office/spreadsheetml/2009/9/main" objectType="CheckBox" fmlaLink="B30" lockText="1" noThreeD="1"/>
</file>

<file path=xl/ctrlProps/ctrlProp336.xml><?xml version="1.0" encoding="utf-8"?>
<formControlPr xmlns="http://schemas.microsoft.com/office/spreadsheetml/2009/9/main" objectType="CheckBox" fmlaLink="B31" lockText="1" noThreeD="1"/>
</file>

<file path=xl/ctrlProps/ctrlProp337.xml><?xml version="1.0" encoding="utf-8"?>
<formControlPr xmlns="http://schemas.microsoft.com/office/spreadsheetml/2009/9/main" objectType="CheckBox" fmlaLink="G29" lockText="1" noThreeD="1"/>
</file>

<file path=xl/ctrlProps/ctrlProp338.xml><?xml version="1.0" encoding="utf-8"?>
<formControlPr xmlns="http://schemas.microsoft.com/office/spreadsheetml/2009/9/main" objectType="CheckBox" fmlaLink="G30" lockText="1" noThreeD="1"/>
</file>

<file path=xl/ctrlProps/ctrlProp339.xml><?xml version="1.0" encoding="utf-8"?>
<formControlPr xmlns="http://schemas.microsoft.com/office/spreadsheetml/2009/9/main" objectType="CheckBox" checked="Checked" fmlaLink="G31" lockText="1" noThreeD="1"/>
</file>

<file path=xl/ctrlProps/ctrlProp340.xml><?xml version="1.0" encoding="utf-8"?>
<formControlPr xmlns="http://schemas.microsoft.com/office/spreadsheetml/2009/9/main" objectType="CheckBox" fmlaLink="L29" lockText="1" noThreeD="1"/>
</file>

<file path=xl/ctrlProps/ctrlProp341.xml><?xml version="1.0" encoding="utf-8"?>
<formControlPr xmlns="http://schemas.microsoft.com/office/spreadsheetml/2009/9/main" objectType="CheckBox" fmlaLink="L30" lockText="1" noThreeD="1"/>
</file>

<file path=xl/ctrlProps/ctrlProp342.xml><?xml version="1.0" encoding="utf-8"?>
<formControlPr xmlns="http://schemas.microsoft.com/office/spreadsheetml/2009/9/main" objectType="CheckBox" fmlaLink="B34" lockText="1" noThreeD="1"/>
</file>

<file path=xl/ctrlProps/ctrlProp343.xml><?xml version="1.0" encoding="utf-8"?>
<formControlPr xmlns="http://schemas.microsoft.com/office/spreadsheetml/2009/9/main" objectType="CheckBox" checked="Checked" fmlaLink="G34" lockText="1" noThreeD="1"/>
</file>

<file path=xl/ctrlProps/ctrlProp344.xml><?xml version="1.0" encoding="utf-8"?>
<formControlPr xmlns="http://schemas.microsoft.com/office/spreadsheetml/2009/9/main" objectType="CheckBox" checked="Checked" fmlaLink="L34" lockText="1" noThreeD="1"/>
</file>

<file path=xl/ctrlProps/ctrlProp345.xml><?xml version="1.0" encoding="utf-8"?>
<formControlPr xmlns="http://schemas.microsoft.com/office/spreadsheetml/2009/9/main" objectType="CheckBox" fmlaLink="B40" lockText="1" noThreeD="1"/>
</file>

<file path=xl/ctrlProps/ctrlProp346.xml><?xml version="1.0" encoding="utf-8"?>
<formControlPr xmlns="http://schemas.microsoft.com/office/spreadsheetml/2009/9/main" objectType="CheckBox" checked="Checked" fmlaLink="G40" lockText="1" noThreeD="1"/>
</file>

<file path=xl/ctrlProps/ctrlProp347.xml><?xml version="1.0" encoding="utf-8"?>
<formControlPr xmlns="http://schemas.microsoft.com/office/spreadsheetml/2009/9/main" objectType="CheckBox" fmlaLink="B35" lockText="1" noThreeD="1"/>
</file>

<file path=xl/ctrlProps/ctrlProp348.xml><?xml version="1.0" encoding="utf-8"?>
<formControlPr xmlns="http://schemas.microsoft.com/office/spreadsheetml/2009/9/main" objectType="CheckBox" checked="Checked" fmlaLink="B18" lockText="1" noThreeD="1"/>
</file>

<file path=xl/ctrlProps/ctrlProp349.xml><?xml version="1.0" encoding="utf-8"?>
<formControlPr xmlns="http://schemas.microsoft.com/office/spreadsheetml/2009/9/main" objectType="CheckBox" checked="Checked" fmlaLink="B9" lockText="1" noThreeD="1"/>
</file>

<file path=xl/ctrlProps/ctrlProp350.xml><?xml version="1.0" encoding="utf-8"?>
<formControlPr xmlns="http://schemas.microsoft.com/office/spreadsheetml/2009/9/main" objectType="CheckBox" fmlaLink="G9" lockText="1" noThreeD="1"/>
</file>

<file path=xl/ctrlProps/ctrlProp351.xml><?xml version="1.0" encoding="utf-8"?>
<formControlPr xmlns="http://schemas.microsoft.com/office/spreadsheetml/2009/9/main" objectType="CheckBox" fmlaLink="G12" lockText="1" noThreeD="1"/>
</file>

<file path=xl/ctrlProps/ctrlProp352.xml><?xml version="1.0" encoding="utf-8"?>
<formControlPr xmlns="http://schemas.microsoft.com/office/spreadsheetml/2009/9/main" objectType="CheckBox" fmlaLink="G13" lockText="1" noThreeD="1"/>
</file>

<file path=xl/ctrlProps/ctrlProp353.xml><?xml version="1.0" encoding="utf-8"?>
<formControlPr xmlns="http://schemas.microsoft.com/office/spreadsheetml/2009/9/main" objectType="CheckBox" fmlaLink="G16" lockText="1" noThreeD="1"/>
</file>

<file path=xl/ctrlProps/ctrlProp354.xml><?xml version="1.0" encoding="utf-8"?>
<formControlPr xmlns="http://schemas.microsoft.com/office/spreadsheetml/2009/9/main" objectType="CheckBox" fmlaLink="G17" lockText="1" noThreeD="1"/>
</file>

<file path=xl/ctrlProps/ctrlProp355.xml><?xml version="1.0" encoding="utf-8"?>
<formControlPr xmlns="http://schemas.microsoft.com/office/spreadsheetml/2009/9/main" objectType="CheckBox" fmlaLink="L16" lockText="1" noThreeD="1"/>
</file>

<file path=xl/ctrlProps/ctrlProp356.xml><?xml version="1.0" encoding="utf-8"?>
<formControlPr xmlns="http://schemas.microsoft.com/office/spreadsheetml/2009/9/main" objectType="CheckBox" fmlaLink="L17" lockText="1" noThreeD="1"/>
</file>

<file path=xl/ctrlProps/ctrlProp357.xml><?xml version="1.0" encoding="utf-8"?>
<formControlPr xmlns="http://schemas.microsoft.com/office/spreadsheetml/2009/9/main" objectType="CheckBox" fmlaLink="B16" lockText="1" noThreeD="1"/>
</file>

<file path=xl/ctrlProps/ctrlProp358.xml><?xml version="1.0" encoding="utf-8"?>
<formControlPr xmlns="http://schemas.microsoft.com/office/spreadsheetml/2009/9/main" objectType="CheckBox" fmlaLink="B17" lockText="1" noThreeD="1"/>
</file>

<file path=xl/ctrlProps/ctrlProp359.xml><?xml version="1.0" encoding="utf-8"?>
<formControlPr xmlns="http://schemas.microsoft.com/office/spreadsheetml/2009/9/main" objectType="CheckBox" checked="Checked" fmlaLink="B12" lockText="1" noThreeD="1"/>
</file>

<file path=xl/ctrlProps/ctrlProp360.xml><?xml version="1.0" encoding="utf-8"?>
<formControlPr xmlns="http://schemas.microsoft.com/office/spreadsheetml/2009/9/main" objectType="CheckBox" checked="Checked" fmlaLink="B13" lockText="1" noThreeD="1"/>
</file>

<file path=xl/ctrlProps/ctrlProp361.xml><?xml version="1.0" encoding="utf-8"?>
<formControlPr xmlns="http://schemas.microsoft.com/office/spreadsheetml/2009/9/main" objectType="CheckBox" fmlaLink="B21" lockText="1" noThreeD="1"/>
</file>

<file path=xl/ctrlProps/ctrlProp362.xml><?xml version="1.0" encoding="utf-8"?>
<formControlPr xmlns="http://schemas.microsoft.com/office/spreadsheetml/2009/9/main" objectType="CheckBox" fmlaLink="B25" lockText="1" noThreeD="1"/>
</file>

<file path=xl/ctrlProps/ctrlProp363.xml><?xml version="1.0" encoding="utf-8"?>
<formControlPr xmlns="http://schemas.microsoft.com/office/spreadsheetml/2009/9/main" objectType="CheckBox" fmlaLink="G25" lockText="1" noThreeD="1"/>
</file>

<file path=xl/ctrlProps/ctrlProp364.xml><?xml version="1.0" encoding="utf-8"?>
<formControlPr xmlns="http://schemas.microsoft.com/office/spreadsheetml/2009/9/main" objectType="CheckBox" fmlaLink="L25" lockText="1" noThreeD="1"/>
</file>

<file path=xl/ctrlProps/ctrlProp365.xml><?xml version="1.0" encoding="utf-8"?>
<formControlPr xmlns="http://schemas.microsoft.com/office/spreadsheetml/2009/9/main" objectType="CheckBox" fmlaLink="G21" lockText="1" noThreeD="1"/>
</file>

<file path=xl/ctrlProps/ctrlProp366.xml><?xml version="1.0" encoding="utf-8"?>
<formControlPr xmlns="http://schemas.microsoft.com/office/spreadsheetml/2009/9/main" objectType="CheckBox" fmlaLink="B29" lockText="1" noThreeD="1"/>
</file>

<file path=xl/ctrlProps/ctrlProp367.xml><?xml version="1.0" encoding="utf-8"?>
<formControlPr xmlns="http://schemas.microsoft.com/office/spreadsheetml/2009/9/main" objectType="CheckBox" fmlaLink="B30" lockText="1" noThreeD="1"/>
</file>

<file path=xl/ctrlProps/ctrlProp368.xml><?xml version="1.0" encoding="utf-8"?>
<formControlPr xmlns="http://schemas.microsoft.com/office/spreadsheetml/2009/9/main" objectType="CheckBox" fmlaLink="B31" lockText="1" noThreeD="1"/>
</file>

<file path=xl/ctrlProps/ctrlProp369.xml><?xml version="1.0" encoding="utf-8"?>
<formControlPr xmlns="http://schemas.microsoft.com/office/spreadsheetml/2009/9/main" objectType="CheckBox" fmlaLink="G29" lockText="1" noThreeD="1"/>
</file>

<file path=xl/ctrlProps/ctrlProp370.xml><?xml version="1.0" encoding="utf-8"?>
<formControlPr xmlns="http://schemas.microsoft.com/office/spreadsheetml/2009/9/main" objectType="CheckBox" fmlaLink="G30" lockText="1" noThreeD="1"/>
</file>

<file path=xl/ctrlProps/ctrlProp371.xml><?xml version="1.0" encoding="utf-8"?>
<formControlPr xmlns="http://schemas.microsoft.com/office/spreadsheetml/2009/9/main" objectType="CheckBox" checked="Checked" fmlaLink="G31" lockText="1" noThreeD="1"/>
</file>

<file path=xl/ctrlProps/ctrlProp372.xml><?xml version="1.0" encoding="utf-8"?>
<formControlPr xmlns="http://schemas.microsoft.com/office/spreadsheetml/2009/9/main" objectType="CheckBox" fmlaLink="L29" lockText="1" noThreeD="1"/>
</file>

<file path=xl/ctrlProps/ctrlProp373.xml><?xml version="1.0" encoding="utf-8"?>
<formControlPr xmlns="http://schemas.microsoft.com/office/spreadsheetml/2009/9/main" objectType="CheckBox" fmlaLink="L30" lockText="1" noThreeD="1"/>
</file>

<file path=xl/ctrlProps/ctrlProp374.xml><?xml version="1.0" encoding="utf-8"?>
<formControlPr xmlns="http://schemas.microsoft.com/office/spreadsheetml/2009/9/main" objectType="CheckBox" fmlaLink="B34" lockText="1" noThreeD="1"/>
</file>

<file path=xl/ctrlProps/ctrlProp375.xml><?xml version="1.0" encoding="utf-8"?>
<formControlPr xmlns="http://schemas.microsoft.com/office/spreadsheetml/2009/9/main" objectType="CheckBox" fmlaLink="G34" lockText="1" noThreeD="1"/>
</file>

<file path=xl/ctrlProps/ctrlProp376.xml><?xml version="1.0" encoding="utf-8"?>
<formControlPr xmlns="http://schemas.microsoft.com/office/spreadsheetml/2009/9/main" objectType="CheckBox" fmlaLink="L34" lockText="1" noThreeD="1"/>
</file>

<file path=xl/ctrlProps/ctrlProp377.xml><?xml version="1.0" encoding="utf-8"?>
<formControlPr xmlns="http://schemas.microsoft.com/office/spreadsheetml/2009/9/main" objectType="CheckBox" fmlaLink="B40" lockText="1" noThreeD="1"/>
</file>

<file path=xl/ctrlProps/ctrlProp378.xml><?xml version="1.0" encoding="utf-8"?>
<formControlPr xmlns="http://schemas.microsoft.com/office/spreadsheetml/2009/9/main" objectType="CheckBox" checked="Checked" fmlaLink="G40" lockText="1" noThreeD="1"/>
</file>

<file path=xl/ctrlProps/ctrlProp379.xml><?xml version="1.0" encoding="utf-8"?>
<formControlPr xmlns="http://schemas.microsoft.com/office/spreadsheetml/2009/9/main" objectType="CheckBox" checked="Checked" fmlaLink="B35" lockText="1" noThreeD="1"/>
</file>

<file path=xl/ctrlProps/ctrlProp380.xml><?xml version="1.0" encoding="utf-8"?>
<formControlPr xmlns="http://schemas.microsoft.com/office/spreadsheetml/2009/9/main" objectType="CheckBox" checked="Checked" fmlaLink="B18" lockText="1" noThreeD="1"/>
</file>

<file path=xl/ctrlProps/ctrlProp381.xml><?xml version="1.0" encoding="utf-8"?>
<formControlPr xmlns="http://schemas.microsoft.com/office/spreadsheetml/2009/9/main" objectType="CheckBox" checked="Checked" fmlaLink="B9" lockText="1" noThreeD="1"/>
</file>

<file path=xl/ctrlProps/ctrlProp382.xml><?xml version="1.0" encoding="utf-8"?>
<formControlPr xmlns="http://schemas.microsoft.com/office/spreadsheetml/2009/9/main" objectType="CheckBox" fmlaLink="G9" lockText="1" noThreeD="1"/>
</file>

<file path=xl/ctrlProps/ctrlProp383.xml><?xml version="1.0" encoding="utf-8"?>
<formControlPr xmlns="http://schemas.microsoft.com/office/spreadsheetml/2009/9/main" objectType="CheckBox" fmlaLink="G12" lockText="1" noThreeD="1"/>
</file>

<file path=xl/ctrlProps/ctrlProp384.xml><?xml version="1.0" encoding="utf-8"?>
<formControlPr xmlns="http://schemas.microsoft.com/office/spreadsheetml/2009/9/main" objectType="CheckBox" fmlaLink="G13" lockText="1" noThreeD="1"/>
</file>

<file path=xl/ctrlProps/ctrlProp385.xml><?xml version="1.0" encoding="utf-8"?>
<formControlPr xmlns="http://schemas.microsoft.com/office/spreadsheetml/2009/9/main" objectType="CheckBox" fmlaLink="G16" lockText="1" noThreeD="1"/>
</file>

<file path=xl/ctrlProps/ctrlProp386.xml><?xml version="1.0" encoding="utf-8"?>
<formControlPr xmlns="http://schemas.microsoft.com/office/spreadsheetml/2009/9/main" objectType="CheckBox" fmlaLink="G17" lockText="1" noThreeD="1"/>
</file>

<file path=xl/ctrlProps/ctrlProp387.xml><?xml version="1.0" encoding="utf-8"?>
<formControlPr xmlns="http://schemas.microsoft.com/office/spreadsheetml/2009/9/main" objectType="CheckBox" fmlaLink="L16" lockText="1" noThreeD="1"/>
</file>

<file path=xl/ctrlProps/ctrlProp388.xml><?xml version="1.0" encoding="utf-8"?>
<formControlPr xmlns="http://schemas.microsoft.com/office/spreadsheetml/2009/9/main" objectType="CheckBox" fmlaLink="L17" lockText="1" noThreeD="1"/>
</file>

<file path=xl/ctrlProps/ctrlProp389.xml><?xml version="1.0" encoding="utf-8"?>
<formControlPr xmlns="http://schemas.microsoft.com/office/spreadsheetml/2009/9/main" objectType="CheckBox" fmlaLink="B16" lockText="1" noThreeD="1"/>
</file>

<file path=xl/ctrlProps/ctrlProp390.xml><?xml version="1.0" encoding="utf-8"?>
<formControlPr xmlns="http://schemas.microsoft.com/office/spreadsheetml/2009/9/main" objectType="CheckBox" fmlaLink="B17" lockText="1" noThreeD="1"/>
</file>

<file path=xl/ctrlProps/ctrlProp391.xml><?xml version="1.0" encoding="utf-8"?>
<formControlPr xmlns="http://schemas.microsoft.com/office/spreadsheetml/2009/9/main" objectType="CheckBox" checked="Checked" fmlaLink="B12" lockText="1" noThreeD="1"/>
</file>

<file path=xl/ctrlProps/ctrlProp392.xml><?xml version="1.0" encoding="utf-8"?>
<formControlPr xmlns="http://schemas.microsoft.com/office/spreadsheetml/2009/9/main" objectType="CheckBox" checked="Checked" fmlaLink="B13" lockText="1" noThreeD="1"/>
</file>

<file path=xl/ctrlProps/ctrlProp393.xml><?xml version="1.0" encoding="utf-8"?>
<formControlPr xmlns="http://schemas.microsoft.com/office/spreadsheetml/2009/9/main" objectType="CheckBox" fmlaLink="B21" lockText="1" noThreeD="1"/>
</file>

<file path=xl/ctrlProps/ctrlProp394.xml><?xml version="1.0" encoding="utf-8"?>
<formControlPr xmlns="http://schemas.microsoft.com/office/spreadsheetml/2009/9/main" objectType="CheckBox" fmlaLink="B25" lockText="1" noThreeD="1"/>
</file>

<file path=xl/ctrlProps/ctrlProp395.xml><?xml version="1.0" encoding="utf-8"?>
<formControlPr xmlns="http://schemas.microsoft.com/office/spreadsheetml/2009/9/main" objectType="CheckBox" fmlaLink="G25" lockText="1" noThreeD="1"/>
</file>

<file path=xl/ctrlProps/ctrlProp396.xml><?xml version="1.0" encoding="utf-8"?>
<formControlPr xmlns="http://schemas.microsoft.com/office/spreadsheetml/2009/9/main" objectType="CheckBox" fmlaLink="L25" lockText="1" noThreeD="1"/>
</file>

<file path=xl/ctrlProps/ctrlProp397.xml><?xml version="1.0" encoding="utf-8"?>
<formControlPr xmlns="http://schemas.microsoft.com/office/spreadsheetml/2009/9/main" objectType="CheckBox" fmlaLink="G21" lockText="1" noThreeD="1"/>
</file>

<file path=xl/ctrlProps/ctrlProp398.xml><?xml version="1.0" encoding="utf-8"?>
<formControlPr xmlns="http://schemas.microsoft.com/office/spreadsheetml/2009/9/main" objectType="CheckBox" fmlaLink="B29" lockText="1" noThreeD="1"/>
</file>

<file path=xl/ctrlProps/ctrlProp399.xml><?xml version="1.0" encoding="utf-8"?>
<formControlPr xmlns="http://schemas.microsoft.com/office/spreadsheetml/2009/9/main" objectType="CheckBox" fmlaLink="B30" lockText="1" noThreeD="1"/>
</file>

<file path=xl/ctrlProps/ctrlProp400.xml><?xml version="1.0" encoding="utf-8"?>
<formControlPr xmlns="http://schemas.microsoft.com/office/spreadsheetml/2009/9/main" objectType="CheckBox" fmlaLink="B31" lockText="1" noThreeD="1"/>
</file>

<file path=xl/ctrlProps/ctrlProp401.xml><?xml version="1.0" encoding="utf-8"?>
<formControlPr xmlns="http://schemas.microsoft.com/office/spreadsheetml/2009/9/main" objectType="CheckBox" fmlaLink="G29" lockText="1" noThreeD="1"/>
</file>

<file path=xl/ctrlProps/ctrlProp402.xml><?xml version="1.0" encoding="utf-8"?>
<formControlPr xmlns="http://schemas.microsoft.com/office/spreadsheetml/2009/9/main" objectType="CheckBox" fmlaLink="G30" lockText="1" noThreeD="1"/>
</file>

<file path=xl/ctrlProps/ctrlProp403.xml><?xml version="1.0" encoding="utf-8"?>
<formControlPr xmlns="http://schemas.microsoft.com/office/spreadsheetml/2009/9/main" objectType="CheckBox" checked="Checked" fmlaLink="G31" lockText="1" noThreeD="1"/>
</file>

<file path=xl/ctrlProps/ctrlProp404.xml><?xml version="1.0" encoding="utf-8"?>
<formControlPr xmlns="http://schemas.microsoft.com/office/spreadsheetml/2009/9/main" objectType="CheckBox" fmlaLink="L29" lockText="1" noThreeD="1"/>
</file>

<file path=xl/ctrlProps/ctrlProp405.xml><?xml version="1.0" encoding="utf-8"?>
<formControlPr xmlns="http://schemas.microsoft.com/office/spreadsheetml/2009/9/main" objectType="CheckBox" fmlaLink="L30" lockText="1" noThreeD="1"/>
</file>

<file path=xl/ctrlProps/ctrlProp406.xml><?xml version="1.0" encoding="utf-8"?>
<formControlPr xmlns="http://schemas.microsoft.com/office/spreadsheetml/2009/9/main" objectType="CheckBox" fmlaLink="B34" lockText="1" noThreeD="1"/>
</file>

<file path=xl/ctrlProps/ctrlProp407.xml><?xml version="1.0" encoding="utf-8"?>
<formControlPr xmlns="http://schemas.microsoft.com/office/spreadsheetml/2009/9/main" objectType="CheckBox" fmlaLink="G34" lockText="1" noThreeD="1"/>
</file>

<file path=xl/ctrlProps/ctrlProp408.xml><?xml version="1.0" encoding="utf-8"?>
<formControlPr xmlns="http://schemas.microsoft.com/office/spreadsheetml/2009/9/main" objectType="CheckBox" fmlaLink="L34" lockText="1" noThreeD="1"/>
</file>

<file path=xl/ctrlProps/ctrlProp409.xml><?xml version="1.0" encoding="utf-8"?>
<formControlPr xmlns="http://schemas.microsoft.com/office/spreadsheetml/2009/9/main" objectType="CheckBox" fmlaLink="B40" lockText="1" noThreeD="1"/>
</file>

<file path=xl/ctrlProps/ctrlProp410.xml><?xml version="1.0" encoding="utf-8"?>
<formControlPr xmlns="http://schemas.microsoft.com/office/spreadsheetml/2009/9/main" objectType="CheckBox" checked="Checked" fmlaLink="G40" lockText="1" noThreeD="1"/>
</file>

<file path=xl/ctrlProps/ctrlProp411.xml><?xml version="1.0" encoding="utf-8"?>
<formControlPr xmlns="http://schemas.microsoft.com/office/spreadsheetml/2009/9/main" objectType="CheckBox" checked="Checked" fmlaLink="B35" lockText="1" noThreeD="1"/>
</file>

<file path=xl/ctrlProps/ctrlProp412.xml><?xml version="1.0" encoding="utf-8"?>
<formControlPr xmlns="http://schemas.microsoft.com/office/spreadsheetml/2009/9/main" objectType="CheckBox" checked="Checked" fmlaLink="B18" lockText="1" noThreeD="1"/>
</file>

<file path=xl/ctrlProps/ctrlProp413.xml><?xml version="1.0" encoding="utf-8"?>
<formControlPr xmlns="http://schemas.microsoft.com/office/spreadsheetml/2009/9/main" objectType="CheckBox" checked="Checked" fmlaLink="B9" lockText="1" noThreeD="1"/>
</file>

<file path=xl/ctrlProps/ctrlProp414.xml><?xml version="1.0" encoding="utf-8"?>
<formControlPr xmlns="http://schemas.microsoft.com/office/spreadsheetml/2009/9/main" objectType="CheckBox" fmlaLink="G9" lockText="1" noThreeD="1"/>
</file>

<file path=xl/ctrlProps/ctrlProp415.xml><?xml version="1.0" encoding="utf-8"?>
<formControlPr xmlns="http://schemas.microsoft.com/office/spreadsheetml/2009/9/main" objectType="CheckBox" fmlaLink="G12" lockText="1" noThreeD="1"/>
</file>

<file path=xl/ctrlProps/ctrlProp416.xml><?xml version="1.0" encoding="utf-8"?>
<formControlPr xmlns="http://schemas.microsoft.com/office/spreadsheetml/2009/9/main" objectType="CheckBox" fmlaLink="G13" lockText="1" noThreeD="1"/>
</file>

<file path=xl/ctrlProps/ctrlProp417.xml><?xml version="1.0" encoding="utf-8"?>
<formControlPr xmlns="http://schemas.microsoft.com/office/spreadsheetml/2009/9/main" objectType="CheckBox" fmlaLink="G16" lockText="1" noThreeD="1"/>
</file>

<file path=xl/ctrlProps/ctrlProp418.xml><?xml version="1.0" encoding="utf-8"?>
<formControlPr xmlns="http://schemas.microsoft.com/office/spreadsheetml/2009/9/main" objectType="CheckBox" fmlaLink="G17" lockText="1" noThreeD="1"/>
</file>

<file path=xl/ctrlProps/ctrlProp419.xml><?xml version="1.0" encoding="utf-8"?>
<formControlPr xmlns="http://schemas.microsoft.com/office/spreadsheetml/2009/9/main" objectType="CheckBox" fmlaLink="L16" lockText="1" noThreeD="1"/>
</file>

<file path=xl/ctrlProps/ctrlProp420.xml><?xml version="1.0" encoding="utf-8"?>
<formControlPr xmlns="http://schemas.microsoft.com/office/spreadsheetml/2009/9/main" objectType="CheckBox" fmlaLink="L17" lockText="1" noThreeD="1"/>
</file>

<file path=xl/ctrlProps/ctrlProp421.xml><?xml version="1.0" encoding="utf-8"?>
<formControlPr xmlns="http://schemas.microsoft.com/office/spreadsheetml/2009/9/main" objectType="CheckBox" fmlaLink="B16" lockText="1" noThreeD="1"/>
</file>

<file path=xl/ctrlProps/ctrlProp422.xml><?xml version="1.0" encoding="utf-8"?>
<formControlPr xmlns="http://schemas.microsoft.com/office/spreadsheetml/2009/9/main" objectType="CheckBox" fmlaLink="B17" lockText="1" noThreeD="1"/>
</file>

<file path=xl/ctrlProps/ctrlProp423.xml><?xml version="1.0" encoding="utf-8"?>
<formControlPr xmlns="http://schemas.microsoft.com/office/spreadsheetml/2009/9/main" objectType="CheckBox" checked="Checked" fmlaLink="B12" lockText="1" noThreeD="1"/>
</file>

<file path=xl/ctrlProps/ctrlProp424.xml><?xml version="1.0" encoding="utf-8"?>
<formControlPr xmlns="http://schemas.microsoft.com/office/spreadsheetml/2009/9/main" objectType="CheckBox" checked="Checked" fmlaLink="B13" lockText="1" noThreeD="1"/>
</file>

<file path=xl/ctrlProps/ctrlProp425.xml><?xml version="1.0" encoding="utf-8"?>
<formControlPr xmlns="http://schemas.microsoft.com/office/spreadsheetml/2009/9/main" objectType="CheckBox" fmlaLink="B21" lockText="1" noThreeD="1"/>
</file>

<file path=xl/ctrlProps/ctrlProp426.xml><?xml version="1.0" encoding="utf-8"?>
<formControlPr xmlns="http://schemas.microsoft.com/office/spreadsheetml/2009/9/main" objectType="CheckBox" checked="Checked" fmlaLink="B25" lockText="1" noThreeD="1"/>
</file>

<file path=xl/ctrlProps/ctrlProp427.xml><?xml version="1.0" encoding="utf-8"?>
<formControlPr xmlns="http://schemas.microsoft.com/office/spreadsheetml/2009/9/main" objectType="CheckBox" checked="Checked" fmlaLink="G25" lockText="1" noThreeD="1"/>
</file>

<file path=xl/ctrlProps/ctrlProp428.xml><?xml version="1.0" encoding="utf-8"?>
<formControlPr xmlns="http://schemas.microsoft.com/office/spreadsheetml/2009/9/main" objectType="CheckBox" fmlaLink="L25" lockText="1" noThreeD="1"/>
</file>

<file path=xl/ctrlProps/ctrlProp429.xml><?xml version="1.0" encoding="utf-8"?>
<formControlPr xmlns="http://schemas.microsoft.com/office/spreadsheetml/2009/9/main" objectType="CheckBox" fmlaLink="G21" lockText="1" noThreeD="1"/>
</file>

<file path=xl/ctrlProps/ctrlProp430.xml><?xml version="1.0" encoding="utf-8"?>
<formControlPr xmlns="http://schemas.microsoft.com/office/spreadsheetml/2009/9/main" objectType="CheckBox" fmlaLink="B29" lockText="1" noThreeD="1"/>
</file>

<file path=xl/ctrlProps/ctrlProp431.xml><?xml version="1.0" encoding="utf-8"?>
<formControlPr xmlns="http://schemas.microsoft.com/office/spreadsheetml/2009/9/main" objectType="CheckBox" fmlaLink="B30" lockText="1" noThreeD="1"/>
</file>

<file path=xl/ctrlProps/ctrlProp432.xml><?xml version="1.0" encoding="utf-8"?>
<formControlPr xmlns="http://schemas.microsoft.com/office/spreadsheetml/2009/9/main" objectType="CheckBox" fmlaLink="B31" lockText="1" noThreeD="1"/>
</file>

<file path=xl/ctrlProps/ctrlProp433.xml><?xml version="1.0" encoding="utf-8"?>
<formControlPr xmlns="http://schemas.microsoft.com/office/spreadsheetml/2009/9/main" objectType="CheckBox" fmlaLink="G29" lockText="1" noThreeD="1"/>
</file>

<file path=xl/ctrlProps/ctrlProp434.xml><?xml version="1.0" encoding="utf-8"?>
<formControlPr xmlns="http://schemas.microsoft.com/office/spreadsheetml/2009/9/main" objectType="CheckBox" fmlaLink="G30" lockText="1" noThreeD="1"/>
</file>

<file path=xl/ctrlProps/ctrlProp435.xml><?xml version="1.0" encoding="utf-8"?>
<formControlPr xmlns="http://schemas.microsoft.com/office/spreadsheetml/2009/9/main" objectType="CheckBox" checked="Checked" fmlaLink="G31" lockText="1" noThreeD="1"/>
</file>

<file path=xl/ctrlProps/ctrlProp436.xml><?xml version="1.0" encoding="utf-8"?>
<formControlPr xmlns="http://schemas.microsoft.com/office/spreadsheetml/2009/9/main" objectType="CheckBox" fmlaLink="L29" lockText="1" noThreeD="1"/>
</file>

<file path=xl/ctrlProps/ctrlProp437.xml><?xml version="1.0" encoding="utf-8"?>
<formControlPr xmlns="http://schemas.microsoft.com/office/spreadsheetml/2009/9/main" objectType="CheckBox" fmlaLink="L30" lockText="1" noThreeD="1"/>
</file>

<file path=xl/ctrlProps/ctrlProp438.xml><?xml version="1.0" encoding="utf-8"?>
<formControlPr xmlns="http://schemas.microsoft.com/office/spreadsheetml/2009/9/main" objectType="CheckBox" fmlaLink="B34" lockText="1" noThreeD="1"/>
</file>

<file path=xl/ctrlProps/ctrlProp439.xml><?xml version="1.0" encoding="utf-8"?>
<formControlPr xmlns="http://schemas.microsoft.com/office/spreadsheetml/2009/9/main" objectType="CheckBox" fmlaLink="G34" lockText="1" noThreeD="1"/>
</file>

<file path=xl/ctrlProps/ctrlProp440.xml><?xml version="1.0" encoding="utf-8"?>
<formControlPr xmlns="http://schemas.microsoft.com/office/spreadsheetml/2009/9/main" objectType="CheckBox" fmlaLink="L34" lockText="1" noThreeD="1"/>
</file>

<file path=xl/ctrlProps/ctrlProp441.xml><?xml version="1.0" encoding="utf-8"?>
<formControlPr xmlns="http://schemas.microsoft.com/office/spreadsheetml/2009/9/main" objectType="CheckBox" fmlaLink="B40" lockText="1" noThreeD="1"/>
</file>

<file path=xl/ctrlProps/ctrlProp442.xml><?xml version="1.0" encoding="utf-8"?>
<formControlPr xmlns="http://schemas.microsoft.com/office/spreadsheetml/2009/9/main" objectType="CheckBox" checked="Checked" fmlaLink="G40" lockText="1" noThreeD="1"/>
</file>

<file path=xl/ctrlProps/ctrlProp443.xml><?xml version="1.0" encoding="utf-8"?>
<formControlPr xmlns="http://schemas.microsoft.com/office/spreadsheetml/2009/9/main" objectType="CheckBox" checked="Checked" fmlaLink="B35" lockText="1" noThreeD="1"/>
</file>

<file path=xl/ctrlProps/ctrlProp444.xml><?xml version="1.0" encoding="utf-8"?>
<formControlPr xmlns="http://schemas.microsoft.com/office/spreadsheetml/2009/9/main" objectType="CheckBox" checked="Checked" fmlaLink="B18" lockText="1" noThreeD="1"/>
</file>

<file path=xl/ctrlProps/ctrlProp445.xml><?xml version="1.0" encoding="utf-8"?>
<formControlPr xmlns="http://schemas.microsoft.com/office/spreadsheetml/2009/9/main" objectType="CheckBox" fmlaLink="B9" lockText="1" noThreeD="1"/>
</file>

<file path=xl/ctrlProps/ctrlProp446.xml><?xml version="1.0" encoding="utf-8"?>
<formControlPr xmlns="http://schemas.microsoft.com/office/spreadsheetml/2009/9/main" objectType="CheckBox" checked="Checked" fmlaLink="G9" lockText="1" noThreeD="1"/>
</file>

<file path=xl/ctrlProps/ctrlProp447.xml><?xml version="1.0" encoding="utf-8"?>
<formControlPr xmlns="http://schemas.microsoft.com/office/spreadsheetml/2009/9/main" objectType="CheckBox" fmlaLink="G12" lockText="1" noThreeD="1"/>
</file>

<file path=xl/ctrlProps/ctrlProp448.xml><?xml version="1.0" encoding="utf-8"?>
<formControlPr xmlns="http://schemas.microsoft.com/office/spreadsheetml/2009/9/main" objectType="CheckBox" fmlaLink="G13" lockText="1" noThreeD="1"/>
</file>

<file path=xl/ctrlProps/ctrlProp449.xml><?xml version="1.0" encoding="utf-8"?>
<formControlPr xmlns="http://schemas.microsoft.com/office/spreadsheetml/2009/9/main" objectType="CheckBox" fmlaLink="G16" lockText="1" noThreeD="1"/>
</file>

<file path=xl/ctrlProps/ctrlProp450.xml><?xml version="1.0" encoding="utf-8"?>
<formControlPr xmlns="http://schemas.microsoft.com/office/spreadsheetml/2009/9/main" objectType="CheckBox" fmlaLink="G17" lockText="1" noThreeD="1"/>
</file>

<file path=xl/ctrlProps/ctrlProp451.xml><?xml version="1.0" encoding="utf-8"?>
<formControlPr xmlns="http://schemas.microsoft.com/office/spreadsheetml/2009/9/main" objectType="CheckBox" fmlaLink="L16" lockText="1" noThreeD="1"/>
</file>

<file path=xl/ctrlProps/ctrlProp452.xml><?xml version="1.0" encoding="utf-8"?>
<formControlPr xmlns="http://schemas.microsoft.com/office/spreadsheetml/2009/9/main" objectType="CheckBox" fmlaLink="L17" lockText="1" noThreeD="1"/>
</file>

<file path=xl/ctrlProps/ctrlProp453.xml><?xml version="1.0" encoding="utf-8"?>
<formControlPr xmlns="http://schemas.microsoft.com/office/spreadsheetml/2009/9/main" objectType="CheckBox" fmlaLink="B16" lockText="1" noThreeD="1"/>
</file>

<file path=xl/ctrlProps/ctrlProp454.xml><?xml version="1.0" encoding="utf-8"?>
<formControlPr xmlns="http://schemas.microsoft.com/office/spreadsheetml/2009/9/main" objectType="CheckBox" fmlaLink="B17" lockText="1" noThreeD="1"/>
</file>

<file path=xl/ctrlProps/ctrlProp455.xml><?xml version="1.0" encoding="utf-8"?>
<formControlPr xmlns="http://schemas.microsoft.com/office/spreadsheetml/2009/9/main" objectType="CheckBox" fmlaLink="B12" lockText="1" noThreeD="1"/>
</file>

<file path=xl/ctrlProps/ctrlProp456.xml><?xml version="1.0" encoding="utf-8"?>
<formControlPr xmlns="http://schemas.microsoft.com/office/spreadsheetml/2009/9/main" objectType="CheckBox" checked="Checked" fmlaLink="B13" lockText="1" noThreeD="1"/>
</file>

<file path=xl/ctrlProps/ctrlProp457.xml><?xml version="1.0" encoding="utf-8"?>
<formControlPr xmlns="http://schemas.microsoft.com/office/spreadsheetml/2009/9/main" objectType="CheckBox" fmlaLink="B21" lockText="1" noThreeD="1"/>
</file>

<file path=xl/ctrlProps/ctrlProp458.xml><?xml version="1.0" encoding="utf-8"?>
<formControlPr xmlns="http://schemas.microsoft.com/office/spreadsheetml/2009/9/main" objectType="CheckBox" checked="Checked" fmlaLink="B25" lockText="1" noThreeD="1"/>
</file>

<file path=xl/ctrlProps/ctrlProp459.xml><?xml version="1.0" encoding="utf-8"?>
<formControlPr xmlns="http://schemas.microsoft.com/office/spreadsheetml/2009/9/main" objectType="CheckBox" checked="Checked" fmlaLink="G25" lockText="1" noThreeD="1"/>
</file>

<file path=xl/ctrlProps/ctrlProp460.xml><?xml version="1.0" encoding="utf-8"?>
<formControlPr xmlns="http://schemas.microsoft.com/office/spreadsheetml/2009/9/main" objectType="CheckBox" fmlaLink="L25" lockText="1" noThreeD="1"/>
</file>

<file path=xl/ctrlProps/ctrlProp461.xml><?xml version="1.0" encoding="utf-8"?>
<formControlPr xmlns="http://schemas.microsoft.com/office/spreadsheetml/2009/9/main" objectType="CheckBox" fmlaLink="G21" lockText="1" noThreeD="1"/>
</file>

<file path=xl/ctrlProps/ctrlProp462.xml><?xml version="1.0" encoding="utf-8"?>
<formControlPr xmlns="http://schemas.microsoft.com/office/spreadsheetml/2009/9/main" objectType="CheckBox" fmlaLink="B29" lockText="1" noThreeD="1"/>
</file>

<file path=xl/ctrlProps/ctrlProp463.xml><?xml version="1.0" encoding="utf-8"?>
<formControlPr xmlns="http://schemas.microsoft.com/office/spreadsheetml/2009/9/main" objectType="CheckBox" fmlaLink="B30" lockText="1" noThreeD="1"/>
</file>

<file path=xl/ctrlProps/ctrlProp464.xml><?xml version="1.0" encoding="utf-8"?>
<formControlPr xmlns="http://schemas.microsoft.com/office/spreadsheetml/2009/9/main" objectType="CheckBox" fmlaLink="B31" lockText="1" noThreeD="1"/>
</file>

<file path=xl/ctrlProps/ctrlProp465.xml><?xml version="1.0" encoding="utf-8"?>
<formControlPr xmlns="http://schemas.microsoft.com/office/spreadsheetml/2009/9/main" objectType="CheckBox" fmlaLink="G29" lockText="1" noThreeD="1"/>
</file>

<file path=xl/ctrlProps/ctrlProp466.xml><?xml version="1.0" encoding="utf-8"?>
<formControlPr xmlns="http://schemas.microsoft.com/office/spreadsheetml/2009/9/main" objectType="CheckBox" fmlaLink="G30" lockText="1" noThreeD="1"/>
</file>

<file path=xl/ctrlProps/ctrlProp467.xml><?xml version="1.0" encoding="utf-8"?>
<formControlPr xmlns="http://schemas.microsoft.com/office/spreadsheetml/2009/9/main" objectType="CheckBox" fmlaLink="G31" lockText="1" noThreeD="1"/>
</file>

<file path=xl/ctrlProps/ctrlProp468.xml><?xml version="1.0" encoding="utf-8"?>
<formControlPr xmlns="http://schemas.microsoft.com/office/spreadsheetml/2009/9/main" objectType="CheckBox" checked="Checked" fmlaLink="L29" lockText="1" noThreeD="1"/>
</file>

<file path=xl/ctrlProps/ctrlProp469.xml><?xml version="1.0" encoding="utf-8"?>
<formControlPr xmlns="http://schemas.microsoft.com/office/spreadsheetml/2009/9/main" objectType="CheckBox" fmlaLink="L30" lockText="1" noThreeD="1"/>
</file>

<file path=xl/ctrlProps/ctrlProp470.xml><?xml version="1.0" encoding="utf-8"?>
<formControlPr xmlns="http://schemas.microsoft.com/office/spreadsheetml/2009/9/main" objectType="CheckBox" fmlaLink="B34" lockText="1" noThreeD="1"/>
</file>

<file path=xl/ctrlProps/ctrlProp471.xml><?xml version="1.0" encoding="utf-8"?>
<formControlPr xmlns="http://schemas.microsoft.com/office/spreadsheetml/2009/9/main" objectType="CheckBox" fmlaLink="G34" lockText="1" noThreeD="1"/>
</file>

<file path=xl/ctrlProps/ctrlProp472.xml><?xml version="1.0" encoding="utf-8"?>
<formControlPr xmlns="http://schemas.microsoft.com/office/spreadsheetml/2009/9/main" objectType="CheckBox" fmlaLink="L34" lockText="1" noThreeD="1"/>
</file>

<file path=xl/ctrlProps/ctrlProp473.xml><?xml version="1.0" encoding="utf-8"?>
<formControlPr xmlns="http://schemas.microsoft.com/office/spreadsheetml/2009/9/main" objectType="CheckBox" checked="Checked" fmlaLink="B40" lockText="1" noThreeD="1"/>
</file>

<file path=xl/ctrlProps/ctrlProp474.xml><?xml version="1.0" encoding="utf-8"?>
<formControlPr xmlns="http://schemas.microsoft.com/office/spreadsheetml/2009/9/main" objectType="CheckBox" fmlaLink="G40" lockText="1" noThreeD="1"/>
</file>

<file path=xl/ctrlProps/ctrlProp475.xml><?xml version="1.0" encoding="utf-8"?>
<formControlPr xmlns="http://schemas.microsoft.com/office/spreadsheetml/2009/9/main" objectType="CheckBox" checked="Checked" fmlaLink="B35" lockText="1" noThreeD="1"/>
</file>

<file path=xl/ctrlProps/ctrlProp476.xml><?xml version="1.0" encoding="utf-8"?>
<formControlPr xmlns="http://schemas.microsoft.com/office/spreadsheetml/2009/9/main" objectType="CheckBox" fmlaLink="B18" lockText="1" noThreeD="1"/>
</file>

<file path=xl/ctrlProps/ctrlProp477.xml><?xml version="1.0" encoding="utf-8"?>
<formControlPr xmlns="http://schemas.microsoft.com/office/spreadsheetml/2009/9/main" objectType="CheckBox" fmlaLink="B9" lockText="1" noThreeD="1"/>
</file>

<file path=xl/ctrlProps/ctrlProp478.xml><?xml version="1.0" encoding="utf-8"?>
<formControlPr xmlns="http://schemas.microsoft.com/office/spreadsheetml/2009/9/main" objectType="CheckBox" checked="Checked" fmlaLink="G9" lockText="1" noThreeD="1"/>
</file>

<file path=xl/ctrlProps/ctrlProp479.xml><?xml version="1.0" encoding="utf-8"?>
<formControlPr xmlns="http://schemas.microsoft.com/office/spreadsheetml/2009/9/main" objectType="CheckBox" fmlaLink="G12" lockText="1" noThreeD="1"/>
</file>

<file path=xl/ctrlProps/ctrlProp480.xml><?xml version="1.0" encoding="utf-8"?>
<formControlPr xmlns="http://schemas.microsoft.com/office/spreadsheetml/2009/9/main" objectType="CheckBox" fmlaLink="G13" lockText="1" noThreeD="1"/>
</file>

<file path=xl/ctrlProps/ctrlProp481.xml><?xml version="1.0" encoding="utf-8"?>
<formControlPr xmlns="http://schemas.microsoft.com/office/spreadsheetml/2009/9/main" objectType="CheckBox" fmlaLink="G16" lockText="1" noThreeD="1"/>
</file>

<file path=xl/ctrlProps/ctrlProp482.xml><?xml version="1.0" encoding="utf-8"?>
<formControlPr xmlns="http://schemas.microsoft.com/office/spreadsheetml/2009/9/main" objectType="CheckBox" fmlaLink="G17" lockText="1" noThreeD="1"/>
</file>

<file path=xl/ctrlProps/ctrlProp483.xml><?xml version="1.0" encoding="utf-8"?>
<formControlPr xmlns="http://schemas.microsoft.com/office/spreadsheetml/2009/9/main" objectType="CheckBox" fmlaLink="L16" lockText="1" noThreeD="1"/>
</file>

<file path=xl/ctrlProps/ctrlProp484.xml><?xml version="1.0" encoding="utf-8"?>
<formControlPr xmlns="http://schemas.microsoft.com/office/spreadsheetml/2009/9/main" objectType="CheckBox" fmlaLink="L17" lockText="1" noThreeD="1"/>
</file>

<file path=xl/ctrlProps/ctrlProp485.xml><?xml version="1.0" encoding="utf-8"?>
<formControlPr xmlns="http://schemas.microsoft.com/office/spreadsheetml/2009/9/main" objectType="CheckBox" fmlaLink="B16" lockText="1" noThreeD="1"/>
</file>

<file path=xl/ctrlProps/ctrlProp486.xml><?xml version="1.0" encoding="utf-8"?>
<formControlPr xmlns="http://schemas.microsoft.com/office/spreadsheetml/2009/9/main" objectType="CheckBox" fmlaLink="B17" lockText="1" noThreeD="1"/>
</file>

<file path=xl/ctrlProps/ctrlProp487.xml><?xml version="1.0" encoding="utf-8"?>
<formControlPr xmlns="http://schemas.microsoft.com/office/spreadsheetml/2009/9/main" objectType="CheckBox" checked="Checked" fmlaLink="B12" lockText="1" noThreeD="1"/>
</file>

<file path=xl/ctrlProps/ctrlProp488.xml><?xml version="1.0" encoding="utf-8"?>
<formControlPr xmlns="http://schemas.microsoft.com/office/spreadsheetml/2009/9/main" objectType="CheckBox" fmlaLink="B13" lockText="1" noThreeD="1"/>
</file>

<file path=xl/ctrlProps/ctrlProp489.xml><?xml version="1.0" encoding="utf-8"?>
<formControlPr xmlns="http://schemas.microsoft.com/office/spreadsheetml/2009/9/main" objectType="CheckBox" fmlaLink="B21" lockText="1" noThreeD="1"/>
</file>

<file path=xl/ctrlProps/ctrlProp490.xml><?xml version="1.0" encoding="utf-8"?>
<formControlPr xmlns="http://schemas.microsoft.com/office/spreadsheetml/2009/9/main" objectType="CheckBox" fmlaLink="B25" lockText="1" noThreeD="1"/>
</file>

<file path=xl/ctrlProps/ctrlProp491.xml><?xml version="1.0" encoding="utf-8"?>
<formControlPr xmlns="http://schemas.microsoft.com/office/spreadsheetml/2009/9/main" objectType="CheckBox" fmlaLink="G25" lockText="1" noThreeD="1"/>
</file>

<file path=xl/ctrlProps/ctrlProp492.xml><?xml version="1.0" encoding="utf-8"?>
<formControlPr xmlns="http://schemas.microsoft.com/office/spreadsheetml/2009/9/main" objectType="CheckBox" fmlaLink="L25" lockText="1" noThreeD="1"/>
</file>

<file path=xl/ctrlProps/ctrlProp493.xml><?xml version="1.0" encoding="utf-8"?>
<formControlPr xmlns="http://schemas.microsoft.com/office/spreadsheetml/2009/9/main" objectType="CheckBox" fmlaLink="G21" lockText="1" noThreeD="1"/>
</file>

<file path=xl/ctrlProps/ctrlProp494.xml><?xml version="1.0" encoding="utf-8"?>
<formControlPr xmlns="http://schemas.microsoft.com/office/spreadsheetml/2009/9/main" objectType="CheckBox" fmlaLink="B29" lockText="1" noThreeD="1"/>
</file>

<file path=xl/ctrlProps/ctrlProp495.xml><?xml version="1.0" encoding="utf-8"?>
<formControlPr xmlns="http://schemas.microsoft.com/office/spreadsheetml/2009/9/main" objectType="CheckBox" fmlaLink="B30" lockText="1" noThreeD="1"/>
</file>

<file path=xl/ctrlProps/ctrlProp496.xml><?xml version="1.0" encoding="utf-8"?>
<formControlPr xmlns="http://schemas.microsoft.com/office/spreadsheetml/2009/9/main" objectType="CheckBox" fmlaLink="B31" lockText="1" noThreeD="1"/>
</file>

<file path=xl/ctrlProps/ctrlProp497.xml><?xml version="1.0" encoding="utf-8"?>
<formControlPr xmlns="http://schemas.microsoft.com/office/spreadsheetml/2009/9/main" objectType="CheckBox" fmlaLink="G29" lockText="1" noThreeD="1"/>
</file>

<file path=xl/ctrlProps/ctrlProp498.xml><?xml version="1.0" encoding="utf-8"?>
<formControlPr xmlns="http://schemas.microsoft.com/office/spreadsheetml/2009/9/main" objectType="CheckBox" fmlaLink="G30" lockText="1" noThreeD="1"/>
</file>

<file path=xl/ctrlProps/ctrlProp499.xml><?xml version="1.0" encoding="utf-8"?>
<formControlPr xmlns="http://schemas.microsoft.com/office/spreadsheetml/2009/9/main" objectType="CheckBox" checked="Checked" fmlaLink="G31" lockText="1" noThreeD="1"/>
</file>

<file path=xl/ctrlProps/ctrlProp500.xml><?xml version="1.0" encoding="utf-8"?>
<formControlPr xmlns="http://schemas.microsoft.com/office/spreadsheetml/2009/9/main" objectType="CheckBox" fmlaLink="L29" lockText="1" noThreeD="1"/>
</file>

<file path=xl/ctrlProps/ctrlProp501.xml><?xml version="1.0" encoding="utf-8"?>
<formControlPr xmlns="http://schemas.microsoft.com/office/spreadsheetml/2009/9/main" objectType="CheckBox" fmlaLink="L30" lockText="1" noThreeD="1"/>
</file>

<file path=xl/ctrlProps/ctrlProp502.xml><?xml version="1.0" encoding="utf-8"?>
<formControlPr xmlns="http://schemas.microsoft.com/office/spreadsheetml/2009/9/main" objectType="CheckBox" fmlaLink="B34" lockText="1" noThreeD="1"/>
</file>

<file path=xl/ctrlProps/ctrlProp503.xml><?xml version="1.0" encoding="utf-8"?>
<formControlPr xmlns="http://schemas.microsoft.com/office/spreadsheetml/2009/9/main" objectType="CheckBox" fmlaLink="G34" lockText="1" noThreeD="1"/>
</file>

<file path=xl/ctrlProps/ctrlProp504.xml><?xml version="1.0" encoding="utf-8"?>
<formControlPr xmlns="http://schemas.microsoft.com/office/spreadsheetml/2009/9/main" objectType="CheckBox" checked="Checked" fmlaLink="L34" lockText="1" noThreeD="1"/>
</file>

<file path=xl/ctrlProps/ctrlProp505.xml><?xml version="1.0" encoding="utf-8"?>
<formControlPr xmlns="http://schemas.microsoft.com/office/spreadsheetml/2009/9/main" objectType="CheckBox" fmlaLink="B40" lockText="1" noThreeD="1"/>
</file>

<file path=xl/ctrlProps/ctrlProp506.xml><?xml version="1.0" encoding="utf-8"?>
<formControlPr xmlns="http://schemas.microsoft.com/office/spreadsheetml/2009/9/main" objectType="CheckBox" checked="Checked" fmlaLink="G40" lockText="1" noThreeD="1"/>
</file>

<file path=xl/ctrlProps/ctrlProp507.xml><?xml version="1.0" encoding="utf-8"?>
<formControlPr xmlns="http://schemas.microsoft.com/office/spreadsheetml/2009/9/main" objectType="CheckBox" fmlaLink="B35" lockText="1" noThreeD="1"/>
</file>

<file path=xl/ctrlProps/ctrlProp508.xml><?xml version="1.0" encoding="utf-8"?>
<formControlPr xmlns="http://schemas.microsoft.com/office/spreadsheetml/2009/9/main" objectType="CheckBox" fmlaLink="B18" lockText="1" noThreeD="1"/>
</file>

<file path=xl/ctrlProps/ctrlProp509.xml><?xml version="1.0" encoding="utf-8"?>
<formControlPr xmlns="http://schemas.microsoft.com/office/spreadsheetml/2009/9/main" objectType="CheckBox" checked="Checked" fmlaLink="B9" lockText="1" noThreeD="1"/>
</file>

<file path=xl/ctrlProps/ctrlProp510.xml><?xml version="1.0" encoding="utf-8"?>
<formControlPr xmlns="http://schemas.microsoft.com/office/spreadsheetml/2009/9/main" objectType="CheckBox" fmlaLink="G9" lockText="1" noThreeD="1"/>
</file>

<file path=xl/ctrlProps/ctrlProp511.xml><?xml version="1.0" encoding="utf-8"?>
<formControlPr xmlns="http://schemas.microsoft.com/office/spreadsheetml/2009/9/main" objectType="CheckBox" fmlaLink="G12" lockText="1" noThreeD="1"/>
</file>

<file path=xl/ctrlProps/ctrlProp512.xml><?xml version="1.0" encoding="utf-8"?>
<formControlPr xmlns="http://schemas.microsoft.com/office/spreadsheetml/2009/9/main" objectType="CheckBox" fmlaLink="G13" lockText="1" noThreeD="1"/>
</file>

<file path=xl/ctrlProps/ctrlProp513.xml><?xml version="1.0" encoding="utf-8"?>
<formControlPr xmlns="http://schemas.microsoft.com/office/spreadsheetml/2009/9/main" objectType="CheckBox" fmlaLink="G16" lockText="1" noThreeD="1"/>
</file>

<file path=xl/ctrlProps/ctrlProp514.xml><?xml version="1.0" encoding="utf-8"?>
<formControlPr xmlns="http://schemas.microsoft.com/office/spreadsheetml/2009/9/main" objectType="CheckBox" checked="Checked" fmlaLink="G17" lockText="1" noThreeD="1"/>
</file>

<file path=xl/ctrlProps/ctrlProp515.xml><?xml version="1.0" encoding="utf-8"?>
<formControlPr xmlns="http://schemas.microsoft.com/office/spreadsheetml/2009/9/main" objectType="CheckBox" fmlaLink="L16" lockText="1" noThreeD="1"/>
</file>

<file path=xl/ctrlProps/ctrlProp516.xml><?xml version="1.0" encoding="utf-8"?>
<formControlPr xmlns="http://schemas.microsoft.com/office/spreadsheetml/2009/9/main" objectType="CheckBox" fmlaLink="L17" lockText="1" noThreeD="1"/>
</file>

<file path=xl/ctrlProps/ctrlProp517.xml><?xml version="1.0" encoding="utf-8"?>
<formControlPr xmlns="http://schemas.microsoft.com/office/spreadsheetml/2009/9/main" objectType="CheckBox" fmlaLink="B16" lockText="1" noThreeD="1"/>
</file>

<file path=xl/ctrlProps/ctrlProp518.xml><?xml version="1.0" encoding="utf-8"?>
<formControlPr xmlns="http://schemas.microsoft.com/office/spreadsheetml/2009/9/main" objectType="CheckBox" fmlaLink="B17" lockText="1" noThreeD="1"/>
</file>

<file path=xl/ctrlProps/ctrlProp519.xml><?xml version="1.0" encoding="utf-8"?>
<formControlPr xmlns="http://schemas.microsoft.com/office/spreadsheetml/2009/9/main" objectType="CheckBox" checked="Checked" fmlaLink="B12" lockText="1" noThreeD="1"/>
</file>

<file path=xl/ctrlProps/ctrlProp520.xml><?xml version="1.0" encoding="utf-8"?>
<formControlPr xmlns="http://schemas.microsoft.com/office/spreadsheetml/2009/9/main" objectType="CheckBox" fmlaLink="B13" lockText="1" noThreeD="1"/>
</file>

<file path=xl/ctrlProps/ctrlProp521.xml><?xml version="1.0" encoding="utf-8"?>
<formControlPr xmlns="http://schemas.microsoft.com/office/spreadsheetml/2009/9/main" objectType="CheckBox" fmlaLink="B21" lockText="1" noThreeD="1"/>
</file>

<file path=xl/ctrlProps/ctrlProp522.xml><?xml version="1.0" encoding="utf-8"?>
<formControlPr xmlns="http://schemas.microsoft.com/office/spreadsheetml/2009/9/main" objectType="CheckBox" fmlaLink="B25" lockText="1" noThreeD="1"/>
</file>

<file path=xl/ctrlProps/ctrlProp523.xml><?xml version="1.0" encoding="utf-8"?>
<formControlPr xmlns="http://schemas.microsoft.com/office/spreadsheetml/2009/9/main" objectType="CheckBox" fmlaLink="G25" lockText="1" noThreeD="1"/>
</file>

<file path=xl/ctrlProps/ctrlProp524.xml><?xml version="1.0" encoding="utf-8"?>
<formControlPr xmlns="http://schemas.microsoft.com/office/spreadsheetml/2009/9/main" objectType="CheckBox" fmlaLink="L25" lockText="1" noThreeD="1"/>
</file>

<file path=xl/ctrlProps/ctrlProp525.xml><?xml version="1.0" encoding="utf-8"?>
<formControlPr xmlns="http://schemas.microsoft.com/office/spreadsheetml/2009/9/main" objectType="CheckBox" fmlaLink="G21" lockText="1" noThreeD="1"/>
</file>

<file path=xl/ctrlProps/ctrlProp526.xml><?xml version="1.0" encoding="utf-8"?>
<formControlPr xmlns="http://schemas.microsoft.com/office/spreadsheetml/2009/9/main" objectType="CheckBox" fmlaLink="B29" lockText="1" noThreeD="1"/>
</file>

<file path=xl/ctrlProps/ctrlProp527.xml><?xml version="1.0" encoding="utf-8"?>
<formControlPr xmlns="http://schemas.microsoft.com/office/spreadsheetml/2009/9/main" objectType="CheckBox" fmlaLink="B30" lockText="1" noThreeD="1"/>
</file>

<file path=xl/ctrlProps/ctrlProp528.xml><?xml version="1.0" encoding="utf-8"?>
<formControlPr xmlns="http://schemas.microsoft.com/office/spreadsheetml/2009/9/main" objectType="CheckBox" fmlaLink="B31" lockText="1" noThreeD="1"/>
</file>

<file path=xl/ctrlProps/ctrlProp529.xml><?xml version="1.0" encoding="utf-8"?>
<formControlPr xmlns="http://schemas.microsoft.com/office/spreadsheetml/2009/9/main" objectType="CheckBox" fmlaLink="G29" lockText="1" noThreeD="1"/>
</file>

<file path=xl/ctrlProps/ctrlProp530.xml><?xml version="1.0" encoding="utf-8"?>
<formControlPr xmlns="http://schemas.microsoft.com/office/spreadsheetml/2009/9/main" objectType="CheckBox" fmlaLink="G30" lockText="1" noThreeD="1"/>
</file>

<file path=xl/ctrlProps/ctrlProp531.xml><?xml version="1.0" encoding="utf-8"?>
<formControlPr xmlns="http://schemas.microsoft.com/office/spreadsheetml/2009/9/main" objectType="CheckBox" checked="Checked" fmlaLink="G31" lockText="1" noThreeD="1"/>
</file>

<file path=xl/ctrlProps/ctrlProp532.xml><?xml version="1.0" encoding="utf-8"?>
<formControlPr xmlns="http://schemas.microsoft.com/office/spreadsheetml/2009/9/main" objectType="CheckBox" fmlaLink="L29" lockText="1" noThreeD="1"/>
</file>

<file path=xl/ctrlProps/ctrlProp533.xml><?xml version="1.0" encoding="utf-8"?>
<formControlPr xmlns="http://schemas.microsoft.com/office/spreadsheetml/2009/9/main" objectType="CheckBox" fmlaLink="L30" lockText="1" noThreeD="1"/>
</file>

<file path=xl/ctrlProps/ctrlProp534.xml><?xml version="1.0" encoding="utf-8"?>
<formControlPr xmlns="http://schemas.microsoft.com/office/spreadsheetml/2009/9/main" objectType="CheckBox" fmlaLink="B34" lockText="1" noThreeD="1"/>
</file>

<file path=xl/ctrlProps/ctrlProp535.xml><?xml version="1.0" encoding="utf-8"?>
<formControlPr xmlns="http://schemas.microsoft.com/office/spreadsheetml/2009/9/main" objectType="CheckBox" fmlaLink="G34" lockText="1" noThreeD="1"/>
</file>

<file path=xl/ctrlProps/ctrlProp536.xml><?xml version="1.0" encoding="utf-8"?>
<formControlPr xmlns="http://schemas.microsoft.com/office/spreadsheetml/2009/9/main" objectType="CheckBox" fmlaLink="L34" lockText="1" noThreeD="1"/>
</file>

<file path=xl/ctrlProps/ctrlProp537.xml><?xml version="1.0" encoding="utf-8"?>
<formControlPr xmlns="http://schemas.microsoft.com/office/spreadsheetml/2009/9/main" objectType="CheckBox" fmlaLink="B40" lockText="1" noThreeD="1"/>
</file>

<file path=xl/ctrlProps/ctrlProp538.xml><?xml version="1.0" encoding="utf-8"?>
<formControlPr xmlns="http://schemas.microsoft.com/office/spreadsheetml/2009/9/main" objectType="CheckBox" checked="Checked" fmlaLink="G40" lockText="1" noThreeD="1"/>
</file>

<file path=xl/ctrlProps/ctrlProp539.xml><?xml version="1.0" encoding="utf-8"?>
<formControlPr xmlns="http://schemas.microsoft.com/office/spreadsheetml/2009/9/main" objectType="CheckBox" checked="Checked" fmlaLink="B35" lockText="1" noThreeD="1"/>
</file>

<file path=xl/ctrlProps/ctrlProp540.xml><?xml version="1.0" encoding="utf-8"?>
<formControlPr xmlns="http://schemas.microsoft.com/office/spreadsheetml/2009/9/main" objectType="CheckBox" fmlaLink="B18" lockText="1" noThreeD="1"/>
</file>

<file path=xl/ctrlProps/ctrlProp541.xml><?xml version="1.0" encoding="utf-8"?>
<formControlPr xmlns="http://schemas.microsoft.com/office/spreadsheetml/2009/9/main" objectType="CheckBox" checked="Checked" fmlaLink="B9" lockText="1" noThreeD="1"/>
</file>

<file path=xl/ctrlProps/ctrlProp542.xml><?xml version="1.0" encoding="utf-8"?>
<formControlPr xmlns="http://schemas.microsoft.com/office/spreadsheetml/2009/9/main" objectType="CheckBox" fmlaLink="G9" lockText="1" noThreeD="1"/>
</file>

<file path=xl/ctrlProps/ctrlProp543.xml><?xml version="1.0" encoding="utf-8"?>
<formControlPr xmlns="http://schemas.microsoft.com/office/spreadsheetml/2009/9/main" objectType="CheckBox" fmlaLink="G12" lockText="1" noThreeD="1"/>
</file>

<file path=xl/ctrlProps/ctrlProp544.xml><?xml version="1.0" encoding="utf-8"?>
<formControlPr xmlns="http://schemas.microsoft.com/office/spreadsheetml/2009/9/main" objectType="CheckBox" fmlaLink="G13" lockText="1" noThreeD="1"/>
</file>

<file path=xl/ctrlProps/ctrlProp545.xml><?xml version="1.0" encoding="utf-8"?>
<formControlPr xmlns="http://schemas.microsoft.com/office/spreadsheetml/2009/9/main" objectType="CheckBox" fmlaLink="G16" lockText="1" noThreeD="1"/>
</file>

<file path=xl/ctrlProps/ctrlProp546.xml><?xml version="1.0" encoding="utf-8"?>
<formControlPr xmlns="http://schemas.microsoft.com/office/spreadsheetml/2009/9/main" objectType="CheckBox" fmlaLink="G17" lockText="1" noThreeD="1"/>
</file>

<file path=xl/ctrlProps/ctrlProp547.xml><?xml version="1.0" encoding="utf-8"?>
<formControlPr xmlns="http://schemas.microsoft.com/office/spreadsheetml/2009/9/main" objectType="CheckBox" fmlaLink="L16" lockText="1" noThreeD="1"/>
</file>

<file path=xl/ctrlProps/ctrlProp548.xml><?xml version="1.0" encoding="utf-8"?>
<formControlPr xmlns="http://schemas.microsoft.com/office/spreadsheetml/2009/9/main" objectType="CheckBox" fmlaLink="L17" lockText="1" noThreeD="1"/>
</file>

<file path=xl/ctrlProps/ctrlProp549.xml><?xml version="1.0" encoding="utf-8"?>
<formControlPr xmlns="http://schemas.microsoft.com/office/spreadsheetml/2009/9/main" objectType="CheckBox" fmlaLink="B16" lockText="1" noThreeD="1"/>
</file>

<file path=xl/ctrlProps/ctrlProp550.xml><?xml version="1.0" encoding="utf-8"?>
<formControlPr xmlns="http://schemas.microsoft.com/office/spreadsheetml/2009/9/main" objectType="CheckBox" checked="Checked" fmlaLink="B17" lockText="1" noThreeD="1"/>
</file>

<file path=xl/ctrlProps/ctrlProp551.xml><?xml version="1.0" encoding="utf-8"?>
<formControlPr xmlns="http://schemas.microsoft.com/office/spreadsheetml/2009/9/main" objectType="CheckBox" checked="Checked" fmlaLink="B12" lockText="1" noThreeD="1"/>
</file>

<file path=xl/ctrlProps/ctrlProp552.xml><?xml version="1.0" encoding="utf-8"?>
<formControlPr xmlns="http://schemas.microsoft.com/office/spreadsheetml/2009/9/main" objectType="CheckBox" fmlaLink="B13" lockText="1" noThreeD="1"/>
</file>

<file path=xl/ctrlProps/ctrlProp553.xml><?xml version="1.0" encoding="utf-8"?>
<formControlPr xmlns="http://schemas.microsoft.com/office/spreadsheetml/2009/9/main" objectType="CheckBox" fmlaLink="B21" lockText="1" noThreeD="1"/>
</file>

<file path=xl/ctrlProps/ctrlProp554.xml><?xml version="1.0" encoding="utf-8"?>
<formControlPr xmlns="http://schemas.microsoft.com/office/spreadsheetml/2009/9/main" objectType="CheckBox" fmlaLink="B25" lockText="1" noThreeD="1"/>
</file>

<file path=xl/ctrlProps/ctrlProp555.xml><?xml version="1.0" encoding="utf-8"?>
<formControlPr xmlns="http://schemas.microsoft.com/office/spreadsheetml/2009/9/main" objectType="CheckBox" fmlaLink="G25" lockText="1" noThreeD="1"/>
</file>

<file path=xl/ctrlProps/ctrlProp556.xml><?xml version="1.0" encoding="utf-8"?>
<formControlPr xmlns="http://schemas.microsoft.com/office/spreadsheetml/2009/9/main" objectType="CheckBox" fmlaLink="L25" lockText="1" noThreeD="1"/>
</file>

<file path=xl/ctrlProps/ctrlProp557.xml><?xml version="1.0" encoding="utf-8"?>
<formControlPr xmlns="http://schemas.microsoft.com/office/spreadsheetml/2009/9/main" objectType="CheckBox" fmlaLink="G21" lockText="1" noThreeD="1"/>
</file>

<file path=xl/ctrlProps/ctrlProp558.xml><?xml version="1.0" encoding="utf-8"?>
<formControlPr xmlns="http://schemas.microsoft.com/office/spreadsheetml/2009/9/main" objectType="CheckBox" fmlaLink="B29" lockText="1" noThreeD="1"/>
</file>

<file path=xl/ctrlProps/ctrlProp559.xml><?xml version="1.0" encoding="utf-8"?>
<formControlPr xmlns="http://schemas.microsoft.com/office/spreadsheetml/2009/9/main" objectType="CheckBox" fmlaLink="B30" lockText="1" noThreeD="1"/>
</file>

<file path=xl/ctrlProps/ctrlProp560.xml><?xml version="1.0" encoding="utf-8"?>
<formControlPr xmlns="http://schemas.microsoft.com/office/spreadsheetml/2009/9/main" objectType="CheckBox" fmlaLink="B31" lockText="1" noThreeD="1"/>
</file>

<file path=xl/ctrlProps/ctrlProp561.xml><?xml version="1.0" encoding="utf-8"?>
<formControlPr xmlns="http://schemas.microsoft.com/office/spreadsheetml/2009/9/main" objectType="CheckBox" fmlaLink="G29" lockText="1" noThreeD="1"/>
</file>

<file path=xl/ctrlProps/ctrlProp562.xml><?xml version="1.0" encoding="utf-8"?>
<formControlPr xmlns="http://schemas.microsoft.com/office/spreadsheetml/2009/9/main" objectType="CheckBox" fmlaLink="G30" lockText="1" noThreeD="1"/>
</file>

<file path=xl/ctrlProps/ctrlProp563.xml><?xml version="1.0" encoding="utf-8"?>
<formControlPr xmlns="http://schemas.microsoft.com/office/spreadsheetml/2009/9/main" objectType="CheckBox" checked="Checked" fmlaLink="G31" lockText="1" noThreeD="1"/>
</file>

<file path=xl/ctrlProps/ctrlProp564.xml><?xml version="1.0" encoding="utf-8"?>
<formControlPr xmlns="http://schemas.microsoft.com/office/spreadsheetml/2009/9/main" objectType="CheckBox" fmlaLink="L29" lockText="1" noThreeD="1"/>
</file>

<file path=xl/ctrlProps/ctrlProp565.xml><?xml version="1.0" encoding="utf-8"?>
<formControlPr xmlns="http://schemas.microsoft.com/office/spreadsheetml/2009/9/main" objectType="CheckBox" fmlaLink="L30" lockText="1" noThreeD="1"/>
</file>

<file path=xl/ctrlProps/ctrlProp566.xml><?xml version="1.0" encoding="utf-8"?>
<formControlPr xmlns="http://schemas.microsoft.com/office/spreadsheetml/2009/9/main" objectType="CheckBox" fmlaLink="B34" lockText="1" noThreeD="1"/>
</file>

<file path=xl/ctrlProps/ctrlProp567.xml><?xml version="1.0" encoding="utf-8"?>
<formControlPr xmlns="http://schemas.microsoft.com/office/spreadsheetml/2009/9/main" objectType="CheckBox" fmlaLink="G34" lockText="1" noThreeD="1"/>
</file>

<file path=xl/ctrlProps/ctrlProp568.xml><?xml version="1.0" encoding="utf-8"?>
<formControlPr xmlns="http://schemas.microsoft.com/office/spreadsheetml/2009/9/main" objectType="CheckBox" fmlaLink="L34" lockText="1" noThreeD="1"/>
</file>

<file path=xl/ctrlProps/ctrlProp569.xml><?xml version="1.0" encoding="utf-8"?>
<formControlPr xmlns="http://schemas.microsoft.com/office/spreadsheetml/2009/9/main" objectType="CheckBox" fmlaLink="B40" lockText="1" noThreeD="1"/>
</file>

<file path=xl/ctrlProps/ctrlProp570.xml><?xml version="1.0" encoding="utf-8"?>
<formControlPr xmlns="http://schemas.microsoft.com/office/spreadsheetml/2009/9/main" objectType="CheckBox" checked="Checked" fmlaLink="G40" lockText="1" noThreeD="1"/>
</file>

<file path=xl/ctrlProps/ctrlProp571.xml><?xml version="1.0" encoding="utf-8"?>
<formControlPr xmlns="http://schemas.microsoft.com/office/spreadsheetml/2009/9/main" objectType="CheckBox" checked="Checked" fmlaLink="B35" lockText="1" noThreeD="1"/>
</file>

<file path=xl/ctrlProps/ctrlProp572.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a16="http://schemas.microsoft.com/office/drawing/2014/main"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7224" name="Check Box 184" hidden="1">
              <a:extLst>
                <a:ext uri="{63B3BB69-23CF-44E3-9099-C40C66FF867C}">
                  <a14:compatExt spid="_x0000_s87224"/>
                </a:ext>
                <a:ext uri="{FF2B5EF4-FFF2-40B4-BE49-F238E27FC236}">
                  <a16:creationId xmlns:a16="http://schemas.microsoft.com/office/drawing/2014/main" id="{00000000-0008-0000-0500-0000B8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7225" name="Check Box 185" hidden="1">
              <a:extLst>
                <a:ext uri="{63B3BB69-23CF-44E3-9099-C40C66FF867C}">
                  <a14:compatExt spid="_x0000_s87225"/>
                </a:ext>
                <a:ext uri="{FF2B5EF4-FFF2-40B4-BE49-F238E27FC236}">
                  <a16:creationId xmlns:a16="http://schemas.microsoft.com/office/drawing/2014/main" id="{00000000-0008-0000-0500-0000B9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21</xdr:row>
          <xdr:rowOff>19050</xdr:rowOff>
        </xdr:to>
        <xdr:sp macro="" textlink="">
          <xdr:nvSpPr>
            <xdr:cNvPr id="87226" name="Check Box 186" hidden="1">
              <a:extLst>
                <a:ext uri="{63B3BB69-23CF-44E3-9099-C40C66FF867C}">
                  <a14:compatExt spid="_x0000_s87226"/>
                </a:ext>
                <a:ext uri="{FF2B5EF4-FFF2-40B4-BE49-F238E27FC236}">
                  <a16:creationId xmlns:a16="http://schemas.microsoft.com/office/drawing/2014/main" id="{00000000-0008-0000-0500-0000BA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21</xdr:row>
          <xdr:rowOff>19050</xdr:rowOff>
        </xdr:to>
        <xdr:sp macro="" textlink="">
          <xdr:nvSpPr>
            <xdr:cNvPr id="87227" name="Check Box 187" hidden="1">
              <a:extLst>
                <a:ext uri="{63B3BB69-23CF-44E3-9099-C40C66FF867C}">
                  <a14:compatExt spid="_x0000_s87227"/>
                </a:ext>
                <a:ext uri="{FF2B5EF4-FFF2-40B4-BE49-F238E27FC236}">
                  <a16:creationId xmlns:a16="http://schemas.microsoft.com/office/drawing/2014/main" id="{00000000-0008-0000-0500-0000BB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87228" name="Check Box 188" hidden="1">
              <a:extLst>
                <a:ext uri="{63B3BB69-23CF-44E3-9099-C40C66FF867C}">
                  <a14:compatExt spid="_x0000_s87228"/>
                </a:ext>
                <a:ext uri="{FF2B5EF4-FFF2-40B4-BE49-F238E27FC236}">
                  <a16:creationId xmlns:a16="http://schemas.microsoft.com/office/drawing/2014/main" id="{00000000-0008-0000-0500-0000BC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87229" name="Check Box 189" hidden="1">
              <a:extLst>
                <a:ext uri="{63B3BB69-23CF-44E3-9099-C40C66FF867C}">
                  <a14:compatExt spid="_x0000_s87229"/>
                </a:ext>
                <a:ext uri="{FF2B5EF4-FFF2-40B4-BE49-F238E27FC236}">
                  <a16:creationId xmlns:a16="http://schemas.microsoft.com/office/drawing/2014/main" id="{00000000-0008-0000-0500-0000BD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87230" name="Check Box 190" hidden="1">
              <a:extLst>
                <a:ext uri="{63B3BB69-23CF-44E3-9099-C40C66FF867C}">
                  <a14:compatExt spid="_x0000_s87230"/>
                </a:ext>
                <a:ext uri="{FF2B5EF4-FFF2-40B4-BE49-F238E27FC236}">
                  <a16:creationId xmlns:a16="http://schemas.microsoft.com/office/drawing/2014/main" id="{00000000-0008-0000-0500-0000BE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87231" name="Check Box 191" hidden="1">
              <a:extLst>
                <a:ext uri="{63B3BB69-23CF-44E3-9099-C40C66FF867C}">
                  <a14:compatExt spid="_x0000_s87231"/>
                </a:ext>
                <a:ext uri="{FF2B5EF4-FFF2-40B4-BE49-F238E27FC236}">
                  <a16:creationId xmlns:a16="http://schemas.microsoft.com/office/drawing/2014/main" id="{00000000-0008-0000-0500-0000BF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87232" name="Check Box 192" hidden="1">
              <a:extLst>
                <a:ext uri="{63B3BB69-23CF-44E3-9099-C40C66FF867C}">
                  <a14:compatExt spid="_x0000_s87232"/>
                </a:ext>
                <a:ext uri="{FF2B5EF4-FFF2-40B4-BE49-F238E27FC236}">
                  <a16:creationId xmlns:a16="http://schemas.microsoft.com/office/drawing/2014/main" id="{00000000-0008-0000-0500-0000C0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87233" name="Check Box 193" hidden="1">
              <a:extLst>
                <a:ext uri="{63B3BB69-23CF-44E3-9099-C40C66FF867C}">
                  <a14:compatExt spid="_x0000_s87233"/>
                </a:ext>
                <a:ext uri="{FF2B5EF4-FFF2-40B4-BE49-F238E27FC236}">
                  <a16:creationId xmlns:a16="http://schemas.microsoft.com/office/drawing/2014/main" id="{00000000-0008-0000-0500-0000C1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87234" name="Check Box 194" hidden="1">
              <a:extLst>
                <a:ext uri="{63B3BB69-23CF-44E3-9099-C40C66FF867C}">
                  <a14:compatExt spid="_x0000_s87234"/>
                </a:ext>
                <a:ext uri="{FF2B5EF4-FFF2-40B4-BE49-F238E27FC236}">
                  <a16:creationId xmlns:a16="http://schemas.microsoft.com/office/drawing/2014/main" id="{00000000-0008-0000-0500-0000C2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87235" name="Check Box 195" hidden="1">
              <a:extLst>
                <a:ext uri="{63B3BB69-23CF-44E3-9099-C40C66FF867C}">
                  <a14:compatExt spid="_x0000_s87235"/>
                </a:ext>
                <a:ext uri="{FF2B5EF4-FFF2-40B4-BE49-F238E27FC236}">
                  <a16:creationId xmlns:a16="http://schemas.microsoft.com/office/drawing/2014/main" id="{00000000-0008-0000-0500-0000C3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26</xdr:row>
          <xdr:rowOff>19050</xdr:rowOff>
        </xdr:to>
        <xdr:sp macro="" textlink="">
          <xdr:nvSpPr>
            <xdr:cNvPr id="87236" name="Check Box 196" hidden="1">
              <a:extLst>
                <a:ext uri="{63B3BB69-23CF-44E3-9099-C40C66FF867C}">
                  <a14:compatExt spid="_x0000_s87236"/>
                </a:ext>
                <a:ext uri="{FF2B5EF4-FFF2-40B4-BE49-F238E27FC236}">
                  <a16:creationId xmlns:a16="http://schemas.microsoft.com/office/drawing/2014/main" id="{00000000-0008-0000-0500-0000C4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26</xdr:row>
          <xdr:rowOff>19050</xdr:rowOff>
        </xdr:to>
        <xdr:sp macro="" textlink="">
          <xdr:nvSpPr>
            <xdr:cNvPr id="87237" name="Check Box 197" hidden="1">
              <a:extLst>
                <a:ext uri="{63B3BB69-23CF-44E3-9099-C40C66FF867C}">
                  <a14:compatExt spid="_x0000_s87237"/>
                </a:ext>
                <a:ext uri="{FF2B5EF4-FFF2-40B4-BE49-F238E27FC236}">
                  <a16:creationId xmlns:a16="http://schemas.microsoft.com/office/drawing/2014/main" id="{00000000-0008-0000-0500-0000C5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27</xdr:row>
          <xdr:rowOff>19050</xdr:rowOff>
        </xdr:to>
        <xdr:sp macro="" textlink="">
          <xdr:nvSpPr>
            <xdr:cNvPr id="87238" name="Check Box 198" hidden="1">
              <a:extLst>
                <a:ext uri="{63B3BB69-23CF-44E3-9099-C40C66FF867C}">
                  <a14:compatExt spid="_x0000_s87238"/>
                </a:ext>
                <a:ext uri="{FF2B5EF4-FFF2-40B4-BE49-F238E27FC236}">
                  <a16:creationId xmlns:a16="http://schemas.microsoft.com/office/drawing/2014/main" id="{00000000-0008-0000-0500-0000C6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27</xdr:row>
          <xdr:rowOff>19050</xdr:rowOff>
        </xdr:to>
        <xdr:sp macro="" textlink="">
          <xdr:nvSpPr>
            <xdr:cNvPr id="87239" name="Check Box 199" hidden="1">
              <a:extLst>
                <a:ext uri="{63B3BB69-23CF-44E3-9099-C40C66FF867C}">
                  <a14:compatExt spid="_x0000_s87239"/>
                </a:ext>
                <a:ext uri="{FF2B5EF4-FFF2-40B4-BE49-F238E27FC236}">
                  <a16:creationId xmlns:a16="http://schemas.microsoft.com/office/drawing/2014/main" id="{00000000-0008-0000-0500-0000C7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19050</xdr:rowOff>
        </xdr:to>
        <xdr:sp macro="" textlink="">
          <xdr:nvSpPr>
            <xdr:cNvPr id="87240" name="Check Box 200" hidden="1">
              <a:extLst>
                <a:ext uri="{63B3BB69-23CF-44E3-9099-C40C66FF867C}">
                  <a14:compatExt spid="_x0000_s87240"/>
                </a:ext>
                <a:ext uri="{FF2B5EF4-FFF2-40B4-BE49-F238E27FC236}">
                  <a16:creationId xmlns:a16="http://schemas.microsoft.com/office/drawing/2014/main" id="{00000000-0008-0000-0500-0000C8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28</xdr:row>
          <xdr:rowOff>19050</xdr:rowOff>
        </xdr:to>
        <xdr:sp macro="" textlink="">
          <xdr:nvSpPr>
            <xdr:cNvPr id="87241" name="Check Box 201" hidden="1">
              <a:extLst>
                <a:ext uri="{63B3BB69-23CF-44E3-9099-C40C66FF867C}">
                  <a14:compatExt spid="_x0000_s87241"/>
                </a:ext>
                <a:ext uri="{FF2B5EF4-FFF2-40B4-BE49-F238E27FC236}">
                  <a16:creationId xmlns:a16="http://schemas.microsoft.com/office/drawing/2014/main" id="{00000000-0008-0000-0500-0000C9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87242" name="Check Box 202" hidden="1">
              <a:extLst>
                <a:ext uri="{63B3BB69-23CF-44E3-9099-C40C66FF867C}">
                  <a14:compatExt spid="_x0000_s87242"/>
                </a:ext>
                <a:ext uri="{FF2B5EF4-FFF2-40B4-BE49-F238E27FC236}">
                  <a16:creationId xmlns:a16="http://schemas.microsoft.com/office/drawing/2014/main" id="{00000000-0008-0000-0500-0000CA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29</xdr:row>
          <xdr:rowOff>19050</xdr:rowOff>
        </xdr:to>
        <xdr:sp macro="" textlink="">
          <xdr:nvSpPr>
            <xdr:cNvPr id="87243" name="Check Box 203" hidden="1">
              <a:extLst>
                <a:ext uri="{63B3BB69-23CF-44E3-9099-C40C66FF867C}">
                  <a14:compatExt spid="_x0000_s87243"/>
                </a:ext>
                <a:ext uri="{FF2B5EF4-FFF2-40B4-BE49-F238E27FC236}">
                  <a16:creationId xmlns:a16="http://schemas.microsoft.com/office/drawing/2014/main" id="{00000000-0008-0000-0500-0000CB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87244" name="Check Box 204" hidden="1">
              <a:extLst>
                <a:ext uri="{63B3BB69-23CF-44E3-9099-C40C66FF867C}">
                  <a14:compatExt spid="_x0000_s87244"/>
                </a:ext>
                <a:ext uri="{FF2B5EF4-FFF2-40B4-BE49-F238E27FC236}">
                  <a16:creationId xmlns:a16="http://schemas.microsoft.com/office/drawing/2014/main" id="{00000000-0008-0000-0500-0000CC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87245" name="Check Box 205" hidden="1">
              <a:extLst>
                <a:ext uri="{63B3BB69-23CF-44E3-9099-C40C66FF867C}">
                  <a14:compatExt spid="_x0000_s87245"/>
                </a:ext>
                <a:ext uri="{FF2B5EF4-FFF2-40B4-BE49-F238E27FC236}">
                  <a16:creationId xmlns:a16="http://schemas.microsoft.com/office/drawing/2014/main" id="{00000000-0008-0000-0500-0000CD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87246" name="Check Box 206" hidden="1">
              <a:extLst>
                <a:ext uri="{63B3BB69-23CF-44E3-9099-C40C66FF867C}">
                  <a14:compatExt spid="_x0000_s87246"/>
                </a:ext>
                <a:ext uri="{FF2B5EF4-FFF2-40B4-BE49-F238E27FC236}">
                  <a16:creationId xmlns:a16="http://schemas.microsoft.com/office/drawing/2014/main" id="{00000000-0008-0000-0500-0000CE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87247" name="Check Box 207" hidden="1">
              <a:extLst>
                <a:ext uri="{63B3BB69-23CF-44E3-9099-C40C66FF867C}">
                  <a14:compatExt spid="_x0000_s87247"/>
                </a:ext>
                <a:ext uri="{FF2B5EF4-FFF2-40B4-BE49-F238E27FC236}">
                  <a16:creationId xmlns:a16="http://schemas.microsoft.com/office/drawing/2014/main" id="{00000000-0008-0000-0500-0000CF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87248" name="Check Box 208" hidden="1">
              <a:extLst>
                <a:ext uri="{63B3BB69-23CF-44E3-9099-C40C66FF867C}">
                  <a14:compatExt spid="_x0000_s87248"/>
                </a:ext>
                <a:ext uri="{FF2B5EF4-FFF2-40B4-BE49-F238E27FC236}">
                  <a16:creationId xmlns:a16="http://schemas.microsoft.com/office/drawing/2014/main" id="{00000000-0008-0000-0500-0000D0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1</xdr:col>
          <xdr:colOff>295275</xdr:colOff>
          <xdr:row>34</xdr:row>
          <xdr:rowOff>19050</xdr:rowOff>
        </xdr:to>
        <xdr:sp macro="" textlink="">
          <xdr:nvSpPr>
            <xdr:cNvPr id="87249" name="Check Box 209" hidden="1">
              <a:extLst>
                <a:ext uri="{63B3BB69-23CF-44E3-9099-C40C66FF867C}">
                  <a14:compatExt spid="_x0000_s87249"/>
                </a:ext>
                <a:ext uri="{FF2B5EF4-FFF2-40B4-BE49-F238E27FC236}">
                  <a16:creationId xmlns:a16="http://schemas.microsoft.com/office/drawing/2014/main" id="{00000000-0008-0000-0500-0000D1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19050</xdr:rowOff>
        </xdr:to>
        <xdr:sp macro="" textlink="">
          <xdr:nvSpPr>
            <xdr:cNvPr id="87250" name="Check Box 210" hidden="1">
              <a:extLst>
                <a:ext uri="{63B3BB69-23CF-44E3-9099-C40C66FF867C}">
                  <a14:compatExt spid="_x0000_s87250"/>
                </a:ext>
                <a:ext uri="{FF2B5EF4-FFF2-40B4-BE49-F238E27FC236}">
                  <a16:creationId xmlns:a16="http://schemas.microsoft.com/office/drawing/2014/main" id="{00000000-0008-0000-0500-0000D2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0</xdr:rowOff>
        </xdr:from>
        <xdr:to>
          <xdr:col>1</xdr:col>
          <xdr:colOff>295275</xdr:colOff>
          <xdr:row>35</xdr:row>
          <xdr:rowOff>19050</xdr:rowOff>
        </xdr:to>
        <xdr:sp macro="" textlink="">
          <xdr:nvSpPr>
            <xdr:cNvPr id="87251" name="Check Box 211" hidden="1">
              <a:extLst>
                <a:ext uri="{63B3BB69-23CF-44E3-9099-C40C66FF867C}">
                  <a14:compatExt spid="_x0000_s87251"/>
                </a:ext>
                <a:ext uri="{FF2B5EF4-FFF2-40B4-BE49-F238E27FC236}">
                  <a16:creationId xmlns:a16="http://schemas.microsoft.com/office/drawing/2014/main" id="{00000000-0008-0000-0500-0000D3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87252" name="Check Box 212" hidden="1">
              <a:extLst>
                <a:ext uri="{63B3BB69-23CF-44E3-9099-C40C66FF867C}">
                  <a14:compatExt spid="_x0000_s87252"/>
                </a:ext>
                <a:ext uri="{FF2B5EF4-FFF2-40B4-BE49-F238E27FC236}">
                  <a16:creationId xmlns:a16="http://schemas.microsoft.com/office/drawing/2014/main" id="{00000000-0008-0000-0500-0000D4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1</xdr:col>
          <xdr:colOff>295275</xdr:colOff>
          <xdr:row>36</xdr:row>
          <xdr:rowOff>19050</xdr:rowOff>
        </xdr:to>
        <xdr:sp macro="" textlink="">
          <xdr:nvSpPr>
            <xdr:cNvPr id="87253" name="Check Box 213" hidden="1">
              <a:extLst>
                <a:ext uri="{63B3BB69-23CF-44E3-9099-C40C66FF867C}">
                  <a14:compatExt spid="_x0000_s87253"/>
                </a:ext>
                <a:ext uri="{FF2B5EF4-FFF2-40B4-BE49-F238E27FC236}">
                  <a16:creationId xmlns:a16="http://schemas.microsoft.com/office/drawing/2014/main" id="{00000000-0008-0000-0500-0000D5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87254" name="Check Box 214" hidden="1">
              <a:extLst>
                <a:ext uri="{63B3BB69-23CF-44E3-9099-C40C66FF867C}">
                  <a14:compatExt spid="_x0000_s87254"/>
                </a:ext>
                <a:ext uri="{FF2B5EF4-FFF2-40B4-BE49-F238E27FC236}">
                  <a16:creationId xmlns:a16="http://schemas.microsoft.com/office/drawing/2014/main" id="{00000000-0008-0000-0500-0000D6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87255" name="Check Box 215" hidden="1">
              <a:extLst>
                <a:ext uri="{63B3BB69-23CF-44E3-9099-C40C66FF867C}">
                  <a14:compatExt spid="_x0000_s87255"/>
                </a:ext>
                <a:ext uri="{FF2B5EF4-FFF2-40B4-BE49-F238E27FC236}">
                  <a16:creationId xmlns:a16="http://schemas.microsoft.com/office/drawing/2014/main" id="{00000000-0008-0000-0500-0000D7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87256" name="Check Box 216" hidden="1">
              <a:extLst>
                <a:ext uri="{63B3BB69-23CF-44E3-9099-C40C66FF867C}">
                  <a14:compatExt spid="_x0000_s87256"/>
                </a:ext>
                <a:ext uri="{FF2B5EF4-FFF2-40B4-BE49-F238E27FC236}">
                  <a16:creationId xmlns:a16="http://schemas.microsoft.com/office/drawing/2014/main" id="{00000000-0008-0000-0500-0000D8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87257" name="Check Box 217" hidden="1">
              <a:extLst>
                <a:ext uri="{63B3BB69-23CF-44E3-9099-C40C66FF867C}">
                  <a14:compatExt spid="_x0000_s87257"/>
                </a:ext>
                <a:ext uri="{FF2B5EF4-FFF2-40B4-BE49-F238E27FC236}">
                  <a16:creationId xmlns:a16="http://schemas.microsoft.com/office/drawing/2014/main" id="{00000000-0008-0000-0500-0000D9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87258" name="Check Box 218" hidden="1">
              <a:extLst>
                <a:ext uri="{63B3BB69-23CF-44E3-9099-C40C66FF867C}">
                  <a14:compatExt spid="_x0000_s87258"/>
                </a:ext>
                <a:ext uri="{FF2B5EF4-FFF2-40B4-BE49-F238E27FC236}">
                  <a16:creationId xmlns:a16="http://schemas.microsoft.com/office/drawing/2014/main" id="{00000000-0008-0000-0500-0000DA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87259" name="Check Box 219" hidden="1">
              <a:extLst>
                <a:ext uri="{63B3BB69-23CF-44E3-9099-C40C66FF867C}">
                  <a14:compatExt spid="_x0000_s87259"/>
                </a:ext>
                <a:ext uri="{FF2B5EF4-FFF2-40B4-BE49-F238E27FC236}">
                  <a16:creationId xmlns:a16="http://schemas.microsoft.com/office/drawing/2014/main" id="{00000000-0008-0000-0500-0000DB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87260" name="Check Box 220" hidden="1">
              <a:extLst>
                <a:ext uri="{63B3BB69-23CF-44E3-9099-C40C66FF867C}">
                  <a14:compatExt spid="_x0000_s87260"/>
                </a:ext>
                <a:ext uri="{FF2B5EF4-FFF2-40B4-BE49-F238E27FC236}">
                  <a16:creationId xmlns:a16="http://schemas.microsoft.com/office/drawing/2014/main" id="{00000000-0008-0000-0500-0000DC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87261" name="Check Box 221" hidden="1">
              <a:extLst>
                <a:ext uri="{63B3BB69-23CF-44E3-9099-C40C66FF867C}">
                  <a14:compatExt spid="_x0000_s87261"/>
                </a:ext>
                <a:ext uri="{FF2B5EF4-FFF2-40B4-BE49-F238E27FC236}">
                  <a16:creationId xmlns:a16="http://schemas.microsoft.com/office/drawing/2014/main" id="{00000000-0008-0000-0500-0000DD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87262" name="Check Box 222" hidden="1">
              <a:extLst>
                <a:ext uri="{63B3BB69-23CF-44E3-9099-C40C66FF867C}">
                  <a14:compatExt spid="_x0000_s87262"/>
                </a:ext>
                <a:ext uri="{FF2B5EF4-FFF2-40B4-BE49-F238E27FC236}">
                  <a16:creationId xmlns:a16="http://schemas.microsoft.com/office/drawing/2014/main" id="{00000000-0008-0000-0500-0000DE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87263" name="Check Box 223" hidden="1">
              <a:extLst>
                <a:ext uri="{63B3BB69-23CF-44E3-9099-C40C66FF867C}">
                  <a14:compatExt spid="_x0000_s87263"/>
                </a:ext>
                <a:ext uri="{FF2B5EF4-FFF2-40B4-BE49-F238E27FC236}">
                  <a16:creationId xmlns:a16="http://schemas.microsoft.com/office/drawing/2014/main" id="{00000000-0008-0000-0500-0000DF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87264" name="Check Box 224" hidden="1">
              <a:extLst>
                <a:ext uri="{63B3BB69-23CF-44E3-9099-C40C66FF867C}">
                  <a14:compatExt spid="_x0000_s87264"/>
                </a:ext>
                <a:ext uri="{FF2B5EF4-FFF2-40B4-BE49-F238E27FC236}">
                  <a16:creationId xmlns:a16="http://schemas.microsoft.com/office/drawing/2014/main" id="{00000000-0008-0000-0500-0000E0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87265" name="Check Box 225" hidden="1">
              <a:extLst>
                <a:ext uri="{63B3BB69-23CF-44E3-9099-C40C66FF867C}">
                  <a14:compatExt spid="_x0000_s87265"/>
                </a:ext>
                <a:ext uri="{FF2B5EF4-FFF2-40B4-BE49-F238E27FC236}">
                  <a16:creationId xmlns:a16="http://schemas.microsoft.com/office/drawing/2014/main" id="{00000000-0008-0000-0500-0000E1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87266" name="Check Box 226" hidden="1">
              <a:extLst>
                <a:ext uri="{63B3BB69-23CF-44E3-9099-C40C66FF867C}">
                  <a14:compatExt spid="_x0000_s87266"/>
                </a:ext>
                <a:ext uri="{FF2B5EF4-FFF2-40B4-BE49-F238E27FC236}">
                  <a16:creationId xmlns:a16="http://schemas.microsoft.com/office/drawing/2014/main" id="{00000000-0008-0000-0500-0000E2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87267" name="Check Box 227" hidden="1">
              <a:extLst>
                <a:ext uri="{63B3BB69-23CF-44E3-9099-C40C66FF867C}">
                  <a14:compatExt spid="_x0000_s87267"/>
                </a:ext>
                <a:ext uri="{FF2B5EF4-FFF2-40B4-BE49-F238E27FC236}">
                  <a16:creationId xmlns:a16="http://schemas.microsoft.com/office/drawing/2014/main" id="{00000000-0008-0000-0500-0000E3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87268" name="Check Box 228" hidden="1">
              <a:extLst>
                <a:ext uri="{63B3BB69-23CF-44E3-9099-C40C66FF867C}">
                  <a14:compatExt spid="_x0000_s87268"/>
                </a:ext>
                <a:ext uri="{FF2B5EF4-FFF2-40B4-BE49-F238E27FC236}">
                  <a16:creationId xmlns:a16="http://schemas.microsoft.com/office/drawing/2014/main" id="{00000000-0008-0000-0500-0000E4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87269" name="Check Box 229" hidden="1">
              <a:extLst>
                <a:ext uri="{63B3BB69-23CF-44E3-9099-C40C66FF867C}">
                  <a14:compatExt spid="_x0000_s87269"/>
                </a:ext>
                <a:ext uri="{FF2B5EF4-FFF2-40B4-BE49-F238E27FC236}">
                  <a16:creationId xmlns:a16="http://schemas.microsoft.com/office/drawing/2014/main" id="{00000000-0008-0000-0500-0000E5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87270" name="Check Box 230" hidden="1">
              <a:extLst>
                <a:ext uri="{63B3BB69-23CF-44E3-9099-C40C66FF867C}">
                  <a14:compatExt spid="_x0000_s87270"/>
                </a:ext>
                <a:ext uri="{FF2B5EF4-FFF2-40B4-BE49-F238E27FC236}">
                  <a16:creationId xmlns:a16="http://schemas.microsoft.com/office/drawing/2014/main" id="{00000000-0008-0000-0500-0000E6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19050</xdr:rowOff>
        </xdr:to>
        <xdr:sp macro="" textlink="">
          <xdr:nvSpPr>
            <xdr:cNvPr id="87271" name="Check Box 231" hidden="1">
              <a:extLst>
                <a:ext uri="{63B3BB69-23CF-44E3-9099-C40C66FF867C}">
                  <a14:compatExt spid="_x0000_s87271"/>
                </a:ext>
                <a:ext uri="{FF2B5EF4-FFF2-40B4-BE49-F238E27FC236}">
                  <a16:creationId xmlns:a16="http://schemas.microsoft.com/office/drawing/2014/main" id="{00000000-0008-0000-0500-0000E7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46</xdr:row>
          <xdr:rowOff>19050</xdr:rowOff>
        </xdr:to>
        <xdr:sp macro="" textlink="">
          <xdr:nvSpPr>
            <xdr:cNvPr id="87272" name="Check Box 232" hidden="1">
              <a:extLst>
                <a:ext uri="{63B3BB69-23CF-44E3-9099-C40C66FF867C}">
                  <a14:compatExt spid="_x0000_s87272"/>
                </a:ext>
                <a:ext uri="{FF2B5EF4-FFF2-40B4-BE49-F238E27FC236}">
                  <a16:creationId xmlns:a16="http://schemas.microsoft.com/office/drawing/2014/main" id="{00000000-0008-0000-0500-0000E8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49</xdr:row>
          <xdr:rowOff>19050</xdr:rowOff>
        </xdr:to>
        <xdr:sp macro="" textlink="">
          <xdr:nvSpPr>
            <xdr:cNvPr id="87273" name="Check Box 233" hidden="1">
              <a:extLst>
                <a:ext uri="{63B3BB69-23CF-44E3-9099-C40C66FF867C}">
                  <a14:compatExt spid="_x0000_s87273"/>
                </a:ext>
                <a:ext uri="{FF2B5EF4-FFF2-40B4-BE49-F238E27FC236}">
                  <a16:creationId xmlns:a16="http://schemas.microsoft.com/office/drawing/2014/main" id="{00000000-0008-0000-0500-0000E9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295275</xdr:colOff>
          <xdr:row>49</xdr:row>
          <xdr:rowOff>19050</xdr:rowOff>
        </xdr:to>
        <xdr:sp macro="" textlink="">
          <xdr:nvSpPr>
            <xdr:cNvPr id="87274" name="Check Box 234" hidden="1">
              <a:extLst>
                <a:ext uri="{63B3BB69-23CF-44E3-9099-C40C66FF867C}">
                  <a14:compatExt spid="_x0000_s87274"/>
                </a:ext>
                <a:ext uri="{FF2B5EF4-FFF2-40B4-BE49-F238E27FC236}">
                  <a16:creationId xmlns:a16="http://schemas.microsoft.com/office/drawing/2014/main" id="{00000000-0008-0000-0500-0000EA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19050</xdr:rowOff>
        </xdr:to>
        <xdr:sp macro="" textlink="">
          <xdr:nvSpPr>
            <xdr:cNvPr id="87275" name="Check Box 235" hidden="1">
              <a:extLst>
                <a:ext uri="{63B3BB69-23CF-44E3-9099-C40C66FF867C}">
                  <a14:compatExt spid="_x0000_s87275"/>
                </a:ext>
                <a:ext uri="{FF2B5EF4-FFF2-40B4-BE49-F238E27FC236}">
                  <a16:creationId xmlns:a16="http://schemas.microsoft.com/office/drawing/2014/main" id="{00000000-0008-0000-0500-0000EB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295275</xdr:colOff>
          <xdr:row>51</xdr:row>
          <xdr:rowOff>19050</xdr:rowOff>
        </xdr:to>
        <xdr:sp macro="" textlink="">
          <xdr:nvSpPr>
            <xdr:cNvPr id="87276" name="Check Box 236" hidden="1">
              <a:extLst>
                <a:ext uri="{63B3BB69-23CF-44E3-9099-C40C66FF867C}">
                  <a14:compatExt spid="_x0000_s87276"/>
                </a:ext>
                <a:ext uri="{FF2B5EF4-FFF2-40B4-BE49-F238E27FC236}">
                  <a16:creationId xmlns:a16="http://schemas.microsoft.com/office/drawing/2014/main" id="{00000000-0008-0000-0500-0000EC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1</xdr:col>
          <xdr:colOff>295275</xdr:colOff>
          <xdr:row>51</xdr:row>
          <xdr:rowOff>19050</xdr:rowOff>
        </xdr:to>
        <xdr:sp macro="" textlink="">
          <xdr:nvSpPr>
            <xdr:cNvPr id="87277" name="Check Box 237" hidden="1">
              <a:extLst>
                <a:ext uri="{63B3BB69-23CF-44E3-9099-C40C66FF867C}">
                  <a14:compatExt spid="_x0000_s87277"/>
                </a:ext>
                <a:ext uri="{FF2B5EF4-FFF2-40B4-BE49-F238E27FC236}">
                  <a16:creationId xmlns:a16="http://schemas.microsoft.com/office/drawing/2014/main" id="{00000000-0008-0000-0500-0000ED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0</xdr:col>
          <xdr:colOff>295275</xdr:colOff>
          <xdr:row>53</xdr:row>
          <xdr:rowOff>19050</xdr:rowOff>
        </xdr:to>
        <xdr:sp macro="" textlink="">
          <xdr:nvSpPr>
            <xdr:cNvPr id="87278" name="Check Box 238" hidden="1">
              <a:extLst>
                <a:ext uri="{63B3BB69-23CF-44E3-9099-C40C66FF867C}">
                  <a14:compatExt spid="_x0000_s87278"/>
                </a:ext>
                <a:ext uri="{FF2B5EF4-FFF2-40B4-BE49-F238E27FC236}">
                  <a16:creationId xmlns:a16="http://schemas.microsoft.com/office/drawing/2014/main" id="{00000000-0008-0000-0500-0000EE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0</xdr:rowOff>
        </xdr:from>
        <xdr:to>
          <xdr:col>1</xdr:col>
          <xdr:colOff>295275</xdr:colOff>
          <xdr:row>53</xdr:row>
          <xdr:rowOff>19050</xdr:rowOff>
        </xdr:to>
        <xdr:sp macro="" textlink="">
          <xdr:nvSpPr>
            <xdr:cNvPr id="87279" name="Check Box 239" hidden="1">
              <a:extLst>
                <a:ext uri="{63B3BB69-23CF-44E3-9099-C40C66FF867C}">
                  <a14:compatExt spid="_x0000_s87279"/>
                </a:ext>
                <a:ext uri="{FF2B5EF4-FFF2-40B4-BE49-F238E27FC236}">
                  <a16:creationId xmlns:a16="http://schemas.microsoft.com/office/drawing/2014/main" id="{00000000-0008-0000-0500-0000EF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54</xdr:row>
          <xdr:rowOff>19050</xdr:rowOff>
        </xdr:to>
        <xdr:sp macro="" textlink="">
          <xdr:nvSpPr>
            <xdr:cNvPr id="87280" name="Check Box 240" hidden="1">
              <a:extLst>
                <a:ext uri="{63B3BB69-23CF-44E3-9099-C40C66FF867C}">
                  <a14:compatExt spid="_x0000_s87280"/>
                </a:ext>
                <a:ext uri="{FF2B5EF4-FFF2-40B4-BE49-F238E27FC236}">
                  <a16:creationId xmlns:a16="http://schemas.microsoft.com/office/drawing/2014/main" id="{00000000-0008-0000-0500-0000F0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55</xdr:row>
          <xdr:rowOff>19050</xdr:rowOff>
        </xdr:to>
        <xdr:sp macro="" textlink="">
          <xdr:nvSpPr>
            <xdr:cNvPr id="87281" name="Check Box 241" hidden="1">
              <a:extLst>
                <a:ext uri="{63B3BB69-23CF-44E3-9099-C40C66FF867C}">
                  <a14:compatExt spid="_x0000_s87281"/>
                </a:ext>
                <a:ext uri="{FF2B5EF4-FFF2-40B4-BE49-F238E27FC236}">
                  <a16:creationId xmlns:a16="http://schemas.microsoft.com/office/drawing/2014/main" id="{00000000-0008-0000-0500-0000F1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295275</xdr:colOff>
          <xdr:row>55</xdr:row>
          <xdr:rowOff>19050</xdr:rowOff>
        </xdr:to>
        <xdr:sp macro="" textlink="">
          <xdr:nvSpPr>
            <xdr:cNvPr id="87282" name="Check Box 242" hidden="1">
              <a:extLst>
                <a:ext uri="{63B3BB69-23CF-44E3-9099-C40C66FF867C}">
                  <a14:compatExt spid="_x0000_s87282"/>
                </a:ext>
                <a:ext uri="{FF2B5EF4-FFF2-40B4-BE49-F238E27FC236}">
                  <a16:creationId xmlns:a16="http://schemas.microsoft.com/office/drawing/2014/main" id="{00000000-0008-0000-0500-0000F2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0</xdr:col>
          <xdr:colOff>295275</xdr:colOff>
          <xdr:row>56</xdr:row>
          <xdr:rowOff>19050</xdr:rowOff>
        </xdr:to>
        <xdr:sp macro="" textlink="">
          <xdr:nvSpPr>
            <xdr:cNvPr id="87283" name="Check Box 243" hidden="1">
              <a:extLst>
                <a:ext uri="{63B3BB69-23CF-44E3-9099-C40C66FF867C}">
                  <a14:compatExt spid="_x0000_s87283"/>
                </a:ext>
                <a:ext uri="{FF2B5EF4-FFF2-40B4-BE49-F238E27FC236}">
                  <a16:creationId xmlns:a16="http://schemas.microsoft.com/office/drawing/2014/main" id="{00000000-0008-0000-0500-0000F3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1</xdr:col>
          <xdr:colOff>295275</xdr:colOff>
          <xdr:row>56</xdr:row>
          <xdr:rowOff>19050</xdr:rowOff>
        </xdr:to>
        <xdr:sp macro="" textlink="">
          <xdr:nvSpPr>
            <xdr:cNvPr id="87284" name="Check Box 244" hidden="1">
              <a:extLst>
                <a:ext uri="{63B3BB69-23CF-44E3-9099-C40C66FF867C}">
                  <a14:compatExt spid="_x0000_s87284"/>
                </a:ext>
                <a:ext uri="{FF2B5EF4-FFF2-40B4-BE49-F238E27FC236}">
                  <a16:creationId xmlns:a16="http://schemas.microsoft.com/office/drawing/2014/main" id="{00000000-0008-0000-0500-0000F4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87285" name="Check Box 245" hidden="1">
              <a:extLst>
                <a:ext uri="{63B3BB69-23CF-44E3-9099-C40C66FF867C}">
                  <a14:compatExt spid="_x0000_s87285"/>
                </a:ext>
                <a:ext uri="{FF2B5EF4-FFF2-40B4-BE49-F238E27FC236}">
                  <a16:creationId xmlns:a16="http://schemas.microsoft.com/office/drawing/2014/main" id="{00000000-0008-0000-0500-0000F5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87286" name="Check Box 246" hidden="1">
              <a:extLst>
                <a:ext uri="{63B3BB69-23CF-44E3-9099-C40C66FF867C}">
                  <a14:compatExt spid="_x0000_s87286"/>
                </a:ext>
                <a:ext uri="{FF2B5EF4-FFF2-40B4-BE49-F238E27FC236}">
                  <a16:creationId xmlns:a16="http://schemas.microsoft.com/office/drawing/2014/main" id="{00000000-0008-0000-0500-0000F6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87287" name="Check Box 247" hidden="1">
              <a:extLst>
                <a:ext uri="{63B3BB69-23CF-44E3-9099-C40C66FF867C}">
                  <a14:compatExt spid="_x0000_s87287"/>
                </a:ext>
                <a:ext uri="{FF2B5EF4-FFF2-40B4-BE49-F238E27FC236}">
                  <a16:creationId xmlns:a16="http://schemas.microsoft.com/office/drawing/2014/main" id="{00000000-0008-0000-0500-0000F7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87288" name="Check Box 248" hidden="1">
              <a:extLst>
                <a:ext uri="{63B3BB69-23CF-44E3-9099-C40C66FF867C}">
                  <a14:compatExt spid="_x0000_s87288"/>
                </a:ext>
                <a:ext uri="{FF2B5EF4-FFF2-40B4-BE49-F238E27FC236}">
                  <a16:creationId xmlns:a16="http://schemas.microsoft.com/office/drawing/2014/main" id="{00000000-0008-0000-0500-0000F85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a16="http://schemas.microsoft.com/office/drawing/2014/main"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a16="http://schemas.microsoft.com/office/drawing/2014/main"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a16="http://schemas.microsoft.com/office/drawing/2014/main"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a16="http://schemas.microsoft.com/office/drawing/2014/main"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a16="http://schemas.microsoft.com/office/drawing/2014/main"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a16="http://schemas.microsoft.com/office/drawing/2014/main"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a16="http://schemas.microsoft.com/office/drawing/2014/main"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a16="http://schemas.microsoft.com/office/drawing/2014/main"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a16="http://schemas.microsoft.com/office/drawing/2014/main"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a16="http://schemas.microsoft.com/office/drawing/2014/main"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a16="http://schemas.microsoft.com/office/drawing/2014/main"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a16="http://schemas.microsoft.com/office/drawing/2014/main"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a16="http://schemas.microsoft.com/office/drawing/2014/main"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a16="http://schemas.microsoft.com/office/drawing/2014/main"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a16="http://schemas.microsoft.com/office/drawing/2014/main"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a16="http://schemas.microsoft.com/office/drawing/2014/main"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a16="http://schemas.microsoft.com/office/drawing/2014/main"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a16="http://schemas.microsoft.com/office/drawing/2014/main"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a16="http://schemas.microsoft.com/office/drawing/2014/main"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a16="http://schemas.microsoft.com/office/drawing/2014/main"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a16="http://schemas.microsoft.com/office/drawing/2014/main"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a16="http://schemas.microsoft.com/office/drawing/2014/main"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a16="http://schemas.microsoft.com/office/drawing/2014/main"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a16="http://schemas.microsoft.com/office/drawing/2014/main"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a16="http://schemas.microsoft.com/office/drawing/2014/main"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a16="http://schemas.microsoft.com/office/drawing/2014/main"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a16="http://schemas.microsoft.com/office/drawing/2014/main"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a16="http://schemas.microsoft.com/office/drawing/2014/main"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a16="http://schemas.microsoft.com/office/drawing/2014/main"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a16="http://schemas.microsoft.com/office/drawing/2014/main"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a16="http://schemas.microsoft.com/office/drawing/2014/main"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a16="http://schemas.microsoft.com/office/drawing/2014/main"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a16="http://schemas.microsoft.com/office/drawing/2014/main"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a16="http://schemas.microsoft.com/office/drawing/2014/main"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a16="http://schemas.microsoft.com/office/drawing/2014/main"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a16="http://schemas.microsoft.com/office/drawing/2014/main"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a16="http://schemas.microsoft.com/office/drawing/2014/main"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a16="http://schemas.microsoft.com/office/drawing/2014/main"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a16="http://schemas.microsoft.com/office/drawing/2014/main"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a16="http://schemas.microsoft.com/office/drawing/2014/main"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a16="http://schemas.microsoft.com/office/drawing/2014/main"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a16="http://schemas.microsoft.com/office/drawing/2014/main"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a16="http://schemas.microsoft.com/office/drawing/2014/main"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a16="http://schemas.microsoft.com/office/drawing/2014/main"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a16="http://schemas.microsoft.com/office/drawing/2014/main"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a16="http://schemas.microsoft.com/office/drawing/2014/main"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a16="http://schemas.microsoft.com/office/drawing/2014/main"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a16="http://schemas.microsoft.com/office/drawing/2014/main"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a16="http://schemas.microsoft.com/office/drawing/2014/main"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a16="http://schemas.microsoft.com/office/drawing/2014/main"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a16="http://schemas.microsoft.com/office/drawing/2014/main"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a16="http://schemas.microsoft.com/office/drawing/2014/main"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a16="http://schemas.microsoft.com/office/drawing/2014/main"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a16="http://schemas.microsoft.com/office/drawing/2014/main"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a16="http://schemas.microsoft.com/office/drawing/2014/main"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a16="http://schemas.microsoft.com/office/drawing/2014/main"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a16="http://schemas.microsoft.com/office/drawing/2014/main"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a16="http://schemas.microsoft.com/office/drawing/2014/main"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a16="http://schemas.microsoft.com/office/drawing/2014/main"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a16="http://schemas.microsoft.com/office/drawing/2014/main"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a16="http://schemas.microsoft.com/office/drawing/2014/main"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a16="http://schemas.microsoft.com/office/drawing/2014/main"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a16="http://schemas.microsoft.com/office/drawing/2014/main"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a16="http://schemas.microsoft.com/office/drawing/2014/main"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a16="http://schemas.microsoft.com/office/drawing/2014/main"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a16="http://schemas.microsoft.com/office/drawing/2014/main"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a16="http://schemas.microsoft.com/office/drawing/2014/main"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a16="http://schemas.microsoft.com/office/drawing/2014/main"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a16="http://schemas.microsoft.com/office/drawing/2014/main"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a16="http://schemas.microsoft.com/office/drawing/2014/main"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a16="http://schemas.microsoft.com/office/drawing/2014/main"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a16="http://schemas.microsoft.com/office/drawing/2014/main"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a16="http://schemas.microsoft.com/office/drawing/2014/main"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a16="http://schemas.microsoft.com/office/drawing/2014/main"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a16="http://schemas.microsoft.com/office/drawing/2014/main"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a16="http://schemas.microsoft.com/office/drawing/2014/main"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a16="http://schemas.microsoft.com/office/drawing/2014/main"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a16="http://schemas.microsoft.com/office/drawing/2014/main"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a16="http://schemas.microsoft.com/office/drawing/2014/main"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a16="http://schemas.microsoft.com/office/drawing/2014/main"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a16="http://schemas.microsoft.com/office/drawing/2014/main"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a16="http://schemas.microsoft.com/office/drawing/2014/main"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a16="http://schemas.microsoft.com/office/drawing/2014/main"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a16="http://schemas.microsoft.com/office/drawing/2014/main"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a16="http://schemas.microsoft.com/office/drawing/2014/main"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a16="http://schemas.microsoft.com/office/drawing/2014/main"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a16="http://schemas.microsoft.com/office/drawing/2014/main"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a16="http://schemas.microsoft.com/office/drawing/2014/main"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a16="http://schemas.microsoft.com/office/drawing/2014/main"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a16="http://schemas.microsoft.com/office/drawing/2014/main"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a16="http://schemas.microsoft.com/office/drawing/2014/main"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a16="http://schemas.microsoft.com/office/drawing/2014/main"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a16="http://schemas.microsoft.com/office/drawing/2014/main"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a16="http://schemas.microsoft.com/office/drawing/2014/main"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a16="http://schemas.microsoft.com/office/drawing/2014/main"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a16="http://schemas.microsoft.com/office/drawing/2014/main"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a16="http://schemas.microsoft.com/office/drawing/2014/main"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a16="http://schemas.microsoft.com/office/drawing/2014/main"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a16="http://schemas.microsoft.com/office/drawing/2014/main"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a16="http://schemas.microsoft.com/office/drawing/2014/main"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a16="http://schemas.microsoft.com/office/drawing/2014/main"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a16="http://schemas.microsoft.com/office/drawing/2014/main"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a16="http://schemas.microsoft.com/office/drawing/2014/main"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a16="http://schemas.microsoft.com/office/drawing/2014/main"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a16="http://schemas.microsoft.com/office/drawing/2014/main"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a16="http://schemas.microsoft.com/office/drawing/2014/main"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a16="http://schemas.microsoft.com/office/drawing/2014/main"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a16="http://schemas.microsoft.com/office/drawing/2014/main"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a16="http://schemas.microsoft.com/office/drawing/2014/main"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a16="http://schemas.microsoft.com/office/drawing/2014/main"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a16="http://schemas.microsoft.com/office/drawing/2014/main"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a16="http://schemas.microsoft.com/office/drawing/2014/main"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a16="http://schemas.microsoft.com/office/drawing/2014/main"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a16="http://schemas.microsoft.com/office/drawing/2014/main"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a16="http://schemas.microsoft.com/office/drawing/2014/main"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a16="http://schemas.microsoft.com/office/drawing/2014/main"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a16="http://schemas.microsoft.com/office/drawing/2014/main"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a16="http://schemas.microsoft.com/office/drawing/2014/main"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a16="http://schemas.microsoft.com/office/drawing/2014/main"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a16="http://schemas.microsoft.com/office/drawing/2014/main"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a16="http://schemas.microsoft.com/office/drawing/2014/main"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a16="http://schemas.microsoft.com/office/drawing/2014/main"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a16="http://schemas.microsoft.com/office/drawing/2014/main"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a16="http://schemas.microsoft.com/office/drawing/2014/main"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a16="http://schemas.microsoft.com/office/drawing/2014/main"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a16="http://schemas.microsoft.com/office/drawing/2014/main"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a16="http://schemas.microsoft.com/office/drawing/2014/main"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a16="http://schemas.microsoft.com/office/drawing/2014/main"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a16="http://schemas.microsoft.com/office/drawing/2014/main"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a16="http://schemas.microsoft.com/office/drawing/2014/main"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a16="http://schemas.microsoft.com/office/drawing/2014/main"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a16="http://schemas.microsoft.com/office/drawing/2014/main"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a16="http://schemas.microsoft.com/office/drawing/2014/main"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a16="http://schemas.microsoft.com/office/drawing/2014/main"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a16="http://schemas.microsoft.com/office/drawing/2014/main"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a16="http://schemas.microsoft.com/office/drawing/2014/main"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a16="http://schemas.microsoft.com/office/drawing/2014/main"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a16="http://schemas.microsoft.com/office/drawing/2014/main"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a16="http://schemas.microsoft.com/office/drawing/2014/main"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a16="http://schemas.microsoft.com/office/drawing/2014/main"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a16="http://schemas.microsoft.com/office/drawing/2014/main"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a16="http://schemas.microsoft.com/office/drawing/2014/main"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a16="http://schemas.microsoft.com/office/drawing/2014/main"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a16="http://schemas.microsoft.com/office/drawing/2014/main"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a16="http://schemas.microsoft.com/office/drawing/2014/main"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a16="http://schemas.microsoft.com/office/drawing/2014/main"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a16="http://schemas.microsoft.com/office/drawing/2014/main"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a16="http://schemas.microsoft.com/office/drawing/2014/main"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a16="http://schemas.microsoft.com/office/drawing/2014/main"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a16="http://schemas.microsoft.com/office/drawing/2014/main"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a16="http://schemas.microsoft.com/office/drawing/2014/main"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a16="http://schemas.microsoft.com/office/drawing/2014/main"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a16="http://schemas.microsoft.com/office/drawing/2014/main"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a16="http://schemas.microsoft.com/office/drawing/2014/main"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a16="http://schemas.microsoft.com/office/drawing/2014/main"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a16="http://schemas.microsoft.com/office/drawing/2014/main"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a16="http://schemas.microsoft.com/office/drawing/2014/main"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a16="http://schemas.microsoft.com/office/drawing/2014/main"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a16="http://schemas.microsoft.com/office/drawing/2014/main"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a16="http://schemas.microsoft.com/office/drawing/2014/main"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a16="http://schemas.microsoft.com/office/drawing/2014/main"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a16="http://schemas.microsoft.com/office/drawing/2014/main"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a16="http://schemas.microsoft.com/office/drawing/2014/main"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a16="http://schemas.microsoft.com/office/drawing/2014/main"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a16="http://schemas.microsoft.com/office/drawing/2014/main"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a16="http://schemas.microsoft.com/office/drawing/2014/main"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a16="http://schemas.microsoft.com/office/drawing/2014/main"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a16="http://schemas.microsoft.com/office/drawing/2014/main"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a16="http://schemas.microsoft.com/office/drawing/2014/main"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a16="http://schemas.microsoft.com/office/drawing/2014/main"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a16="http://schemas.microsoft.com/office/drawing/2014/main"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a16="http://schemas.microsoft.com/office/drawing/2014/main"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a16="http://schemas.microsoft.com/office/drawing/2014/main"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a16="http://schemas.microsoft.com/office/drawing/2014/main"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a16="http://schemas.microsoft.com/office/drawing/2014/main"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a16="http://schemas.microsoft.com/office/drawing/2014/main"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a16="http://schemas.microsoft.com/office/drawing/2014/main"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a16="http://schemas.microsoft.com/office/drawing/2014/main"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a16="http://schemas.microsoft.com/office/drawing/2014/main"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a16="http://schemas.microsoft.com/office/drawing/2014/main"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a16="http://schemas.microsoft.com/office/drawing/2014/main"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a16="http://schemas.microsoft.com/office/drawing/2014/main"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a16="http://schemas.microsoft.com/office/drawing/2014/main"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a16="http://schemas.microsoft.com/office/drawing/2014/main"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a16="http://schemas.microsoft.com/office/drawing/2014/main"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a16="http://schemas.microsoft.com/office/drawing/2014/main"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a16="http://schemas.microsoft.com/office/drawing/2014/main"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a16="http://schemas.microsoft.com/office/drawing/2014/main"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a16="http://schemas.microsoft.com/office/drawing/2014/main"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a16="http://schemas.microsoft.com/office/drawing/2014/main"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a16="http://schemas.microsoft.com/office/drawing/2014/main"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a16="http://schemas.microsoft.com/office/drawing/2014/main"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a16="http://schemas.microsoft.com/office/drawing/2014/main"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a16="http://schemas.microsoft.com/office/drawing/2014/main"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a16="http://schemas.microsoft.com/office/drawing/2014/main"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a16="http://schemas.microsoft.com/office/drawing/2014/main"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a16="http://schemas.microsoft.com/office/drawing/2014/main"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a16="http://schemas.microsoft.com/office/drawing/2014/main"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a16="http://schemas.microsoft.com/office/drawing/2014/main"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a16="http://schemas.microsoft.com/office/drawing/2014/main"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a16="http://schemas.microsoft.com/office/drawing/2014/main"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a16="http://schemas.microsoft.com/office/drawing/2014/main"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a16="http://schemas.microsoft.com/office/drawing/2014/main"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a16="http://schemas.microsoft.com/office/drawing/2014/main"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a16="http://schemas.microsoft.com/office/drawing/2014/main"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a16="http://schemas.microsoft.com/office/drawing/2014/main"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a16="http://schemas.microsoft.com/office/drawing/2014/main"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a16="http://schemas.microsoft.com/office/drawing/2014/main"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a16="http://schemas.microsoft.com/office/drawing/2014/main"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03425" name="Check Box Cat" descr="Catastrophe Model"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03426" name="Check Box NonCat" descr="Non-Catastrophe Model" hidden="1">
              <a:extLst>
                <a:ext uri="{63B3BB69-23CF-44E3-9099-C40C66FF867C}">
                  <a14:compatExt spid="_x0000_s103426"/>
                </a:ext>
                <a:ext uri="{FF2B5EF4-FFF2-40B4-BE49-F238E27FC236}">
                  <a16:creationId xmlns:a16="http://schemas.microsoft.com/office/drawing/2014/main" id="{00000000-0008-0000-18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03427" name="Check Box OverallRateLvl" descr="Overall Rate Level" hidden="1">
              <a:extLst>
                <a:ext uri="{63B3BB69-23CF-44E3-9099-C40C66FF867C}">
                  <a14:compatExt spid="_x0000_s103427"/>
                </a:ext>
                <a:ext uri="{FF2B5EF4-FFF2-40B4-BE49-F238E27FC236}">
                  <a16:creationId xmlns:a16="http://schemas.microsoft.com/office/drawing/2014/main" id="{00000000-0008-0000-1800-000003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03428" name="Check Box 4" descr="Other Model Usage" hidden="1">
              <a:extLst>
                <a:ext uri="{63B3BB69-23CF-44E3-9099-C40C66FF867C}">
                  <a14:compatExt spid="_x0000_s103428"/>
                </a:ext>
                <a:ext uri="{FF2B5EF4-FFF2-40B4-BE49-F238E27FC236}">
                  <a16:creationId xmlns:a16="http://schemas.microsoft.com/office/drawing/2014/main" id="{00000000-0008-0000-1800-000004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03429" name="Check Box 5" hidden="1">
              <a:extLst>
                <a:ext uri="{63B3BB69-23CF-44E3-9099-C40C66FF867C}">
                  <a14:compatExt spid="_x0000_s103429"/>
                </a:ext>
                <a:ext uri="{FF2B5EF4-FFF2-40B4-BE49-F238E27FC236}">
                  <a16:creationId xmlns:a16="http://schemas.microsoft.com/office/drawing/2014/main" id="{00000000-0008-0000-1800-000005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03430" name="Check Box 6" hidden="1">
              <a:extLst>
                <a:ext uri="{63B3BB69-23CF-44E3-9099-C40C66FF867C}">
                  <a14:compatExt spid="_x0000_s103430"/>
                </a:ext>
                <a:ext uri="{FF2B5EF4-FFF2-40B4-BE49-F238E27FC236}">
                  <a16:creationId xmlns:a16="http://schemas.microsoft.com/office/drawing/2014/main" id="{00000000-0008-0000-1800-000006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03431" name="Check Box 7" hidden="1">
              <a:extLst>
                <a:ext uri="{63B3BB69-23CF-44E3-9099-C40C66FF867C}">
                  <a14:compatExt spid="_x0000_s103431"/>
                </a:ext>
                <a:ext uri="{FF2B5EF4-FFF2-40B4-BE49-F238E27FC236}">
                  <a16:creationId xmlns:a16="http://schemas.microsoft.com/office/drawing/2014/main" id="{00000000-0008-0000-1800-000007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03432" name="Check Box 8" hidden="1">
              <a:extLst>
                <a:ext uri="{63B3BB69-23CF-44E3-9099-C40C66FF867C}">
                  <a14:compatExt spid="_x0000_s103432"/>
                </a:ext>
                <a:ext uri="{FF2B5EF4-FFF2-40B4-BE49-F238E27FC236}">
                  <a16:creationId xmlns:a16="http://schemas.microsoft.com/office/drawing/2014/main" id="{00000000-0008-0000-1800-000008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03433" name="Check Box 9" hidden="1">
              <a:extLst>
                <a:ext uri="{63B3BB69-23CF-44E3-9099-C40C66FF867C}">
                  <a14:compatExt spid="_x0000_s103433"/>
                </a:ext>
                <a:ext uri="{FF2B5EF4-FFF2-40B4-BE49-F238E27FC236}">
                  <a16:creationId xmlns:a16="http://schemas.microsoft.com/office/drawing/2014/main" id="{00000000-0008-0000-1800-000009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03434" name="Check Box 10" hidden="1">
              <a:extLst>
                <a:ext uri="{63B3BB69-23CF-44E3-9099-C40C66FF867C}">
                  <a14:compatExt spid="_x0000_s103434"/>
                </a:ext>
                <a:ext uri="{FF2B5EF4-FFF2-40B4-BE49-F238E27FC236}">
                  <a16:creationId xmlns:a16="http://schemas.microsoft.com/office/drawing/2014/main" id="{00000000-0008-0000-1800-00000A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03435" name="Check Box 11" descr="Underwriting Eligibility" hidden="1">
              <a:extLst>
                <a:ext uri="{63B3BB69-23CF-44E3-9099-C40C66FF867C}">
                  <a14:compatExt spid="_x0000_s103435"/>
                </a:ext>
                <a:ext uri="{FF2B5EF4-FFF2-40B4-BE49-F238E27FC236}">
                  <a16:creationId xmlns:a16="http://schemas.microsoft.com/office/drawing/2014/main" id="{00000000-0008-0000-1800-00000B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03436" name="Check Box RateSeg" descr="Rate Segmentation" hidden="1">
              <a:extLst>
                <a:ext uri="{63B3BB69-23CF-44E3-9099-C40C66FF867C}">
                  <a14:compatExt spid="_x0000_s103436"/>
                </a:ext>
                <a:ext uri="{FF2B5EF4-FFF2-40B4-BE49-F238E27FC236}">
                  <a16:creationId xmlns:a16="http://schemas.microsoft.com/office/drawing/2014/main" id="{00000000-0008-0000-1800-00000C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03437" name="Check Box 13" hidden="1">
              <a:extLst>
                <a:ext uri="{63B3BB69-23CF-44E3-9099-C40C66FF867C}">
                  <a14:compatExt spid="_x0000_s103437"/>
                </a:ext>
                <a:ext uri="{FF2B5EF4-FFF2-40B4-BE49-F238E27FC236}">
                  <a16:creationId xmlns:a16="http://schemas.microsoft.com/office/drawing/2014/main" id="{00000000-0008-0000-1800-00000D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03438" name="Check Box 14" hidden="1">
              <a:extLst>
                <a:ext uri="{63B3BB69-23CF-44E3-9099-C40C66FF867C}">
                  <a14:compatExt spid="_x0000_s103438"/>
                </a:ext>
                <a:ext uri="{FF2B5EF4-FFF2-40B4-BE49-F238E27FC236}">
                  <a16:creationId xmlns:a16="http://schemas.microsoft.com/office/drawing/2014/main" id="{00000000-0008-0000-1800-00000E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03439" name="Check Box 15" hidden="1">
              <a:extLst>
                <a:ext uri="{63B3BB69-23CF-44E3-9099-C40C66FF867C}">
                  <a14:compatExt spid="_x0000_s103439"/>
                </a:ext>
                <a:ext uri="{FF2B5EF4-FFF2-40B4-BE49-F238E27FC236}">
                  <a16:creationId xmlns:a16="http://schemas.microsoft.com/office/drawing/2014/main" id="{00000000-0008-0000-1800-00000F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03440" name="Check Box 16" hidden="1">
              <a:extLst>
                <a:ext uri="{63B3BB69-23CF-44E3-9099-C40C66FF867C}">
                  <a14:compatExt spid="_x0000_s103440"/>
                </a:ext>
                <a:ext uri="{FF2B5EF4-FFF2-40B4-BE49-F238E27FC236}">
                  <a16:creationId xmlns:a16="http://schemas.microsoft.com/office/drawing/2014/main" id="{00000000-0008-0000-1800-000010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03441" name="Check Box 17" hidden="1">
              <a:extLst>
                <a:ext uri="{63B3BB69-23CF-44E3-9099-C40C66FF867C}">
                  <a14:compatExt spid="_x0000_s103441"/>
                </a:ext>
                <a:ext uri="{FF2B5EF4-FFF2-40B4-BE49-F238E27FC236}">
                  <a16:creationId xmlns:a16="http://schemas.microsoft.com/office/drawing/2014/main" id="{00000000-0008-0000-1800-00001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03442" name="Check Box 18" descr="Cluster Analysis" hidden="1">
              <a:extLst>
                <a:ext uri="{63B3BB69-23CF-44E3-9099-C40C66FF867C}">
                  <a14:compatExt spid="_x0000_s103442"/>
                </a:ext>
                <a:ext uri="{FF2B5EF4-FFF2-40B4-BE49-F238E27FC236}">
                  <a16:creationId xmlns:a16="http://schemas.microsoft.com/office/drawing/2014/main" id="{00000000-0008-0000-1800-00001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103443" name="Check Box 19" descr="Logistic Regression" hidden="1">
              <a:extLst>
                <a:ext uri="{63B3BB69-23CF-44E3-9099-C40C66FF867C}">
                  <a14:compatExt spid="_x0000_s103443"/>
                </a:ext>
                <a:ext uri="{FF2B5EF4-FFF2-40B4-BE49-F238E27FC236}">
                  <a16:creationId xmlns:a16="http://schemas.microsoft.com/office/drawing/2014/main" id="{00000000-0008-0000-1800-000013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103444" name="Check Box 20" descr="Neural Network" hidden="1">
              <a:extLst>
                <a:ext uri="{63B3BB69-23CF-44E3-9099-C40C66FF867C}">
                  <a14:compatExt spid="_x0000_s103444"/>
                </a:ext>
                <a:ext uri="{FF2B5EF4-FFF2-40B4-BE49-F238E27FC236}">
                  <a16:creationId xmlns:a16="http://schemas.microsoft.com/office/drawing/2014/main" id="{00000000-0008-0000-1800-000014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03445" name="Check Box 21" descr="Decision Trees" hidden="1">
              <a:extLst>
                <a:ext uri="{63B3BB69-23CF-44E3-9099-C40C66FF867C}">
                  <a14:compatExt spid="_x0000_s103445"/>
                </a:ext>
                <a:ext uri="{FF2B5EF4-FFF2-40B4-BE49-F238E27FC236}">
                  <a16:creationId xmlns:a16="http://schemas.microsoft.com/office/drawing/2014/main" id="{00000000-0008-0000-1800-000015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103446" name="Check Box 22" descr="Machine Learning" hidden="1">
              <a:extLst>
                <a:ext uri="{63B3BB69-23CF-44E3-9099-C40C66FF867C}">
                  <a14:compatExt spid="_x0000_s103446"/>
                </a:ext>
                <a:ext uri="{FF2B5EF4-FFF2-40B4-BE49-F238E27FC236}">
                  <a16:creationId xmlns:a16="http://schemas.microsoft.com/office/drawing/2014/main" id="{00000000-0008-0000-1800-000016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103447" name="Check Box 23" hidden="1">
              <a:extLst>
                <a:ext uri="{63B3BB69-23CF-44E3-9099-C40C66FF867C}">
                  <a14:compatExt spid="_x0000_s103447"/>
                </a:ext>
                <a:ext uri="{FF2B5EF4-FFF2-40B4-BE49-F238E27FC236}">
                  <a16:creationId xmlns:a16="http://schemas.microsoft.com/office/drawing/2014/main" id="{00000000-0008-0000-1800-000017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03448" name="Check Box 24" descr="Generalized Linear Model" hidden="1">
              <a:extLst>
                <a:ext uri="{63B3BB69-23CF-44E3-9099-C40C66FF867C}">
                  <a14:compatExt spid="_x0000_s103448"/>
                </a:ext>
                <a:ext uri="{FF2B5EF4-FFF2-40B4-BE49-F238E27FC236}">
                  <a16:creationId xmlns:a16="http://schemas.microsoft.com/office/drawing/2014/main" id="{00000000-0008-0000-1800-000018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103449" name="Check Box 27" descr="Multivariate Adaptive Regression Splines" hidden="1">
              <a:extLst>
                <a:ext uri="{63B3BB69-23CF-44E3-9099-C40C66FF867C}">
                  <a14:compatExt spid="_x0000_s103449"/>
                </a:ext>
                <a:ext uri="{FF2B5EF4-FFF2-40B4-BE49-F238E27FC236}">
                  <a16:creationId xmlns:a16="http://schemas.microsoft.com/office/drawing/2014/main" id="{00000000-0008-0000-1800-000019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03450" name="Check Box 26" descr="New/Initial" hidden="1">
              <a:extLst>
                <a:ext uri="{63B3BB69-23CF-44E3-9099-C40C66FF867C}">
                  <a14:compatExt spid="_x0000_s103450"/>
                </a:ext>
                <a:ext uri="{FF2B5EF4-FFF2-40B4-BE49-F238E27FC236}">
                  <a16:creationId xmlns:a16="http://schemas.microsoft.com/office/drawing/2014/main" id="{00000000-0008-0000-1800-00001A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03451" name="Check Box 27" descr="Revision to Existing Model" hidden="1">
              <a:extLst>
                <a:ext uri="{63B3BB69-23CF-44E3-9099-C40C66FF867C}">
                  <a14:compatExt spid="_x0000_s103451"/>
                </a:ext>
                <a:ext uri="{FF2B5EF4-FFF2-40B4-BE49-F238E27FC236}">
                  <a16:creationId xmlns:a16="http://schemas.microsoft.com/office/drawing/2014/main" id="{00000000-0008-0000-1800-00001B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103452" name="Check Box 28" descr="Refresh of Data to Existing Model" hidden="1">
              <a:extLst>
                <a:ext uri="{63B3BB69-23CF-44E3-9099-C40C66FF867C}">
                  <a14:compatExt spid="_x0000_s103452"/>
                </a:ext>
                <a:ext uri="{FF2B5EF4-FFF2-40B4-BE49-F238E27FC236}">
                  <a16:creationId xmlns:a16="http://schemas.microsoft.com/office/drawing/2014/main" id="{00000000-0008-0000-1800-00001C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103453" name="Check Box 29" descr="Company Developed (&quot;In-House&quot;)" hidden="1">
              <a:extLst>
                <a:ext uri="{63B3BB69-23CF-44E3-9099-C40C66FF867C}">
                  <a14:compatExt spid="_x0000_s103453"/>
                </a:ext>
                <a:ext uri="{FF2B5EF4-FFF2-40B4-BE49-F238E27FC236}">
                  <a16:creationId xmlns:a16="http://schemas.microsoft.com/office/drawing/2014/main" id="{00000000-0008-0000-1800-00001D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103454" name="Check Box 30" descr="Outside Firm" hidden="1">
              <a:extLst>
                <a:ext uri="{63B3BB69-23CF-44E3-9099-C40C66FF867C}">
                  <a14:compatExt spid="_x0000_s103454"/>
                </a:ext>
                <a:ext uri="{FF2B5EF4-FFF2-40B4-BE49-F238E27FC236}">
                  <a16:creationId xmlns:a16="http://schemas.microsoft.com/office/drawing/2014/main" id="{00000000-0008-0000-1800-00001E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103455" name="Check Box 31" descr="No Revision to Existing Model" hidden="1">
              <a:extLst>
                <a:ext uri="{63B3BB69-23CF-44E3-9099-C40C66FF867C}">
                  <a14:compatExt spid="_x0000_s103455"/>
                </a:ext>
                <a:ext uri="{FF2B5EF4-FFF2-40B4-BE49-F238E27FC236}">
                  <a16:creationId xmlns:a16="http://schemas.microsoft.com/office/drawing/2014/main" id="{00000000-0008-0000-1800-00001F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03456" name="Check Box 32" hidden="1">
              <a:extLst>
                <a:ext uri="{63B3BB69-23CF-44E3-9099-C40C66FF867C}">
                  <a14:compatExt spid="_x0000_s103456"/>
                </a:ext>
                <a:ext uri="{FF2B5EF4-FFF2-40B4-BE49-F238E27FC236}">
                  <a16:creationId xmlns:a16="http://schemas.microsoft.com/office/drawing/2014/main" id="{00000000-0008-0000-1800-000020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04449" name="Check Box Cat" descr="Catastrophe Model" hidden="1">
              <a:extLst>
                <a:ext uri="{63B3BB69-23CF-44E3-9099-C40C66FF867C}">
                  <a14:compatExt spid="_x0000_s104449"/>
                </a:ext>
                <a:ext uri="{FF2B5EF4-FFF2-40B4-BE49-F238E27FC236}">
                  <a16:creationId xmlns:a16="http://schemas.microsoft.com/office/drawing/2014/main" id="{00000000-0008-0000-1900-000001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04450" name="Check Box NonCat" descr="Non-Catastrophe Model" hidden="1">
              <a:extLst>
                <a:ext uri="{63B3BB69-23CF-44E3-9099-C40C66FF867C}">
                  <a14:compatExt spid="_x0000_s104450"/>
                </a:ext>
                <a:ext uri="{FF2B5EF4-FFF2-40B4-BE49-F238E27FC236}">
                  <a16:creationId xmlns:a16="http://schemas.microsoft.com/office/drawing/2014/main" id="{00000000-0008-0000-1900-000002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04451" name="Check Box OverallRateLvl" descr="Overall Rate Level" hidden="1">
              <a:extLst>
                <a:ext uri="{63B3BB69-23CF-44E3-9099-C40C66FF867C}">
                  <a14:compatExt spid="_x0000_s104451"/>
                </a:ext>
                <a:ext uri="{FF2B5EF4-FFF2-40B4-BE49-F238E27FC236}">
                  <a16:creationId xmlns:a16="http://schemas.microsoft.com/office/drawing/2014/main" id="{00000000-0008-0000-1900-000003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04452" name="Check Box 4" descr="Other Model Usage" hidden="1">
              <a:extLst>
                <a:ext uri="{63B3BB69-23CF-44E3-9099-C40C66FF867C}">
                  <a14:compatExt spid="_x0000_s104452"/>
                </a:ext>
                <a:ext uri="{FF2B5EF4-FFF2-40B4-BE49-F238E27FC236}">
                  <a16:creationId xmlns:a16="http://schemas.microsoft.com/office/drawing/2014/main" id="{00000000-0008-0000-1900-000004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04453" name="Check Box 5" hidden="1">
              <a:extLst>
                <a:ext uri="{63B3BB69-23CF-44E3-9099-C40C66FF867C}">
                  <a14:compatExt spid="_x0000_s104453"/>
                </a:ext>
                <a:ext uri="{FF2B5EF4-FFF2-40B4-BE49-F238E27FC236}">
                  <a16:creationId xmlns:a16="http://schemas.microsoft.com/office/drawing/2014/main" id="{00000000-0008-0000-1900-000005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04454" name="Check Box 6" hidden="1">
              <a:extLst>
                <a:ext uri="{63B3BB69-23CF-44E3-9099-C40C66FF867C}">
                  <a14:compatExt spid="_x0000_s104454"/>
                </a:ext>
                <a:ext uri="{FF2B5EF4-FFF2-40B4-BE49-F238E27FC236}">
                  <a16:creationId xmlns:a16="http://schemas.microsoft.com/office/drawing/2014/main" id="{00000000-0008-0000-1900-000006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04455" name="Check Box 7" hidden="1">
              <a:extLst>
                <a:ext uri="{63B3BB69-23CF-44E3-9099-C40C66FF867C}">
                  <a14:compatExt spid="_x0000_s104455"/>
                </a:ext>
                <a:ext uri="{FF2B5EF4-FFF2-40B4-BE49-F238E27FC236}">
                  <a16:creationId xmlns:a16="http://schemas.microsoft.com/office/drawing/2014/main" id="{00000000-0008-0000-1900-000007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04456" name="Check Box 8" hidden="1">
              <a:extLst>
                <a:ext uri="{63B3BB69-23CF-44E3-9099-C40C66FF867C}">
                  <a14:compatExt spid="_x0000_s104456"/>
                </a:ext>
                <a:ext uri="{FF2B5EF4-FFF2-40B4-BE49-F238E27FC236}">
                  <a16:creationId xmlns:a16="http://schemas.microsoft.com/office/drawing/2014/main" id="{00000000-0008-0000-1900-000008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04457" name="Check Box 9" hidden="1">
              <a:extLst>
                <a:ext uri="{63B3BB69-23CF-44E3-9099-C40C66FF867C}">
                  <a14:compatExt spid="_x0000_s104457"/>
                </a:ext>
                <a:ext uri="{FF2B5EF4-FFF2-40B4-BE49-F238E27FC236}">
                  <a16:creationId xmlns:a16="http://schemas.microsoft.com/office/drawing/2014/main" id="{00000000-0008-0000-1900-000009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04458" name="Check Box 10" hidden="1">
              <a:extLst>
                <a:ext uri="{63B3BB69-23CF-44E3-9099-C40C66FF867C}">
                  <a14:compatExt spid="_x0000_s104458"/>
                </a:ext>
                <a:ext uri="{FF2B5EF4-FFF2-40B4-BE49-F238E27FC236}">
                  <a16:creationId xmlns:a16="http://schemas.microsoft.com/office/drawing/2014/main" id="{00000000-0008-0000-1900-00000A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04459" name="Check Box 11" descr="Underwriting Eligibility" hidden="1">
              <a:extLst>
                <a:ext uri="{63B3BB69-23CF-44E3-9099-C40C66FF867C}">
                  <a14:compatExt spid="_x0000_s104459"/>
                </a:ext>
                <a:ext uri="{FF2B5EF4-FFF2-40B4-BE49-F238E27FC236}">
                  <a16:creationId xmlns:a16="http://schemas.microsoft.com/office/drawing/2014/main" id="{00000000-0008-0000-1900-00000B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04460" name="Check Box RateSeg" descr="Rate Segmentation" hidden="1">
              <a:extLst>
                <a:ext uri="{63B3BB69-23CF-44E3-9099-C40C66FF867C}">
                  <a14:compatExt spid="_x0000_s104460"/>
                </a:ext>
                <a:ext uri="{FF2B5EF4-FFF2-40B4-BE49-F238E27FC236}">
                  <a16:creationId xmlns:a16="http://schemas.microsoft.com/office/drawing/2014/main" id="{00000000-0008-0000-1900-00000C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04461" name="Check Box 13" hidden="1">
              <a:extLst>
                <a:ext uri="{63B3BB69-23CF-44E3-9099-C40C66FF867C}">
                  <a14:compatExt spid="_x0000_s104461"/>
                </a:ext>
                <a:ext uri="{FF2B5EF4-FFF2-40B4-BE49-F238E27FC236}">
                  <a16:creationId xmlns:a16="http://schemas.microsoft.com/office/drawing/2014/main" id="{00000000-0008-0000-1900-00000D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04462" name="Check Box 14" hidden="1">
              <a:extLst>
                <a:ext uri="{63B3BB69-23CF-44E3-9099-C40C66FF867C}">
                  <a14:compatExt spid="_x0000_s104462"/>
                </a:ext>
                <a:ext uri="{FF2B5EF4-FFF2-40B4-BE49-F238E27FC236}">
                  <a16:creationId xmlns:a16="http://schemas.microsoft.com/office/drawing/2014/main" id="{00000000-0008-0000-1900-00000E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04463" name="Check Box 15" hidden="1">
              <a:extLst>
                <a:ext uri="{63B3BB69-23CF-44E3-9099-C40C66FF867C}">
                  <a14:compatExt spid="_x0000_s104463"/>
                </a:ext>
                <a:ext uri="{FF2B5EF4-FFF2-40B4-BE49-F238E27FC236}">
                  <a16:creationId xmlns:a16="http://schemas.microsoft.com/office/drawing/2014/main" id="{00000000-0008-0000-1900-00000F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04464" name="Check Box 16" hidden="1">
              <a:extLst>
                <a:ext uri="{63B3BB69-23CF-44E3-9099-C40C66FF867C}">
                  <a14:compatExt spid="_x0000_s104464"/>
                </a:ext>
                <a:ext uri="{FF2B5EF4-FFF2-40B4-BE49-F238E27FC236}">
                  <a16:creationId xmlns:a16="http://schemas.microsoft.com/office/drawing/2014/main" id="{00000000-0008-0000-1900-000010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04465" name="Check Box 17" hidden="1">
              <a:extLst>
                <a:ext uri="{63B3BB69-23CF-44E3-9099-C40C66FF867C}">
                  <a14:compatExt spid="_x0000_s104465"/>
                </a:ext>
                <a:ext uri="{FF2B5EF4-FFF2-40B4-BE49-F238E27FC236}">
                  <a16:creationId xmlns:a16="http://schemas.microsoft.com/office/drawing/2014/main" id="{00000000-0008-0000-1900-000011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04466" name="Check Box 18" descr="Cluster Analysis" hidden="1">
              <a:extLst>
                <a:ext uri="{63B3BB69-23CF-44E3-9099-C40C66FF867C}">
                  <a14:compatExt spid="_x0000_s104466"/>
                </a:ext>
                <a:ext uri="{FF2B5EF4-FFF2-40B4-BE49-F238E27FC236}">
                  <a16:creationId xmlns:a16="http://schemas.microsoft.com/office/drawing/2014/main" id="{00000000-0008-0000-1900-000012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104467" name="Check Box 19" descr="Logistic Regression" hidden="1">
              <a:extLst>
                <a:ext uri="{63B3BB69-23CF-44E3-9099-C40C66FF867C}">
                  <a14:compatExt spid="_x0000_s104467"/>
                </a:ext>
                <a:ext uri="{FF2B5EF4-FFF2-40B4-BE49-F238E27FC236}">
                  <a16:creationId xmlns:a16="http://schemas.microsoft.com/office/drawing/2014/main" id="{00000000-0008-0000-1900-000013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104468" name="Check Box 20" descr="Neural Network" hidden="1">
              <a:extLst>
                <a:ext uri="{63B3BB69-23CF-44E3-9099-C40C66FF867C}">
                  <a14:compatExt spid="_x0000_s104468"/>
                </a:ext>
                <a:ext uri="{FF2B5EF4-FFF2-40B4-BE49-F238E27FC236}">
                  <a16:creationId xmlns:a16="http://schemas.microsoft.com/office/drawing/2014/main" id="{00000000-0008-0000-1900-000014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04469" name="Check Box 21" descr="Decision Trees" hidden="1">
              <a:extLst>
                <a:ext uri="{63B3BB69-23CF-44E3-9099-C40C66FF867C}">
                  <a14:compatExt spid="_x0000_s104469"/>
                </a:ext>
                <a:ext uri="{FF2B5EF4-FFF2-40B4-BE49-F238E27FC236}">
                  <a16:creationId xmlns:a16="http://schemas.microsoft.com/office/drawing/2014/main" id="{00000000-0008-0000-1900-000015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104470" name="Check Box 22" descr="Machine Learning" hidden="1">
              <a:extLst>
                <a:ext uri="{63B3BB69-23CF-44E3-9099-C40C66FF867C}">
                  <a14:compatExt spid="_x0000_s104470"/>
                </a:ext>
                <a:ext uri="{FF2B5EF4-FFF2-40B4-BE49-F238E27FC236}">
                  <a16:creationId xmlns:a16="http://schemas.microsoft.com/office/drawing/2014/main" id="{00000000-0008-0000-1900-000016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104471" name="Check Box 23" hidden="1">
              <a:extLst>
                <a:ext uri="{63B3BB69-23CF-44E3-9099-C40C66FF867C}">
                  <a14:compatExt spid="_x0000_s104471"/>
                </a:ext>
                <a:ext uri="{FF2B5EF4-FFF2-40B4-BE49-F238E27FC236}">
                  <a16:creationId xmlns:a16="http://schemas.microsoft.com/office/drawing/2014/main" id="{00000000-0008-0000-1900-000017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04472" name="Check Box 24" descr="Generalized Linear Model" hidden="1">
              <a:extLst>
                <a:ext uri="{63B3BB69-23CF-44E3-9099-C40C66FF867C}">
                  <a14:compatExt spid="_x0000_s104472"/>
                </a:ext>
                <a:ext uri="{FF2B5EF4-FFF2-40B4-BE49-F238E27FC236}">
                  <a16:creationId xmlns:a16="http://schemas.microsoft.com/office/drawing/2014/main" id="{00000000-0008-0000-1900-000018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104473" name="Check Box 27" descr="Multivariate Adaptive Regression Splines" hidden="1">
              <a:extLst>
                <a:ext uri="{63B3BB69-23CF-44E3-9099-C40C66FF867C}">
                  <a14:compatExt spid="_x0000_s104473"/>
                </a:ext>
                <a:ext uri="{FF2B5EF4-FFF2-40B4-BE49-F238E27FC236}">
                  <a16:creationId xmlns:a16="http://schemas.microsoft.com/office/drawing/2014/main" id="{00000000-0008-0000-1900-000019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04474" name="Check Box 26" descr="New/Initial" hidden="1">
              <a:extLst>
                <a:ext uri="{63B3BB69-23CF-44E3-9099-C40C66FF867C}">
                  <a14:compatExt spid="_x0000_s104474"/>
                </a:ext>
                <a:ext uri="{FF2B5EF4-FFF2-40B4-BE49-F238E27FC236}">
                  <a16:creationId xmlns:a16="http://schemas.microsoft.com/office/drawing/2014/main" id="{00000000-0008-0000-1900-00001A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04475" name="Check Box 27" descr="Revision to Existing Model" hidden="1">
              <a:extLst>
                <a:ext uri="{63B3BB69-23CF-44E3-9099-C40C66FF867C}">
                  <a14:compatExt spid="_x0000_s104475"/>
                </a:ext>
                <a:ext uri="{FF2B5EF4-FFF2-40B4-BE49-F238E27FC236}">
                  <a16:creationId xmlns:a16="http://schemas.microsoft.com/office/drawing/2014/main" id="{00000000-0008-0000-1900-00001B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104476" name="Check Box 28" descr="Refresh of Data to Existing Model" hidden="1">
              <a:extLst>
                <a:ext uri="{63B3BB69-23CF-44E3-9099-C40C66FF867C}">
                  <a14:compatExt spid="_x0000_s104476"/>
                </a:ext>
                <a:ext uri="{FF2B5EF4-FFF2-40B4-BE49-F238E27FC236}">
                  <a16:creationId xmlns:a16="http://schemas.microsoft.com/office/drawing/2014/main" id="{00000000-0008-0000-1900-00001C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104477" name="Check Box 29" descr="Company Developed (&quot;In-House&quot;)" hidden="1">
              <a:extLst>
                <a:ext uri="{63B3BB69-23CF-44E3-9099-C40C66FF867C}">
                  <a14:compatExt spid="_x0000_s104477"/>
                </a:ext>
                <a:ext uri="{FF2B5EF4-FFF2-40B4-BE49-F238E27FC236}">
                  <a16:creationId xmlns:a16="http://schemas.microsoft.com/office/drawing/2014/main" id="{00000000-0008-0000-1900-00001D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104478" name="Check Box 30" descr="Outside Firm" hidden="1">
              <a:extLst>
                <a:ext uri="{63B3BB69-23CF-44E3-9099-C40C66FF867C}">
                  <a14:compatExt spid="_x0000_s104478"/>
                </a:ext>
                <a:ext uri="{FF2B5EF4-FFF2-40B4-BE49-F238E27FC236}">
                  <a16:creationId xmlns:a16="http://schemas.microsoft.com/office/drawing/2014/main" id="{00000000-0008-0000-1900-00001E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104479" name="Check Box 31" descr="No Revision to Existing Model" hidden="1">
              <a:extLst>
                <a:ext uri="{63B3BB69-23CF-44E3-9099-C40C66FF867C}">
                  <a14:compatExt spid="_x0000_s104479"/>
                </a:ext>
                <a:ext uri="{FF2B5EF4-FFF2-40B4-BE49-F238E27FC236}">
                  <a16:creationId xmlns:a16="http://schemas.microsoft.com/office/drawing/2014/main" id="{00000000-0008-0000-1900-00001F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04480" name="Check Box 32" hidden="1">
              <a:extLst>
                <a:ext uri="{63B3BB69-23CF-44E3-9099-C40C66FF867C}">
                  <a14:compatExt spid="_x0000_s104480"/>
                </a:ext>
                <a:ext uri="{FF2B5EF4-FFF2-40B4-BE49-F238E27FC236}">
                  <a16:creationId xmlns:a16="http://schemas.microsoft.com/office/drawing/2014/main" id="{00000000-0008-0000-1900-000020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05473" name="Check Box Cat" descr="Catastrophe Model" hidden="1">
              <a:extLst>
                <a:ext uri="{63B3BB69-23CF-44E3-9099-C40C66FF867C}">
                  <a14:compatExt spid="_x0000_s105473"/>
                </a:ext>
                <a:ext uri="{FF2B5EF4-FFF2-40B4-BE49-F238E27FC236}">
                  <a16:creationId xmlns:a16="http://schemas.microsoft.com/office/drawing/2014/main" id="{00000000-0008-0000-1A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05474" name="Check Box NonCat" descr="Non-Catastrophe Model" hidden="1">
              <a:extLst>
                <a:ext uri="{63B3BB69-23CF-44E3-9099-C40C66FF867C}">
                  <a14:compatExt spid="_x0000_s105474"/>
                </a:ext>
                <a:ext uri="{FF2B5EF4-FFF2-40B4-BE49-F238E27FC236}">
                  <a16:creationId xmlns:a16="http://schemas.microsoft.com/office/drawing/2014/main" id="{00000000-0008-0000-1A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05475" name="Check Box OverallRateLvl" descr="Overall Rate Level" hidden="1">
              <a:extLst>
                <a:ext uri="{63B3BB69-23CF-44E3-9099-C40C66FF867C}">
                  <a14:compatExt spid="_x0000_s105475"/>
                </a:ext>
                <a:ext uri="{FF2B5EF4-FFF2-40B4-BE49-F238E27FC236}">
                  <a16:creationId xmlns:a16="http://schemas.microsoft.com/office/drawing/2014/main" id="{00000000-0008-0000-1A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05476" name="Check Box 4" descr="Other Model Usage" hidden="1">
              <a:extLst>
                <a:ext uri="{63B3BB69-23CF-44E3-9099-C40C66FF867C}">
                  <a14:compatExt spid="_x0000_s105476"/>
                </a:ext>
                <a:ext uri="{FF2B5EF4-FFF2-40B4-BE49-F238E27FC236}">
                  <a16:creationId xmlns:a16="http://schemas.microsoft.com/office/drawing/2014/main" id="{00000000-0008-0000-1A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1A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1A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1A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1A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1A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1A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05483" name="Check Box 11" descr="Underwriting Eligibility" hidden="1">
              <a:extLst>
                <a:ext uri="{63B3BB69-23CF-44E3-9099-C40C66FF867C}">
                  <a14:compatExt spid="_x0000_s105483"/>
                </a:ext>
                <a:ext uri="{FF2B5EF4-FFF2-40B4-BE49-F238E27FC236}">
                  <a16:creationId xmlns:a16="http://schemas.microsoft.com/office/drawing/2014/main" id="{00000000-0008-0000-1A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05484" name="Check Box RateSeg" descr="Rate Segmentation" hidden="1">
              <a:extLst>
                <a:ext uri="{63B3BB69-23CF-44E3-9099-C40C66FF867C}">
                  <a14:compatExt spid="_x0000_s105484"/>
                </a:ext>
                <a:ext uri="{FF2B5EF4-FFF2-40B4-BE49-F238E27FC236}">
                  <a16:creationId xmlns:a16="http://schemas.microsoft.com/office/drawing/2014/main" id="{00000000-0008-0000-1A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1A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05486" name="Check Box 14" hidden="1">
              <a:extLst>
                <a:ext uri="{63B3BB69-23CF-44E3-9099-C40C66FF867C}">
                  <a14:compatExt spid="_x0000_s105486"/>
                </a:ext>
                <a:ext uri="{FF2B5EF4-FFF2-40B4-BE49-F238E27FC236}">
                  <a16:creationId xmlns:a16="http://schemas.microsoft.com/office/drawing/2014/main" id="{00000000-0008-0000-1A00-00000E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05487" name="Check Box 15" hidden="1">
              <a:extLst>
                <a:ext uri="{63B3BB69-23CF-44E3-9099-C40C66FF867C}">
                  <a14:compatExt spid="_x0000_s105487"/>
                </a:ext>
                <a:ext uri="{FF2B5EF4-FFF2-40B4-BE49-F238E27FC236}">
                  <a16:creationId xmlns:a16="http://schemas.microsoft.com/office/drawing/2014/main" id="{00000000-0008-0000-1A00-00000F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05488" name="Check Box 16" hidden="1">
              <a:extLst>
                <a:ext uri="{63B3BB69-23CF-44E3-9099-C40C66FF867C}">
                  <a14:compatExt spid="_x0000_s105488"/>
                </a:ext>
                <a:ext uri="{FF2B5EF4-FFF2-40B4-BE49-F238E27FC236}">
                  <a16:creationId xmlns:a16="http://schemas.microsoft.com/office/drawing/2014/main" id="{00000000-0008-0000-1A00-000010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05489" name="Check Box 17" hidden="1">
              <a:extLst>
                <a:ext uri="{63B3BB69-23CF-44E3-9099-C40C66FF867C}">
                  <a14:compatExt spid="_x0000_s105489"/>
                </a:ext>
                <a:ext uri="{FF2B5EF4-FFF2-40B4-BE49-F238E27FC236}">
                  <a16:creationId xmlns:a16="http://schemas.microsoft.com/office/drawing/2014/main" id="{00000000-0008-0000-1A00-00001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05490" name="Check Box 18" descr="Cluster Analysis" hidden="1">
              <a:extLst>
                <a:ext uri="{63B3BB69-23CF-44E3-9099-C40C66FF867C}">
                  <a14:compatExt spid="_x0000_s105490"/>
                </a:ext>
                <a:ext uri="{FF2B5EF4-FFF2-40B4-BE49-F238E27FC236}">
                  <a16:creationId xmlns:a16="http://schemas.microsoft.com/office/drawing/2014/main" id="{00000000-0008-0000-1A00-00001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105491" name="Check Box 19" descr="Logistic Regression" hidden="1">
              <a:extLst>
                <a:ext uri="{63B3BB69-23CF-44E3-9099-C40C66FF867C}">
                  <a14:compatExt spid="_x0000_s105491"/>
                </a:ext>
                <a:ext uri="{FF2B5EF4-FFF2-40B4-BE49-F238E27FC236}">
                  <a16:creationId xmlns:a16="http://schemas.microsoft.com/office/drawing/2014/main" id="{00000000-0008-0000-1A00-00001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105492" name="Check Box 20" descr="Neural Network" hidden="1">
              <a:extLst>
                <a:ext uri="{63B3BB69-23CF-44E3-9099-C40C66FF867C}">
                  <a14:compatExt spid="_x0000_s105492"/>
                </a:ext>
                <a:ext uri="{FF2B5EF4-FFF2-40B4-BE49-F238E27FC236}">
                  <a16:creationId xmlns:a16="http://schemas.microsoft.com/office/drawing/2014/main" id="{00000000-0008-0000-1A00-00001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05493" name="Check Box 21" descr="Decision Trees" hidden="1">
              <a:extLst>
                <a:ext uri="{63B3BB69-23CF-44E3-9099-C40C66FF867C}">
                  <a14:compatExt spid="_x0000_s105493"/>
                </a:ext>
                <a:ext uri="{FF2B5EF4-FFF2-40B4-BE49-F238E27FC236}">
                  <a16:creationId xmlns:a16="http://schemas.microsoft.com/office/drawing/2014/main" id="{00000000-0008-0000-1A00-00001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105494" name="Check Box 22" descr="Machine Learning" hidden="1">
              <a:extLst>
                <a:ext uri="{63B3BB69-23CF-44E3-9099-C40C66FF867C}">
                  <a14:compatExt spid="_x0000_s105494"/>
                </a:ext>
                <a:ext uri="{FF2B5EF4-FFF2-40B4-BE49-F238E27FC236}">
                  <a16:creationId xmlns:a16="http://schemas.microsoft.com/office/drawing/2014/main" id="{00000000-0008-0000-1A00-00001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105495" name="Check Box 23" hidden="1">
              <a:extLst>
                <a:ext uri="{63B3BB69-23CF-44E3-9099-C40C66FF867C}">
                  <a14:compatExt spid="_x0000_s105495"/>
                </a:ext>
                <a:ext uri="{FF2B5EF4-FFF2-40B4-BE49-F238E27FC236}">
                  <a16:creationId xmlns:a16="http://schemas.microsoft.com/office/drawing/2014/main" id="{00000000-0008-0000-1A00-00001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05496" name="Check Box 24" descr="Generalized Linear Model" hidden="1">
              <a:extLst>
                <a:ext uri="{63B3BB69-23CF-44E3-9099-C40C66FF867C}">
                  <a14:compatExt spid="_x0000_s105496"/>
                </a:ext>
                <a:ext uri="{FF2B5EF4-FFF2-40B4-BE49-F238E27FC236}">
                  <a16:creationId xmlns:a16="http://schemas.microsoft.com/office/drawing/2014/main" id="{00000000-0008-0000-1A00-00001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105497" name="Check Box 27" descr="Multivariate Adaptive Regression Splines" hidden="1">
              <a:extLst>
                <a:ext uri="{63B3BB69-23CF-44E3-9099-C40C66FF867C}">
                  <a14:compatExt spid="_x0000_s105497"/>
                </a:ext>
                <a:ext uri="{FF2B5EF4-FFF2-40B4-BE49-F238E27FC236}">
                  <a16:creationId xmlns:a16="http://schemas.microsoft.com/office/drawing/2014/main" id="{00000000-0008-0000-1A00-00001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05498" name="Check Box 26" descr="New/Initial" hidden="1">
              <a:extLst>
                <a:ext uri="{63B3BB69-23CF-44E3-9099-C40C66FF867C}">
                  <a14:compatExt spid="_x0000_s105498"/>
                </a:ext>
                <a:ext uri="{FF2B5EF4-FFF2-40B4-BE49-F238E27FC236}">
                  <a16:creationId xmlns:a16="http://schemas.microsoft.com/office/drawing/2014/main" id="{00000000-0008-0000-1A00-00001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05499" name="Check Box 27" descr="Revision to Existing Model" hidden="1">
              <a:extLst>
                <a:ext uri="{63B3BB69-23CF-44E3-9099-C40C66FF867C}">
                  <a14:compatExt spid="_x0000_s105499"/>
                </a:ext>
                <a:ext uri="{FF2B5EF4-FFF2-40B4-BE49-F238E27FC236}">
                  <a16:creationId xmlns:a16="http://schemas.microsoft.com/office/drawing/2014/main" id="{00000000-0008-0000-1A00-00001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105500" name="Check Box 28" descr="Refresh of Data to Existing Model" hidden="1">
              <a:extLst>
                <a:ext uri="{63B3BB69-23CF-44E3-9099-C40C66FF867C}">
                  <a14:compatExt spid="_x0000_s105500"/>
                </a:ext>
                <a:ext uri="{FF2B5EF4-FFF2-40B4-BE49-F238E27FC236}">
                  <a16:creationId xmlns:a16="http://schemas.microsoft.com/office/drawing/2014/main" id="{00000000-0008-0000-1A00-00001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105501" name="Check Box 29" descr="Company Developed (&quot;In-House&quot;)" hidden="1">
              <a:extLst>
                <a:ext uri="{63B3BB69-23CF-44E3-9099-C40C66FF867C}">
                  <a14:compatExt spid="_x0000_s105501"/>
                </a:ext>
                <a:ext uri="{FF2B5EF4-FFF2-40B4-BE49-F238E27FC236}">
                  <a16:creationId xmlns:a16="http://schemas.microsoft.com/office/drawing/2014/main" id="{00000000-0008-0000-1A00-00001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105502" name="Check Box 30" descr="Outside Firm" hidden="1">
              <a:extLst>
                <a:ext uri="{63B3BB69-23CF-44E3-9099-C40C66FF867C}">
                  <a14:compatExt spid="_x0000_s105502"/>
                </a:ext>
                <a:ext uri="{FF2B5EF4-FFF2-40B4-BE49-F238E27FC236}">
                  <a16:creationId xmlns:a16="http://schemas.microsoft.com/office/drawing/2014/main" id="{00000000-0008-0000-1A00-00001E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105503" name="Check Box 31" descr="No Revision to Existing Model" hidden="1">
              <a:extLst>
                <a:ext uri="{63B3BB69-23CF-44E3-9099-C40C66FF867C}">
                  <a14:compatExt spid="_x0000_s105503"/>
                </a:ext>
                <a:ext uri="{FF2B5EF4-FFF2-40B4-BE49-F238E27FC236}">
                  <a16:creationId xmlns:a16="http://schemas.microsoft.com/office/drawing/2014/main" id="{00000000-0008-0000-1A00-00001F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05504" name="Check Box 32" hidden="1">
              <a:extLst>
                <a:ext uri="{63B3BB69-23CF-44E3-9099-C40C66FF867C}">
                  <a14:compatExt spid="_x0000_s105504"/>
                </a:ext>
                <a:ext uri="{FF2B5EF4-FFF2-40B4-BE49-F238E27FC236}">
                  <a16:creationId xmlns:a16="http://schemas.microsoft.com/office/drawing/2014/main" id="{00000000-0008-0000-1A00-000020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26" Type="http://schemas.openxmlformats.org/officeDocument/2006/relationships/ctrlProp" Target="../ctrlProps/ctrlProp47.xml"/><Relationship Id="rId21" Type="http://schemas.openxmlformats.org/officeDocument/2006/relationships/ctrlProp" Target="../ctrlProps/ctrlProp42.xml"/><Relationship Id="rId34" Type="http://schemas.openxmlformats.org/officeDocument/2006/relationships/ctrlProp" Target="../ctrlProps/ctrlProp55.xml"/><Relationship Id="rId42" Type="http://schemas.openxmlformats.org/officeDocument/2006/relationships/ctrlProp" Target="../ctrlProps/ctrlProp63.xml"/><Relationship Id="rId47" Type="http://schemas.openxmlformats.org/officeDocument/2006/relationships/ctrlProp" Target="../ctrlProps/ctrlProp68.xml"/><Relationship Id="rId50" Type="http://schemas.openxmlformats.org/officeDocument/2006/relationships/ctrlProp" Target="../ctrlProps/ctrlProp71.xml"/><Relationship Id="rId55" Type="http://schemas.openxmlformats.org/officeDocument/2006/relationships/ctrlProp" Target="../ctrlProps/ctrlProp76.xml"/><Relationship Id="rId63" Type="http://schemas.openxmlformats.org/officeDocument/2006/relationships/ctrlProp" Target="../ctrlProps/ctrlProp84.xml"/><Relationship Id="rId68" Type="http://schemas.openxmlformats.org/officeDocument/2006/relationships/ctrlProp" Target="../ctrlProps/ctrlProp89.xml"/><Relationship Id="rId7" Type="http://schemas.openxmlformats.org/officeDocument/2006/relationships/ctrlProp" Target="../ctrlProps/ctrlProp28.xml"/><Relationship Id="rId2" Type="http://schemas.openxmlformats.org/officeDocument/2006/relationships/drawing" Target="../drawings/drawing4.xml"/><Relationship Id="rId16" Type="http://schemas.openxmlformats.org/officeDocument/2006/relationships/ctrlProp" Target="../ctrlProps/ctrlProp37.xml"/><Relationship Id="rId29" Type="http://schemas.openxmlformats.org/officeDocument/2006/relationships/ctrlProp" Target="../ctrlProps/ctrlProp50.xml"/><Relationship Id="rId11" Type="http://schemas.openxmlformats.org/officeDocument/2006/relationships/ctrlProp" Target="../ctrlProps/ctrlProp32.xml"/><Relationship Id="rId24" Type="http://schemas.openxmlformats.org/officeDocument/2006/relationships/ctrlProp" Target="../ctrlProps/ctrlProp45.xml"/><Relationship Id="rId32" Type="http://schemas.openxmlformats.org/officeDocument/2006/relationships/ctrlProp" Target="../ctrlProps/ctrlProp53.xml"/><Relationship Id="rId37" Type="http://schemas.openxmlformats.org/officeDocument/2006/relationships/ctrlProp" Target="../ctrlProps/ctrlProp58.xml"/><Relationship Id="rId40" Type="http://schemas.openxmlformats.org/officeDocument/2006/relationships/ctrlProp" Target="../ctrlProps/ctrlProp61.xml"/><Relationship Id="rId45" Type="http://schemas.openxmlformats.org/officeDocument/2006/relationships/ctrlProp" Target="../ctrlProps/ctrlProp66.xml"/><Relationship Id="rId53" Type="http://schemas.openxmlformats.org/officeDocument/2006/relationships/ctrlProp" Target="../ctrlProps/ctrlProp74.xml"/><Relationship Id="rId58" Type="http://schemas.openxmlformats.org/officeDocument/2006/relationships/ctrlProp" Target="../ctrlProps/ctrlProp79.xml"/><Relationship Id="rId66" Type="http://schemas.openxmlformats.org/officeDocument/2006/relationships/ctrlProp" Target="../ctrlProps/ctrlProp87.xml"/><Relationship Id="rId5" Type="http://schemas.openxmlformats.org/officeDocument/2006/relationships/ctrlProp" Target="../ctrlProps/ctrlProp26.xml"/><Relationship Id="rId61" Type="http://schemas.openxmlformats.org/officeDocument/2006/relationships/ctrlProp" Target="../ctrlProps/ctrlProp82.xml"/><Relationship Id="rId19" Type="http://schemas.openxmlformats.org/officeDocument/2006/relationships/ctrlProp" Target="../ctrlProps/ctrlProp4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 Id="rId30" Type="http://schemas.openxmlformats.org/officeDocument/2006/relationships/ctrlProp" Target="../ctrlProps/ctrlProp51.xml"/><Relationship Id="rId35" Type="http://schemas.openxmlformats.org/officeDocument/2006/relationships/ctrlProp" Target="../ctrlProps/ctrlProp56.xml"/><Relationship Id="rId43" Type="http://schemas.openxmlformats.org/officeDocument/2006/relationships/ctrlProp" Target="../ctrlProps/ctrlProp64.xml"/><Relationship Id="rId48" Type="http://schemas.openxmlformats.org/officeDocument/2006/relationships/ctrlProp" Target="../ctrlProps/ctrlProp69.xml"/><Relationship Id="rId56" Type="http://schemas.openxmlformats.org/officeDocument/2006/relationships/ctrlProp" Target="../ctrlProps/ctrlProp77.xml"/><Relationship Id="rId64" Type="http://schemas.openxmlformats.org/officeDocument/2006/relationships/ctrlProp" Target="../ctrlProps/ctrlProp85.xml"/><Relationship Id="rId8" Type="http://schemas.openxmlformats.org/officeDocument/2006/relationships/ctrlProp" Target="../ctrlProps/ctrlProp29.xml"/><Relationship Id="rId51" Type="http://schemas.openxmlformats.org/officeDocument/2006/relationships/ctrlProp" Target="../ctrlProps/ctrlProp72.xml"/><Relationship Id="rId3" Type="http://schemas.openxmlformats.org/officeDocument/2006/relationships/vmlDrawing" Target="../drawings/vmlDrawing4.v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33" Type="http://schemas.openxmlformats.org/officeDocument/2006/relationships/ctrlProp" Target="../ctrlProps/ctrlProp54.xml"/><Relationship Id="rId38" Type="http://schemas.openxmlformats.org/officeDocument/2006/relationships/ctrlProp" Target="../ctrlProps/ctrlProp59.xml"/><Relationship Id="rId46" Type="http://schemas.openxmlformats.org/officeDocument/2006/relationships/ctrlProp" Target="../ctrlProps/ctrlProp67.xml"/><Relationship Id="rId59" Type="http://schemas.openxmlformats.org/officeDocument/2006/relationships/ctrlProp" Target="../ctrlProps/ctrlProp80.xml"/><Relationship Id="rId67" Type="http://schemas.openxmlformats.org/officeDocument/2006/relationships/ctrlProp" Target="../ctrlProps/ctrlProp88.xml"/><Relationship Id="rId20" Type="http://schemas.openxmlformats.org/officeDocument/2006/relationships/ctrlProp" Target="../ctrlProps/ctrlProp41.xml"/><Relationship Id="rId41" Type="http://schemas.openxmlformats.org/officeDocument/2006/relationships/ctrlProp" Target="../ctrlProps/ctrlProp62.xml"/><Relationship Id="rId54" Type="http://schemas.openxmlformats.org/officeDocument/2006/relationships/ctrlProp" Target="../ctrlProps/ctrlProp75.xml"/><Relationship Id="rId62" Type="http://schemas.openxmlformats.org/officeDocument/2006/relationships/ctrlProp" Target="../ctrlProps/ctrlProp83.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5" Type="http://schemas.openxmlformats.org/officeDocument/2006/relationships/ctrlProp" Target="../ctrlProps/ctrlProp36.xml"/><Relationship Id="rId23" Type="http://schemas.openxmlformats.org/officeDocument/2006/relationships/ctrlProp" Target="../ctrlProps/ctrlProp44.xml"/><Relationship Id="rId28" Type="http://schemas.openxmlformats.org/officeDocument/2006/relationships/ctrlProp" Target="../ctrlProps/ctrlProp49.xml"/><Relationship Id="rId36" Type="http://schemas.openxmlformats.org/officeDocument/2006/relationships/ctrlProp" Target="../ctrlProps/ctrlProp57.xml"/><Relationship Id="rId49" Type="http://schemas.openxmlformats.org/officeDocument/2006/relationships/ctrlProp" Target="../ctrlProps/ctrlProp70.xml"/><Relationship Id="rId57" Type="http://schemas.openxmlformats.org/officeDocument/2006/relationships/ctrlProp" Target="../ctrlProps/ctrlProp78.xml"/><Relationship Id="rId10" Type="http://schemas.openxmlformats.org/officeDocument/2006/relationships/ctrlProp" Target="../ctrlProps/ctrlProp31.xml"/><Relationship Id="rId31" Type="http://schemas.openxmlformats.org/officeDocument/2006/relationships/ctrlProp" Target="../ctrlProps/ctrlProp52.xml"/><Relationship Id="rId44" Type="http://schemas.openxmlformats.org/officeDocument/2006/relationships/ctrlProp" Target="../ctrlProps/ctrlProp65.xml"/><Relationship Id="rId52" Type="http://schemas.openxmlformats.org/officeDocument/2006/relationships/ctrlProp" Target="../ctrlProps/ctrlProp73.xml"/><Relationship Id="rId60" Type="http://schemas.openxmlformats.org/officeDocument/2006/relationships/ctrlProp" Target="../ctrlProps/ctrlProp81.xml"/><Relationship Id="rId65" Type="http://schemas.openxmlformats.org/officeDocument/2006/relationships/ctrlProp" Target="../ctrlProps/ctrlProp86.xml"/><Relationship Id="rId4" Type="http://schemas.openxmlformats.org/officeDocument/2006/relationships/ctrlProp" Target="../ctrlProps/ctrlProp25.xml"/><Relationship Id="rId9" Type="http://schemas.openxmlformats.org/officeDocument/2006/relationships/ctrlProp" Target="../ctrlProps/ctrlProp30.xml"/><Relationship Id="rId13" Type="http://schemas.openxmlformats.org/officeDocument/2006/relationships/ctrlProp" Target="../ctrlProps/ctrlProp34.xml"/><Relationship Id="rId18" Type="http://schemas.openxmlformats.org/officeDocument/2006/relationships/ctrlProp" Target="../ctrlProps/ctrlProp39.xml"/><Relationship Id="rId39" Type="http://schemas.openxmlformats.org/officeDocument/2006/relationships/ctrlProp" Target="../ctrlProps/ctrlProp6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1.xml"/><Relationship Id="rId18" Type="http://schemas.openxmlformats.org/officeDocument/2006/relationships/ctrlProp" Target="../ctrlProps/ctrlProp106.xml"/><Relationship Id="rId26" Type="http://schemas.openxmlformats.org/officeDocument/2006/relationships/ctrlProp" Target="../ctrlProps/ctrlProp114.xml"/><Relationship Id="rId39" Type="http://schemas.openxmlformats.org/officeDocument/2006/relationships/ctrlProp" Target="../ctrlProps/ctrlProp127.xml"/><Relationship Id="rId21" Type="http://schemas.openxmlformats.org/officeDocument/2006/relationships/ctrlProp" Target="../ctrlProps/ctrlProp109.xml"/><Relationship Id="rId34" Type="http://schemas.openxmlformats.org/officeDocument/2006/relationships/ctrlProp" Target="../ctrlProps/ctrlProp122.xml"/><Relationship Id="rId42" Type="http://schemas.openxmlformats.org/officeDocument/2006/relationships/ctrlProp" Target="../ctrlProps/ctrlProp130.xml"/><Relationship Id="rId47" Type="http://schemas.openxmlformats.org/officeDocument/2006/relationships/ctrlProp" Target="../ctrlProps/ctrlProp135.xml"/><Relationship Id="rId7" Type="http://schemas.openxmlformats.org/officeDocument/2006/relationships/ctrlProp" Target="../ctrlProps/ctrlProp95.xml"/><Relationship Id="rId2" Type="http://schemas.openxmlformats.org/officeDocument/2006/relationships/drawing" Target="../drawings/drawing6.xml"/><Relationship Id="rId16" Type="http://schemas.openxmlformats.org/officeDocument/2006/relationships/ctrlProp" Target="../ctrlProps/ctrlProp104.xml"/><Relationship Id="rId29" Type="http://schemas.openxmlformats.org/officeDocument/2006/relationships/ctrlProp" Target="../ctrlProps/ctrlProp117.xml"/><Relationship Id="rId1" Type="http://schemas.openxmlformats.org/officeDocument/2006/relationships/printerSettings" Target="../printerSettings/printerSettings11.bin"/><Relationship Id="rId6" Type="http://schemas.openxmlformats.org/officeDocument/2006/relationships/ctrlProp" Target="../ctrlProps/ctrlProp94.xml"/><Relationship Id="rId11" Type="http://schemas.openxmlformats.org/officeDocument/2006/relationships/ctrlProp" Target="../ctrlProps/ctrlProp99.xml"/><Relationship Id="rId24" Type="http://schemas.openxmlformats.org/officeDocument/2006/relationships/ctrlProp" Target="../ctrlProps/ctrlProp112.xml"/><Relationship Id="rId32" Type="http://schemas.openxmlformats.org/officeDocument/2006/relationships/ctrlProp" Target="../ctrlProps/ctrlProp120.xml"/><Relationship Id="rId37" Type="http://schemas.openxmlformats.org/officeDocument/2006/relationships/ctrlProp" Target="../ctrlProps/ctrlProp125.xml"/><Relationship Id="rId40" Type="http://schemas.openxmlformats.org/officeDocument/2006/relationships/ctrlProp" Target="../ctrlProps/ctrlProp128.xml"/><Relationship Id="rId45" Type="http://schemas.openxmlformats.org/officeDocument/2006/relationships/ctrlProp" Target="../ctrlProps/ctrlProp133.xml"/><Relationship Id="rId5" Type="http://schemas.openxmlformats.org/officeDocument/2006/relationships/ctrlProp" Target="../ctrlProps/ctrlProp93.xml"/><Relationship Id="rId15" Type="http://schemas.openxmlformats.org/officeDocument/2006/relationships/ctrlProp" Target="../ctrlProps/ctrlProp103.xml"/><Relationship Id="rId23" Type="http://schemas.openxmlformats.org/officeDocument/2006/relationships/ctrlProp" Target="../ctrlProps/ctrlProp111.xml"/><Relationship Id="rId28" Type="http://schemas.openxmlformats.org/officeDocument/2006/relationships/ctrlProp" Target="../ctrlProps/ctrlProp116.xml"/><Relationship Id="rId36" Type="http://schemas.openxmlformats.org/officeDocument/2006/relationships/ctrlProp" Target="../ctrlProps/ctrlProp124.xml"/><Relationship Id="rId10" Type="http://schemas.openxmlformats.org/officeDocument/2006/relationships/ctrlProp" Target="../ctrlProps/ctrlProp98.xml"/><Relationship Id="rId19" Type="http://schemas.openxmlformats.org/officeDocument/2006/relationships/ctrlProp" Target="../ctrlProps/ctrlProp107.xml"/><Relationship Id="rId31" Type="http://schemas.openxmlformats.org/officeDocument/2006/relationships/ctrlProp" Target="../ctrlProps/ctrlProp119.xml"/><Relationship Id="rId44" Type="http://schemas.openxmlformats.org/officeDocument/2006/relationships/ctrlProp" Target="../ctrlProps/ctrlProp132.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 Id="rId22" Type="http://schemas.openxmlformats.org/officeDocument/2006/relationships/ctrlProp" Target="../ctrlProps/ctrlProp110.xml"/><Relationship Id="rId27" Type="http://schemas.openxmlformats.org/officeDocument/2006/relationships/ctrlProp" Target="../ctrlProps/ctrlProp115.xml"/><Relationship Id="rId30" Type="http://schemas.openxmlformats.org/officeDocument/2006/relationships/ctrlProp" Target="../ctrlProps/ctrlProp118.xml"/><Relationship Id="rId35" Type="http://schemas.openxmlformats.org/officeDocument/2006/relationships/ctrlProp" Target="../ctrlProps/ctrlProp123.xml"/><Relationship Id="rId43" Type="http://schemas.openxmlformats.org/officeDocument/2006/relationships/ctrlProp" Target="../ctrlProps/ctrlProp131.xml"/><Relationship Id="rId8" Type="http://schemas.openxmlformats.org/officeDocument/2006/relationships/ctrlProp" Target="../ctrlProps/ctrlProp96.xml"/><Relationship Id="rId3" Type="http://schemas.openxmlformats.org/officeDocument/2006/relationships/vmlDrawing" Target="../drawings/vmlDrawing6.vml"/><Relationship Id="rId12" Type="http://schemas.openxmlformats.org/officeDocument/2006/relationships/ctrlProp" Target="../ctrlProps/ctrlProp100.xml"/><Relationship Id="rId17" Type="http://schemas.openxmlformats.org/officeDocument/2006/relationships/ctrlProp" Target="../ctrlProps/ctrlProp105.xml"/><Relationship Id="rId25" Type="http://schemas.openxmlformats.org/officeDocument/2006/relationships/ctrlProp" Target="../ctrlProps/ctrlProp113.xml"/><Relationship Id="rId33" Type="http://schemas.openxmlformats.org/officeDocument/2006/relationships/ctrlProp" Target="../ctrlProps/ctrlProp121.xml"/><Relationship Id="rId38" Type="http://schemas.openxmlformats.org/officeDocument/2006/relationships/ctrlProp" Target="../ctrlProps/ctrlProp126.xml"/><Relationship Id="rId46" Type="http://schemas.openxmlformats.org/officeDocument/2006/relationships/ctrlProp" Target="../ctrlProps/ctrlProp134.xml"/><Relationship Id="rId20" Type="http://schemas.openxmlformats.org/officeDocument/2006/relationships/ctrlProp" Target="../ctrlProps/ctrlProp108.xml"/><Relationship Id="rId41" Type="http://schemas.openxmlformats.org/officeDocument/2006/relationships/ctrlProp" Target="../ctrlProps/ctrlProp12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9.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8.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4.xml"/><Relationship Id="rId3" Type="http://schemas.openxmlformats.org/officeDocument/2006/relationships/vmlDrawing" Target="../drawings/vmlDrawing8.vml"/><Relationship Id="rId7" Type="http://schemas.openxmlformats.org/officeDocument/2006/relationships/ctrlProp" Target="../ctrlProps/ctrlProp143.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42.xml"/><Relationship Id="rId5" Type="http://schemas.openxmlformats.org/officeDocument/2006/relationships/ctrlProp" Target="../ctrlProps/ctrlProp141.xml"/><Relationship Id="rId10" Type="http://schemas.openxmlformats.org/officeDocument/2006/relationships/ctrlProp" Target="../ctrlProps/ctrlProp146.xml"/><Relationship Id="rId4" Type="http://schemas.openxmlformats.org/officeDocument/2006/relationships/ctrlProp" Target="../ctrlProps/ctrlProp140.xml"/><Relationship Id="rId9" Type="http://schemas.openxmlformats.org/officeDocument/2006/relationships/ctrlProp" Target="../ctrlProps/ctrlProp145.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3" Type="http://schemas.openxmlformats.org/officeDocument/2006/relationships/vmlDrawing" Target="../drawings/vmlDrawing9.vml"/><Relationship Id="rId7" Type="http://schemas.openxmlformats.org/officeDocument/2006/relationships/ctrlProp" Target="../ctrlProps/ctrlProp150.xml"/><Relationship Id="rId12" Type="http://schemas.openxmlformats.org/officeDocument/2006/relationships/ctrlProp" Target="../ctrlProps/ctrlProp155.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 Type="http://schemas.openxmlformats.org/officeDocument/2006/relationships/vmlDrawing" Target="../drawings/vmlDrawing10.vml"/><Relationship Id="rId21" Type="http://schemas.openxmlformats.org/officeDocument/2006/relationships/ctrlProp" Target="../ctrlProps/ctrlProp174.xml"/><Relationship Id="rId34" Type="http://schemas.openxmlformats.org/officeDocument/2006/relationships/ctrlProp" Target="../ctrlProps/ctrlProp187.xml"/><Relationship Id="rId7" Type="http://schemas.openxmlformats.org/officeDocument/2006/relationships/ctrlProp" Target="../ctrlProps/ctrlProp160.x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2" Type="http://schemas.openxmlformats.org/officeDocument/2006/relationships/drawing" Target="../drawings/drawing10.xml"/><Relationship Id="rId16" Type="http://schemas.openxmlformats.org/officeDocument/2006/relationships/ctrlProp" Target="../ctrlProps/ctrlProp169.xml"/><Relationship Id="rId20" Type="http://schemas.openxmlformats.org/officeDocument/2006/relationships/ctrlProp" Target="../ctrlProps/ctrlProp173.xml"/><Relationship Id="rId29"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59.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5" Type="http://schemas.openxmlformats.org/officeDocument/2006/relationships/ctrlProp" Target="../ctrlProps/ctrlProp158.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8" Type="http://schemas.openxmlformats.org/officeDocument/2006/relationships/ctrlProp" Target="../ctrlProps/ctrlProp161.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3" Type="http://schemas.openxmlformats.org/officeDocument/2006/relationships/vmlDrawing" Target="../drawings/vmlDrawing11.vml"/><Relationship Id="rId21" Type="http://schemas.openxmlformats.org/officeDocument/2006/relationships/ctrlProp" Target="../ctrlProps/ctrlProp206.xml"/><Relationship Id="rId34" Type="http://schemas.openxmlformats.org/officeDocument/2006/relationships/ctrlProp" Target="../ctrlProps/ctrlProp219.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33" Type="http://schemas.openxmlformats.org/officeDocument/2006/relationships/ctrlProp" Target="../ctrlProps/ctrlProp218.xml"/><Relationship Id="rId2" Type="http://schemas.openxmlformats.org/officeDocument/2006/relationships/drawing" Target="../drawings/drawing11.xml"/><Relationship Id="rId16" Type="http://schemas.openxmlformats.org/officeDocument/2006/relationships/ctrlProp" Target="../ctrlProps/ctrlProp201.xml"/><Relationship Id="rId20" Type="http://schemas.openxmlformats.org/officeDocument/2006/relationships/ctrlProp" Target="../ctrlProps/ctrlProp205.xml"/><Relationship Id="rId29" Type="http://schemas.openxmlformats.org/officeDocument/2006/relationships/ctrlProp" Target="../ctrlProps/ctrlProp214.xml"/><Relationship Id="rId1" Type="http://schemas.openxmlformats.org/officeDocument/2006/relationships/printerSettings" Target="../printerSettings/printerSettings16.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32" Type="http://schemas.openxmlformats.org/officeDocument/2006/relationships/ctrlProp" Target="../ctrlProps/ctrlProp217.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28" Type="http://schemas.openxmlformats.org/officeDocument/2006/relationships/ctrlProp" Target="../ctrlProps/ctrlProp213.xml"/><Relationship Id="rId10" Type="http://schemas.openxmlformats.org/officeDocument/2006/relationships/ctrlProp" Target="../ctrlProps/ctrlProp195.xml"/><Relationship Id="rId19" Type="http://schemas.openxmlformats.org/officeDocument/2006/relationships/ctrlProp" Target="../ctrlProps/ctrlProp204.xml"/><Relationship Id="rId31" Type="http://schemas.openxmlformats.org/officeDocument/2006/relationships/ctrlProp" Target="../ctrlProps/ctrlProp216.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 Id="rId30" Type="http://schemas.openxmlformats.org/officeDocument/2006/relationships/ctrlProp" Target="../ctrlProps/ctrlProp215.xml"/><Relationship Id="rId35" Type="http://schemas.openxmlformats.org/officeDocument/2006/relationships/ctrlProp" Target="../ctrlProps/ctrlProp220.xml"/><Relationship Id="rId8" Type="http://schemas.openxmlformats.org/officeDocument/2006/relationships/ctrlProp" Target="../ctrlProps/ctrlProp193.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0.xml"/><Relationship Id="rId18" Type="http://schemas.openxmlformats.org/officeDocument/2006/relationships/ctrlProp" Target="../ctrlProps/ctrlProp235.xml"/><Relationship Id="rId26" Type="http://schemas.openxmlformats.org/officeDocument/2006/relationships/ctrlProp" Target="../ctrlProps/ctrlProp243.xml"/><Relationship Id="rId3" Type="http://schemas.openxmlformats.org/officeDocument/2006/relationships/vmlDrawing" Target="../drawings/vmlDrawing12.vml"/><Relationship Id="rId21" Type="http://schemas.openxmlformats.org/officeDocument/2006/relationships/ctrlProp" Target="../ctrlProps/ctrlProp238.xml"/><Relationship Id="rId34" Type="http://schemas.openxmlformats.org/officeDocument/2006/relationships/ctrlProp" Target="../ctrlProps/ctrlProp251.xml"/><Relationship Id="rId7" Type="http://schemas.openxmlformats.org/officeDocument/2006/relationships/ctrlProp" Target="../ctrlProps/ctrlProp224.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2" Type="http://schemas.openxmlformats.org/officeDocument/2006/relationships/drawing" Target="../drawings/drawing12.xml"/><Relationship Id="rId16" Type="http://schemas.openxmlformats.org/officeDocument/2006/relationships/ctrlProp" Target="../ctrlProps/ctrlProp233.xml"/><Relationship Id="rId20" Type="http://schemas.openxmlformats.org/officeDocument/2006/relationships/ctrlProp" Target="../ctrlProps/ctrlProp237.xml"/><Relationship Id="rId29" Type="http://schemas.openxmlformats.org/officeDocument/2006/relationships/ctrlProp" Target="../ctrlProps/ctrlProp246.xml"/><Relationship Id="rId1" Type="http://schemas.openxmlformats.org/officeDocument/2006/relationships/printerSettings" Target="../printerSettings/printerSettings17.bin"/><Relationship Id="rId6" Type="http://schemas.openxmlformats.org/officeDocument/2006/relationships/ctrlProp" Target="../ctrlProps/ctrlProp223.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5" Type="http://schemas.openxmlformats.org/officeDocument/2006/relationships/ctrlProp" Target="../ctrlProps/ctrlProp222.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10" Type="http://schemas.openxmlformats.org/officeDocument/2006/relationships/ctrlProp" Target="../ctrlProps/ctrlProp227.xml"/><Relationship Id="rId19" Type="http://schemas.openxmlformats.org/officeDocument/2006/relationships/ctrlProp" Target="../ctrlProps/ctrlProp236.xml"/><Relationship Id="rId31" Type="http://schemas.openxmlformats.org/officeDocument/2006/relationships/ctrlProp" Target="../ctrlProps/ctrlProp248.xml"/><Relationship Id="rId4" Type="http://schemas.openxmlformats.org/officeDocument/2006/relationships/ctrlProp" Target="../ctrlProps/ctrlProp221.xml"/><Relationship Id="rId9" Type="http://schemas.openxmlformats.org/officeDocument/2006/relationships/ctrlProp" Target="../ctrlProps/ctrlProp22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8" Type="http://schemas.openxmlformats.org/officeDocument/2006/relationships/ctrlProp" Target="../ctrlProps/ctrlProp225.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62.xml"/><Relationship Id="rId18" Type="http://schemas.openxmlformats.org/officeDocument/2006/relationships/ctrlProp" Target="../ctrlProps/ctrlProp267.xml"/><Relationship Id="rId26" Type="http://schemas.openxmlformats.org/officeDocument/2006/relationships/ctrlProp" Target="../ctrlProps/ctrlProp275.xml"/><Relationship Id="rId3" Type="http://schemas.openxmlformats.org/officeDocument/2006/relationships/vmlDrawing" Target="../drawings/vmlDrawing13.vml"/><Relationship Id="rId21" Type="http://schemas.openxmlformats.org/officeDocument/2006/relationships/ctrlProp" Target="../ctrlProps/ctrlProp270.xml"/><Relationship Id="rId34" Type="http://schemas.openxmlformats.org/officeDocument/2006/relationships/ctrlProp" Target="../ctrlProps/ctrlProp283.xml"/><Relationship Id="rId7" Type="http://schemas.openxmlformats.org/officeDocument/2006/relationships/ctrlProp" Target="../ctrlProps/ctrlProp256.xml"/><Relationship Id="rId12" Type="http://schemas.openxmlformats.org/officeDocument/2006/relationships/ctrlProp" Target="../ctrlProps/ctrlProp261.xml"/><Relationship Id="rId17" Type="http://schemas.openxmlformats.org/officeDocument/2006/relationships/ctrlProp" Target="../ctrlProps/ctrlProp266.xml"/><Relationship Id="rId25" Type="http://schemas.openxmlformats.org/officeDocument/2006/relationships/ctrlProp" Target="../ctrlProps/ctrlProp274.xml"/><Relationship Id="rId33" Type="http://schemas.openxmlformats.org/officeDocument/2006/relationships/ctrlProp" Target="../ctrlProps/ctrlProp282.xml"/><Relationship Id="rId2" Type="http://schemas.openxmlformats.org/officeDocument/2006/relationships/drawing" Target="../drawings/drawing13.xml"/><Relationship Id="rId16" Type="http://schemas.openxmlformats.org/officeDocument/2006/relationships/ctrlProp" Target="../ctrlProps/ctrlProp265.xml"/><Relationship Id="rId20" Type="http://schemas.openxmlformats.org/officeDocument/2006/relationships/ctrlProp" Target="../ctrlProps/ctrlProp269.xml"/><Relationship Id="rId29" Type="http://schemas.openxmlformats.org/officeDocument/2006/relationships/ctrlProp" Target="../ctrlProps/ctrlProp278.xml"/><Relationship Id="rId1" Type="http://schemas.openxmlformats.org/officeDocument/2006/relationships/printerSettings" Target="../printerSettings/printerSettings18.bin"/><Relationship Id="rId6" Type="http://schemas.openxmlformats.org/officeDocument/2006/relationships/ctrlProp" Target="../ctrlProps/ctrlProp255.xml"/><Relationship Id="rId11" Type="http://schemas.openxmlformats.org/officeDocument/2006/relationships/ctrlProp" Target="../ctrlProps/ctrlProp260.xml"/><Relationship Id="rId24" Type="http://schemas.openxmlformats.org/officeDocument/2006/relationships/ctrlProp" Target="../ctrlProps/ctrlProp273.xml"/><Relationship Id="rId32" Type="http://schemas.openxmlformats.org/officeDocument/2006/relationships/ctrlProp" Target="../ctrlProps/ctrlProp281.xml"/><Relationship Id="rId5" Type="http://schemas.openxmlformats.org/officeDocument/2006/relationships/ctrlProp" Target="../ctrlProps/ctrlProp254.xml"/><Relationship Id="rId15" Type="http://schemas.openxmlformats.org/officeDocument/2006/relationships/ctrlProp" Target="../ctrlProps/ctrlProp264.xml"/><Relationship Id="rId23" Type="http://schemas.openxmlformats.org/officeDocument/2006/relationships/ctrlProp" Target="../ctrlProps/ctrlProp272.xml"/><Relationship Id="rId28" Type="http://schemas.openxmlformats.org/officeDocument/2006/relationships/ctrlProp" Target="../ctrlProps/ctrlProp277.xml"/><Relationship Id="rId10" Type="http://schemas.openxmlformats.org/officeDocument/2006/relationships/ctrlProp" Target="../ctrlProps/ctrlProp259.xml"/><Relationship Id="rId19" Type="http://schemas.openxmlformats.org/officeDocument/2006/relationships/ctrlProp" Target="../ctrlProps/ctrlProp268.xml"/><Relationship Id="rId31" Type="http://schemas.openxmlformats.org/officeDocument/2006/relationships/ctrlProp" Target="../ctrlProps/ctrlProp280.xml"/><Relationship Id="rId4" Type="http://schemas.openxmlformats.org/officeDocument/2006/relationships/ctrlProp" Target="../ctrlProps/ctrlProp253.xml"/><Relationship Id="rId9" Type="http://schemas.openxmlformats.org/officeDocument/2006/relationships/ctrlProp" Target="../ctrlProps/ctrlProp258.xml"/><Relationship Id="rId14" Type="http://schemas.openxmlformats.org/officeDocument/2006/relationships/ctrlProp" Target="../ctrlProps/ctrlProp263.xml"/><Relationship Id="rId22" Type="http://schemas.openxmlformats.org/officeDocument/2006/relationships/ctrlProp" Target="../ctrlProps/ctrlProp271.xml"/><Relationship Id="rId27" Type="http://schemas.openxmlformats.org/officeDocument/2006/relationships/ctrlProp" Target="../ctrlProps/ctrlProp276.xml"/><Relationship Id="rId30" Type="http://schemas.openxmlformats.org/officeDocument/2006/relationships/ctrlProp" Target="../ctrlProps/ctrlProp279.xml"/><Relationship Id="rId35" Type="http://schemas.openxmlformats.org/officeDocument/2006/relationships/ctrlProp" Target="../ctrlProps/ctrlProp284.xml"/><Relationship Id="rId8" Type="http://schemas.openxmlformats.org/officeDocument/2006/relationships/ctrlProp" Target="../ctrlProps/ctrlProp257.x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94.xml"/><Relationship Id="rId18" Type="http://schemas.openxmlformats.org/officeDocument/2006/relationships/ctrlProp" Target="../ctrlProps/ctrlProp299.xml"/><Relationship Id="rId26" Type="http://schemas.openxmlformats.org/officeDocument/2006/relationships/ctrlProp" Target="../ctrlProps/ctrlProp307.xml"/><Relationship Id="rId3" Type="http://schemas.openxmlformats.org/officeDocument/2006/relationships/vmlDrawing" Target="../drawings/vmlDrawing14.vml"/><Relationship Id="rId21" Type="http://schemas.openxmlformats.org/officeDocument/2006/relationships/ctrlProp" Target="../ctrlProps/ctrlProp302.xml"/><Relationship Id="rId34" Type="http://schemas.openxmlformats.org/officeDocument/2006/relationships/ctrlProp" Target="../ctrlProps/ctrlProp315.xml"/><Relationship Id="rId7" Type="http://schemas.openxmlformats.org/officeDocument/2006/relationships/ctrlProp" Target="../ctrlProps/ctrlProp288.xml"/><Relationship Id="rId12" Type="http://schemas.openxmlformats.org/officeDocument/2006/relationships/ctrlProp" Target="../ctrlProps/ctrlProp293.xml"/><Relationship Id="rId17" Type="http://schemas.openxmlformats.org/officeDocument/2006/relationships/ctrlProp" Target="../ctrlProps/ctrlProp298.xml"/><Relationship Id="rId25" Type="http://schemas.openxmlformats.org/officeDocument/2006/relationships/ctrlProp" Target="../ctrlProps/ctrlProp306.xml"/><Relationship Id="rId33" Type="http://schemas.openxmlformats.org/officeDocument/2006/relationships/ctrlProp" Target="../ctrlProps/ctrlProp314.xml"/><Relationship Id="rId2" Type="http://schemas.openxmlformats.org/officeDocument/2006/relationships/drawing" Target="../drawings/drawing14.xml"/><Relationship Id="rId16" Type="http://schemas.openxmlformats.org/officeDocument/2006/relationships/ctrlProp" Target="../ctrlProps/ctrlProp297.xml"/><Relationship Id="rId20" Type="http://schemas.openxmlformats.org/officeDocument/2006/relationships/ctrlProp" Target="../ctrlProps/ctrlProp301.xml"/><Relationship Id="rId29" Type="http://schemas.openxmlformats.org/officeDocument/2006/relationships/ctrlProp" Target="../ctrlProps/ctrlProp310.xml"/><Relationship Id="rId1" Type="http://schemas.openxmlformats.org/officeDocument/2006/relationships/printerSettings" Target="../printerSettings/printerSettings19.bin"/><Relationship Id="rId6" Type="http://schemas.openxmlformats.org/officeDocument/2006/relationships/ctrlProp" Target="../ctrlProps/ctrlProp287.xml"/><Relationship Id="rId11" Type="http://schemas.openxmlformats.org/officeDocument/2006/relationships/ctrlProp" Target="../ctrlProps/ctrlProp292.xml"/><Relationship Id="rId24" Type="http://schemas.openxmlformats.org/officeDocument/2006/relationships/ctrlProp" Target="../ctrlProps/ctrlProp305.xml"/><Relationship Id="rId32" Type="http://schemas.openxmlformats.org/officeDocument/2006/relationships/ctrlProp" Target="../ctrlProps/ctrlProp313.xml"/><Relationship Id="rId5" Type="http://schemas.openxmlformats.org/officeDocument/2006/relationships/ctrlProp" Target="../ctrlProps/ctrlProp286.xml"/><Relationship Id="rId15" Type="http://schemas.openxmlformats.org/officeDocument/2006/relationships/ctrlProp" Target="../ctrlProps/ctrlProp296.xml"/><Relationship Id="rId23" Type="http://schemas.openxmlformats.org/officeDocument/2006/relationships/ctrlProp" Target="../ctrlProps/ctrlProp304.xml"/><Relationship Id="rId28" Type="http://schemas.openxmlformats.org/officeDocument/2006/relationships/ctrlProp" Target="../ctrlProps/ctrlProp309.xml"/><Relationship Id="rId10" Type="http://schemas.openxmlformats.org/officeDocument/2006/relationships/ctrlProp" Target="../ctrlProps/ctrlProp291.xml"/><Relationship Id="rId19" Type="http://schemas.openxmlformats.org/officeDocument/2006/relationships/ctrlProp" Target="../ctrlProps/ctrlProp300.xml"/><Relationship Id="rId31" Type="http://schemas.openxmlformats.org/officeDocument/2006/relationships/ctrlProp" Target="../ctrlProps/ctrlProp312.xml"/><Relationship Id="rId4" Type="http://schemas.openxmlformats.org/officeDocument/2006/relationships/ctrlProp" Target="../ctrlProps/ctrlProp285.xml"/><Relationship Id="rId9" Type="http://schemas.openxmlformats.org/officeDocument/2006/relationships/ctrlProp" Target="../ctrlProps/ctrlProp290.xml"/><Relationship Id="rId14" Type="http://schemas.openxmlformats.org/officeDocument/2006/relationships/ctrlProp" Target="../ctrlProps/ctrlProp295.xml"/><Relationship Id="rId22" Type="http://schemas.openxmlformats.org/officeDocument/2006/relationships/ctrlProp" Target="../ctrlProps/ctrlProp303.xml"/><Relationship Id="rId27" Type="http://schemas.openxmlformats.org/officeDocument/2006/relationships/ctrlProp" Target="../ctrlProps/ctrlProp308.xml"/><Relationship Id="rId30" Type="http://schemas.openxmlformats.org/officeDocument/2006/relationships/ctrlProp" Target="../ctrlProps/ctrlProp311.xml"/><Relationship Id="rId35" Type="http://schemas.openxmlformats.org/officeDocument/2006/relationships/ctrlProp" Target="../ctrlProps/ctrlProp316.xml"/><Relationship Id="rId8" Type="http://schemas.openxmlformats.org/officeDocument/2006/relationships/ctrlProp" Target="../ctrlProps/ctrlProp289.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26.xml"/><Relationship Id="rId18" Type="http://schemas.openxmlformats.org/officeDocument/2006/relationships/ctrlProp" Target="../ctrlProps/ctrlProp331.xml"/><Relationship Id="rId26" Type="http://schemas.openxmlformats.org/officeDocument/2006/relationships/ctrlProp" Target="../ctrlProps/ctrlProp339.xml"/><Relationship Id="rId3" Type="http://schemas.openxmlformats.org/officeDocument/2006/relationships/vmlDrawing" Target="../drawings/vmlDrawing15.vml"/><Relationship Id="rId21" Type="http://schemas.openxmlformats.org/officeDocument/2006/relationships/ctrlProp" Target="../ctrlProps/ctrlProp334.xml"/><Relationship Id="rId34" Type="http://schemas.openxmlformats.org/officeDocument/2006/relationships/ctrlProp" Target="../ctrlProps/ctrlProp347.xml"/><Relationship Id="rId7" Type="http://schemas.openxmlformats.org/officeDocument/2006/relationships/ctrlProp" Target="../ctrlProps/ctrlProp320.xml"/><Relationship Id="rId12" Type="http://schemas.openxmlformats.org/officeDocument/2006/relationships/ctrlProp" Target="../ctrlProps/ctrlProp325.xml"/><Relationship Id="rId17" Type="http://schemas.openxmlformats.org/officeDocument/2006/relationships/ctrlProp" Target="../ctrlProps/ctrlProp330.xml"/><Relationship Id="rId25" Type="http://schemas.openxmlformats.org/officeDocument/2006/relationships/ctrlProp" Target="../ctrlProps/ctrlProp338.xml"/><Relationship Id="rId33" Type="http://schemas.openxmlformats.org/officeDocument/2006/relationships/ctrlProp" Target="../ctrlProps/ctrlProp346.xml"/><Relationship Id="rId2" Type="http://schemas.openxmlformats.org/officeDocument/2006/relationships/drawing" Target="../drawings/drawing15.xml"/><Relationship Id="rId16" Type="http://schemas.openxmlformats.org/officeDocument/2006/relationships/ctrlProp" Target="../ctrlProps/ctrlProp329.xml"/><Relationship Id="rId20" Type="http://schemas.openxmlformats.org/officeDocument/2006/relationships/ctrlProp" Target="../ctrlProps/ctrlProp333.xml"/><Relationship Id="rId29" Type="http://schemas.openxmlformats.org/officeDocument/2006/relationships/ctrlProp" Target="../ctrlProps/ctrlProp342.xml"/><Relationship Id="rId1" Type="http://schemas.openxmlformats.org/officeDocument/2006/relationships/printerSettings" Target="../printerSettings/printerSettings20.bin"/><Relationship Id="rId6" Type="http://schemas.openxmlformats.org/officeDocument/2006/relationships/ctrlProp" Target="../ctrlProps/ctrlProp319.xml"/><Relationship Id="rId11" Type="http://schemas.openxmlformats.org/officeDocument/2006/relationships/ctrlProp" Target="../ctrlProps/ctrlProp324.xml"/><Relationship Id="rId24" Type="http://schemas.openxmlformats.org/officeDocument/2006/relationships/ctrlProp" Target="../ctrlProps/ctrlProp337.xml"/><Relationship Id="rId32" Type="http://schemas.openxmlformats.org/officeDocument/2006/relationships/ctrlProp" Target="../ctrlProps/ctrlProp345.xml"/><Relationship Id="rId5" Type="http://schemas.openxmlformats.org/officeDocument/2006/relationships/ctrlProp" Target="../ctrlProps/ctrlProp318.xml"/><Relationship Id="rId15" Type="http://schemas.openxmlformats.org/officeDocument/2006/relationships/ctrlProp" Target="../ctrlProps/ctrlProp328.xml"/><Relationship Id="rId23" Type="http://schemas.openxmlformats.org/officeDocument/2006/relationships/ctrlProp" Target="../ctrlProps/ctrlProp336.xml"/><Relationship Id="rId28" Type="http://schemas.openxmlformats.org/officeDocument/2006/relationships/ctrlProp" Target="../ctrlProps/ctrlProp341.xml"/><Relationship Id="rId10" Type="http://schemas.openxmlformats.org/officeDocument/2006/relationships/ctrlProp" Target="../ctrlProps/ctrlProp323.xml"/><Relationship Id="rId19" Type="http://schemas.openxmlformats.org/officeDocument/2006/relationships/ctrlProp" Target="../ctrlProps/ctrlProp332.xml"/><Relationship Id="rId31" Type="http://schemas.openxmlformats.org/officeDocument/2006/relationships/ctrlProp" Target="../ctrlProps/ctrlProp344.xml"/><Relationship Id="rId4" Type="http://schemas.openxmlformats.org/officeDocument/2006/relationships/ctrlProp" Target="../ctrlProps/ctrlProp317.xml"/><Relationship Id="rId9" Type="http://schemas.openxmlformats.org/officeDocument/2006/relationships/ctrlProp" Target="../ctrlProps/ctrlProp322.xml"/><Relationship Id="rId14" Type="http://schemas.openxmlformats.org/officeDocument/2006/relationships/ctrlProp" Target="../ctrlProps/ctrlProp327.xml"/><Relationship Id="rId22" Type="http://schemas.openxmlformats.org/officeDocument/2006/relationships/ctrlProp" Target="../ctrlProps/ctrlProp335.xml"/><Relationship Id="rId27" Type="http://schemas.openxmlformats.org/officeDocument/2006/relationships/ctrlProp" Target="../ctrlProps/ctrlProp340.xml"/><Relationship Id="rId30" Type="http://schemas.openxmlformats.org/officeDocument/2006/relationships/ctrlProp" Target="../ctrlProps/ctrlProp343.xml"/><Relationship Id="rId35" Type="http://schemas.openxmlformats.org/officeDocument/2006/relationships/ctrlProp" Target="../ctrlProps/ctrlProp348.xml"/><Relationship Id="rId8" Type="http://schemas.openxmlformats.org/officeDocument/2006/relationships/ctrlProp" Target="../ctrlProps/ctrlProp321.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58.xml"/><Relationship Id="rId18" Type="http://schemas.openxmlformats.org/officeDocument/2006/relationships/ctrlProp" Target="../ctrlProps/ctrlProp363.xml"/><Relationship Id="rId26" Type="http://schemas.openxmlformats.org/officeDocument/2006/relationships/ctrlProp" Target="../ctrlProps/ctrlProp371.xml"/><Relationship Id="rId3" Type="http://schemas.openxmlformats.org/officeDocument/2006/relationships/vmlDrawing" Target="../drawings/vmlDrawing16.vml"/><Relationship Id="rId21" Type="http://schemas.openxmlformats.org/officeDocument/2006/relationships/ctrlProp" Target="../ctrlProps/ctrlProp366.xml"/><Relationship Id="rId34" Type="http://schemas.openxmlformats.org/officeDocument/2006/relationships/ctrlProp" Target="../ctrlProps/ctrlProp379.xml"/><Relationship Id="rId7" Type="http://schemas.openxmlformats.org/officeDocument/2006/relationships/ctrlProp" Target="../ctrlProps/ctrlProp352.xml"/><Relationship Id="rId12" Type="http://schemas.openxmlformats.org/officeDocument/2006/relationships/ctrlProp" Target="../ctrlProps/ctrlProp357.xml"/><Relationship Id="rId17" Type="http://schemas.openxmlformats.org/officeDocument/2006/relationships/ctrlProp" Target="../ctrlProps/ctrlProp362.xml"/><Relationship Id="rId25" Type="http://schemas.openxmlformats.org/officeDocument/2006/relationships/ctrlProp" Target="../ctrlProps/ctrlProp370.xml"/><Relationship Id="rId33" Type="http://schemas.openxmlformats.org/officeDocument/2006/relationships/ctrlProp" Target="../ctrlProps/ctrlProp378.xml"/><Relationship Id="rId2" Type="http://schemas.openxmlformats.org/officeDocument/2006/relationships/drawing" Target="../drawings/drawing16.xml"/><Relationship Id="rId16" Type="http://schemas.openxmlformats.org/officeDocument/2006/relationships/ctrlProp" Target="../ctrlProps/ctrlProp361.xml"/><Relationship Id="rId20" Type="http://schemas.openxmlformats.org/officeDocument/2006/relationships/ctrlProp" Target="../ctrlProps/ctrlProp365.xml"/><Relationship Id="rId29" Type="http://schemas.openxmlformats.org/officeDocument/2006/relationships/ctrlProp" Target="../ctrlProps/ctrlProp374.xml"/><Relationship Id="rId1" Type="http://schemas.openxmlformats.org/officeDocument/2006/relationships/printerSettings" Target="../printerSettings/printerSettings21.bin"/><Relationship Id="rId6" Type="http://schemas.openxmlformats.org/officeDocument/2006/relationships/ctrlProp" Target="../ctrlProps/ctrlProp351.xml"/><Relationship Id="rId11" Type="http://schemas.openxmlformats.org/officeDocument/2006/relationships/ctrlProp" Target="../ctrlProps/ctrlProp356.xml"/><Relationship Id="rId24" Type="http://schemas.openxmlformats.org/officeDocument/2006/relationships/ctrlProp" Target="../ctrlProps/ctrlProp369.xml"/><Relationship Id="rId32" Type="http://schemas.openxmlformats.org/officeDocument/2006/relationships/ctrlProp" Target="../ctrlProps/ctrlProp377.xml"/><Relationship Id="rId5" Type="http://schemas.openxmlformats.org/officeDocument/2006/relationships/ctrlProp" Target="../ctrlProps/ctrlProp350.xml"/><Relationship Id="rId15" Type="http://schemas.openxmlformats.org/officeDocument/2006/relationships/ctrlProp" Target="../ctrlProps/ctrlProp360.xml"/><Relationship Id="rId23" Type="http://schemas.openxmlformats.org/officeDocument/2006/relationships/ctrlProp" Target="../ctrlProps/ctrlProp368.xml"/><Relationship Id="rId28" Type="http://schemas.openxmlformats.org/officeDocument/2006/relationships/ctrlProp" Target="../ctrlProps/ctrlProp373.xml"/><Relationship Id="rId10" Type="http://schemas.openxmlformats.org/officeDocument/2006/relationships/ctrlProp" Target="../ctrlProps/ctrlProp355.xml"/><Relationship Id="rId19" Type="http://schemas.openxmlformats.org/officeDocument/2006/relationships/ctrlProp" Target="../ctrlProps/ctrlProp364.xml"/><Relationship Id="rId31" Type="http://schemas.openxmlformats.org/officeDocument/2006/relationships/ctrlProp" Target="../ctrlProps/ctrlProp376.xml"/><Relationship Id="rId4" Type="http://schemas.openxmlformats.org/officeDocument/2006/relationships/ctrlProp" Target="../ctrlProps/ctrlProp349.xml"/><Relationship Id="rId9" Type="http://schemas.openxmlformats.org/officeDocument/2006/relationships/ctrlProp" Target="../ctrlProps/ctrlProp354.xml"/><Relationship Id="rId14" Type="http://schemas.openxmlformats.org/officeDocument/2006/relationships/ctrlProp" Target="../ctrlProps/ctrlProp359.xml"/><Relationship Id="rId22" Type="http://schemas.openxmlformats.org/officeDocument/2006/relationships/ctrlProp" Target="../ctrlProps/ctrlProp367.xml"/><Relationship Id="rId27" Type="http://schemas.openxmlformats.org/officeDocument/2006/relationships/ctrlProp" Target="../ctrlProps/ctrlProp372.xml"/><Relationship Id="rId30" Type="http://schemas.openxmlformats.org/officeDocument/2006/relationships/ctrlProp" Target="../ctrlProps/ctrlProp375.xml"/><Relationship Id="rId35" Type="http://schemas.openxmlformats.org/officeDocument/2006/relationships/ctrlProp" Target="../ctrlProps/ctrlProp380.xml"/><Relationship Id="rId8" Type="http://schemas.openxmlformats.org/officeDocument/2006/relationships/ctrlProp" Target="../ctrlProps/ctrlProp353.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90.xml"/><Relationship Id="rId18" Type="http://schemas.openxmlformats.org/officeDocument/2006/relationships/ctrlProp" Target="../ctrlProps/ctrlProp395.xml"/><Relationship Id="rId26" Type="http://schemas.openxmlformats.org/officeDocument/2006/relationships/ctrlProp" Target="../ctrlProps/ctrlProp403.xml"/><Relationship Id="rId3" Type="http://schemas.openxmlformats.org/officeDocument/2006/relationships/vmlDrawing" Target="../drawings/vmlDrawing17.vml"/><Relationship Id="rId21" Type="http://schemas.openxmlformats.org/officeDocument/2006/relationships/ctrlProp" Target="../ctrlProps/ctrlProp398.xml"/><Relationship Id="rId34" Type="http://schemas.openxmlformats.org/officeDocument/2006/relationships/ctrlProp" Target="../ctrlProps/ctrlProp411.xml"/><Relationship Id="rId7" Type="http://schemas.openxmlformats.org/officeDocument/2006/relationships/ctrlProp" Target="../ctrlProps/ctrlProp384.xml"/><Relationship Id="rId12" Type="http://schemas.openxmlformats.org/officeDocument/2006/relationships/ctrlProp" Target="../ctrlProps/ctrlProp389.xml"/><Relationship Id="rId17" Type="http://schemas.openxmlformats.org/officeDocument/2006/relationships/ctrlProp" Target="../ctrlProps/ctrlProp394.xml"/><Relationship Id="rId25" Type="http://schemas.openxmlformats.org/officeDocument/2006/relationships/ctrlProp" Target="../ctrlProps/ctrlProp402.xml"/><Relationship Id="rId33" Type="http://schemas.openxmlformats.org/officeDocument/2006/relationships/ctrlProp" Target="../ctrlProps/ctrlProp410.xml"/><Relationship Id="rId2" Type="http://schemas.openxmlformats.org/officeDocument/2006/relationships/drawing" Target="../drawings/drawing17.xml"/><Relationship Id="rId16" Type="http://schemas.openxmlformats.org/officeDocument/2006/relationships/ctrlProp" Target="../ctrlProps/ctrlProp393.xml"/><Relationship Id="rId20" Type="http://schemas.openxmlformats.org/officeDocument/2006/relationships/ctrlProp" Target="../ctrlProps/ctrlProp397.xml"/><Relationship Id="rId29" Type="http://schemas.openxmlformats.org/officeDocument/2006/relationships/ctrlProp" Target="../ctrlProps/ctrlProp406.xml"/><Relationship Id="rId1" Type="http://schemas.openxmlformats.org/officeDocument/2006/relationships/printerSettings" Target="../printerSettings/printerSettings22.bin"/><Relationship Id="rId6" Type="http://schemas.openxmlformats.org/officeDocument/2006/relationships/ctrlProp" Target="../ctrlProps/ctrlProp383.xml"/><Relationship Id="rId11" Type="http://schemas.openxmlformats.org/officeDocument/2006/relationships/ctrlProp" Target="../ctrlProps/ctrlProp388.xml"/><Relationship Id="rId24" Type="http://schemas.openxmlformats.org/officeDocument/2006/relationships/ctrlProp" Target="../ctrlProps/ctrlProp401.xml"/><Relationship Id="rId32" Type="http://schemas.openxmlformats.org/officeDocument/2006/relationships/ctrlProp" Target="../ctrlProps/ctrlProp409.xml"/><Relationship Id="rId5" Type="http://schemas.openxmlformats.org/officeDocument/2006/relationships/ctrlProp" Target="../ctrlProps/ctrlProp382.xml"/><Relationship Id="rId15" Type="http://schemas.openxmlformats.org/officeDocument/2006/relationships/ctrlProp" Target="../ctrlProps/ctrlProp392.xml"/><Relationship Id="rId23" Type="http://schemas.openxmlformats.org/officeDocument/2006/relationships/ctrlProp" Target="../ctrlProps/ctrlProp400.xml"/><Relationship Id="rId28" Type="http://schemas.openxmlformats.org/officeDocument/2006/relationships/ctrlProp" Target="../ctrlProps/ctrlProp405.xml"/><Relationship Id="rId10" Type="http://schemas.openxmlformats.org/officeDocument/2006/relationships/ctrlProp" Target="../ctrlProps/ctrlProp387.xml"/><Relationship Id="rId19" Type="http://schemas.openxmlformats.org/officeDocument/2006/relationships/ctrlProp" Target="../ctrlProps/ctrlProp396.xml"/><Relationship Id="rId31" Type="http://schemas.openxmlformats.org/officeDocument/2006/relationships/ctrlProp" Target="../ctrlProps/ctrlProp408.xml"/><Relationship Id="rId4" Type="http://schemas.openxmlformats.org/officeDocument/2006/relationships/ctrlProp" Target="../ctrlProps/ctrlProp381.xml"/><Relationship Id="rId9" Type="http://schemas.openxmlformats.org/officeDocument/2006/relationships/ctrlProp" Target="../ctrlProps/ctrlProp386.xml"/><Relationship Id="rId14" Type="http://schemas.openxmlformats.org/officeDocument/2006/relationships/ctrlProp" Target="../ctrlProps/ctrlProp391.xml"/><Relationship Id="rId22" Type="http://schemas.openxmlformats.org/officeDocument/2006/relationships/ctrlProp" Target="../ctrlProps/ctrlProp399.xml"/><Relationship Id="rId27" Type="http://schemas.openxmlformats.org/officeDocument/2006/relationships/ctrlProp" Target="../ctrlProps/ctrlProp404.xml"/><Relationship Id="rId30" Type="http://schemas.openxmlformats.org/officeDocument/2006/relationships/ctrlProp" Target="../ctrlProps/ctrlProp407.xml"/><Relationship Id="rId35" Type="http://schemas.openxmlformats.org/officeDocument/2006/relationships/ctrlProp" Target="../ctrlProps/ctrlProp412.xml"/><Relationship Id="rId8" Type="http://schemas.openxmlformats.org/officeDocument/2006/relationships/ctrlProp" Target="../ctrlProps/ctrlProp385.x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22.xml"/><Relationship Id="rId18" Type="http://schemas.openxmlformats.org/officeDocument/2006/relationships/ctrlProp" Target="../ctrlProps/ctrlProp427.xml"/><Relationship Id="rId26" Type="http://schemas.openxmlformats.org/officeDocument/2006/relationships/ctrlProp" Target="../ctrlProps/ctrlProp435.xml"/><Relationship Id="rId3" Type="http://schemas.openxmlformats.org/officeDocument/2006/relationships/vmlDrawing" Target="../drawings/vmlDrawing18.vml"/><Relationship Id="rId21" Type="http://schemas.openxmlformats.org/officeDocument/2006/relationships/ctrlProp" Target="../ctrlProps/ctrlProp430.xml"/><Relationship Id="rId34" Type="http://schemas.openxmlformats.org/officeDocument/2006/relationships/ctrlProp" Target="../ctrlProps/ctrlProp443.xml"/><Relationship Id="rId7" Type="http://schemas.openxmlformats.org/officeDocument/2006/relationships/ctrlProp" Target="../ctrlProps/ctrlProp416.xml"/><Relationship Id="rId12" Type="http://schemas.openxmlformats.org/officeDocument/2006/relationships/ctrlProp" Target="../ctrlProps/ctrlProp421.xml"/><Relationship Id="rId17" Type="http://schemas.openxmlformats.org/officeDocument/2006/relationships/ctrlProp" Target="../ctrlProps/ctrlProp426.xml"/><Relationship Id="rId25" Type="http://schemas.openxmlformats.org/officeDocument/2006/relationships/ctrlProp" Target="../ctrlProps/ctrlProp434.xml"/><Relationship Id="rId33" Type="http://schemas.openxmlformats.org/officeDocument/2006/relationships/ctrlProp" Target="../ctrlProps/ctrlProp442.xml"/><Relationship Id="rId2" Type="http://schemas.openxmlformats.org/officeDocument/2006/relationships/drawing" Target="../drawings/drawing18.xml"/><Relationship Id="rId16" Type="http://schemas.openxmlformats.org/officeDocument/2006/relationships/ctrlProp" Target="../ctrlProps/ctrlProp425.xml"/><Relationship Id="rId20" Type="http://schemas.openxmlformats.org/officeDocument/2006/relationships/ctrlProp" Target="../ctrlProps/ctrlProp429.xml"/><Relationship Id="rId29" Type="http://schemas.openxmlformats.org/officeDocument/2006/relationships/ctrlProp" Target="../ctrlProps/ctrlProp438.xml"/><Relationship Id="rId1" Type="http://schemas.openxmlformats.org/officeDocument/2006/relationships/printerSettings" Target="../printerSettings/printerSettings23.bin"/><Relationship Id="rId6" Type="http://schemas.openxmlformats.org/officeDocument/2006/relationships/ctrlProp" Target="../ctrlProps/ctrlProp415.xml"/><Relationship Id="rId11" Type="http://schemas.openxmlformats.org/officeDocument/2006/relationships/ctrlProp" Target="../ctrlProps/ctrlProp420.xml"/><Relationship Id="rId24" Type="http://schemas.openxmlformats.org/officeDocument/2006/relationships/ctrlProp" Target="../ctrlProps/ctrlProp433.xml"/><Relationship Id="rId32" Type="http://schemas.openxmlformats.org/officeDocument/2006/relationships/ctrlProp" Target="../ctrlProps/ctrlProp441.xml"/><Relationship Id="rId5" Type="http://schemas.openxmlformats.org/officeDocument/2006/relationships/ctrlProp" Target="../ctrlProps/ctrlProp414.xml"/><Relationship Id="rId15" Type="http://schemas.openxmlformats.org/officeDocument/2006/relationships/ctrlProp" Target="../ctrlProps/ctrlProp424.xml"/><Relationship Id="rId23" Type="http://schemas.openxmlformats.org/officeDocument/2006/relationships/ctrlProp" Target="../ctrlProps/ctrlProp432.xml"/><Relationship Id="rId28" Type="http://schemas.openxmlformats.org/officeDocument/2006/relationships/ctrlProp" Target="../ctrlProps/ctrlProp437.xml"/><Relationship Id="rId10" Type="http://schemas.openxmlformats.org/officeDocument/2006/relationships/ctrlProp" Target="../ctrlProps/ctrlProp419.xml"/><Relationship Id="rId19" Type="http://schemas.openxmlformats.org/officeDocument/2006/relationships/ctrlProp" Target="../ctrlProps/ctrlProp428.xml"/><Relationship Id="rId31" Type="http://schemas.openxmlformats.org/officeDocument/2006/relationships/ctrlProp" Target="../ctrlProps/ctrlProp440.xml"/><Relationship Id="rId4" Type="http://schemas.openxmlformats.org/officeDocument/2006/relationships/ctrlProp" Target="../ctrlProps/ctrlProp413.xml"/><Relationship Id="rId9" Type="http://schemas.openxmlformats.org/officeDocument/2006/relationships/ctrlProp" Target="../ctrlProps/ctrlProp418.xml"/><Relationship Id="rId14" Type="http://schemas.openxmlformats.org/officeDocument/2006/relationships/ctrlProp" Target="../ctrlProps/ctrlProp423.xml"/><Relationship Id="rId22" Type="http://schemas.openxmlformats.org/officeDocument/2006/relationships/ctrlProp" Target="../ctrlProps/ctrlProp431.xml"/><Relationship Id="rId27" Type="http://schemas.openxmlformats.org/officeDocument/2006/relationships/ctrlProp" Target="../ctrlProps/ctrlProp436.xml"/><Relationship Id="rId30" Type="http://schemas.openxmlformats.org/officeDocument/2006/relationships/ctrlProp" Target="../ctrlProps/ctrlProp439.xml"/><Relationship Id="rId35" Type="http://schemas.openxmlformats.org/officeDocument/2006/relationships/ctrlProp" Target="../ctrlProps/ctrlProp444.xml"/><Relationship Id="rId8" Type="http://schemas.openxmlformats.org/officeDocument/2006/relationships/ctrlProp" Target="../ctrlProps/ctrlProp417.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54.xml"/><Relationship Id="rId18" Type="http://schemas.openxmlformats.org/officeDocument/2006/relationships/ctrlProp" Target="../ctrlProps/ctrlProp459.xml"/><Relationship Id="rId26" Type="http://schemas.openxmlformats.org/officeDocument/2006/relationships/ctrlProp" Target="../ctrlProps/ctrlProp467.xml"/><Relationship Id="rId3" Type="http://schemas.openxmlformats.org/officeDocument/2006/relationships/vmlDrawing" Target="../drawings/vmlDrawing19.vml"/><Relationship Id="rId21" Type="http://schemas.openxmlformats.org/officeDocument/2006/relationships/ctrlProp" Target="../ctrlProps/ctrlProp462.xml"/><Relationship Id="rId34" Type="http://schemas.openxmlformats.org/officeDocument/2006/relationships/ctrlProp" Target="../ctrlProps/ctrlProp475.xml"/><Relationship Id="rId7" Type="http://schemas.openxmlformats.org/officeDocument/2006/relationships/ctrlProp" Target="../ctrlProps/ctrlProp448.xml"/><Relationship Id="rId12" Type="http://schemas.openxmlformats.org/officeDocument/2006/relationships/ctrlProp" Target="../ctrlProps/ctrlProp453.xml"/><Relationship Id="rId17" Type="http://schemas.openxmlformats.org/officeDocument/2006/relationships/ctrlProp" Target="../ctrlProps/ctrlProp458.xml"/><Relationship Id="rId25" Type="http://schemas.openxmlformats.org/officeDocument/2006/relationships/ctrlProp" Target="../ctrlProps/ctrlProp466.xml"/><Relationship Id="rId33" Type="http://schemas.openxmlformats.org/officeDocument/2006/relationships/ctrlProp" Target="../ctrlProps/ctrlProp474.xml"/><Relationship Id="rId2" Type="http://schemas.openxmlformats.org/officeDocument/2006/relationships/drawing" Target="../drawings/drawing19.xml"/><Relationship Id="rId16" Type="http://schemas.openxmlformats.org/officeDocument/2006/relationships/ctrlProp" Target="../ctrlProps/ctrlProp457.xml"/><Relationship Id="rId20" Type="http://schemas.openxmlformats.org/officeDocument/2006/relationships/ctrlProp" Target="../ctrlProps/ctrlProp461.xml"/><Relationship Id="rId29" Type="http://schemas.openxmlformats.org/officeDocument/2006/relationships/ctrlProp" Target="../ctrlProps/ctrlProp470.xml"/><Relationship Id="rId1" Type="http://schemas.openxmlformats.org/officeDocument/2006/relationships/printerSettings" Target="../printerSettings/printerSettings24.bin"/><Relationship Id="rId6" Type="http://schemas.openxmlformats.org/officeDocument/2006/relationships/ctrlProp" Target="../ctrlProps/ctrlProp447.xml"/><Relationship Id="rId11" Type="http://schemas.openxmlformats.org/officeDocument/2006/relationships/ctrlProp" Target="../ctrlProps/ctrlProp452.xml"/><Relationship Id="rId24" Type="http://schemas.openxmlformats.org/officeDocument/2006/relationships/ctrlProp" Target="../ctrlProps/ctrlProp465.xml"/><Relationship Id="rId32" Type="http://schemas.openxmlformats.org/officeDocument/2006/relationships/ctrlProp" Target="../ctrlProps/ctrlProp473.xml"/><Relationship Id="rId5" Type="http://schemas.openxmlformats.org/officeDocument/2006/relationships/ctrlProp" Target="../ctrlProps/ctrlProp446.xml"/><Relationship Id="rId15" Type="http://schemas.openxmlformats.org/officeDocument/2006/relationships/ctrlProp" Target="../ctrlProps/ctrlProp456.xml"/><Relationship Id="rId23" Type="http://schemas.openxmlformats.org/officeDocument/2006/relationships/ctrlProp" Target="../ctrlProps/ctrlProp464.xml"/><Relationship Id="rId28" Type="http://schemas.openxmlformats.org/officeDocument/2006/relationships/ctrlProp" Target="../ctrlProps/ctrlProp469.xml"/><Relationship Id="rId10" Type="http://schemas.openxmlformats.org/officeDocument/2006/relationships/ctrlProp" Target="../ctrlProps/ctrlProp451.xml"/><Relationship Id="rId19" Type="http://schemas.openxmlformats.org/officeDocument/2006/relationships/ctrlProp" Target="../ctrlProps/ctrlProp460.xml"/><Relationship Id="rId31" Type="http://schemas.openxmlformats.org/officeDocument/2006/relationships/ctrlProp" Target="../ctrlProps/ctrlProp472.xml"/><Relationship Id="rId4" Type="http://schemas.openxmlformats.org/officeDocument/2006/relationships/ctrlProp" Target="../ctrlProps/ctrlProp445.xml"/><Relationship Id="rId9" Type="http://schemas.openxmlformats.org/officeDocument/2006/relationships/ctrlProp" Target="../ctrlProps/ctrlProp450.xml"/><Relationship Id="rId14" Type="http://schemas.openxmlformats.org/officeDocument/2006/relationships/ctrlProp" Target="../ctrlProps/ctrlProp455.xml"/><Relationship Id="rId22" Type="http://schemas.openxmlformats.org/officeDocument/2006/relationships/ctrlProp" Target="../ctrlProps/ctrlProp463.xml"/><Relationship Id="rId27" Type="http://schemas.openxmlformats.org/officeDocument/2006/relationships/ctrlProp" Target="../ctrlProps/ctrlProp468.xml"/><Relationship Id="rId30" Type="http://schemas.openxmlformats.org/officeDocument/2006/relationships/ctrlProp" Target="../ctrlProps/ctrlProp471.xml"/><Relationship Id="rId35" Type="http://schemas.openxmlformats.org/officeDocument/2006/relationships/ctrlProp" Target="../ctrlProps/ctrlProp476.xml"/><Relationship Id="rId8" Type="http://schemas.openxmlformats.org/officeDocument/2006/relationships/ctrlProp" Target="../ctrlProps/ctrlProp449.x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486.xml"/><Relationship Id="rId18" Type="http://schemas.openxmlformats.org/officeDocument/2006/relationships/ctrlProp" Target="../ctrlProps/ctrlProp491.xml"/><Relationship Id="rId26" Type="http://schemas.openxmlformats.org/officeDocument/2006/relationships/ctrlProp" Target="../ctrlProps/ctrlProp499.xml"/><Relationship Id="rId3" Type="http://schemas.openxmlformats.org/officeDocument/2006/relationships/vmlDrawing" Target="../drawings/vmlDrawing20.vml"/><Relationship Id="rId21" Type="http://schemas.openxmlformats.org/officeDocument/2006/relationships/ctrlProp" Target="../ctrlProps/ctrlProp494.xml"/><Relationship Id="rId34" Type="http://schemas.openxmlformats.org/officeDocument/2006/relationships/ctrlProp" Target="../ctrlProps/ctrlProp507.xml"/><Relationship Id="rId7" Type="http://schemas.openxmlformats.org/officeDocument/2006/relationships/ctrlProp" Target="../ctrlProps/ctrlProp480.xml"/><Relationship Id="rId12" Type="http://schemas.openxmlformats.org/officeDocument/2006/relationships/ctrlProp" Target="../ctrlProps/ctrlProp485.xml"/><Relationship Id="rId17" Type="http://schemas.openxmlformats.org/officeDocument/2006/relationships/ctrlProp" Target="../ctrlProps/ctrlProp490.xml"/><Relationship Id="rId25" Type="http://schemas.openxmlformats.org/officeDocument/2006/relationships/ctrlProp" Target="../ctrlProps/ctrlProp498.xml"/><Relationship Id="rId33" Type="http://schemas.openxmlformats.org/officeDocument/2006/relationships/ctrlProp" Target="../ctrlProps/ctrlProp506.xml"/><Relationship Id="rId2" Type="http://schemas.openxmlformats.org/officeDocument/2006/relationships/drawing" Target="../drawings/drawing20.xml"/><Relationship Id="rId16" Type="http://schemas.openxmlformats.org/officeDocument/2006/relationships/ctrlProp" Target="../ctrlProps/ctrlProp489.xml"/><Relationship Id="rId20" Type="http://schemas.openxmlformats.org/officeDocument/2006/relationships/ctrlProp" Target="../ctrlProps/ctrlProp493.xml"/><Relationship Id="rId29" Type="http://schemas.openxmlformats.org/officeDocument/2006/relationships/ctrlProp" Target="../ctrlProps/ctrlProp502.xml"/><Relationship Id="rId1" Type="http://schemas.openxmlformats.org/officeDocument/2006/relationships/printerSettings" Target="../printerSettings/printerSettings25.bin"/><Relationship Id="rId6" Type="http://schemas.openxmlformats.org/officeDocument/2006/relationships/ctrlProp" Target="../ctrlProps/ctrlProp479.xml"/><Relationship Id="rId11" Type="http://schemas.openxmlformats.org/officeDocument/2006/relationships/ctrlProp" Target="../ctrlProps/ctrlProp484.xml"/><Relationship Id="rId24" Type="http://schemas.openxmlformats.org/officeDocument/2006/relationships/ctrlProp" Target="../ctrlProps/ctrlProp497.xml"/><Relationship Id="rId32" Type="http://schemas.openxmlformats.org/officeDocument/2006/relationships/ctrlProp" Target="../ctrlProps/ctrlProp505.xml"/><Relationship Id="rId5" Type="http://schemas.openxmlformats.org/officeDocument/2006/relationships/ctrlProp" Target="../ctrlProps/ctrlProp478.xml"/><Relationship Id="rId15" Type="http://schemas.openxmlformats.org/officeDocument/2006/relationships/ctrlProp" Target="../ctrlProps/ctrlProp488.xml"/><Relationship Id="rId23" Type="http://schemas.openxmlformats.org/officeDocument/2006/relationships/ctrlProp" Target="../ctrlProps/ctrlProp496.xml"/><Relationship Id="rId28" Type="http://schemas.openxmlformats.org/officeDocument/2006/relationships/ctrlProp" Target="../ctrlProps/ctrlProp501.xml"/><Relationship Id="rId10" Type="http://schemas.openxmlformats.org/officeDocument/2006/relationships/ctrlProp" Target="../ctrlProps/ctrlProp483.xml"/><Relationship Id="rId19" Type="http://schemas.openxmlformats.org/officeDocument/2006/relationships/ctrlProp" Target="../ctrlProps/ctrlProp492.xml"/><Relationship Id="rId31" Type="http://schemas.openxmlformats.org/officeDocument/2006/relationships/ctrlProp" Target="../ctrlProps/ctrlProp504.xml"/><Relationship Id="rId4" Type="http://schemas.openxmlformats.org/officeDocument/2006/relationships/ctrlProp" Target="../ctrlProps/ctrlProp477.xml"/><Relationship Id="rId9" Type="http://schemas.openxmlformats.org/officeDocument/2006/relationships/ctrlProp" Target="../ctrlProps/ctrlProp482.xml"/><Relationship Id="rId14" Type="http://schemas.openxmlformats.org/officeDocument/2006/relationships/ctrlProp" Target="../ctrlProps/ctrlProp487.xml"/><Relationship Id="rId22" Type="http://schemas.openxmlformats.org/officeDocument/2006/relationships/ctrlProp" Target="../ctrlProps/ctrlProp495.xml"/><Relationship Id="rId27" Type="http://schemas.openxmlformats.org/officeDocument/2006/relationships/ctrlProp" Target="../ctrlProps/ctrlProp500.xml"/><Relationship Id="rId30" Type="http://schemas.openxmlformats.org/officeDocument/2006/relationships/ctrlProp" Target="../ctrlProps/ctrlProp503.xml"/><Relationship Id="rId35" Type="http://schemas.openxmlformats.org/officeDocument/2006/relationships/ctrlProp" Target="../ctrlProps/ctrlProp508.xml"/><Relationship Id="rId8" Type="http://schemas.openxmlformats.org/officeDocument/2006/relationships/ctrlProp" Target="../ctrlProps/ctrlProp481.x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18.xml"/><Relationship Id="rId18" Type="http://schemas.openxmlformats.org/officeDocument/2006/relationships/ctrlProp" Target="../ctrlProps/ctrlProp523.xml"/><Relationship Id="rId26" Type="http://schemas.openxmlformats.org/officeDocument/2006/relationships/ctrlProp" Target="../ctrlProps/ctrlProp531.xml"/><Relationship Id="rId3" Type="http://schemas.openxmlformats.org/officeDocument/2006/relationships/vmlDrawing" Target="../drawings/vmlDrawing21.vml"/><Relationship Id="rId21" Type="http://schemas.openxmlformats.org/officeDocument/2006/relationships/ctrlProp" Target="../ctrlProps/ctrlProp526.xml"/><Relationship Id="rId34" Type="http://schemas.openxmlformats.org/officeDocument/2006/relationships/ctrlProp" Target="../ctrlProps/ctrlProp539.xml"/><Relationship Id="rId7" Type="http://schemas.openxmlformats.org/officeDocument/2006/relationships/ctrlProp" Target="../ctrlProps/ctrlProp512.xml"/><Relationship Id="rId12" Type="http://schemas.openxmlformats.org/officeDocument/2006/relationships/ctrlProp" Target="../ctrlProps/ctrlProp517.xml"/><Relationship Id="rId17" Type="http://schemas.openxmlformats.org/officeDocument/2006/relationships/ctrlProp" Target="../ctrlProps/ctrlProp522.xml"/><Relationship Id="rId25" Type="http://schemas.openxmlformats.org/officeDocument/2006/relationships/ctrlProp" Target="../ctrlProps/ctrlProp530.xml"/><Relationship Id="rId33" Type="http://schemas.openxmlformats.org/officeDocument/2006/relationships/ctrlProp" Target="../ctrlProps/ctrlProp538.xml"/><Relationship Id="rId2" Type="http://schemas.openxmlformats.org/officeDocument/2006/relationships/drawing" Target="../drawings/drawing21.xml"/><Relationship Id="rId16" Type="http://schemas.openxmlformats.org/officeDocument/2006/relationships/ctrlProp" Target="../ctrlProps/ctrlProp521.xml"/><Relationship Id="rId20" Type="http://schemas.openxmlformats.org/officeDocument/2006/relationships/ctrlProp" Target="../ctrlProps/ctrlProp525.xml"/><Relationship Id="rId29" Type="http://schemas.openxmlformats.org/officeDocument/2006/relationships/ctrlProp" Target="../ctrlProps/ctrlProp534.xml"/><Relationship Id="rId1" Type="http://schemas.openxmlformats.org/officeDocument/2006/relationships/printerSettings" Target="../printerSettings/printerSettings26.bin"/><Relationship Id="rId6" Type="http://schemas.openxmlformats.org/officeDocument/2006/relationships/ctrlProp" Target="../ctrlProps/ctrlProp511.xml"/><Relationship Id="rId11" Type="http://schemas.openxmlformats.org/officeDocument/2006/relationships/ctrlProp" Target="../ctrlProps/ctrlProp516.xml"/><Relationship Id="rId24" Type="http://schemas.openxmlformats.org/officeDocument/2006/relationships/ctrlProp" Target="../ctrlProps/ctrlProp529.xml"/><Relationship Id="rId32" Type="http://schemas.openxmlformats.org/officeDocument/2006/relationships/ctrlProp" Target="../ctrlProps/ctrlProp537.xml"/><Relationship Id="rId5" Type="http://schemas.openxmlformats.org/officeDocument/2006/relationships/ctrlProp" Target="../ctrlProps/ctrlProp510.xml"/><Relationship Id="rId15" Type="http://schemas.openxmlformats.org/officeDocument/2006/relationships/ctrlProp" Target="../ctrlProps/ctrlProp520.xml"/><Relationship Id="rId23" Type="http://schemas.openxmlformats.org/officeDocument/2006/relationships/ctrlProp" Target="../ctrlProps/ctrlProp528.xml"/><Relationship Id="rId28" Type="http://schemas.openxmlformats.org/officeDocument/2006/relationships/ctrlProp" Target="../ctrlProps/ctrlProp533.xml"/><Relationship Id="rId10" Type="http://schemas.openxmlformats.org/officeDocument/2006/relationships/ctrlProp" Target="../ctrlProps/ctrlProp515.xml"/><Relationship Id="rId19" Type="http://schemas.openxmlformats.org/officeDocument/2006/relationships/ctrlProp" Target="../ctrlProps/ctrlProp524.xml"/><Relationship Id="rId31" Type="http://schemas.openxmlformats.org/officeDocument/2006/relationships/ctrlProp" Target="../ctrlProps/ctrlProp536.xml"/><Relationship Id="rId4" Type="http://schemas.openxmlformats.org/officeDocument/2006/relationships/ctrlProp" Target="../ctrlProps/ctrlProp509.xml"/><Relationship Id="rId9" Type="http://schemas.openxmlformats.org/officeDocument/2006/relationships/ctrlProp" Target="../ctrlProps/ctrlProp514.xml"/><Relationship Id="rId14" Type="http://schemas.openxmlformats.org/officeDocument/2006/relationships/ctrlProp" Target="../ctrlProps/ctrlProp519.xml"/><Relationship Id="rId22" Type="http://schemas.openxmlformats.org/officeDocument/2006/relationships/ctrlProp" Target="../ctrlProps/ctrlProp527.xml"/><Relationship Id="rId27" Type="http://schemas.openxmlformats.org/officeDocument/2006/relationships/ctrlProp" Target="../ctrlProps/ctrlProp532.xml"/><Relationship Id="rId30" Type="http://schemas.openxmlformats.org/officeDocument/2006/relationships/ctrlProp" Target="../ctrlProps/ctrlProp535.xml"/><Relationship Id="rId35" Type="http://schemas.openxmlformats.org/officeDocument/2006/relationships/ctrlProp" Target="../ctrlProps/ctrlProp540.xml"/><Relationship Id="rId8" Type="http://schemas.openxmlformats.org/officeDocument/2006/relationships/ctrlProp" Target="../ctrlProps/ctrlProp513.x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50.xml"/><Relationship Id="rId18" Type="http://schemas.openxmlformats.org/officeDocument/2006/relationships/ctrlProp" Target="../ctrlProps/ctrlProp555.xml"/><Relationship Id="rId26" Type="http://schemas.openxmlformats.org/officeDocument/2006/relationships/ctrlProp" Target="../ctrlProps/ctrlProp563.xml"/><Relationship Id="rId3" Type="http://schemas.openxmlformats.org/officeDocument/2006/relationships/vmlDrawing" Target="../drawings/vmlDrawing22.vml"/><Relationship Id="rId21" Type="http://schemas.openxmlformats.org/officeDocument/2006/relationships/ctrlProp" Target="../ctrlProps/ctrlProp558.xml"/><Relationship Id="rId34" Type="http://schemas.openxmlformats.org/officeDocument/2006/relationships/ctrlProp" Target="../ctrlProps/ctrlProp571.xml"/><Relationship Id="rId7" Type="http://schemas.openxmlformats.org/officeDocument/2006/relationships/ctrlProp" Target="../ctrlProps/ctrlProp544.xml"/><Relationship Id="rId12" Type="http://schemas.openxmlformats.org/officeDocument/2006/relationships/ctrlProp" Target="../ctrlProps/ctrlProp549.xml"/><Relationship Id="rId17" Type="http://schemas.openxmlformats.org/officeDocument/2006/relationships/ctrlProp" Target="../ctrlProps/ctrlProp554.xml"/><Relationship Id="rId25" Type="http://schemas.openxmlformats.org/officeDocument/2006/relationships/ctrlProp" Target="../ctrlProps/ctrlProp562.xml"/><Relationship Id="rId33" Type="http://schemas.openxmlformats.org/officeDocument/2006/relationships/ctrlProp" Target="../ctrlProps/ctrlProp570.xml"/><Relationship Id="rId2" Type="http://schemas.openxmlformats.org/officeDocument/2006/relationships/drawing" Target="../drawings/drawing22.xml"/><Relationship Id="rId16" Type="http://schemas.openxmlformats.org/officeDocument/2006/relationships/ctrlProp" Target="../ctrlProps/ctrlProp553.xml"/><Relationship Id="rId20" Type="http://schemas.openxmlformats.org/officeDocument/2006/relationships/ctrlProp" Target="../ctrlProps/ctrlProp557.xml"/><Relationship Id="rId29" Type="http://schemas.openxmlformats.org/officeDocument/2006/relationships/ctrlProp" Target="../ctrlProps/ctrlProp566.xml"/><Relationship Id="rId1" Type="http://schemas.openxmlformats.org/officeDocument/2006/relationships/printerSettings" Target="../printerSettings/printerSettings27.bin"/><Relationship Id="rId6" Type="http://schemas.openxmlformats.org/officeDocument/2006/relationships/ctrlProp" Target="../ctrlProps/ctrlProp543.xml"/><Relationship Id="rId11" Type="http://schemas.openxmlformats.org/officeDocument/2006/relationships/ctrlProp" Target="../ctrlProps/ctrlProp548.xml"/><Relationship Id="rId24" Type="http://schemas.openxmlformats.org/officeDocument/2006/relationships/ctrlProp" Target="../ctrlProps/ctrlProp561.xml"/><Relationship Id="rId32" Type="http://schemas.openxmlformats.org/officeDocument/2006/relationships/ctrlProp" Target="../ctrlProps/ctrlProp569.xml"/><Relationship Id="rId5" Type="http://schemas.openxmlformats.org/officeDocument/2006/relationships/ctrlProp" Target="../ctrlProps/ctrlProp542.xml"/><Relationship Id="rId15" Type="http://schemas.openxmlformats.org/officeDocument/2006/relationships/ctrlProp" Target="../ctrlProps/ctrlProp552.xml"/><Relationship Id="rId23" Type="http://schemas.openxmlformats.org/officeDocument/2006/relationships/ctrlProp" Target="../ctrlProps/ctrlProp560.xml"/><Relationship Id="rId28" Type="http://schemas.openxmlformats.org/officeDocument/2006/relationships/ctrlProp" Target="../ctrlProps/ctrlProp565.xml"/><Relationship Id="rId10" Type="http://schemas.openxmlformats.org/officeDocument/2006/relationships/ctrlProp" Target="../ctrlProps/ctrlProp547.xml"/><Relationship Id="rId19" Type="http://schemas.openxmlformats.org/officeDocument/2006/relationships/ctrlProp" Target="../ctrlProps/ctrlProp556.xml"/><Relationship Id="rId31" Type="http://schemas.openxmlformats.org/officeDocument/2006/relationships/ctrlProp" Target="../ctrlProps/ctrlProp568.xml"/><Relationship Id="rId4" Type="http://schemas.openxmlformats.org/officeDocument/2006/relationships/ctrlProp" Target="../ctrlProps/ctrlProp541.xml"/><Relationship Id="rId9" Type="http://schemas.openxmlformats.org/officeDocument/2006/relationships/ctrlProp" Target="../ctrlProps/ctrlProp546.xml"/><Relationship Id="rId14" Type="http://schemas.openxmlformats.org/officeDocument/2006/relationships/ctrlProp" Target="../ctrlProps/ctrlProp551.xml"/><Relationship Id="rId22" Type="http://schemas.openxmlformats.org/officeDocument/2006/relationships/ctrlProp" Target="../ctrlProps/ctrlProp559.xml"/><Relationship Id="rId27" Type="http://schemas.openxmlformats.org/officeDocument/2006/relationships/ctrlProp" Target="../ctrlProps/ctrlProp564.xml"/><Relationship Id="rId30" Type="http://schemas.openxmlformats.org/officeDocument/2006/relationships/ctrlProp" Target="../ctrlProps/ctrlProp567.xml"/><Relationship Id="rId35" Type="http://schemas.openxmlformats.org/officeDocument/2006/relationships/ctrlProp" Target="../ctrlProps/ctrlProp572.xml"/><Relationship Id="rId8" Type="http://schemas.openxmlformats.org/officeDocument/2006/relationships/ctrlProp" Target="../ctrlProps/ctrlProp54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247</v>
      </c>
      <c r="B3" s="71"/>
    </row>
    <row r="4" spans="1:5" x14ac:dyDescent="0.25">
      <c r="A4" s="193"/>
      <c r="B4" s="71"/>
    </row>
    <row r="5" spans="1:5" x14ac:dyDescent="0.25">
      <c r="A5" s="193" t="s">
        <v>282</v>
      </c>
      <c r="B5" s="71" t="s">
        <v>568</v>
      </c>
    </row>
    <row r="6" spans="1:5" x14ac:dyDescent="0.25">
      <c r="A6" s="193"/>
      <c r="B6" s="71"/>
    </row>
    <row r="7" spans="1:5" x14ac:dyDescent="0.25">
      <c r="A7" s="71" t="s">
        <v>248</v>
      </c>
      <c r="B7" s="71"/>
    </row>
    <row r="8" spans="1:5" x14ac:dyDescent="0.25">
      <c r="A8" s="193"/>
      <c r="B8" s="71"/>
    </row>
    <row r="9" spans="1:5" x14ac:dyDescent="0.25">
      <c r="A9" s="193"/>
      <c r="B9" s="71"/>
    </row>
    <row r="10" spans="1:5" x14ac:dyDescent="0.25">
      <c r="A10" s="71" t="s">
        <v>72</v>
      </c>
      <c r="B10" s="194" t="s">
        <v>513</v>
      </c>
    </row>
    <row r="11" spans="1:5" x14ac:dyDescent="0.25">
      <c r="A11" s="71" t="s">
        <v>243</v>
      </c>
      <c r="B11" s="195"/>
    </row>
    <row r="12" spans="1:5" x14ac:dyDescent="0.25">
      <c r="A12" s="71"/>
      <c r="B12" s="195"/>
    </row>
    <row r="13" spans="1:5" x14ac:dyDescent="0.25">
      <c r="A13" s="71" t="s">
        <v>186</v>
      </c>
      <c r="B13" s="195"/>
    </row>
    <row r="14" spans="1:5" x14ac:dyDescent="0.25">
      <c r="A14" s="71"/>
      <c r="B14" s="195"/>
    </row>
    <row r="15" spans="1:5" x14ac:dyDescent="0.25">
      <c r="A15" s="71" t="s">
        <v>254</v>
      </c>
      <c r="B15" s="195"/>
      <c r="E15" t="s">
        <v>311</v>
      </c>
    </row>
    <row r="16" spans="1:5" x14ac:dyDescent="0.25">
      <c r="A16" s="71" t="s">
        <v>255</v>
      </c>
      <c r="B16" s="195"/>
    </row>
    <row r="17" spans="1:6" x14ac:dyDescent="0.25">
      <c r="A17" s="71"/>
      <c r="B17" s="195"/>
    </row>
    <row r="18" spans="1:6" x14ac:dyDescent="0.25">
      <c r="A18" s="71"/>
      <c r="B18" s="195"/>
    </row>
    <row r="19" spans="1:6" x14ac:dyDescent="0.25">
      <c r="A19" s="196" t="s">
        <v>256</v>
      </c>
      <c r="B19" s="195"/>
    </row>
    <row r="20" spans="1:6" x14ac:dyDescent="0.25">
      <c r="A20" s="71" t="s">
        <v>64</v>
      </c>
      <c r="B20" s="176" t="str">
        <f>B10&amp;" Edition"</f>
        <v>1/11/2022 Edition</v>
      </c>
    </row>
    <row r="21" spans="1:6" x14ac:dyDescent="0.25">
      <c r="A21" s="71" t="s">
        <v>62</v>
      </c>
      <c r="B21" s="177" t="str">
        <f>IF(ISBLANK('1.General'!$B$45),"",'1.General'!$B$45)</f>
        <v>State Farm General Insurance Company</v>
      </c>
    </row>
    <row r="22" spans="1:6" x14ac:dyDescent="0.25">
      <c r="A22" s="71" t="s">
        <v>63</v>
      </c>
      <c r="B22" s="177" t="str">
        <f>INDEX(List_GeneralLine,References!$F$5,1)</f>
        <v>Homeowners</v>
      </c>
    </row>
    <row r="23" spans="1:6" x14ac:dyDescent="0.25">
      <c r="A23" s="71" t="s">
        <v>115</v>
      </c>
      <c r="B23" s="177" t="str">
        <f>IF(ISBLANK('1.General'!$H$14),"",'1.General'!$H$14)</f>
        <v/>
      </c>
    </row>
    <row r="24" spans="1:6" x14ac:dyDescent="0.25">
      <c r="A24" s="71" t="s">
        <v>224</v>
      </c>
      <c r="B24" s="179" t="str">
        <f>IF(ISBLANK('1.General'!$B$7),"",'1.General'!$B$7)</f>
        <v>Nicole Pettis</v>
      </c>
    </row>
    <row r="25" spans="1:6" x14ac:dyDescent="0.25">
      <c r="A25" s="71" t="s">
        <v>225</v>
      </c>
      <c r="B25" s="178">
        <f>IF(ISBLANK('1.General'!$E$7),"",'1.General'!$E$7)</f>
        <v>44705</v>
      </c>
      <c r="F25" t="s">
        <v>311</v>
      </c>
    </row>
    <row r="26" spans="1:6" x14ac:dyDescent="0.25">
      <c r="A26" s="71" t="s">
        <v>222</v>
      </c>
      <c r="B26" s="178">
        <f>IF(ISBLANK('4.Proposed Impact'!$D$9),"",'4.Proposed Impact'!$D$9)</f>
        <v>44927</v>
      </c>
    </row>
    <row r="27" spans="1:6" x14ac:dyDescent="0.25">
      <c r="A27" s="71" t="s">
        <v>280</v>
      </c>
      <c r="B27" s="179" t="b">
        <v>1</v>
      </c>
    </row>
    <row r="28" spans="1:6" x14ac:dyDescent="0.25">
      <c r="A28" s="71" t="s">
        <v>368</v>
      </c>
      <c r="B28" s="354" t="b">
        <f>IF('3.Filing Type and Checklist'!E7="Y",TRUE,FALSE)</f>
        <v>1</v>
      </c>
    </row>
    <row r="29" spans="1:6" x14ac:dyDescent="0.25">
      <c r="A29" s="71" t="s">
        <v>369</v>
      </c>
      <c r="B29" s="354" t="b">
        <f>IF('3.Filing Type and Checklist'!E8="Y",TRUE,FALSE)</f>
        <v>1</v>
      </c>
    </row>
    <row r="30" spans="1:6" x14ac:dyDescent="0.25">
      <c r="A30" s="71" t="s">
        <v>370</v>
      </c>
      <c r="B30" s="354" t="b">
        <f>IF('3.Filing Type and Checklist'!E10="Y",TRUE,FALSE)</f>
        <v>1</v>
      </c>
    </row>
    <row r="31" spans="1:6" x14ac:dyDescent="0.25">
      <c r="A31" s="71" t="s">
        <v>371</v>
      </c>
      <c r="B31" s="354" t="b">
        <f>IF('3.Filing Type and Checklist'!E6="Y",TRUE,FALSE)</f>
        <v>0</v>
      </c>
    </row>
    <row r="32" spans="1:6" x14ac:dyDescent="0.25">
      <c r="A32" s="71" t="s">
        <v>372</v>
      </c>
      <c r="B32" s="71">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0</v>
      </c>
    </row>
    <row r="33" spans="1:2" x14ac:dyDescent="0.25">
      <c r="A33" s="71" t="s">
        <v>380</v>
      </c>
      <c r="B33" s="71"/>
    </row>
    <row r="34" spans="1:2" x14ac:dyDescent="0.25">
      <c r="A34" s="71" t="s">
        <v>438</v>
      </c>
      <c r="B34" s="448" t="b">
        <v>0</v>
      </c>
    </row>
  </sheetData>
  <sheetProtection formatColumns="0" formatRows="0" sort="0"/>
  <pageMargins left="0.7" right="0.7" top="0.75" bottom="0.75" header="0.3" footer="0.3"/>
  <pageSetup scale="83" orientation="portrait"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V78"/>
  <sheetViews>
    <sheetView zoomScale="80" zoomScaleNormal="80" workbookViewId="0"/>
  </sheetViews>
  <sheetFormatPr defaultColWidth="9.140625"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182</v>
      </c>
      <c r="G2" s="134"/>
      <c r="H2" s="136" t="s">
        <v>107</v>
      </c>
      <c r="I2" s="137" t="s">
        <v>276</v>
      </c>
      <c r="L2" s="136" t="s">
        <v>398</v>
      </c>
      <c r="M2" s="404"/>
      <c r="N2" s="383"/>
      <c r="O2" s="383"/>
      <c r="P2" s="383"/>
      <c r="Q2" s="383"/>
      <c r="R2" s="383"/>
      <c r="S2" s="405"/>
      <c r="T2" s="406"/>
      <c r="U2" s="407" t="s">
        <v>423</v>
      </c>
      <c r="V2" s="408"/>
      <c r="Y2" s="133" t="s">
        <v>475</v>
      </c>
    </row>
    <row r="3" spans="1:25" x14ac:dyDescent="0.25">
      <c r="B3" s="138" t="s">
        <v>108</v>
      </c>
      <c r="C3" s="134"/>
      <c r="D3" s="146" t="s">
        <v>184</v>
      </c>
      <c r="F3" s="140"/>
      <c r="H3" s="141"/>
      <c r="I3" s="142"/>
      <c r="L3" s="409"/>
      <c r="M3" s="139"/>
      <c r="N3" s="410"/>
      <c r="O3" s="410"/>
      <c r="P3" s="410"/>
      <c r="Q3" s="410"/>
      <c r="R3" s="410"/>
      <c r="S3" s="411"/>
      <c r="T3" s="142"/>
      <c r="U3" s="412" t="s">
        <v>424</v>
      </c>
      <c r="V3" s="413"/>
      <c r="Y3" s="138" t="s">
        <v>476</v>
      </c>
    </row>
    <row r="4" spans="1:25" ht="100.5" x14ac:dyDescent="0.25">
      <c r="B4" s="138" t="s">
        <v>183</v>
      </c>
      <c r="C4" s="165"/>
      <c r="D4" s="139"/>
      <c r="F4" s="140"/>
      <c r="H4" s="141"/>
      <c r="I4" s="142"/>
      <c r="L4" s="141" t="s">
        <v>425</v>
      </c>
      <c r="M4" s="139"/>
      <c r="N4" s="414" t="s">
        <v>426</v>
      </c>
      <c r="O4" s="414" t="s">
        <v>427</v>
      </c>
      <c r="P4" s="414" t="s">
        <v>428</v>
      </c>
      <c r="Q4" s="414" t="s">
        <v>429</v>
      </c>
      <c r="R4" s="414" t="s">
        <v>409</v>
      </c>
      <c r="S4" s="411"/>
      <c r="T4" s="142"/>
      <c r="U4" s="415" t="s">
        <v>430</v>
      </c>
      <c r="V4" s="416" t="s">
        <v>431</v>
      </c>
      <c r="Y4" s="455">
        <v>11</v>
      </c>
    </row>
    <row r="5" spans="1:25" ht="45" customHeight="1" x14ac:dyDescent="0.25">
      <c r="A5" s="201" t="s">
        <v>257</v>
      </c>
      <c r="B5" s="202"/>
      <c r="C5" s="163"/>
      <c r="D5" s="203">
        <v>2</v>
      </c>
      <c r="E5" s="204"/>
      <c r="F5" s="205">
        <v>14</v>
      </c>
      <c r="G5" s="204"/>
      <c r="H5" s="206"/>
      <c r="I5" s="207"/>
      <c r="J5" s="204"/>
      <c r="L5" s="141" t="s">
        <v>432</v>
      </c>
      <c r="M5" s="139"/>
      <c r="N5" s="417">
        <f>IF('3.Filing Type and Checklist'!A17="",1,0)</f>
        <v>1</v>
      </c>
      <c r="O5" s="417">
        <f>IF(OR('3.Filing Type and Checklist'!$E$7="Y",'3.Filing Type and Checklist'!$E$9="Y",'3.Filing Type and Checklist'!$E$11="Y"),1,0)</f>
        <v>1</v>
      </c>
      <c r="P5" s="417">
        <f>IF('3.Filing Type and Checklist'!$E$10="Y",1,0)</f>
        <v>1</v>
      </c>
      <c r="Q5" s="417">
        <f>IF('3.Filing Type and Checklist'!$E$8="Y",1,0)</f>
        <v>1</v>
      </c>
      <c r="R5" s="417">
        <f>IF('3.Filing Type and Checklist'!$E$6="Y",1,0)</f>
        <v>0</v>
      </c>
      <c r="S5" s="411"/>
      <c r="T5" s="142"/>
      <c r="U5" s="415"/>
      <c r="V5" s="416" t="str">
        <f>LEFT(V8&amp;V9&amp;V10&amp;V11&amp;V12&amp;V13&amp;V14&amp;V15&amp;V16&amp;V17&amp;V18&amp;V19&amp;V20&amp;V22&amp;V23&amp;V24&amp;V25&amp;V26&amp;V27&amp;V28&amp;V29&amp;V30&amp;V31&amp;V32&amp;V33&amp;V34&amp;V35&amp;V36&amp;V37&amp;V38&amp;V39&amp;V40&amp;V41&amp;V42&amp;V43&amp;V44&amp;V45&amp;V46&amp;V47&amp;V48&amp;V49&amp;V50&amp;V51&amp;V52&amp;V53,LEN(V8&amp;V9&amp;V10&amp;V11&amp;V12&amp;V13&amp;V14&amp;V15&amp;V16&amp;V17&amp;V18&amp;V19&amp;V20&amp;V22&amp;V23&amp;V24&amp;V25&amp;V26&amp;V27&amp;V28&amp;V29&amp;V30&amp;V31&amp;V32&amp;V33&amp;V34&amp;V35&amp;V36&amp;V37&amp;V38&amp;V39&amp;V40&amp;V41&amp;V42&amp;V43&amp;V44&amp;V45&amp;V46&amp;V47&amp;V48&amp;V49&amp;V50&amp;V51&amp;V52&amp;V53)-1)</f>
        <v>A20,A48,A49,A53,A63,A64</v>
      </c>
      <c r="Y5" s="456">
        <f>Y4-1</f>
        <v>10</v>
      </c>
    </row>
    <row r="6" spans="1:25" ht="30" x14ac:dyDescent="0.25">
      <c r="B6" s="143" t="s">
        <v>5</v>
      </c>
      <c r="C6" s="52"/>
      <c r="D6" s="139" t="s">
        <v>28</v>
      </c>
      <c r="F6" s="140"/>
      <c r="H6" s="128" t="s">
        <v>84</v>
      </c>
      <c r="I6" s="129" t="s">
        <v>227</v>
      </c>
      <c r="L6" s="384" t="s">
        <v>397</v>
      </c>
      <c r="M6" s="418"/>
      <c r="N6" s="419"/>
      <c r="O6" s="420"/>
      <c r="P6" s="420"/>
      <c r="Q6" s="420"/>
      <c r="R6" s="421"/>
      <c r="S6" s="411"/>
      <c r="T6" s="422"/>
      <c r="U6" s="423"/>
      <c r="V6" s="416"/>
      <c r="Y6" s="426">
        <v>0</v>
      </c>
    </row>
    <row r="7" spans="1:25" ht="30" x14ac:dyDescent="0.25">
      <c r="B7" s="143" t="s">
        <v>6</v>
      </c>
      <c r="C7" s="52"/>
      <c r="D7" s="139" t="s">
        <v>29</v>
      </c>
      <c r="F7" s="140" t="s">
        <v>34</v>
      </c>
      <c r="H7" s="128" t="s">
        <v>85</v>
      </c>
      <c r="I7" s="129" t="s">
        <v>228</v>
      </c>
      <c r="L7" s="386" t="s">
        <v>292</v>
      </c>
      <c r="M7" s="418" t="s">
        <v>433</v>
      </c>
      <c r="N7" s="387"/>
      <c r="O7" s="387"/>
      <c r="P7" s="387"/>
      <c r="Q7" s="387"/>
      <c r="R7" s="387"/>
      <c r="S7" s="424" t="s">
        <v>385</v>
      </c>
      <c r="T7" s="425" t="s">
        <v>386</v>
      </c>
      <c r="U7" s="391"/>
      <c r="V7" s="416"/>
      <c r="Y7" s="426">
        <v>1</v>
      </c>
    </row>
    <row r="8" spans="1:25" ht="30.75" thickBot="1" x14ac:dyDescent="0.3">
      <c r="B8" s="144" t="s">
        <v>53</v>
      </c>
      <c r="C8" s="52"/>
      <c r="D8" s="401"/>
      <c r="F8" s="140" t="s">
        <v>35</v>
      </c>
      <c r="H8" s="128" t="s">
        <v>86</v>
      </c>
      <c r="I8" s="129" t="s">
        <v>229</v>
      </c>
      <c r="L8" s="385" t="s">
        <v>379</v>
      </c>
      <c r="M8" s="426">
        <v>19</v>
      </c>
      <c r="N8" s="427">
        <v>1</v>
      </c>
      <c r="O8" s="427"/>
      <c r="P8" s="427"/>
      <c r="Q8" s="427"/>
      <c r="R8" s="427" t="s">
        <v>434</v>
      </c>
      <c r="S8" s="428">
        <v>1</v>
      </c>
      <c r="T8" s="429">
        <v>1</v>
      </c>
      <c r="U8" s="392">
        <f>SUMPRODUCT(N$5:R$5,N8:R8)</f>
        <v>1</v>
      </c>
      <c r="V8" s="430" t="str">
        <f t="shared" ref="V8:V53" si="0">IF(U8=0,"A"&amp;$M8&amp;",","")</f>
        <v/>
      </c>
      <c r="Y8" s="426">
        <v>2</v>
      </c>
    </row>
    <row r="9" spans="1:25" ht="30" x14ac:dyDescent="0.25">
      <c r="F9" s="140" t="s">
        <v>36</v>
      </c>
      <c r="H9" s="128" t="s">
        <v>87</v>
      </c>
      <c r="I9" s="129" t="s">
        <v>230</v>
      </c>
      <c r="L9" s="431" t="s">
        <v>290</v>
      </c>
      <c r="M9" s="426">
        <v>20</v>
      </c>
      <c r="N9" s="432" t="s">
        <v>434</v>
      </c>
      <c r="O9" s="432"/>
      <c r="P9" s="432"/>
      <c r="Q9" s="432"/>
      <c r="R9" s="432" t="s">
        <v>434</v>
      </c>
      <c r="S9" s="428">
        <v>1</v>
      </c>
      <c r="T9" s="429">
        <v>1</v>
      </c>
      <c r="U9" s="433">
        <f>IF('1.General'!$K$24=1,1,0)</f>
        <v>0</v>
      </c>
      <c r="V9" s="430" t="str">
        <f t="shared" si="0"/>
        <v>A20,</v>
      </c>
      <c r="Y9" s="426">
        <v>3</v>
      </c>
    </row>
    <row r="10" spans="1:25" ht="30" x14ac:dyDescent="0.25">
      <c r="F10" s="140" t="s">
        <v>37</v>
      </c>
      <c r="H10" s="128" t="s">
        <v>88</v>
      </c>
      <c r="I10" s="129" t="s">
        <v>231</v>
      </c>
      <c r="L10" s="385" t="s">
        <v>394</v>
      </c>
      <c r="M10" s="426">
        <v>21</v>
      </c>
      <c r="N10" s="427">
        <v>1</v>
      </c>
      <c r="O10" s="427"/>
      <c r="P10" s="427"/>
      <c r="Q10" s="427"/>
      <c r="R10" s="427" t="s">
        <v>434</v>
      </c>
      <c r="S10" s="428">
        <v>1</v>
      </c>
      <c r="T10" s="429">
        <v>1</v>
      </c>
      <c r="U10" s="392">
        <f t="shared" ref="U10:U17" si="1">SUMPRODUCT(N$5:R$5,N10:R10)</f>
        <v>1</v>
      </c>
      <c r="V10" s="430" t="str">
        <f t="shared" si="0"/>
        <v/>
      </c>
      <c r="Y10" s="426">
        <v>4</v>
      </c>
    </row>
    <row r="11" spans="1:25" ht="29.25" customHeight="1" x14ac:dyDescent="0.25">
      <c r="F11" s="140" t="s">
        <v>38</v>
      </c>
      <c r="H11" s="128" t="s">
        <v>91</v>
      </c>
      <c r="I11" s="129" t="s">
        <v>232</v>
      </c>
      <c r="L11" s="385" t="s">
        <v>291</v>
      </c>
      <c r="M11" s="426">
        <v>22</v>
      </c>
      <c r="N11" s="427" t="s">
        <v>434</v>
      </c>
      <c r="O11" s="427">
        <v>1</v>
      </c>
      <c r="P11" s="427"/>
      <c r="Q11" s="427"/>
      <c r="R11" s="427">
        <v>1</v>
      </c>
      <c r="S11" s="428">
        <v>1</v>
      </c>
      <c r="T11" s="429">
        <v>1</v>
      </c>
      <c r="U11" s="392">
        <f t="shared" si="1"/>
        <v>1</v>
      </c>
      <c r="V11" s="430" t="str">
        <f t="shared" si="0"/>
        <v/>
      </c>
      <c r="Y11" s="426">
        <v>5</v>
      </c>
    </row>
    <row r="12" spans="1:25" ht="30" x14ac:dyDescent="0.25">
      <c r="F12" s="140" t="s">
        <v>39</v>
      </c>
      <c r="H12" s="128" t="s">
        <v>89</v>
      </c>
      <c r="I12" s="129" t="s">
        <v>233</v>
      </c>
      <c r="L12" s="385" t="s">
        <v>299</v>
      </c>
      <c r="M12" s="426">
        <v>23</v>
      </c>
      <c r="N12" s="427" t="s">
        <v>434</v>
      </c>
      <c r="O12" s="427">
        <v>1</v>
      </c>
      <c r="P12" s="427"/>
      <c r="Q12" s="427"/>
      <c r="R12" s="427"/>
      <c r="S12" s="428">
        <v>1</v>
      </c>
      <c r="T12" s="429">
        <v>1</v>
      </c>
      <c r="U12" s="392">
        <f t="shared" si="1"/>
        <v>1</v>
      </c>
      <c r="V12" s="430" t="str">
        <f t="shared" si="0"/>
        <v/>
      </c>
      <c r="Y12" s="426">
        <v>6</v>
      </c>
    </row>
    <row r="13" spans="1:25" ht="30" x14ac:dyDescent="0.25">
      <c r="F13" s="140" t="s">
        <v>40</v>
      </c>
      <c r="H13" s="128" t="s">
        <v>90</v>
      </c>
      <c r="I13" s="129" t="s">
        <v>234</v>
      </c>
      <c r="L13" s="385" t="s">
        <v>359</v>
      </c>
      <c r="M13" s="426">
        <v>24</v>
      </c>
      <c r="N13" s="427" t="s">
        <v>434</v>
      </c>
      <c r="O13" s="427">
        <v>1</v>
      </c>
      <c r="P13" s="427"/>
      <c r="Q13" s="427"/>
      <c r="R13" s="427" t="s">
        <v>434</v>
      </c>
      <c r="S13" s="428">
        <v>1</v>
      </c>
      <c r="T13" s="429">
        <v>1</v>
      </c>
      <c r="U13" s="392">
        <f t="shared" si="1"/>
        <v>1</v>
      </c>
      <c r="V13" s="430" t="str">
        <f t="shared" si="0"/>
        <v/>
      </c>
      <c r="Y13" s="426">
        <v>7</v>
      </c>
    </row>
    <row r="14" spans="1:25" ht="30" x14ac:dyDescent="0.25">
      <c r="F14" s="140" t="s">
        <v>41</v>
      </c>
      <c r="H14" s="128" t="s">
        <v>112</v>
      </c>
      <c r="I14" s="129" t="s">
        <v>235</v>
      </c>
      <c r="L14" s="385" t="s">
        <v>300</v>
      </c>
      <c r="M14" s="426">
        <v>25</v>
      </c>
      <c r="N14" s="427" t="s">
        <v>434</v>
      </c>
      <c r="O14" s="427">
        <v>1</v>
      </c>
      <c r="P14" s="427"/>
      <c r="Q14" s="427"/>
      <c r="R14" s="427" t="s">
        <v>434</v>
      </c>
      <c r="S14" s="428">
        <v>1</v>
      </c>
      <c r="T14" s="429">
        <v>1</v>
      </c>
      <c r="U14" s="392">
        <f t="shared" si="1"/>
        <v>1</v>
      </c>
      <c r="V14" s="430" t="str">
        <f t="shared" si="0"/>
        <v/>
      </c>
      <c r="Y14" s="426">
        <v>8</v>
      </c>
    </row>
    <row r="15" spans="1:25" ht="30" x14ac:dyDescent="0.25">
      <c r="F15" s="140" t="s">
        <v>42</v>
      </c>
      <c r="H15" s="128" t="s">
        <v>92</v>
      </c>
      <c r="I15" s="129" t="s">
        <v>236</v>
      </c>
      <c r="L15" s="385" t="s">
        <v>301</v>
      </c>
      <c r="M15" s="426">
        <v>26</v>
      </c>
      <c r="N15" s="427" t="s">
        <v>434</v>
      </c>
      <c r="O15" s="427">
        <v>1</v>
      </c>
      <c r="P15" s="427"/>
      <c r="Q15" s="427"/>
      <c r="R15" s="427">
        <v>1</v>
      </c>
      <c r="S15" s="428">
        <v>1</v>
      </c>
      <c r="T15" s="429">
        <v>1</v>
      </c>
      <c r="U15" s="392">
        <f t="shared" si="1"/>
        <v>1</v>
      </c>
      <c r="V15" s="430" t="str">
        <f t="shared" si="0"/>
        <v/>
      </c>
      <c r="Y15" s="426">
        <v>9</v>
      </c>
    </row>
    <row r="16" spans="1:25" ht="30.75" thickBot="1" x14ac:dyDescent="0.3">
      <c r="F16" s="140" t="s">
        <v>43</v>
      </c>
      <c r="H16" s="128" t="s">
        <v>93</v>
      </c>
      <c r="I16" s="129" t="s">
        <v>237</v>
      </c>
      <c r="L16" s="385" t="s">
        <v>302</v>
      </c>
      <c r="M16" s="426">
        <v>27</v>
      </c>
      <c r="N16" s="427" t="s">
        <v>434</v>
      </c>
      <c r="O16" s="427"/>
      <c r="P16" s="427">
        <v>1</v>
      </c>
      <c r="Q16" s="427"/>
      <c r="R16" s="427">
        <v>1</v>
      </c>
      <c r="S16" s="428">
        <v>1</v>
      </c>
      <c r="T16" s="429">
        <v>1</v>
      </c>
      <c r="U16" s="392">
        <f t="shared" si="1"/>
        <v>1</v>
      </c>
      <c r="V16" s="430" t="str">
        <f t="shared" si="0"/>
        <v/>
      </c>
      <c r="Y16" s="435">
        <v>10</v>
      </c>
    </row>
    <row r="17" spans="6:22" ht="30" x14ac:dyDescent="0.25">
      <c r="F17" s="140" t="s">
        <v>345</v>
      </c>
      <c r="H17" s="128" t="s">
        <v>94</v>
      </c>
      <c r="I17" s="129" t="s">
        <v>238</v>
      </c>
      <c r="L17" s="385" t="s">
        <v>327</v>
      </c>
      <c r="M17" s="426">
        <v>28</v>
      </c>
      <c r="N17" s="427" t="s">
        <v>434</v>
      </c>
      <c r="O17" s="427"/>
      <c r="P17" s="427"/>
      <c r="Q17" s="427">
        <v>1</v>
      </c>
      <c r="R17" s="427" t="s">
        <v>434</v>
      </c>
      <c r="S17" s="428">
        <v>1</v>
      </c>
      <c r="T17" s="429">
        <v>1</v>
      </c>
      <c r="U17" s="392">
        <f t="shared" si="1"/>
        <v>1</v>
      </c>
      <c r="V17" s="430" t="str">
        <f t="shared" si="0"/>
        <v/>
      </c>
    </row>
    <row r="18" spans="6:22" ht="30" x14ac:dyDescent="0.25">
      <c r="F18" s="140" t="s">
        <v>44</v>
      </c>
      <c r="H18" s="128" t="s">
        <v>95</v>
      </c>
      <c r="I18" s="129" t="s">
        <v>239</v>
      </c>
      <c r="L18" s="431" t="s">
        <v>78</v>
      </c>
      <c r="M18" s="426">
        <v>29</v>
      </c>
      <c r="N18" s="427" t="s">
        <v>434</v>
      </c>
      <c r="O18" s="427"/>
      <c r="P18" s="427"/>
      <c r="Q18" s="427"/>
      <c r="R18" s="427" t="s">
        <v>434</v>
      </c>
      <c r="S18" s="428">
        <v>1</v>
      </c>
      <c r="T18" s="429">
        <v>1</v>
      </c>
      <c r="U18" s="433">
        <f>IF('1.General'!$K$14=1,1,0)</f>
        <v>1</v>
      </c>
      <c r="V18" s="430" t="str">
        <f t="shared" si="0"/>
        <v/>
      </c>
    </row>
    <row r="19" spans="6:22" ht="30" x14ac:dyDescent="0.25">
      <c r="F19" s="140" t="s">
        <v>45</v>
      </c>
      <c r="H19" s="128" t="s">
        <v>96</v>
      </c>
      <c r="I19" s="130" t="s">
        <v>240</v>
      </c>
      <c r="L19" s="431" t="s">
        <v>477</v>
      </c>
      <c r="M19" s="426">
        <v>30</v>
      </c>
      <c r="N19" s="427"/>
      <c r="O19" s="427"/>
      <c r="P19" s="427"/>
      <c r="Q19" s="427"/>
      <c r="R19" s="427"/>
      <c r="S19" s="428">
        <v>1</v>
      </c>
      <c r="T19" s="429">
        <v>1</v>
      </c>
      <c r="U19" s="433">
        <f>IF(Y5&gt;0,1,0)</f>
        <v>1</v>
      </c>
      <c r="V19" s="430" t="str">
        <f t="shared" si="0"/>
        <v/>
      </c>
    </row>
    <row r="20" spans="6:22" ht="30" x14ac:dyDescent="0.25">
      <c r="F20" s="140" t="s">
        <v>46</v>
      </c>
      <c r="H20" s="128" t="s">
        <v>97</v>
      </c>
      <c r="I20" s="129" t="s">
        <v>241</v>
      </c>
      <c r="L20" s="431" t="s">
        <v>478</v>
      </c>
      <c r="M20" s="426">
        <v>31</v>
      </c>
      <c r="N20" s="427">
        <v>1</v>
      </c>
      <c r="O20" s="427"/>
      <c r="P20" s="427"/>
      <c r="Q20" s="427"/>
      <c r="R20" s="427"/>
      <c r="S20" s="428">
        <v>1</v>
      </c>
      <c r="T20" s="429"/>
      <c r="U20" s="392">
        <f>SUMPRODUCT(N$5:R$5,N20:R20)</f>
        <v>1</v>
      </c>
      <c r="V20" s="430" t="str">
        <f t="shared" si="0"/>
        <v/>
      </c>
    </row>
    <row r="21" spans="6:22" ht="30" x14ac:dyDescent="0.25">
      <c r="F21" s="140" t="s">
        <v>47</v>
      </c>
      <c r="H21" s="128" t="s">
        <v>98</v>
      </c>
      <c r="I21" s="129" t="s">
        <v>350</v>
      </c>
      <c r="L21" s="206" t="s">
        <v>293</v>
      </c>
      <c r="M21" s="426">
        <v>32</v>
      </c>
      <c r="N21" s="387" t="s">
        <v>434</v>
      </c>
      <c r="O21" s="387"/>
      <c r="P21" s="387"/>
      <c r="Q21" s="387"/>
      <c r="R21" s="387" t="s">
        <v>434</v>
      </c>
      <c r="S21" s="428"/>
      <c r="T21" s="429"/>
      <c r="U21" s="391"/>
      <c r="V21" s="430" t="str">
        <f t="shared" si="0"/>
        <v>A32,</v>
      </c>
    </row>
    <row r="22" spans="6:22" ht="30" x14ac:dyDescent="0.25">
      <c r="F22" s="140" t="s">
        <v>48</v>
      </c>
      <c r="H22" s="128" t="s">
        <v>99</v>
      </c>
      <c r="I22" s="129" t="s">
        <v>351</v>
      </c>
      <c r="L22" s="385" t="s">
        <v>285</v>
      </c>
      <c r="M22" s="426">
        <v>33</v>
      </c>
      <c r="N22" s="427" t="s">
        <v>434</v>
      </c>
      <c r="O22" s="427">
        <v>1</v>
      </c>
      <c r="P22" s="427">
        <v>1</v>
      </c>
      <c r="Q22" s="427">
        <v>1</v>
      </c>
      <c r="R22" s="427" t="s">
        <v>434</v>
      </c>
      <c r="S22" s="428">
        <v>1</v>
      </c>
      <c r="T22" s="429"/>
      <c r="U22" s="392">
        <f t="shared" ref="U22:U33" si="2">SUMPRODUCT(N$5:R$5,N22:R22)</f>
        <v>3</v>
      </c>
      <c r="V22" s="430" t="str">
        <f t="shared" si="0"/>
        <v/>
      </c>
    </row>
    <row r="23" spans="6:22" ht="30" x14ac:dyDescent="0.25">
      <c r="F23" s="140" t="s">
        <v>49</v>
      </c>
      <c r="H23" s="128" t="s">
        <v>100</v>
      </c>
      <c r="I23" s="129" t="s">
        <v>352</v>
      </c>
      <c r="L23" s="385" t="s">
        <v>286</v>
      </c>
      <c r="M23" s="426">
        <v>34</v>
      </c>
      <c r="N23" s="427" t="s">
        <v>434</v>
      </c>
      <c r="O23" s="427">
        <v>1</v>
      </c>
      <c r="P23" s="427"/>
      <c r="Q23" s="427"/>
      <c r="R23" s="427" t="s">
        <v>434</v>
      </c>
      <c r="S23" s="428">
        <v>1</v>
      </c>
      <c r="T23" s="429">
        <v>1</v>
      </c>
      <c r="U23" s="392">
        <f t="shared" si="2"/>
        <v>1</v>
      </c>
      <c r="V23" s="430" t="str">
        <f t="shared" si="0"/>
        <v/>
      </c>
    </row>
    <row r="24" spans="6:22" ht="45" x14ac:dyDescent="0.25">
      <c r="F24" s="140" t="s">
        <v>50</v>
      </c>
      <c r="H24" s="128" t="s">
        <v>101</v>
      </c>
      <c r="I24" s="129" t="s">
        <v>353</v>
      </c>
      <c r="L24" s="385" t="s">
        <v>287</v>
      </c>
      <c r="M24" s="426">
        <v>35</v>
      </c>
      <c r="N24" s="427" t="s">
        <v>434</v>
      </c>
      <c r="O24" s="427">
        <v>1</v>
      </c>
      <c r="P24" s="427"/>
      <c r="Q24" s="427"/>
      <c r="R24" s="427" t="s">
        <v>434</v>
      </c>
      <c r="S24" s="428">
        <v>1</v>
      </c>
      <c r="T24" s="429">
        <v>1</v>
      </c>
      <c r="U24" s="392">
        <f t="shared" si="2"/>
        <v>1</v>
      </c>
      <c r="V24" s="430" t="str">
        <f t="shared" si="0"/>
        <v/>
      </c>
    </row>
    <row r="25" spans="6:22" ht="30" x14ac:dyDescent="0.25">
      <c r="F25" s="140" t="s">
        <v>51</v>
      </c>
      <c r="H25" s="128" t="s">
        <v>102</v>
      </c>
      <c r="I25" s="129" t="s">
        <v>354</v>
      </c>
      <c r="L25" s="385" t="s">
        <v>288</v>
      </c>
      <c r="M25" s="426">
        <v>36</v>
      </c>
      <c r="N25" s="427" t="s">
        <v>434</v>
      </c>
      <c r="O25" s="427">
        <v>1</v>
      </c>
      <c r="P25" s="427"/>
      <c r="Q25" s="427"/>
      <c r="R25" s="427" t="s">
        <v>434</v>
      </c>
      <c r="S25" s="428">
        <v>1</v>
      </c>
      <c r="T25" s="429">
        <v>1</v>
      </c>
      <c r="U25" s="392">
        <f t="shared" si="2"/>
        <v>1</v>
      </c>
      <c r="V25" s="430" t="str">
        <f t="shared" si="0"/>
        <v/>
      </c>
    </row>
    <row r="26" spans="6:22" ht="30" x14ac:dyDescent="0.25">
      <c r="F26" s="140" t="s">
        <v>479</v>
      </c>
      <c r="H26" s="128" t="s">
        <v>103</v>
      </c>
      <c r="I26" s="129" t="s">
        <v>355</v>
      </c>
      <c r="L26" s="385" t="s">
        <v>387</v>
      </c>
      <c r="M26" s="426">
        <v>37</v>
      </c>
      <c r="N26" s="427" t="s">
        <v>434</v>
      </c>
      <c r="O26" s="427">
        <v>1</v>
      </c>
      <c r="P26" s="427"/>
      <c r="Q26" s="427"/>
      <c r="R26" s="427" t="s">
        <v>434</v>
      </c>
      <c r="S26" s="428">
        <v>1</v>
      </c>
      <c r="T26" s="429">
        <v>1</v>
      </c>
      <c r="U26" s="392">
        <f t="shared" si="2"/>
        <v>1</v>
      </c>
      <c r="V26" s="430" t="str">
        <f t="shared" si="0"/>
        <v/>
      </c>
    </row>
    <row r="27" spans="6:22" ht="30.75" customHeight="1" thickBot="1" x14ac:dyDescent="0.3">
      <c r="F27" s="145" t="s">
        <v>52</v>
      </c>
      <c r="H27" s="128" t="s">
        <v>104</v>
      </c>
      <c r="I27" s="129" t="s">
        <v>242</v>
      </c>
      <c r="L27" s="385" t="s">
        <v>289</v>
      </c>
      <c r="M27" s="426">
        <v>38</v>
      </c>
      <c r="N27" s="427" t="s">
        <v>434</v>
      </c>
      <c r="O27" s="427">
        <v>1</v>
      </c>
      <c r="P27" s="427"/>
      <c r="Q27" s="427"/>
      <c r="R27" s="427" t="s">
        <v>434</v>
      </c>
      <c r="S27" s="428">
        <v>1</v>
      </c>
      <c r="T27" s="429">
        <v>1</v>
      </c>
      <c r="U27" s="392">
        <f t="shared" si="2"/>
        <v>1</v>
      </c>
      <c r="V27" s="430" t="str">
        <f t="shared" si="0"/>
        <v/>
      </c>
    </row>
    <row r="28" spans="6:22" ht="30.75" customHeight="1" thickBot="1" x14ac:dyDescent="0.3">
      <c r="H28" s="131" t="s">
        <v>53</v>
      </c>
      <c r="I28" s="132" t="str">
        <f>""</f>
        <v/>
      </c>
      <c r="L28" s="385" t="s">
        <v>388</v>
      </c>
      <c r="M28" s="426">
        <v>39</v>
      </c>
      <c r="N28" s="427" t="s">
        <v>434</v>
      </c>
      <c r="O28" s="427">
        <v>1</v>
      </c>
      <c r="P28" s="427"/>
      <c r="Q28" s="427"/>
      <c r="R28" s="427" t="s">
        <v>434</v>
      </c>
      <c r="S28" s="428">
        <v>1</v>
      </c>
      <c r="T28" s="429">
        <v>1</v>
      </c>
      <c r="U28" s="392">
        <f t="shared" si="2"/>
        <v>1</v>
      </c>
      <c r="V28" s="430" t="str">
        <f t="shared" si="0"/>
        <v/>
      </c>
    </row>
    <row r="29" spans="6:22" ht="30.75" customHeight="1" x14ac:dyDescent="0.25">
      <c r="I29" s="65"/>
      <c r="L29" s="385" t="s">
        <v>389</v>
      </c>
      <c r="M29" s="426">
        <v>40</v>
      </c>
      <c r="N29" s="427" t="s">
        <v>434</v>
      </c>
      <c r="O29" s="427">
        <v>1</v>
      </c>
      <c r="P29" s="427"/>
      <c r="Q29" s="427"/>
      <c r="R29" s="427" t="s">
        <v>434</v>
      </c>
      <c r="S29" s="428">
        <v>1</v>
      </c>
      <c r="T29" s="429">
        <v>1</v>
      </c>
      <c r="U29" s="392">
        <f t="shared" si="2"/>
        <v>1</v>
      </c>
      <c r="V29" s="430" t="str">
        <f t="shared" si="0"/>
        <v/>
      </c>
    </row>
    <row r="30" spans="6:22" ht="30.75" customHeight="1" x14ac:dyDescent="0.25">
      <c r="I30" s="65"/>
      <c r="L30" s="385" t="s">
        <v>295</v>
      </c>
      <c r="M30" s="426">
        <v>41</v>
      </c>
      <c r="N30" s="427" t="s">
        <v>434</v>
      </c>
      <c r="O30" s="427">
        <v>1</v>
      </c>
      <c r="P30" s="427"/>
      <c r="Q30" s="427"/>
      <c r="R30" s="427" t="s">
        <v>434</v>
      </c>
      <c r="S30" s="428">
        <v>1</v>
      </c>
      <c r="T30" s="429">
        <v>1</v>
      </c>
      <c r="U30" s="392">
        <f t="shared" si="2"/>
        <v>1</v>
      </c>
      <c r="V30" s="430" t="str">
        <f t="shared" si="0"/>
        <v/>
      </c>
    </row>
    <row r="31" spans="6:22" ht="30.75" customHeight="1" x14ac:dyDescent="0.25">
      <c r="I31" s="65"/>
      <c r="L31" s="385" t="s">
        <v>296</v>
      </c>
      <c r="M31" s="426">
        <v>42</v>
      </c>
      <c r="N31" s="427" t="s">
        <v>434</v>
      </c>
      <c r="O31" s="427">
        <v>1</v>
      </c>
      <c r="P31" s="427"/>
      <c r="Q31" s="427"/>
      <c r="R31" s="427" t="s">
        <v>434</v>
      </c>
      <c r="S31" s="428">
        <v>1</v>
      </c>
      <c r="T31" s="429">
        <v>1</v>
      </c>
      <c r="U31" s="392">
        <f t="shared" si="2"/>
        <v>1</v>
      </c>
      <c r="V31" s="430" t="str">
        <f t="shared" si="0"/>
        <v/>
      </c>
    </row>
    <row r="32" spans="6:22" ht="30.75" customHeight="1" x14ac:dyDescent="0.25">
      <c r="I32" s="65"/>
      <c r="L32" s="385" t="s">
        <v>297</v>
      </c>
      <c r="M32" s="426">
        <v>43</v>
      </c>
      <c r="N32" s="427" t="s">
        <v>434</v>
      </c>
      <c r="O32" s="427">
        <v>1</v>
      </c>
      <c r="P32" s="427"/>
      <c r="Q32" s="427"/>
      <c r="R32" s="427" t="s">
        <v>434</v>
      </c>
      <c r="S32" s="428">
        <v>1</v>
      </c>
      <c r="T32" s="429">
        <v>1</v>
      </c>
      <c r="U32" s="392">
        <f t="shared" si="2"/>
        <v>1</v>
      </c>
      <c r="V32" s="430" t="str">
        <f t="shared" si="0"/>
        <v/>
      </c>
    </row>
    <row r="33" spans="9:48" ht="30.75" customHeight="1" x14ac:dyDescent="0.25">
      <c r="I33" s="65"/>
      <c r="L33" s="385" t="s">
        <v>298</v>
      </c>
      <c r="M33" s="426">
        <v>44</v>
      </c>
      <c r="N33" s="427" t="s">
        <v>434</v>
      </c>
      <c r="O33" s="427">
        <v>1</v>
      </c>
      <c r="P33" s="427"/>
      <c r="Q33" s="427"/>
      <c r="R33" s="427">
        <v>1</v>
      </c>
      <c r="S33" s="428">
        <v>1</v>
      </c>
      <c r="T33" s="429">
        <v>1</v>
      </c>
      <c r="U33" s="392">
        <f t="shared" si="2"/>
        <v>1</v>
      </c>
      <c r="V33" s="430" t="str">
        <f t="shared" si="0"/>
        <v/>
      </c>
    </row>
    <row r="34" spans="9:48" ht="30.75" customHeight="1" x14ac:dyDescent="0.25">
      <c r="I34" s="65"/>
      <c r="L34" s="434" t="s">
        <v>330</v>
      </c>
      <c r="M34" s="426">
        <v>45</v>
      </c>
      <c r="N34" s="427" t="s">
        <v>434</v>
      </c>
      <c r="O34" s="427"/>
      <c r="P34" s="427"/>
      <c r="Q34" s="427"/>
      <c r="R34" s="427" t="s">
        <v>434</v>
      </c>
      <c r="S34" s="428">
        <v>1</v>
      </c>
      <c r="T34" s="429"/>
      <c r="U34" s="433">
        <f>IF('1.General'!$K$14=1,1,0)</f>
        <v>1</v>
      </c>
      <c r="V34" s="430" t="str">
        <f t="shared" si="0"/>
        <v/>
      </c>
    </row>
    <row r="35" spans="9:48" ht="30.75" customHeight="1" x14ac:dyDescent="0.25">
      <c r="I35" s="65"/>
      <c r="L35" s="385" t="s">
        <v>322</v>
      </c>
      <c r="M35" s="426">
        <v>46</v>
      </c>
      <c r="N35" s="427" t="s">
        <v>434</v>
      </c>
      <c r="O35" s="427">
        <v>1</v>
      </c>
      <c r="P35" s="427"/>
      <c r="Q35" s="427"/>
      <c r="R35" s="427" t="s">
        <v>434</v>
      </c>
      <c r="S35" s="428">
        <v>1</v>
      </c>
      <c r="T35" s="429">
        <v>1</v>
      </c>
      <c r="U35" s="392">
        <f>SUMPRODUCT(N$5:R$5,N35:R35)</f>
        <v>1</v>
      </c>
      <c r="V35" s="430" t="str">
        <f t="shared" si="0"/>
        <v/>
      </c>
    </row>
    <row r="36" spans="9:48" ht="30.75" customHeight="1" x14ac:dyDescent="0.25">
      <c r="I36" s="65"/>
      <c r="L36" s="385" t="s">
        <v>323</v>
      </c>
      <c r="M36" s="426">
        <v>47</v>
      </c>
      <c r="N36" s="427" t="s">
        <v>434</v>
      </c>
      <c r="O36" s="427">
        <v>1</v>
      </c>
      <c r="P36" s="427"/>
      <c r="Q36" s="427"/>
      <c r="R36" s="427" t="s">
        <v>434</v>
      </c>
      <c r="S36" s="428">
        <v>1</v>
      </c>
      <c r="T36" s="429">
        <v>1</v>
      </c>
      <c r="U36" s="392">
        <f>SUMPRODUCT(N$5:R$5,N36:R36)</f>
        <v>1</v>
      </c>
      <c r="V36" s="430" t="str">
        <f t="shared" si="0"/>
        <v/>
      </c>
    </row>
    <row r="37" spans="9:48" ht="30.75" customHeight="1" x14ac:dyDescent="0.25">
      <c r="I37" s="65"/>
      <c r="L37" s="385" t="s">
        <v>324</v>
      </c>
      <c r="M37" s="426">
        <v>48</v>
      </c>
      <c r="N37" s="427" t="s">
        <v>434</v>
      </c>
      <c r="O37" s="427"/>
      <c r="P37" s="427"/>
      <c r="Q37" s="427"/>
      <c r="R37" s="427">
        <v>1</v>
      </c>
      <c r="S37" s="428">
        <v>1</v>
      </c>
      <c r="T37" s="429"/>
      <c r="U37" s="392">
        <f>SUMPRODUCT(N$5:R$5,N37:R37)</f>
        <v>0</v>
      </c>
      <c r="V37" s="430" t="str">
        <f t="shared" si="0"/>
        <v>A48,</v>
      </c>
    </row>
    <row r="38" spans="9:48" ht="30.75" customHeight="1" x14ac:dyDescent="0.25">
      <c r="I38" s="65"/>
      <c r="L38" s="431" t="s">
        <v>325</v>
      </c>
      <c r="M38" s="426">
        <v>49</v>
      </c>
      <c r="N38" s="432" t="s">
        <v>434</v>
      </c>
      <c r="O38" s="432"/>
      <c r="P38" s="432"/>
      <c r="Q38" s="432"/>
      <c r="R38" s="432" t="s">
        <v>434</v>
      </c>
      <c r="S38" s="428">
        <v>1</v>
      </c>
      <c r="T38" s="429"/>
      <c r="U38" s="433">
        <f>IF(AND($D$5=2,$F$5=4,'1.General'!$K$39=2),1,0)</f>
        <v>0</v>
      </c>
      <c r="V38" s="430" t="str">
        <f t="shared" si="0"/>
        <v>A49,</v>
      </c>
    </row>
    <row r="39" spans="9:48" ht="30.75" customHeight="1" x14ac:dyDescent="0.25">
      <c r="I39" s="65"/>
      <c r="L39" s="385" t="s">
        <v>435</v>
      </c>
      <c r="M39" s="426">
        <v>50</v>
      </c>
      <c r="N39" s="427" t="s">
        <v>434</v>
      </c>
      <c r="O39" s="427">
        <v>1</v>
      </c>
      <c r="P39" s="427"/>
      <c r="Q39" s="427">
        <v>1</v>
      </c>
      <c r="R39" s="427" t="s">
        <v>434</v>
      </c>
      <c r="S39" s="428">
        <v>1</v>
      </c>
      <c r="T39" s="429"/>
      <c r="U39" s="392">
        <f>SUMPRODUCT(N$5:R$5,N39:R39)</f>
        <v>2</v>
      </c>
      <c r="V39" s="430" t="str">
        <f t="shared" si="0"/>
        <v/>
      </c>
      <c r="W39"/>
      <c r="X39"/>
      <c r="Y39"/>
      <c r="Z39"/>
      <c r="AA39"/>
      <c r="AB39"/>
      <c r="AC39"/>
      <c r="AD39"/>
      <c r="AE39"/>
      <c r="AF39"/>
      <c r="AG39"/>
      <c r="AH39"/>
      <c r="AI39"/>
      <c r="AJ39"/>
      <c r="AK39"/>
      <c r="AL39"/>
      <c r="AM39"/>
      <c r="AN39"/>
      <c r="AO39"/>
      <c r="AP39"/>
      <c r="AQ39"/>
      <c r="AR39"/>
      <c r="AS39"/>
      <c r="AT39"/>
      <c r="AU39"/>
      <c r="AV39"/>
    </row>
    <row r="40" spans="9:48" ht="30" customHeight="1" x14ac:dyDescent="0.25">
      <c r="I40" s="65"/>
      <c r="L40" s="385" t="s">
        <v>326</v>
      </c>
      <c r="M40" s="426">
        <v>51</v>
      </c>
      <c r="N40" s="427">
        <v>1</v>
      </c>
      <c r="O40" s="427"/>
      <c r="P40" s="427"/>
      <c r="Q40" s="427"/>
      <c r="R40" s="427" t="s">
        <v>434</v>
      </c>
      <c r="S40" s="428">
        <v>1</v>
      </c>
      <c r="T40" s="429">
        <v>1</v>
      </c>
      <c r="U40" s="392">
        <f>SUMPRODUCT(N$5:R$5,N40:R40)</f>
        <v>1</v>
      </c>
      <c r="V40" s="430" t="str">
        <f t="shared" si="0"/>
        <v/>
      </c>
    </row>
    <row r="41" spans="9:48" ht="30" customHeight="1" x14ac:dyDescent="0.25">
      <c r="I41" s="65"/>
      <c r="L41" s="385" t="s">
        <v>335</v>
      </c>
      <c r="M41" s="426">
        <v>52</v>
      </c>
      <c r="N41" s="427"/>
      <c r="O41" s="427">
        <v>1</v>
      </c>
      <c r="P41" s="427"/>
      <c r="Q41" s="427"/>
      <c r="R41" s="427" t="s">
        <v>434</v>
      </c>
      <c r="S41" s="428">
        <v>1</v>
      </c>
      <c r="T41" s="429">
        <v>1</v>
      </c>
      <c r="U41" s="392">
        <f>SUMPRODUCT(N$5:R$5,N41:R41)</f>
        <v>1</v>
      </c>
      <c r="V41" s="430" t="str">
        <f t="shared" si="0"/>
        <v/>
      </c>
    </row>
    <row r="42" spans="9:48" ht="30" customHeight="1" x14ac:dyDescent="0.25">
      <c r="I42" s="65"/>
      <c r="L42" s="431" t="s">
        <v>334</v>
      </c>
      <c r="M42" s="426">
        <v>53</v>
      </c>
      <c r="N42" s="432" t="s">
        <v>434</v>
      </c>
      <c r="O42" s="432"/>
      <c r="P42" s="432"/>
      <c r="Q42" s="432"/>
      <c r="R42" s="432" t="s">
        <v>434</v>
      </c>
      <c r="S42" s="428">
        <v>1</v>
      </c>
      <c r="T42" s="429">
        <v>1</v>
      </c>
      <c r="U42" s="433">
        <f>IF('1.General'!$K$26=1,1,0)</f>
        <v>0</v>
      </c>
      <c r="V42" s="430" t="str">
        <f t="shared" si="0"/>
        <v>A53,</v>
      </c>
    </row>
    <row r="43" spans="9:48" ht="30" customHeight="1" x14ac:dyDescent="0.25">
      <c r="I43" s="65"/>
      <c r="L43" s="206" t="s">
        <v>79</v>
      </c>
      <c r="M43" s="426">
        <v>54</v>
      </c>
      <c r="N43" s="427">
        <v>1</v>
      </c>
      <c r="O43" s="427"/>
      <c r="P43" s="427"/>
      <c r="Q43" s="427"/>
      <c r="R43" s="427" t="s">
        <v>434</v>
      </c>
      <c r="S43" s="428">
        <v>1</v>
      </c>
      <c r="T43" s="429"/>
      <c r="U43" s="392">
        <f t="shared" ref="U43:U52" si="3">SUMPRODUCT(N$5:R$5,N43:R43)</f>
        <v>1</v>
      </c>
      <c r="V43" s="430" t="str">
        <f t="shared" si="0"/>
        <v/>
      </c>
    </row>
    <row r="44" spans="9:48" ht="30" customHeight="1" x14ac:dyDescent="0.25">
      <c r="I44" s="65"/>
      <c r="L44" s="206" t="s">
        <v>390</v>
      </c>
      <c r="M44" s="426">
        <v>55</v>
      </c>
      <c r="N44" s="427" t="s">
        <v>434</v>
      </c>
      <c r="O44" s="427">
        <v>1</v>
      </c>
      <c r="P44" s="427"/>
      <c r="Q44" s="427"/>
      <c r="R44" s="427">
        <v>1</v>
      </c>
      <c r="S44" s="428">
        <v>1</v>
      </c>
      <c r="T44" s="429">
        <v>1</v>
      </c>
      <c r="U44" s="392">
        <f t="shared" si="3"/>
        <v>1</v>
      </c>
      <c r="V44" s="430" t="str">
        <f t="shared" si="0"/>
        <v/>
      </c>
    </row>
    <row r="45" spans="9:48" ht="30" customHeight="1" x14ac:dyDescent="0.25">
      <c r="I45" s="65"/>
      <c r="L45" s="206" t="s">
        <v>391</v>
      </c>
      <c r="M45" s="426">
        <v>56</v>
      </c>
      <c r="N45" s="427" t="s">
        <v>434</v>
      </c>
      <c r="O45" s="427">
        <v>1</v>
      </c>
      <c r="P45" s="427"/>
      <c r="Q45" s="427"/>
      <c r="R45" s="427" t="s">
        <v>434</v>
      </c>
      <c r="S45" s="428">
        <v>1</v>
      </c>
      <c r="T45" s="429">
        <v>1</v>
      </c>
      <c r="U45" s="392">
        <f t="shared" si="3"/>
        <v>1</v>
      </c>
      <c r="V45" s="430" t="str">
        <f t="shared" si="0"/>
        <v/>
      </c>
    </row>
    <row r="46" spans="9:48" ht="30" customHeight="1" x14ac:dyDescent="0.25">
      <c r="I46" s="65"/>
      <c r="L46" s="206" t="s">
        <v>393</v>
      </c>
      <c r="M46" s="426">
        <v>57</v>
      </c>
      <c r="N46" s="427" t="s">
        <v>434</v>
      </c>
      <c r="O46" s="427">
        <v>1</v>
      </c>
      <c r="P46" s="427"/>
      <c r="Q46" s="427">
        <v>1</v>
      </c>
      <c r="R46" s="427">
        <v>1</v>
      </c>
      <c r="S46" s="428">
        <v>1</v>
      </c>
      <c r="T46" s="429"/>
      <c r="U46" s="392">
        <f t="shared" si="3"/>
        <v>2</v>
      </c>
      <c r="V46" s="430" t="str">
        <f t="shared" si="0"/>
        <v/>
      </c>
    </row>
    <row r="47" spans="9:48" ht="30" customHeight="1" x14ac:dyDescent="0.25">
      <c r="I47" s="65"/>
      <c r="L47" s="206" t="s">
        <v>392</v>
      </c>
      <c r="M47" s="426">
        <v>58</v>
      </c>
      <c r="N47" s="427" t="s">
        <v>434</v>
      </c>
      <c r="O47" s="427">
        <v>1</v>
      </c>
      <c r="P47" s="427"/>
      <c r="Q47" s="427">
        <v>1</v>
      </c>
      <c r="R47" s="427">
        <v>1</v>
      </c>
      <c r="S47" s="428">
        <v>1</v>
      </c>
      <c r="T47" s="429"/>
      <c r="U47" s="392">
        <f t="shared" si="3"/>
        <v>2</v>
      </c>
      <c r="V47" s="430" t="str">
        <f t="shared" si="0"/>
        <v/>
      </c>
    </row>
    <row r="48" spans="9:48" ht="30" customHeight="1" x14ac:dyDescent="0.25">
      <c r="I48" s="65"/>
      <c r="L48" s="206" t="s">
        <v>303</v>
      </c>
      <c r="M48" s="426">
        <v>59</v>
      </c>
      <c r="N48" s="427" t="s">
        <v>434</v>
      </c>
      <c r="O48" s="427"/>
      <c r="P48" s="427">
        <v>1</v>
      </c>
      <c r="Q48" s="427"/>
      <c r="R48" s="427">
        <v>1</v>
      </c>
      <c r="S48" s="428">
        <v>1</v>
      </c>
      <c r="T48" s="429"/>
      <c r="U48" s="392">
        <f t="shared" si="3"/>
        <v>1</v>
      </c>
      <c r="V48" s="430" t="str">
        <f t="shared" si="0"/>
        <v/>
      </c>
    </row>
    <row r="49" spans="9:22" ht="30" customHeight="1" x14ac:dyDescent="0.25">
      <c r="I49" s="65"/>
      <c r="L49" s="206" t="s">
        <v>331</v>
      </c>
      <c r="M49" s="426">
        <v>60</v>
      </c>
      <c r="N49" s="427" t="s">
        <v>434</v>
      </c>
      <c r="O49" s="427">
        <v>1</v>
      </c>
      <c r="P49" s="427"/>
      <c r="Q49" s="427"/>
      <c r="R49" s="427">
        <v>1</v>
      </c>
      <c r="S49" s="428">
        <v>1</v>
      </c>
      <c r="T49" s="429"/>
      <c r="U49" s="392">
        <f t="shared" si="3"/>
        <v>1</v>
      </c>
      <c r="V49" s="430" t="str">
        <f t="shared" si="0"/>
        <v/>
      </c>
    </row>
    <row r="50" spans="9:22" ht="30" customHeight="1" x14ac:dyDescent="0.25">
      <c r="I50" s="65"/>
      <c r="L50" s="388" t="s">
        <v>395</v>
      </c>
      <c r="M50" s="426">
        <v>61</v>
      </c>
      <c r="N50" s="427"/>
      <c r="O50" s="427">
        <v>1</v>
      </c>
      <c r="P50" s="427">
        <v>1</v>
      </c>
      <c r="Q50" s="427"/>
      <c r="R50" s="427">
        <v>1</v>
      </c>
      <c r="S50" s="428"/>
      <c r="T50" s="429"/>
      <c r="U50" s="392">
        <f t="shared" si="3"/>
        <v>2</v>
      </c>
      <c r="V50" s="430" t="str">
        <f t="shared" si="0"/>
        <v/>
      </c>
    </row>
    <row r="51" spans="9:22" ht="30" customHeight="1" x14ac:dyDescent="0.25">
      <c r="I51" s="65"/>
      <c r="L51" s="388" t="s">
        <v>396</v>
      </c>
      <c r="M51" s="426">
        <v>62</v>
      </c>
      <c r="N51" s="427" t="s">
        <v>434</v>
      </c>
      <c r="O51" s="427"/>
      <c r="P51" s="427">
        <v>1</v>
      </c>
      <c r="Q51" s="427"/>
      <c r="R51" s="427">
        <v>1</v>
      </c>
      <c r="S51" s="428"/>
      <c r="T51" s="429"/>
      <c r="U51" s="392">
        <f t="shared" si="3"/>
        <v>1</v>
      </c>
      <c r="V51" s="430" t="str">
        <f t="shared" si="0"/>
        <v/>
      </c>
    </row>
    <row r="52" spans="9:22" ht="30" customHeight="1" x14ac:dyDescent="0.25">
      <c r="L52" s="388" t="s">
        <v>402</v>
      </c>
      <c r="M52" s="426">
        <v>63</v>
      </c>
      <c r="N52" s="427" t="s">
        <v>434</v>
      </c>
      <c r="O52" s="427"/>
      <c r="P52" s="427"/>
      <c r="Q52" s="427"/>
      <c r="R52" s="427">
        <v>1</v>
      </c>
      <c r="S52" s="428"/>
      <c r="T52" s="429"/>
      <c r="U52" s="392">
        <f t="shared" si="3"/>
        <v>0</v>
      </c>
      <c r="V52" s="430" t="str">
        <f t="shared" si="0"/>
        <v>A63,</v>
      </c>
    </row>
    <row r="53" spans="9:22" ht="30" customHeight="1" thickBot="1" x14ac:dyDescent="0.3">
      <c r="L53" s="390" t="s">
        <v>384</v>
      </c>
      <c r="M53" s="435">
        <v>64</v>
      </c>
      <c r="N53" s="436" t="s">
        <v>434</v>
      </c>
      <c r="O53" s="436"/>
      <c r="P53" s="436"/>
      <c r="Q53" s="436"/>
      <c r="R53" s="436" t="s">
        <v>434</v>
      </c>
      <c r="S53" s="437"/>
      <c r="T53" s="438"/>
      <c r="U53" s="439">
        <f>IF(AND($D$5=2,$F$5=4),1,0)</f>
        <v>0</v>
      </c>
      <c r="V53" s="440" t="str">
        <f t="shared" si="0"/>
        <v>A64,</v>
      </c>
    </row>
    <row r="54" spans="9:22" ht="30" customHeight="1" x14ac:dyDescent="0.25"/>
    <row r="55" spans="9:22" ht="30" customHeight="1" x14ac:dyDescent="0.25"/>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KCnXq/MmBW5nHLK3GjHIHRZac1ydfF+/e5AYFZi5UA5wWw7weBePWohpb9wPo9JoUYosiIrXSrto9PoWFJ7PPg==" saltValue="HS1cbrA8Mb6zu1p4UTpvmw==" spinCount="100000" sheet="1" objects="1" scenarios="1" formatColumns="0" formatRows="0" sort="0"/>
  <printOptions horizontalCentered="1"/>
  <pageMargins left="0.2" right="0.45" top="0.5" bottom="0.5" header="0.3" footer="0.3"/>
  <pageSetup scale="30" orientation="landscape" r:id="rId1"/>
  <headerFooter>
    <oddFooter>&amp;L1/11/2022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9"/>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8"/>
      <c r="B1" s="319" t="s">
        <v>308</v>
      </c>
    </row>
    <row r="2" spans="1:2" ht="26.25" customHeight="1" x14ac:dyDescent="0.25">
      <c r="A2" s="318"/>
      <c r="B2" s="320"/>
    </row>
    <row r="3" spans="1:2" ht="47.25" x14ac:dyDescent="0.25">
      <c r="A3" s="188"/>
      <c r="B3" s="189" t="s">
        <v>312</v>
      </c>
    </row>
    <row r="4" spans="1:2" ht="27" thickBot="1" x14ac:dyDescent="0.3">
      <c r="A4" s="187"/>
      <c r="B4" s="190" t="s">
        <v>60</v>
      </c>
    </row>
    <row r="5" spans="1:2" ht="15" customHeight="1" x14ac:dyDescent="0.25">
      <c r="A5" s="188"/>
      <c r="B5" s="191"/>
    </row>
    <row r="6" spans="1:2" ht="75" customHeight="1" x14ac:dyDescent="0.25">
      <c r="A6" s="163" t="s">
        <v>305</v>
      </c>
      <c r="B6" s="175" t="s">
        <v>309</v>
      </c>
    </row>
    <row r="7" spans="1:2" ht="75" customHeight="1" x14ac:dyDescent="0.25">
      <c r="A7" s="163" t="s">
        <v>306</v>
      </c>
      <c r="B7" s="175" t="s">
        <v>410</v>
      </c>
    </row>
    <row r="8" spans="1:2" ht="92.25" customHeight="1" x14ac:dyDescent="0.25">
      <c r="A8" s="163" t="s">
        <v>307</v>
      </c>
      <c r="B8" s="316" t="s">
        <v>349</v>
      </c>
    </row>
    <row r="9" spans="1:2" ht="68.25" customHeight="1" x14ac:dyDescent="0.25">
      <c r="A9" s="163" t="s">
        <v>310</v>
      </c>
      <c r="B9" s="175" t="s">
        <v>313</v>
      </c>
    </row>
  </sheetData>
  <sheetProtection algorithmName="SHA-512" hashValue="v9CNouPQLN4Gm8xOioXPEP4GyrXhH8wVlt8vPm5T0IvOTqRSUfCaf9WAEe9kfVYXi4dxJmDjeqjtB0r7/BpOHw==" saltValue="jz6xaA1kG4ipycbWqwZIS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5"/>
  <sheetViews>
    <sheetView showGridLines="0" tabSelected="1" view="pageBreakPreview" zoomScaleNormal="100" zoomScaleSheetLayoutView="100" workbookViewId="0">
      <selection activeCell="B7" sqref="B7"/>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General Insurance Company</v>
      </c>
      <c r="L1" s="336" t="s">
        <v>304</v>
      </c>
    </row>
    <row r="2" spans="1:18" x14ac:dyDescent="0.25">
      <c r="A2" s="21" t="s">
        <v>69</v>
      </c>
      <c r="D2" s="21" t="s">
        <v>71</v>
      </c>
      <c r="I2" s="36" t="str">
        <f>General_Line</f>
        <v>Homeowners</v>
      </c>
      <c r="L2" s="337" t="s">
        <v>109</v>
      </c>
    </row>
    <row r="3" spans="1:18" ht="18" customHeight="1" x14ac:dyDescent="0.25">
      <c r="A3" s="21"/>
      <c r="B3" s="168"/>
      <c r="J3" s="36"/>
      <c r="K3" s="36"/>
      <c r="L3" s="338"/>
    </row>
    <row r="4" spans="1:18" ht="23.25" x14ac:dyDescent="0.25">
      <c r="A4" s="5" t="s">
        <v>315</v>
      </c>
      <c r="B4" s="6"/>
      <c r="C4" s="6"/>
      <c r="D4" s="6"/>
      <c r="E4" s="6"/>
      <c r="F4" s="6"/>
      <c r="G4" s="6"/>
      <c r="H4" s="6"/>
      <c r="I4" s="6"/>
      <c r="J4" s="6"/>
      <c r="K4" s="6"/>
      <c r="L4" s="338"/>
      <c r="M4" s="7"/>
      <c r="R4" s="9"/>
    </row>
    <row r="5" spans="1:18" ht="23.25" customHeight="1" x14ac:dyDescent="0.25">
      <c r="A5" s="5" t="s">
        <v>314</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514</v>
      </c>
      <c r="C7" s="7"/>
      <c r="D7" s="7" t="s">
        <v>1</v>
      </c>
      <c r="E7" s="362">
        <v>44705</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515</v>
      </c>
      <c r="C9" s="7"/>
      <c r="D9" s="7"/>
      <c r="E9" s="7"/>
      <c r="F9" s="7"/>
      <c r="G9" s="7"/>
      <c r="H9" s="7"/>
      <c r="I9" s="7"/>
      <c r="J9" s="7"/>
      <c r="K9" s="7"/>
      <c r="L9" s="340"/>
      <c r="M9" s="7"/>
    </row>
    <row r="10" spans="1:18" ht="18" customHeight="1" thickBot="1" x14ac:dyDescent="0.3">
      <c r="A10" s="7"/>
      <c r="B10" s="67" t="s">
        <v>83</v>
      </c>
      <c r="C10" s="7"/>
      <c r="D10" s="7"/>
      <c r="E10" s="7"/>
      <c r="F10" s="7"/>
      <c r="J10" s="247"/>
      <c r="K10" s="17"/>
      <c r="L10" s="333"/>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
      </c>
      <c r="F14" s="7"/>
      <c r="G14" s="44" t="s">
        <v>114</v>
      </c>
      <c r="H14" s="565"/>
      <c r="I14" s="566"/>
      <c r="J14" s="243"/>
      <c r="K14" s="254">
        <v>1</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65"/>
      <c r="I16" s="566"/>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67"/>
      <c r="I18" s="568"/>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67"/>
      <c r="I20" s="568"/>
      <c r="J20" s="243"/>
      <c r="K20" s="254">
        <v>2</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71"/>
      <c r="D22" s="572"/>
      <c r="E22" s="7"/>
      <c r="F22" s="7"/>
      <c r="G22" s="44" t="s">
        <v>19</v>
      </c>
      <c r="H22" s="569"/>
      <c r="I22" s="570"/>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381</v>
      </c>
      <c r="B24" s="7"/>
      <c r="C24" s="7"/>
      <c r="D24" s="7"/>
      <c r="E24" s="323" t="str">
        <f>IF(INDEX(List_YNIndicator,$K$24,1)="N","(Page 2 hidden)","")</f>
        <v>(Page 2 hidden)</v>
      </c>
      <c r="F24" s="7"/>
      <c r="G24" s="44" t="s">
        <v>13</v>
      </c>
      <c r="H24" s="567" t="str">
        <f>IF(ISBLANK(H22)," ",H22+60)</f>
        <v xml:space="preserve"> </v>
      </c>
      <c r="I24" s="573"/>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411</v>
      </c>
      <c r="B26" s="7"/>
      <c r="C26" s="7"/>
      <c r="D26" s="7"/>
      <c r="E26" s="7"/>
      <c r="F26" s="7"/>
      <c r="G26" s="44" t="s">
        <v>14</v>
      </c>
      <c r="H26" s="565"/>
      <c r="I26" s="566"/>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74"/>
      <c r="I28" s="575"/>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2"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55" t="s">
        <v>542</v>
      </c>
      <c r="C32" s="556"/>
      <c r="D32" s="556"/>
      <c r="E32" s="557"/>
      <c r="F32" s="7"/>
      <c r="G32" s="44" t="s">
        <v>20</v>
      </c>
      <c r="H32" s="565"/>
      <c r="I32" s="566"/>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55" t="s">
        <v>45</v>
      </c>
      <c r="C34" s="556"/>
      <c r="D34" s="556"/>
      <c r="E34" s="557"/>
      <c r="F34" s="7"/>
      <c r="G34" s="44" t="s">
        <v>32</v>
      </c>
      <c r="H34" s="48"/>
      <c r="I34" s="48"/>
      <c r="J34" s="244"/>
      <c r="K34" s="250"/>
      <c r="L34" s="333"/>
      <c r="M34" s="356" t="b">
        <f>IF(FilingType_Rate=TRUE,TRUE,FALSE)</f>
        <v>1</v>
      </c>
      <c r="N34" s="355" t="b">
        <f>IF(FilingType_Rule=TRUE,TRUE,FALSE)</f>
        <v>1</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266</v>
      </c>
      <c r="F36" s="7"/>
      <c r="G36" s="46"/>
      <c r="H36" s="48"/>
      <c r="I36" s="48"/>
      <c r="J36" s="243"/>
      <c r="K36" s="248"/>
      <c r="L36" s="344"/>
      <c r="M36" s="356" t="b">
        <f>IF(FilingType_Form=TRUE,TRUE,FALSE)</f>
        <v>1</v>
      </c>
      <c r="N36" s="355" t="b">
        <f>IF(K14=1,TRUE,FALSE)</f>
        <v>1</v>
      </c>
    </row>
    <row r="37" spans="1:14" ht="18" customHeight="1" x14ac:dyDescent="0.25">
      <c r="A37" s="24" t="s">
        <v>9</v>
      </c>
      <c r="B37" s="7"/>
      <c r="C37" s="571" t="s">
        <v>517</v>
      </c>
      <c r="D37" s="572"/>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63">
        <f>IF(OR(FilingType_Rate=TRUE,'3.Filing Type and Checklist'!$E$9="Y",'3.Filing Type and Checklist'!$E$11="Y"),IF(ISNUMBER('4.Proposed Impact'!$D$22),'4.Proposed Impact'!$D$22,"Error"),
IF(FilingType_NewProgram=TRUE,"0.0%",
IF(OR(AND(FilingType_Rule=TRUE,'3.Filing Type and Checklist'!$E$9="N"),AND(FilingType_Form=TRUE,'3.Filing Type and Checklist'!$E$11="N")),"*","")))</f>
        <v>6.9000000000000006E-2</v>
      </c>
      <c r="I39" s="563"/>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486</v>
      </c>
      <c r="B41" s="7"/>
      <c r="C41" s="7"/>
      <c r="D41" s="7"/>
      <c r="E41" s="7"/>
      <c r="F41" s="399"/>
      <c r="G41" s="398"/>
      <c r="H41" s="561"/>
      <c r="I41" s="562"/>
      <c r="J41" s="243"/>
      <c r="K41" s="454">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33"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33"/>
      <c r="M44" s="7"/>
    </row>
    <row r="45" spans="1:14" ht="18" customHeight="1" x14ac:dyDescent="0.25">
      <c r="A45" s="7" t="s">
        <v>0</v>
      </c>
      <c r="B45" s="555" t="s">
        <v>541</v>
      </c>
      <c r="C45" s="556"/>
      <c r="D45" s="556"/>
      <c r="E45" s="557"/>
      <c r="F45" s="7"/>
      <c r="G45" s="17"/>
      <c r="H45" s="17"/>
      <c r="I45" s="17"/>
      <c r="J45" s="17"/>
      <c r="K45" s="17"/>
      <c r="L45" s="400"/>
      <c r="M45" s="7"/>
    </row>
    <row r="46" spans="1:14" ht="18" customHeight="1" x14ac:dyDescent="0.25">
      <c r="A46" s="7" t="s">
        <v>23</v>
      </c>
      <c r="B46" s="555" t="s">
        <v>518</v>
      </c>
      <c r="C46" s="556"/>
      <c r="D46" s="556"/>
      <c r="E46" s="557"/>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25151</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58" t="s">
        <v>519</v>
      </c>
      <c r="D51" s="559"/>
      <c r="E51" s="560"/>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55" t="s">
        <v>520</v>
      </c>
      <c r="C53" s="556"/>
      <c r="D53" s="556"/>
      <c r="E53" s="556"/>
      <c r="F53" s="556"/>
      <c r="G53" s="556"/>
      <c r="H53" s="556"/>
      <c r="I53" s="556"/>
      <c r="J53" s="557"/>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55" t="s">
        <v>521</v>
      </c>
      <c r="C55" s="556"/>
      <c r="D55" s="556"/>
      <c r="E55" s="556"/>
      <c r="F55" s="556"/>
      <c r="G55" s="556"/>
      <c r="H55" s="556"/>
      <c r="I55" s="556"/>
      <c r="J55" s="557"/>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55" t="s">
        <v>522</v>
      </c>
      <c r="C57" s="556"/>
      <c r="D57" s="556"/>
      <c r="E57" s="557"/>
      <c r="F57" s="7" t="s">
        <v>57</v>
      </c>
      <c r="G57" s="555" t="s">
        <v>523</v>
      </c>
      <c r="H57" s="556"/>
      <c r="I57" s="556"/>
      <c r="J57" s="557"/>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55" t="s">
        <v>524</v>
      </c>
      <c r="C59" s="556"/>
      <c r="D59" s="556"/>
      <c r="E59" s="556"/>
      <c r="F59" s="556"/>
      <c r="G59" s="556"/>
      <c r="H59" s="556"/>
      <c r="I59" s="556"/>
      <c r="J59" s="557"/>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55" t="s">
        <v>525</v>
      </c>
      <c r="C61" s="556"/>
      <c r="D61" s="556"/>
      <c r="E61" s="556"/>
      <c r="F61" s="556"/>
      <c r="G61" s="556"/>
      <c r="H61" s="556"/>
      <c r="I61" s="556"/>
      <c r="J61" s="557"/>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54"/>
      <c r="B67" s="554"/>
      <c r="C67" s="14"/>
      <c r="D67" s="564"/>
      <c r="E67" s="564"/>
      <c r="F67" s="564"/>
      <c r="G67" s="17"/>
      <c r="H67" s="553"/>
      <c r="I67" s="553"/>
      <c r="J67" s="553"/>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Wxe88ZfTDkb4NxyCsG7ErnHtQpNkZYvuv7tBFT8rLmf6mzK2WsGhOHQVMxonN6xkDRfCBwF4JPW+99vHJkM/nA==" saltValue="miCY2XU/wJ39HzoU9frv7g==" spinCount="100000" sheet="1" objects="1" scenarios="1" formatColumns="0" formatRows="0" sort="0"/>
  <mergeCells count="27">
    <mergeCell ref="C22:D22"/>
    <mergeCell ref="C37:D37"/>
    <mergeCell ref="H24:I24"/>
    <mergeCell ref="H26:I26"/>
    <mergeCell ref="H28:I28"/>
    <mergeCell ref="H32:I32"/>
    <mergeCell ref="H14:I14"/>
    <mergeCell ref="H16:I16"/>
    <mergeCell ref="H18:I18"/>
    <mergeCell ref="H20:I20"/>
    <mergeCell ref="H22:I22"/>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00000000-0002-0000-0300-000001000000}">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&amp;L1/11/2022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General Insurance Company</v>
      </c>
      <c r="G1" s="8"/>
      <c r="H1" s="8"/>
    </row>
    <row r="2" spans="1:9" x14ac:dyDescent="0.25">
      <c r="A2" s="21" t="s">
        <v>69</v>
      </c>
      <c r="C2" s="37" t="s">
        <v>71</v>
      </c>
      <c r="D2" s="8"/>
      <c r="E2" s="21"/>
      <c r="F2" s="36" t="str">
        <f>General_Line</f>
        <v>Homeowners</v>
      </c>
      <c r="G2" s="8"/>
      <c r="H2" s="8"/>
    </row>
    <row r="3" spans="1:9" ht="11.25" customHeight="1" x14ac:dyDescent="0.25">
      <c r="B3" s="167"/>
      <c r="G3" s="8"/>
    </row>
    <row r="4" spans="1:9" ht="23.25" x14ac:dyDescent="0.25">
      <c r="A4" s="5" t="s">
        <v>329</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382</v>
      </c>
      <c r="B7" s="7"/>
      <c r="C7" s="7"/>
      <c r="D7" s="7"/>
      <c r="E7" s="7"/>
      <c r="F7" s="330"/>
      <c r="G7" s="8"/>
    </row>
    <row r="8" spans="1:9" ht="18" customHeight="1" x14ac:dyDescent="0.25">
      <c r="A8" s="2" t="s">
        <v>383</v>
      </c>
      <c r="B8" s="7"/>
      <c r="C8" s="7"/>
      <c r="D8" s="7"/>
      <c r="E8" s="7"/>
      <c r="F8" s="330"/>
      <c r="G8" s="8"/>
    </row>
    <row r="9" spans="1:9" ht="11.25" customHeight="1" x14ac:dyDescent="0.25">
      <c r="A9" s="2"/>
      <c r="B9" s="7"/>
      <c r="C9" s="7"/>
      <c r="D9" s="7"/>
      <c r="E9" s="7"/>
      <c r="F9" s="330"/>
      <c r="G9" s="8"/>
    </row>
    <row r="10" spans="1:9" ht="21" customHeight="1" x14ac:dyDescent="0.25">
      <c r="A10" s="26" t="s">
        <v>400</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General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25151</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373</v>
      </c>
    </row>
    <row r="103" spans="1:7" x14ac:dyDescent="0.25">
      <c r="A103" s="324" t="s">
        <v>376</v>
      </c>
    </row>
    <row r="105" spans="1:7" hidden="1" x14ac:dyDescent="0.25"/>
  </sheetData>
  <sheetProtection algorithmName="SHA-512" hashValue="1PHPeGXfTUjfmZMTDa6hk48XUWN9DCnIXzm/Hkr14Uqiw6zCQYf6T9aB7Nejt1zybn1ET6QYyNZxfqzPcDPyjg==" saltValue="ZZ6xodvIWGHUZycxuQVPxw==" spinCount="100000" sheet="1" objects="1" scenarios="1" formatColumns="0" formatRows="0" sort="0"/>
  <conditionalFormatting sqref="B16">
    <cfRule type="expression" dxfId="27" priority="15">
      <formula>NOT(ISBLANK(B13))</formula>
    </cfRule>
  </conditionalFormatting>
  <conditionalFormatting sqref="B22">
    <cfRule type="expression" dxfId="26" priority="14">
      <formula>NOT(ISBLANK(B19))</formula>
    </cfRule>
  </conditionalFormatting>
  <conditionalFormatting sqref="B28">
    <cfRule type="expression" dxfId="25" priority="13">
      <formula>NOT(ISBLANK(B25))</formula>
    </cfRule>
  </conditionalFormatting>
  <conditionalFormatting sqref="B34">
    <cfRule type="expression" dxfId="24" priority="12">
      <formula>NOT(ISBLANK(B31))</formula>
    </cfRule>
  </conditionalFormatting>
  <conditionalFormatting sqref="B40">
    <cfRule type="expression" dxfId="23" priority="11">
      <formula>NOT(ISBLANK(B37))</formula>
    </cfRule>
  </conditionalFormatting>
  <conditionalFormatting sqref="B46">
    <cfRule type="expression" dxfId="22" priority="10">
      <formula>NOT(ISBLANK(B43))</formula>
    </cfRule>
  </conditionalFormatting>
  <conditionalFormatting sqref="B52">
    <cfRule type="expression" dxfId="21" priority="9">
      <formula>NOT(ISBLANK(B49))</formula>
    </cfRule>
  </conditionalFormatting>
  <conditionalFormatting sqref="B58">
    <cfRule type="expression" dxfId="20" priority="8">
      <formula>NOT(ISBLANK(B55))</formula>
    </cfRule>
  </conditionalFormatting>
  <conditionalFormatting sqref="B64">
    <cfRule type="expression" dxfId="19" priority="7">
      <formula>NOT(ISBLANK(B61))</formula>
    </cfRule>
  </conditionalFormatting>
  <conditionalFormatting sqref="B70">
    <cfRule type="expression" dxfId="18" priority="6">
      <formula>NOT(ISBLANK(B67))</formula>
    </cfRule>
  </conditionalFormatting>
  <conditionalFormatting sqref="B76">
    <cfRule type="expression" dxfId="17" priority="5">
      <formula>NOT(ISBLANK(B73))</formula>
    </cfRule>
  </conditionalFormatting>
  <conditionalFormatting sqref="B82">
    <cfRule type="expression" dxfId="16" priority="4">
      <formula>NOT(ISBLANK(B79))</formula>
    </cfRule>
  </conditionalFormatting>
  <conditionalFormatting sqref="B88">
    <cfRule type="expression" dxfId="15" priority="3">
      <formula>NOT(ISBLANK(B85))</formula>
    </cfRule>
  </conditionalFormatting>
  <conditionalFormatting sqref="B94">
    <cfRule type="expression" dxfId="14" priority="2">
      <formula>NOT(ISBLANK(B91))</formula>
    </cfRule>
  </conditionalFormatting>
  <conditionalFormatting sqref="B100">
    <cfRule type="expression" dxfId="13"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2&amp;L1/11/2022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fitToPage="1"/>
  </sheetPr>
  <dimension ref="A1:H140"/>
  <sheetViews>
    <sheetView showGridLines="0" view="pageBreakPreview" topLeftCell="A54" zoomScaleNormal="100" zoomScaleSheetLayoutView="100" workbookViewId="0">
      <selection activeCell="C8" sqref="C8"/>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General Insurance Company</v>
      </c>
      <c r="H1" s="336" t="s">
        <v>437</v>
      </c>
    </row>
    <row r="2" spans="1:8" x14ac:dyDescent="0.25">
      <c r="A2" s="21" t="s">
        <v>69</v>
      </c>
      <c r="B2" s="21"/>
      <c r="C2" s="8"/>
      <c r="D2" s="37" t="s">
        <v>71</v>
      </c>
      <c r="E2" s="37"/>
      <c r="F2" s="8"/>
      <c r="G2" s="36" t="str">
        <f>General_Line</f>
        <v>Homeowners</v>
      </c>
      <c r="H2" s="441"/>
    </row>
    <row r="3" spans="1:8" ht="18" customHeight="1" x14ac:dyDescent="0.25">
      <c r="A3" s="8"/>
      <c r="B3" s="8"/>
      <c r="C3" s="168"/>
      <c r="D3" s="8"/>
      <c r="E3" s="8"/>
      <c r="F3" s="8"/>
      <c r="G3" s="8"/>
      <c r="H3" s="442"/>
    </row>
    <row r="4" spans="1:8" ht="23.25" x14ac:dyDescent="0.25">
      <c r="A4" s="5" t="s">
        <v>283</v>
      </c>
      <c r="B4" s="5"/>
      <c r="C4" s="181"/>
      <c r="D4" s="181"/>
      <c r="E4" s="181"/>
      <c r="F4" s="181"/>
      <c r="G4" s="181"/>
      <c r="H4" s="442" t="str">
        <f>IF(COUNTIF(E6:E11,"")&gt;=1,"",IF(COUNTIF(E6:E11,"Y")=0,"ERROR! You must select yes to at least one filing type.",""))</f>
        <v/>
      </c>
    </row>
    <row r="5" spans="1:8" ht="22.5" customHeight="1" x14ac:dyDescent="0.25">
      <c r="A5" s="389" t="s">
        <v>401</v>
      </c>
      <c r="B5" s="5"/>
      <c r="C5" s="181"/>
      <c r="D5" s="181"/>
      <c r="E5" s="181"/>
      <c r="F5" s="181"/>
      <c r="G5" s="181"/>
      <c r="H5" s="443"/>
    </row>
    <row r="6" spans="1:8" ht="21" customHeight="1" x14ac:dyDescent="0.25">
      <c r="A6" s="372" t="s">
        <v>403</v>
      </c>
      <c r="B6" s="372"/>
      <c r="C6" s="372"/>
      <c r="E6" s="200" t="s">
        <v>6</v>
      </c>
      <c r="G6" s="371"/>
      <c r="H6" s="443" t="str">
        <f>IF(E6="","← ERROR! Please select a response.",IF(E6="Y",IF(OR(E7="Y",E8="Y",E9="Y",E10="Y",E11="Y"),"← ERROR! A New Program Filing cannot be combined with a Rate, Rule or Form filing.",""),""))</f>
        <v/>
      </c>
    </row>
    <row r="7" spans="1:8" ht="21" customHeight="1" x14ac:dyDescent="0.25">
      <c r="A7" s="372" t="s">
        <v>404</v>
      </c>
      <c r="B7" s="372"/>
      <c r="C7" s="372"/>
      <c r="E7" s="200" t="s">
        <v>5</v>
      </c>
      <c r="G7" s="371"/>
      <c r="H7" s="444" t="str">
        <f>IF(E7="","← ERROR! Please select a response.","")</f>
        <v/>
      </c>
    </row>
    <row r="8" spans="1:8" ht="21" customHeight="1" x14ac:dyDescent="0.25">
      <c r="A8" s="372" t="s">
        <v>420</v>
      </c>
      <c r="B8" s="372"/>
      <c r="C8" s="372"/>
      <c r="E8" s="200" t="s">
        <v>5</v>
      </c>
      <c r="G8" s="371"/>
      <c r="H8" s="444" t="str">
        <f>IF(E8="","← ERROR! Please select a response.","")</f>
        <v/>
      </c>
    </row>
    <row r="9" spans="1:8" ht="21" customHeight="1" x14ac:dyDescent="0.25">
      <c r="A9" s="372" t="s">
        <v>405</v>
      </c>
      <c r="B9" s="372"/>
      <c r="C9" s="372"/>
      <c r="E9" s="200" t="s">
        <v>6</v>
      </c>
      <c r="G9" s="371"/>
      <c r="H9" s="444" t="str">
        <f>IF(E9="","← ERROR! Please select a response.",IF(E9="Y",IF(E8="Y","","← ERROR! The response to question 3 indicates that this is not a Rule filing."),""))</f>
        <v/>
      </c>
    </row>
    <row r="10" spans="1:8" ht="21" customHeight="1" x14ac:dyDescent="0.25">
      <c r="A10" s="372" t="s">
        <v>421</v>
      </c>
      <c r="B10" s="372"/>
      <c r="C10" s="372"/>
      <c r="E10" s="200" t="s">
        <v>5</v>
      </c>
      <c r="G10" s="371"/>
      <c r="H10" s="444" t="str">
        <f>IF(E10="","← ERROR! Please select a response.","")</f>
        <v/>
      </c>
    </row>
    <row r="11" spans="1:8" ht="21" customHeight="1" x14ac:dyDescent="0.25">
      <c r="A11" s="372" t="s">
        <v>406</v>
      </c>
      <c r="B11" s="372"/>
      <c r="C11" s="372"/>
      <c r="E11" s="200" t="s">
        <v>6</v>
      </c>
      <c r="G11" s="371"/>
      <c r="H11" s="444" t="str">
        <f>IF(E11="","← ERROR! Please select a response.",IF(E11="Y",IF(E10="Y","","← ERROR! The response to question 4 indicates that this is not a Form filing."),""))</f>
        <v/>
      </c>
    </row>
    <row r="12" spans="1:8" ht="21" customHeight="1" x14ac:dyDescent="0.25">
      <c r="A12" s="376" t="s">
        <v>436</v>
      </c>
      <c r="B12" s="372"/>
      <c r="C12" s="372"/>
      <c r="E12" s="447" t="str">
        <f>IF('1.General'!$K$14=1,"Y","N")</f>
        <v>Y</v>
      </c>
      <c r="G12" s="371"/>
      <c r="H12" s="445" t="str">
        <f>IF(E12="Y",IF(OR(E6="Y",E7="Y",E9="Y",E11="Y"),"","← ERROR! You cannot file for a variance unless this is a New Program filing or a filing with rate impact."),"")</f>
        <v/>
      </c>
    </row>
    <row r="13" spans="1:8" ht="21" customHeight="1" x14ac:dyDescent="0.25">
      <c r="A13" s="182" t="s">
        <v>407</v>
      </c>
      <c r="B13" s="373"/>
      <c r="C13" s="369"/>
      <c r="D13" s="370"/>
      <c r="E13" s="370"/>
      <c r="F13" s="370"/>
      <c r="G13" s="371"/>
      <c r="H13" s="445"/>
    </row>
    <row r="14" spans="1:8" ht="21" customHeight="1" thickBot="1" x14ac:dyDescent="0.3">
      <c r="A14" s="381" t="s">
        <v>408</v>
      </c>
      <c r="B14" s="374"/>
      <c r="C14" s="369"/>
      <c r="D14" s="370"/>
      <c r="E14" s="370"/>
      <c r="F14" s="370"/>
      <c r="G14" s="371"/>
      <c r="H14" s="446"/>
    </row>
    <row r="15" spans="1:8" ht="23.25" x14ac:dyDescent="0.25">
      <c r="A15" s="5" t="s">
        <v>77</v>
      </c>
      <c r="B15" s="5"/>
      <c r="C15" s="181"/>
      <c r="D15" s="181"/>
      <c r="E15" s="181"/>
      <c r="F15" s="181"/>
      <c r="G15" s="181"/>
    </row>
    <row r="16" spans="1:8" x14ac:dyDescent="0.25">
      <c r="A16" s="375" t="s">
        <v>413</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385</v>
      </c>
      <c r="B18" s="164" t="s">
        <v>386</v>
      </c>
      <c r="C18" s="164" t="s">
        <v>292</v>
      </c>
      <c r="D18" s="164"/>
      <c r="E18" s="370"/>
      <c r="F18" s="370"/>
      <c r="G18" s="371"/>
    </row>
    <row r="19" spans="1:7" ht="21" customHeight="1" x14ac:dyDescent="0.25">
      <c r="A19" s="382"/>
      <c r="B19" s="382"/>
      <c r="C19" s="372" t="s">
        <v>379</v>
      </c>
      <c r="D19" s="372"/>
      <c r="E19" s="372"/>
      <c r="F19" s="51"/>
      <c r="G19" s="51"/>
    </row>
    <row r="20" spans="1:7" ht="21" hidden="1" customHeight="1" x14ac:dyDescent="0.25">
      <c r="A20" s="382"/>
      <c r="B20" s="382"/>
      <c r="C20" s="372" t="s">
        <v>290</v>
      </c>
      <c r="D20" s="372"/>
      <c r="E20" s="372"/>
      <c r="F20" s="51"/>
      <c r="G20" s="51"/>
    </row>
    <row r="21" spans="1:7" ht="21" customHeight="1" x14ac:dyDescent="0.25">
      <c r="A21" s="382"/>
      <c r="B21" s="382"/>
      <c r="C21" s="372" t="s">
        <v>399</v>
      </c>
      <c r="D21" s="372"/>
      <c r="E21" s="372"/>
      <c r="F21" s="51"/>
      <c r="G21" s="51"/>
    </row>
    <row r="22" spans="1:7" ht="21" customHeight="1" x14ac:dyDescent="0.25">
      <c r="A22" s="382"/>
      <c r="B22" s="382"/>
      <c r="C22" s="372" t="s">
        <v>291</v>
      </c>
      <c r="D22" s="372"/>
      <c r="E22" s="372"/>
      <c r="F22" s="51"/>
      <c r="G22" s="51"/>
    </row>
    <row r="23" spans="1:7" ht="21" customHeight="1" x14ac:dyDescent="0.25">
      <c r="A23" s="382"/>
      <c r="B23" s="382"/>
      <c r="C23" s="372" t="s">
        <v>299</v>
      </c>
      <c r="D23" s="372"/>
      <c r="E23" s="372"/>
      <c r="F23" s="51"/>
      <c r="G23" s="51"/>
    </row>
    <row r="24" spans="1:7" ht="21" customHeight="1" x14ac:dyDescent="0.25">
      <c r="A24" s="382"/>
      <c r="B24" s="382"/>
      <c r="C24" s="372" t="s">
        <v>359</v>
      </c>
      <c r="D24" s="372"/>
      <c r="E24" s="372"/>
      <c r="F24" s="51"/>
      <c r="G24" s="51"/>
    </row>
    <row r="25" spans="1:7" ht="21" customHeight="1" x14ac:dyDescent="0.25">
      <c r="A25" s="382"/>
      <c r="B25" s="382"/>
      <c r="C25" s="372" t="s">
        <v>300</v>
      </c>
      <c r="D25" s="372"/>
      <c r="E25" s="372"/>
      <c r="F25" s="51"/>
      <c r="G25" s="51"/>
    </row>
    <row r="26" spans="1:7" ht="21" customHeight="1" x14ac:dyDescent="0.25">
      <c r="A26" s="382"/>
      <c r="B26" s="382"/>
      <c r="C26" s="372" t="s">
        <v>301</v>
      </c>
      <c r="D26" s="372"/>
      <c r="E26" s="372"/>
      <c r="F26" s="51"/>
      <c r="G26" s="51"/>
    </row>
    <row r="27" spans="1:7" ht="21" customHeight="1" x14ac:dyDescent="0.25">
      <c r="A27" s="382"/>
      <c r="B27" s="382"/>
      <c r="C27" s="372" t="s">
        <v>302</v>
      </c>
      <c r="D27" s="372"/>
      <c r="E27" s="372"/>
      <c r="F27" s="51"/>
      <c r="G27" s="51"/>
    </row>
    <row r="28" spans="1:7" ht="21" customHeight="1" x14ac:dyDescent="0.25">
      <c r="A28" s="382"/>
      <c r="B28" s="382"/>
      <c r="C28" s="372" t="s">
        <v>415</v>
      </c>
      <c r="D28" s="372"/>
      <c r="E28" s="372"/>
      <c r="F28" s="51"/>
      <c r="G28" s="51"/>
    </row>
    <row r="29" spans="1:7" ht="21" customHeight="1" x14ac:dyDescent="0.25">
      <c r="A29" s="382"/>
      <c r="B29" s="382"/>
      <c r="C29" s="372" t="s">
        <v>78</v>
      </c>
      <c r="D29" s="372"/>
      <c r="E29" s="372"/>
      <c r="F29" s="51"/>
      <c r="G29" s="51"/>
    </row>
    <row r="30" spans="1:7" ht="21" customHeight="1" x14ac:dyDescent="0.25">
      <c r="A30" s="382"/>
      <c r="B30" s="382"/>
      <c r="C30" s="372" t="s">
        <v>477</v>
      </c>
      <c r="D30" s="372"/>
      <c r="E30" s="372"/>
      <c r="F30" s="51"/>
      <c r="G30" s="51"/>
    </row>
    <row r="31" spans="1:7" ht="21" customHeight="1" x14ac:dyDescent="0.25">
      <c r="A31" s="382"/>
      <c r="B31" s="382"/>
      <c r="C31" s="372" t="s">
        <v>478</v>
      </c>
      <c r="D31" s="372"/>
      <c r="E31" s="372"/>
      <c r="F31" s="51"/>
      <c r="G31" s="51"/>
    </row>
    <row r="32" spans="1:7" ht="21" customHeight="1" x14ac:dyDescent="0.25">
      <c r="A32" s="382"/>
      <c r="B32" s="382"/>
      <c r="C32" s="376" t="s">
        <v>293</v>
      </c>
      <c r="D32" s="376"/>
      <c r="E32" s="376"/>
      <c r="F32" s="376"/>
      <c r="G32" s="376"/>
    </row>
    <row r="33" spans="1:7" ht="21" customHeight="1" x14ac:dyDescent="0.25">
      <c r="A33" s="382"/>
      <c r="B33" s="382"/>
      <c r="C33" s="372" t="s">
        <v>285</v>
      </c>
      <c r="D33" s="372"/>
      <c r="E33" s="372"/>
      <c r="F33" s="51"/>
      <c r="G33" s="51"/>
    </row>
    <row r="34" spans="1:7" ht="21" customHeight="1" x14ac:dyDescent="0.25">
      <c r="A34" s="382"/>
      <c r="B34" s="382"/>
      <c r="C34" s="372" t="s">
        <v>286</v>
      </c>
      <c r="D34" s="372"/>
      <c r="E34" s="372"/>
      <c r="F34" s="51"/>
      <c r="G34" s="51"/>
    </row>
    <row r="35" spans="1:7" ht="21" customHeight="1" x14ac:dyDescent="0.25">
      <c r="A35" s="382"/>
      <c r="B35" s="382"/>
      <c r="C35" s="372" t="s">
        <v>287</v>
      </c>
      <c r="D35" s="372"/>
      <c r="E35" s="372"/>
      <c r="F35" s="51"/>
      <c r="G35" s="51"/>
    </row>
    <row r="36" spans="1:7" ht="21" customHeight="1" x14ac:dyDescent="0.25">
      <c r="A36" s="382"/>
      <c r="B36" s="382"/>
      <c r="C36" s="372" t="s">
        <v>288</v>
      </c>
      <c r="D36" s="372"/>
      <c r="E36" s="372"/>
      <c r="F36" s="51"/>
      <c r="G36" s="51"/>
    </row>
    <row r="37" spans="1:7" ht="21" customHeight="1" x14ac:dyDescent="0.25">
      <c r="A37" s="382"/>
      <c r="B37" s="382"/>
      <c r="C37" s="372" t="s">
        <v>387</v>
      </c>
      <c r="D37" s="372"/>
      <c r="E37" s="372"/>
      <c r="F37" s="51"/>
      <c r="G37" s="51"/>
    </row>
    <row r="38" spans="1:7" ht="21" customHeight="1" x14ac:dyDescent="0.25">
      <c r="A38" s="382"/>
      <c r="B38" s="382"/>
      <c r="C38" s="372" t="s">
        <v>289</v>
      </c>
      <c r="D38" s="372"/>
      <c r="E38" s="372"/>
      <c r="F38" s="51"/>
      <c r="G38" s="51"/>
    </row>
    <row r="39" spans="1:7" ht="21" customHeight="1" x14ac:dyDescent="0.25">
      <c r="A39" s="382"/>
      <c r="B39" s="382"/>
      <c r="C39" s="372" t="s">
        <v>388</v>
      </c>
      <c r="D39" s="372"/>
      <c r="E39" s="372"/>
      <c r="F39" s="51"/>
      <c r="G39" s="51"/>
    </row>
    <row r="40" spans="1:7" ht="21" customHeight="1" x14ac:dyDescent="0.25">
      <c r="A40" s="382"/>
      <c r="B40" s="382"/>
      <c r="C40" s="372" t="s">
        <v>389</v>
      </c>
      <c r="D40" s="372"/>
      <c r="E40" s="372"/>
      <c r="F40" s="51"/>
      <c r="G40" s="51"/>
    </row>
    <row r="41" spans="1:7" ht="21" customHeight="1" x14ac:dyDescent="0.25">
      <c r="A41" s="382"/>
      <c r="B41" s="382"/>
      <c r="C41" s="372" t="s">
        <v>295</v>
      </c>
      <c r="D41" s="372"/>
      <c r="E41" s="372"/>
      <c r="F41" s="51"/>
      <c r="G41" s="51"/>
    </row>
    <row r="42" spans="1:7" ht="21" customHeight="1" x14ac:dyDescent="0.25">
      <c r="A42" s="382"/>
      <c r="B42" s="382"/>
      <c r="C42" s="372" t="s">
        <v>296</v>
      </c>
      <c r="D42" s="372"/>
      <c r="E42" s="372"/>
      <c r="F42" s="51"/>
      <c r="G42" s="51"/>
    </row>
    <row r="43" spans="1:7" ht="21" customHeight="1" x14ac:dyDescent="0.25">
      <c r="A43" s="382"/>
      <c r="B43" s="382"/>
      <c r="C43" s="372" t="s">
        <v>297</v>
      </c>
      <c r="D43" s="372"/>
      <c r="E43" s="372"/>
      <c r="F43" s="51"/>
      <c r="G43" s="51"/>
    </row>
    <row r="44" spans="1:7" ht="21" customHeight="1" x14ac:dyDescent="0.25">
      <c r="A44" s="382"/>
      <c r="B44" s="382"/>
      <c r="C44" s="372" t="s">
        <v>412</v>
      </c>
      <c r="D44" s="372"/>
      <c r="E44" s="372"/>
      <c r="F44" s="51"/>
      <c r="G44" s="51"/>
    </row>
    <row r="45" spans="1:7" ht="21" customHeight="1" x14ac:dyDescent="0.25">
      <c r="A45" s="382"/>
      <c r="B45" s="382"/>
      <c r="C45" s="372" t="s">
        <v>330</v>
      </c>
      <c r="D45" s="372"/>
      <c r="E45" s="372"/>
      <c r="F45" s="51"/>
      <c r="G45" s="51"/>
    </row>
    <row r="46" spans="1:7" ht="21" customHeight="1" x14ac:dyDescent="0.25">
      <c r="A46" s="382"/>
      <c r="B46" s="382"/>
      <c r="C46" s="372" t="s">
        <v>322</v>
      </c>
      <c r="D46" s="372"/>
      <c r="E46" s="372"/>
      <c r="F46" s="51"/>
      <c r="G46" s="51"/>
    </row>
    <row r="47" spans="1:7" ht="21" customHeight="1" x14ac:dyDescent="0.25">
      <c r="A47" s="382"/>
      <c r="B47" s="382"/>
      <c r="C47" s="372" t="s">
        <v>323</v>
      </c>
      <c r="D47" s="372"/>
      <c r="E47" s="372"/>
      <c r="F47" s="51"/>
      <c r="G47" s="51"/>
    </row>
    <row r="48" spans="1:7" ht="21" hidden="1" customHeight="1" x14ac:dyDescent="0.25">
      <c r="A48" s="382"/>
      <c r="B48" s="382"/>
      <c r="C48" s="372" t="s">
        <v>324</v>
      </c>
      <c r="D48" s="372"/>
      <c r="E48" s="372"/>
      <c r="F48" s="51"/>
      <c r="G48" s="51"/>
    </row>
    <row r="49" spans="1:7" ht="21" hidden="1" customHeight="1" x14ac:dyDescent="0.25">
      <c r="A49" s="382"/>
      <c r="B49" s="382"/>
      <c r="C49" s="372" t="s">
        <v>325</v>
      </c>
      <c r="D49" s="372"/>
      <c r="E49" s="372"/>
      <c r="F49" s="51"/>
      <c r="G49" s="51"/>
    </row>
    <row r="50" spans="1:7" ht="21" customHeight="1" x14ac:dyDescent="0.25">
      <c r="A50" s="382"/>
      <c r="B50" s="382"/>
      <c r="C50" s="372" t="s">
        <v>414</v>
      </c>
      <c r="D50" s="372"/>
      <c r="E50" s="372"/>
      <c r="F50" s="51"/>
      <c r="G50" s="51"/>
    </row>
    <row r="51" spans="1:7" ht="21" customHeight="1" x14ac:dyDescent="0.25">
      <c r="A51" s="382"/>
      <c r="B51" s="382"/>
      <c r="C51" s="372" t="s">
        <v>326</v>
      </c>
      <c r="D51" s="372"/>
      <c r="E51" s="372"/>
      <c r="F51" s="51"/>
      <c r="G51" s="51"/>
    </row>
    <row r="52" spans="1:7" ht="21" customHeight="1" x14ac:dyDescent="0.25">
      <c r="A52" s="382"/>
      <c r="B52" s="382"/>
      <c r="C52" s="372" t="s">
        <v>335</v>
      </c>
      <c r="D52" s="372"/>
      <c r="E52" s="372"/>
      <c r="F52" s="51"/>
      <c r="G52" s="51"/>
    </row>
    <row r="53" spans="1:7" ht="21" hidden="1" customHeight="1" x14ac:dyDescent="0.25">
      <c r="A53" s="382"/>
      <c r="B53" s="382"/>
      <c r="C53" s="372" t="s">
        <v>334</v>
      </c>
      <c r="D53" s="372"/>
      <c r="E53" s="372"/>
      <c r="F53" s="51"/>
      <c r="G53" s="51"/>
    </row>
    <row r="54" spans="1:7" ht="21" customHeight="1" x14ac:dyDescent="0.25">
      <c r="A54" s="382"/>
      <c r="B54" s="382"/>
      <c r="C54" s="376" t="s">
        <v>79</v>
      </c>
      <c r="D54" s="376"/>
      <c r="E54" s="376"/>
      <c r="F54" s="51"/>
      <c r="G54" s="51"/>
    </row>
    <row r="55" spans="1:7" ht="21" customHeight="1" x14ac:dyDescent="0.25">
      <c r="A55" s="382"/>
      <c r="B55" s="382"/>
      <c r="C55" s="376" t="s">
        <v>390</v>
      </c>
      <c r="D55" s="376"/>
      <c r="E55" s="376"/>
      <c r="F55" s="51"/>
      <c r="G55" s="51"/>
    </row>
    <row r="56" spans="1:7" ht="21" customHeight="1" x14ac:dyDescent="0.25">
      <c r="A56" s="382"/>
      <c r="B56" s="382"/>
      <c r="C56" s="376" t="s">
        <v>391</v>
      </c>
      <c r="D56" s="376"/>
      <c r="E56" s="376"/>
      <c r="F56" s="51"/>
      <c r="G56" s="51"/>
    </row>
    <row r="57" spans="1:7" ht="21" customHeight="1" x14ac:dyDescent="0.25">
      <c r="A57" s="382"/>
      <c r="B57" s="382"/>
      <c r="C57" s="378" t="s">
        <v>393</v>
      </c>
      <c r="D57" s="376"/>
      <c r="E57" s="376"/>
      <c r="F57" s="51"/>
      <c r="G57" s="51"/>
    </row>
    <row r="58" spans="1:7" ht="21" customHeight="1" x14ac:dyDescent="0.25">
      <c r="A58" s="382"/>
      <c r="B58" s="382"/>
      <c r="C58" s="376" t="s">
        <v>392</v>
      </c>
      <c r="D58" s="376"/>
      <c r="E58" s="376"/>
      <c r="F58" s="51"/>
      <c r="G58" s="51"/>
    </row>
    <row r="59" spans="1:7" ht="21" customHeight="1" x14ac:dyDescent="0.25">
      <c r="A59" s="382"/>
      <c r="B59" s="382"/>
      <c r="C59" s="376" t="s">
        <v>303</v>
      </c>
      <c r="D59" s="376"/>
      <c r="E59" s="376"/>
      <c r="F59" s="51"/>
      <c r="G59" s="51"/>
    </row>
    <row r="60" spans="1:7" ht="21" customHeight="1" x14ac:dyDescent="0.25">
      <c r="A60" s="382"/>
      <c r="B60" s="382"/>
      <c r="C60" s="376" t="s">
        <v>331</v>
      </c>
      <c r="D60" s="376"/>
      <c r="E60" s="376"/>
      <c r="F60" s="51"/>
      <c r="G60" s="51"/>
    </row>
    <row r="61" spans="1:7" ht="21" customHeight="1" x14ac:dyDescent="0.25">
      <c r="A61" s="380" t="s">
        <v>395</v>
      </c>
      <c r="B61" s="382"/>
      <c r="D61" s="377"/>
      <c r="E61" s="377"/>
      <c r="F61" s="379"/>
      <c r="G61" s="379"/>
    </row>
    <row r="62" spans="1:7" ht="17.25" x14ac:dyDescent="0.25">
      <c r="A62" s="380" t="s">
        <v>396</v>
      </c>
      <c r="B62" s="368"/>
      <c r="D62" s="377"/>
      <c r="E62" s="377"/>
      <c r="F62" s="379"/>
      <c r="G62" s="379"/>
    </row>
    <row r="63" spans="1:7" hidden="1" x14ac:dyDescent="0.25">
      <c r="A63" s="25" t="s">
        <v>402</v>
      </c>
    </row>
    <row r="64" spans="1:7" hidden="1" x14ac:dyDescent="0.25">
      <c r="A64" s="53" t="s">
        <v>384</v>
      </c>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sheetData>
  <sheetProtection algorithmName="SHA-512" hashValue="s6/TGDVc7HJVtIS7mjbxeWUKU77W1rUyMg6aHx6eQsg7PYJuD0HyDHZ9p2prfHXjHkbizM6pqORtD42E0djCIw==" saltValue="SI5Sfki3Ql3ch8eADog5MA==" spinCount="100000" sheet="1" objects="1" scenarios="1" formatColumns="0" formatRows="0" sort="0"/>
  <dataValidations count="1">
    <dataValidation type="list" allowBlank="1" showInputMessage="1" showErrorMessage="1" sqref="E6:E11" xr:uid="{00000000-0002-0000-0500-000000000000}">
      <formula1>"Y,N"</formula1>
    </dataValidation>
  </dataValidations>
  <printOptions horizontalCentered="1"/>
  <pageMargins left="0.45" right="0.45" top="0.5" bottom="0.5" header="0.3" footer="0.05"/>
  <pageSetup scale="62" orientation="portrait" r:id="rId1"/>
  <headerFooter>
    <oddFooter xml:space="preserve">&amp;L1/11/2022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224" r:id="rId4" name="Check Box 184">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7225" r:id="rId5" name="Check Box 185">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7226" r:id="rId6" name="Check Box 186">
              <controlPr defaultSize="0" autoFill="0" autoLine="0" autoPict="0">
                <anchor moveWithCells="1">
                  <from>
                    <xdr:col>0</xdr:col>
                    <xdr:colOff>0</xdr:colOff>
                    <xdr:row>20</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87227" r:id="rId7" name="Check Box 187">
              <controlPr defaultSize="0" autoFill="0" autoLine="0" autoPict="0">
                <anchor moveWithCells="1">
                  <from>
                    <xdr:col>1</xdr:col>
                    <xdr:colOff>0</xdr:colOff>
                    <xdr:row>20</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87228" r:id="rId8" name="Check Box 188">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87229" r:id="rId9" name="Check Box 189">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87230" r:id="rId10" name="Check Box 190">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87231" r:id="rId11" name="Check Box 191">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87232" r:id="rId12" name="Check Box 192">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87233" r:id="rId13" name="Check Box 193">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87234" r:id="rId14" name="Check Box 194">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87235" r:id="rId15" name="Check Box 195">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87236" r:id="rId16" name="Check Box 196">
              <controlPr defaultSize="0" autoFill="0" autoLine="0" autoPict="0">
                <anchor moveWithCells="1">
                  <from>
                    <xdr:col>0</xdr:col>
                    <xdr:colOff>0</xdr:colOff>
                    <xdr:row>25</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87237" r:id="rId17" name="Check Box 197">
              <controlPr defaultSize="0" autoFill="0" autoLine="0" autoPict="0">
                <anchor moveWithCells="1">
                  <from>
                    <xdr:col>1</xdr:col>
                    <xdr:colOff>0</xdr:colOff>
                    <xdr:row>25</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87238" r:id="rId18" name="Check Box 198">
              <controlPr defaultSize="0" autoFill="0" autoLine="0" autoPict="0">
                <anchor moveWithCells="1">
                  <from>
                    <xdr:col>0</xdr:col>
                    <xdr:colOff>0</xdr:colOff>
                    <xdr:row>26</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87239" r:id="rId19" name="Check Box 199">
              <controlPr defaultSize="0" autoFill="0" autoLine="0" autoPict="0">
                <anchor moveWithCells="1">
                  <from>
                    <xdr:col>1</xdr:col>
                    <xdr:colOff>0</xdr:colOff>
                    <xdr:row>26</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87240" r:id="rId20" name="Check Box 200">
              <controlPr defaultSize="0" autoFill="0" autoLine="0" autoPict="0">
                <anchor moveWithCells="1">
                  <from>
                    <xdr:col>0</xdr:col>
                    <xdr:colOff>0</xdr:colOff>
                    <xdr:row>27</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87241" r:id="rId21" name="Check Box 201">
              <controlPr defaultSize="0" autoFill="0" autoLine="0" autoPict="0">
                <anchor moveWithCells="1">
                  <from>
                    <xdr:col>1</xdr:col>
                    <xdr:colOff>0</xdr:colOff>
                    <xdr:row>27</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87242" r:id="rId22" name="Check Box 202">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87243" r:id="rId23" name="Check Box 203">
              <controlPr defaultSize="0" autoFill="0" autoLine="0" autoPict="0">
                <anchor moveWithCells="1">
                  <from>
                    <xdr:col>1</xdr:col>
                    <xdr:colOff>0</xdr:colOff>
                    <xdr:row>28</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87244" r:id="rId24" name="Check Box 204">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87245" r:id="rId25" name="Check Box 205">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87246" r:id="rId26" name="Check Box 206">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87247" r:id="rId27" name="Check Box 207">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87248" r:id="rId28" name="Check Box 208">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87249" r:id="rId29" name="Check Box 209">
              <controlPr defaultSize="0" autoFill="0" autoLine="0" autoPict="0">
                <anchor moveWithCells="1">
                  <from>
                    <xdr:col>1</xdr:col>
                    <xdr:colOff>0</xdr:colOff>
                    <xdr:row>33</xdr:row>
                    <xdr:rowOff>0</xdr:rowOff>
                  </from>
                  <to>
                    <xdr:col>1</xdr:col>
                    <xdr:colOff>295275</xdr:colOff>
                    <xdr:row>34</xdr:row>
                    <xdr:rowOff>19050</xdr:rowOff>
                  </to>
                </anchor>
              </controlPr>
            </control>
          </mc:Choice>
        </mc:AlternateContent>
        <mc:AlternateContent xmlns:mc="http://schemas.openxmlformats.org/markup-compatibility/2006">
          <mc:Choice Requires="x14">
            <control shapeId="87250" r:id="rId30" name="Check Box 210">
              <controlPr defaultSize="0" autoFill="0" autoLine="0" autoPict="0">
                <anchor moveWithCells="1">
                  <from>
                    <xdr:col>0</xdr:col>
                    <xdr:colOff>0</xdr:colOff>
                    <xdr:row>34</xdr:row>
                    <xdr:rowOff>0</xdr:rowOff>
                  </from>
                  <to>
                    <xdr:col>0</xdr:col>
                    <xdr:colOff>295275</xdr:colOff>
                    <xdr:row>35</xdr:row>
                    <xdr:rowOff>19050</xdr:rowOff>
                  </to>
                </anchor>
              </controlPr>
            </control>
          </mc:Choice>
        </mc:AlternateContent>
        <mc:AlternateContent xmlns:mc="http://schemas.openxmlformats.org/markup-compatibility/2006">
          <mc:Choice Requires="x14">
            <control shapeId="87251" r:id="rId31" name="Check Box 211">
              <controlPr defaultSize="0" autoFill="0" autoLine="0" autoPict="0">
                <anchor moveWithCells="1">
                  <from>
                    <xdr:col>1</xdr:col>
                    <xdr:colOff>0</xdr:colOff>
                    <xdr:row>34</xdr:row>
                    <xdr:rowOff>0</xdr:rowOff>
                  </from>
                  <to>
                    <xdr:col>1</xdr:col>
                    <xdr:colOff>295275</xdr:colOff>
                    <xdr:row>35</xdr:row>
                    <xdr:rowOff>19050</xdr:rowOff>
                  </to>
                </anchor>
              </controlPr>
            </control>
          </mc:Choice>
        </mc:AlternateContent>
        <mc:AlternateContent xmlns:mc="http://schemas.openxmlformats.org/markup-compatibility/2006">
          <mc:Choice Requires="x14">
            <control shapeId="87252" r:id="rId32" name="Check Box 212">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87253" r:id="rId33" name="Check Box 213">
              <controlPr defaultSize="0" autoFill="0" autoLine="0" autoPict="0">
                <anchor moveWithCells="1">
                  <from>
                    <xdr:col>1</xdr:col>
                    <xdr:colOff>0</xdr:colOff>
                    <xdr:row>35</xdr:row>
                    <xdr:rowOff>0</xdr:rowOff>
                  </from>
                  <to>
                    <xdr:col>1</xdr:col>
                    <xdr:colOff>295275</xdr:colOff>
                    <xdr:row>36</xdr:row>
                    <xdr:rowOff>19050</xdr:rowOff>
                  </to>
                </anchor>
              </controlPr>
            </control>
          </mc:Choice>
        </mc:AlternateContent>
        <mc:AlternateContent xmlns:mc="http://schemas.openxmlformats.org/markup-compatibility/2006">
          <mc:Choice Requires="x14">
            <control shapeId="87254" r:id="rId34" name="Check Box 214">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87255" r:id="rId35" name="Check Box 215">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87256" r:id="rId36" name="Check Box 216">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87257" r:id="rId37" name="Check Box 217">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87258" r:id="rId38" name="Check Box 218">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87259" r:id="rId39" name="Check Box 219">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87260" r:id="rId40" name="Check Box 220">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87261" r:id="rId41" name="Check Box 221">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87262" r:id="rId42" name="Check Box 222">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87263" r:id="rId43" name="Check Box 223">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87264" r:id="rId44" name="Check Box 224">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87265" r:id="rId45" name="Check Box 225">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87266" r:id="rId46" name="Check Box 226">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87267" r:id="rId47" name="Check Box 227">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87268" r:id="rId48" name="Check Box 228">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87269" r:id="rId49" name="Check Box 229">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87270" r:id="rId50" name="Check Box 230">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87271" r:id="rId51" name="Check Box 231">
              <controlPr defaultSize="0" autoFill="0" autoLine="0" autoPict="0">
                <anchor moveWithCells="1">
                  <from>
                    <xdr:col>0</xdr:col>
                    <xdr:colOff>0</xdr:colOff>
                    <xdr:row>45</xdr:row>
                    <xdr:rowOff>0</xdr:rowOff>
                  </from>
                  <to>
                    <xdr:col>0</xdr:col>
                    <xdr:colOff>295275</xdr:colOff>
                    <xdr:row>46</xdr:row>
                    <xdr:rowOff>19050</xdr:rowOff>
                  </to>
                </anchor>
              </controlPr>
            </control>
          </mc:Choice>
        </mc:AlternateContent>
        <mc:AlternateContent xmlns:mc="http://schemas.openxmlformats.org/markup-compatibility/2006">
          <mc:Choice Requires="x14">
            <control shapeId="87272" r:id="rId52" name="Check Box 232">
              <controlPr defaultSize="0" autoFill="0" autoLine="0" autoPict="0">
                <anchor moveWithCells="1">
                  <from>
                    <xdr:col>1</xdr:col>
                    <xdr:colOff>0</xdr:colOff>
                    <xdr:row>45</xdr:row>
                    <xdr:rowOff>0</xdr:rowOff>
                  </from>
                  <to>
                    <xdr:col>1</xdr:col>
                    <xdr:colOff>295275</xdr:colOff>
                    <xdr:row>46</xdr:row>
                    <xdr:rowOff>19050</xdr:rowOff>
                  </to>
                </anchor>
              </controlPr>
            </control>
          </mc:Choice>
        </mc:AlternateContent>
        <mc:AlternateContent xmlns:mc="http://schemas.openxmlformats.org/markup-compatibility/2006">
          <mc:Choice Requires="x14">
            <control shapeId="87273" r:id="rId53" name="Check Box 233">
              <controlPr defaultSize="0" autoFill="0" autoLine="0" autoPict="0">
                <anchor moveWithCells="1">
                  <from>
                    <xdr:col>0</xdr:col>
                    <xdr:colOff>0</xdr:colOff>
                    <xdr:row>46</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87274" r:id="rId54" name="Check Box 234">
              <controlPr defaultSize="0" autoFill="0" autoLine="0" autoPict="0">
                <anchor moveWithCells="1">
                  <from>
                    <xdr:col>1</xdr:col>
                    <xdr:colOff>0</xdr:colOff>
                    <xdr:row>46</xdr:row>
                    <xdr:rowOff>0</xdr:rowOff>
                  </from>
                  <to>
                    <xdr:col>1</xdr:col>
                    <xdr:colOff>295275</xdr:colOff>
                    <xdr:row>49</xdr:row>
                    <xdr:rowOff>19050</xdr:rowOff>
                  </to>
                </anchor>
              </controlPr>
            </control>
          </mc:Choice>
        </mc:AlternateContent>
        <mc:AlternateContent xmlns:mc="http://schemas.openxmlformats.org/markup-compatibility/2006">
          <mc:Choice Requires="x14">
            <control shapeId="87275" r:id="rId55" name="Check Box 235">
              <controlPr defaultSize="0" autoFill="0" autoLine="0" autoPict="0">
                <anchor moveWithCells="1">
                  <from>
                    <xdr:col>0</xdr:col>
                    <xdr:colOff>0</xdr:colOff>
                    <xdr:row>49</xdr:row>
                    <xdr:rowOff>0</xdr:rowOff>
                  </from>
                  <to>
                    <xdr:col>0</xdr:col>
                    <xdr:colOff>295275</xdr:colOff>
                    <xdr:row>50</xdr:row>
                    <xdr:rowOff>19050</xdr:rowOff>
                  </to>
                </anchor>
              </controlPr>
            </control>
          </mc:Choice>
        </mc:AlternateContent>
        <mc:AlternateContent xmlns:mc="http://schemas.openxmlformats.org/markup-compatibility/2006">
          <mc:Choice Requires="x14">
            <control shapeId="87276" r:id="rId56" name="Check Box 236">
              <controlPr defaultSize="0" autoFill="0" autoLine="0" autoPict="0">
                <anchor moveWithCells="1">
                  <from>
                    <xdr:col>0</xdr:col>
                    <xdr:colOff>0</xdr:colOff>
                    <xdr:row>50</xdr:row>
                    <xdr:rowOff>0</xdr:rowOff>
                  </from>
                  <to>
                    <xdr:col>0</xdr:col>
                    <xdr:colOff>295275</xdr:colOff>
                    <xdr:row>51</xdr:row>
                    <xdr:rowOff>19050</xdr:rowOff>
                  </to>
                </anchor>
              </controlPr>
            </control>
          </mc:Choice>
        </mc:AlternateContent>
        <mc:AlternateContent xmlns:mc="http://schemas.openxmlformats.org/markup-compatibility/2006">
          <mc:Choice Requires="x14">
            <control shapeId="87277" r:id="rId57" name="Check Box 237">
              <controlPr defaultSize="0" autoFill="0" autoLine="0" autoPict="0">
                <anchor moveWithCells="1">
                  <from>
                    <xdr:col>1</xdr:col>
                    <xdr:colOff>0</xdr:colOff>
                    <xdr:row>50</xdr:row>
                    <xdr:rowOff>0</xdr:rowOff>
                  </from>
                  <to>
                    <xdr:col>1</xdr:col>
                    <xdr:colOff>295275</xdr:colOff>
                    <xdr:row>51</xdr:row>
                    <xdr:rowOff>19050</xdr:rowOff>
                  </to>
                </anchor>
              </controlPr>
            </control>
          </mc:Choice>
        </mc:AlternateContent>
        <mc:AlternateContent xmlns:mc="http://schemas.openxmlformats.org/markup-compatibility/2006">
          <mc:Choice Requires="x14">
            <control shapeId="87278" r:id="rId58" name="Check Box 238">
              <controlPr defaultSize="0" autoFill="0" autoLine="0" autoPict="0">
                <anchor moveWithCells="1">
                  <from>
                    <xdr:col>0</xdr:col>
                    <xdr:colOff>0</xdr:colOff>
                    <xdr:row>51</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87279" r:id="rId59" name="Check Box 239">
              <controlPr defaultSize="0" autoFill="0" autoLine="0" autoPict="0">
                <anchor moveWithCells="1">
                  <from>
                    <xdr:col>1</xdr:col>
                    <xdr:colOff>0</xdr:colOff>
                    <xdr:row>51</xdr:row>
                    <xdr:rowOff>0</xdr:rowOff>
                  </from>
                  <to>
                    <xdr:col>1</xdr:col>
                    <xdr:colOff>295275</xdr:colOff>
                    <xdr:row>53</xdr:row>
                    <xdr:rowOff>19050</xdr:rowOff>
                  </to>
                </anchor>
              </controlPr>
            </control>
          </mc:Choice>
        </mc:AlternateContent>
        <mc:AlternateContent xmlns:mc="http://schemas.openxmlformats.org/markup-compatibility/2006">
          <mc:Choice Requires="x14">
            <control shapeId="87280" r:id="rId60" name="Check Box 240">
              <controlPr defaultSize="0" autoFill="0" autoLine="0" autoPict="0">
                <anchor moveWithCells="1">
                  <from>
                    <xdr:col>0</xdr:col>
                    <xdr:colOff>0</xdr:colOff>
                    <xdr:row>53</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87281" r:id="rId61" name="Check Box 241">
              <controlPr defaultSize="0" autoFill="0" autoLine="0" autoPict="0">
                <anchor moveWithCells="1">
                  <from>
                    <xdr:col>0</xdr:col>
                    <xdr:colOff>0</xdr:colOff>
                    <xdr:row>54</xdr:row>
                    <xdr:rowOff>0</xdr:rowOff>
                  </from>
                  <to>
                    <xdr:col>0</xdr:col>
                    <xdr:colOff>295275</xdr:colOff>
                    <xdr:row>55</xdr:row>
                    <xdr:rowOff>19050</xdr:rowOff>
                  </to>
                </anchor>
              </controlPr>
            </control>
          </mc:Choice>
        </mc:AlternateContent>
        <mc:AlternateContent xmlns:mc="http://schemas.openxmlformats.org/markup-compatibility/2006">
          <mc:Choice Requires="x14">
            <control shapeId="87282" r:id="rId62" name="Check Box 242">
              <controlPr defaultSize="0" autoFill="0" autoLine="0" autoPict="0">
                <anchor moveWithCells="1">
                  <from>
                    <xdr:col>1</xdr:col>
                    <xdr:colOff>0</xdr:colOff>
                    <xdr:row>54</xdr:row>
                    <xdr:rowOff>0</xdr:rowOff>
                  </from>
                  <to>
                    <xdr:col>1</xdr:col>
                    <xdr:colOff>295275</xdr:colOff>
                    <xdr:row>55</xdr:row>
                    <xdr:rowOff>19050</xdr:rowOff>
                  </to>
                </anchor>
              </controlPr>
            </control>
          </mc:Choice>
        </mc:AlternateContent>
        <mc:AlternateContent xmlns:mc="http://schemas.openxmlformats.org/markup-compatibility/2006">
          <mc:Choice Requires="x14">
            <control shapeId="87283" r:id="rId63" name="Check Box 243">
              <controlPr defaultSize="0" autoFill="0" autoLine="0" autoPict="0">
                <anchor moveWithCells="1">
                  <from>
                    <xdr:col>0</xdr:col>
                    <xdr:colOff>0</xdr:colOff>
                    <xdr:row>55</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87284" r:id="rId64" name="Check Box 244">
              <controlPr defaultSize="0" autoFill="0" autoLine="0" autoPict="0">
                <anchor moveWithCells="1">
                  <from>
                    <xdr:col>1</xdr:col>
                    <xdr:colOff>0</xdr:colOff>
                    <xdr:row>55</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87285" r:id="rId65" name="Check Box 245">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87286" r:id="rId66" name="Check Box 246">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87287" r:id="rId67" name="Check Box 247">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87288" r:id="rId68" name="Check Box 248">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election activeCell="C8" sqref="C8"/>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General Insurance Company</v>
      </c>
    </row>
    <row r="2" spans="1:7" x14ac:dyDescent="0.25">
      <c r="A2" s="21" t="s">
        <v>69</v>
      </c>
      <c r="D2" s="37" t="s">
        <v>71</v>
      </c>
      <c r="F2" s="36" t="str">
        <f>General_Line</f>
        <v>Homeowners</v>
      </c>
    </row>
    <row r="3" spans="1:7" x14ac:dyDescent="0.25">
      <c r="B3" s="167"/>
    </row>
    <row r="4" spans="1:7" ht="23.25" x14ac:dyDescent="0.25">
      <c r="A4" s="5" t="s">
        <v>284</v>
      </c>
      <c r="B4" s="3"/>
      <c r="C4" s="3"/>
      <c r="D4" s="3"/>
      <c r="E4" s="3"/>
      <c r="F4" s="3"/>
    </row>
    <row r="6" spans="1:7" ht="15.75" x14ac:dyDescent="0.25">
      <c r="B6" s="56" t="s">
        <v>74</v>
      </c>
      <c r="C6" s="27"/>
      <c r="D6" s="321">
        <f>$D$22</f>
        <v>6.9000000000000006E-2</v>
      </c>
    </row>
    <row r="7" spans="1:7" ht="4.5" customHeight="1" x14ac:dyDescent="0.25"/>
    <row r="8" spans="1:7" s="49" customFormat="1" ht="18" customHeight="1" x14ac:dyDescent="0.25">
      <c r="A8" s="55"/>
      <c r="B8" s="56" t="s">
        <v>73</v>
      </c>
      <c r="C8" s="27"/>
      <c r="D8" s="322">
        <v>1622.29</v>
      </c>
      <c r="G8" s="335" t="str">
        <f>IF(ISBLANK(D8),"←ERROR! Enter the Proposed Earned Premium Per Exposure.","")</f>
        <v/>
      </c>
    </row>
    <row r="9" spans="1:7" ht="18" customHeight="1" x14ac:dyDescent="0.25">
      <c r="A9" s="55"/>
      <c r="B9" s="56" t="s">
        <v>223</v>
      </c>
      <c r="C9" s="27"/>
      <c r="D9" s="269">
        <v>44927</v>
      </c>
      <c r="G9" s="216" t="str">
        <f>IF(ISBLANK(D9),"←ERROR! Enter the Proposed Effective Date.","")</f>
        <v/>
      </c>
    </row>
    <row r="10" spans="1:7" ht="15.75" thickBot="1" x14ac:dyDescent="0.3">
      <c r="A10" s="54"/>
    </row>
    <row r="11" spans="1:7" ht="33" thickBot="1" x14ac:dyDescent="0.3">
      <c r="A11" s="59"/>
      <c r="B11" s="60" t="s">
        <v>126</v>
      </c>
      <c r="C11" s="60" t="s">
        <v>75</v>
      </c>
      <c r="D11" s="60" t="s">
        <v>356</v>
      </c>
      <c r="E11" s="60" t="s">
        <v>357</v>
      </c>
      <c r="F11" s="61" t="s">
        <v>358</v>
      </c>
    </row>
    <row r="12" spans="1:7" ht="30" customHeight="1" x14ac:dyDescent="0.25">
      <c r="A12" s="62">
        <v>-1</v>
      </c>
      <c r="B12" s="270" t="s">
        <v>516</v>
      </c>
      <c r="C12" s="271">
        <v>0.22800000000000001</v>
      </c>
      <c r="D12" s="271">
        <v>6.9000000000000006E-2</v>
      </c>
      <c r="E12" s="272">
        <v>1934086607.6362119</v>
      </c>
      <c r="F12" s="75">
        <f>E12*(1+D12)</f>
        <v>2067538583.5631104</v>
      </c>
      <c r="G12" s="216" t="str">
        <f>IF(AND(COUNTA(B12:E12)&gt;=1,COUNTA(B12:E12)&lt;=3),"←ERROR! Fill out each cell in this row.","")</f>
        <v/>
      </c>
    </row>
    <row r="13" spans="1:7" ht="30" customHeight="1" x14ac:dyDescent="0.25">
      <c r="A13" s="63">
        <v>-2</v>
      </c>
      <c r="B13" s="273" t="s">
        <v>528</v>
      </c>
      <c r="C13" s="274">
        <v>0.247</v>
      </c>
      <c r="D13" s="274">
        <v>6.9000000000000006E-2</v>
      </c>
      <c r="E13" s="275">
        <v>100315580.7193</v>
      </c>
      <c r="F13" s="76">
        <f t="shared" ref="F13:F21" si="0">E13*(1+D13)</f>
        <v>107237355.7889317</v>
      </c>
      <c r="G13" s="216" t="str">
        <f t="shared" ref="G13:G21" si="1">IF(AND(COUNTA(B13:E13)&gt;=1,COUNTA(B13:E13)&lt;=3),"←ERROR! Fill out each cell in this row.","")</f>
        <v/>
      </c>
    </row>
    <row r="14" spans="1:7" ht="30" customHeight="1" x14ac:dyDescent="0.25">
      <c r="A14" s="63">
        <v>-3</v>
      </c>
      <c r="B14" s="273"/>
      <c r="C14" s="274"/>
      <c r="D14" s="274"/>
      <c r="E14" s="275"/>
      <c r="F14" s="76">
        <f t="shared" si="0"/>
        <v>0</v>
      </c>
      <c r="G14" s="216" t="str">
        <f t="shared" si="1"/>
        <v/>
      </c>
    </row>
    <row r="15" spans="1:7" ht="30" customHeight="1" x14ac:dyDescent="0.25">
      <c r="A15" s="63">
        <v>-4</v>
      </c>
      <c r="B15" s="273"/>
      <c r="C15" s="274"/>
      <c r="D15" s="274"/>
      <c r="E15" s="275"/>
      <c r="F15" s="76">
        <f t="shared" si="0"/>
        <v>0</v>
      </c>
      <c r="G15" s="216" t="str">
        <f t="shared" si="1"/>
        <v/>
      </c>
    </row>
    <row r="16" spans="1:7" ht="30" customHeight="1" x14ac:dyDescent="0.25">
      <c r="A16" s="63">
        <v>-5</v>
      </c>
      <c r="B16" s="273"/>
      <c r="C16" s="274"/>
      <c r="D16" s="274"/>
      <c r="E16" s="275"/>
      <c r="F16" s="76">
        <f t="shared" si="0"/>
        <v>0</v>
      </c>
      <c r="G16" s="216" t="str">
        <f t="shared" si="1"/>
        <v/>
      </c>
    </row>
    <row r="17" spans="1:7" ht="30" customHeight="1" x14ac:dyDescent="0.25">
      <c r="A17" s="63">
        <v>-6</v>
      </c>
      <c r="B17" s="273"/>
      <c r="C17" s="274"/>
      <c r="D17" s="274"/>
      <c r="E17" s="275"/>
      <c r="F17" s="76">
        <f t="shared" si="0"/>
        <v>0</v>
      </c>
      <c r="G17" s="216" t="str">
        <f t="shared" si="1"/>
        <v/>
      </c>
    </row>
    <row r="18" spans="1:7" ht="30" customHeight="1" x14ac:dyDescent="0.25">
      <c r="A18" s="63">
        <v>-7</v>
      </c>
      <c r="B18" s="273"/>
      <c r="C18" s="274"/>
      <c r="D18" s="274"/>
      <c r="E18" s="275"/>
      <c r="F18" s="76">
        <f t="shared" si="0"/>
        <v>0</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f>SUMPRODUCT(C$12:C$21,$E$12:$E$21)/$E$22</f>
        <v>0.22893688261081127</v>
      </c>
      <c r="D22" s="79">
        <f>SUMPRODUCT(D$12:D$21,$E$12:$E$21)/$E$22</f>
        <v>6.9000000000000006E-2</v>
      </c>
      <c r="E22" s="80">
        <f>SUM($E$12:$E$21)</f>
        <v>2034402188.3555119</v>
      </c>
      <c r="F22" s="77">
        <f>SUM($F$12:$F$21)</f>
        <v>2174775939.3520422</v>
      </c>
    </row>
    <row r="23" spans="1:7" x14ac:dyDescent="0.25">
      <c r="D23" s="58"/>
    </row>
    <row r="24" spans="1:7" ht="17.25" x14ac:dyDescent="0.25">
      <c r="A24" t="s">
        <v>374</v>
      </c>
      <c r="D24" s="58"/>
    </row>
    <row r="25" spans="1:7" x14ac:dyDescent="0.25">
      <c r="A25" t="s">
        <v>375</v>
      </c>
      <c r="D25" s="58"/>
    </row>
    <row r="26" spans="1:7" ht="18" customHeight="1" x14ac:dyDescent="0.25">
      <c r="A26" s="50" t="s">
        <v>367</v>
      </c>
    </row>
    <row r="27" spans="1:7" ht="18" customHeight="1" x14ac:dyDescent="0.25">
      <c r="A27" s="324" t="s">
        <v>333</v>
      </c>
    </row>
    <row r="28" spans="1:7" ht="5.0999999999999996" customHeight="1" x14ac:dyDescent="0.25">
      <c r="A28" s="2"/>
    </row>
    <row r="29" spans="1:7" ht="18" customHeight="1" x14ac:dyDescent="0.25">
      <c r="A29" t="s">
        <v>364</v>
      </c>
    </row>
    <row r="30" spans="1:7" ht="18" customHeight="1" x14ac:dyDescent="0.25">
      <c r="A30" s="324" t="s">
        <v>362</v>
      </c>
    </row>
    <row r="31" spans="1:7" ht="18" customHeight="1" x14ac:dyDescent="0.25">
      <c r="A31" s="324" t="s">
        <v>361</v>
      </c>
    </row>
    <row r="32" spans="1:7" ht="5.0999999999999996" customHeight="1" x14ac:dyDescent="0.25">
      <c r="A32" s="324"/>
    </row>
    <row r="33" spans="1:1" ht="17.25" x14ac:dyDescent="0.25">
      <c r="A33" t="s">
        <v>365</v>
      </c>
    </row>
    <row r="34" spans="1:1" ht="18" customHeight="1" x14ac:dyDescent="0.25">
      <c r="A34" s="324" t="s">
        <v>363</v>
      </c>
    </row>
    <row r="35" spans="1:1" ht="5.0999999999999996" customHeight="1" x14ac:dyDescent="0.25">
      <c r="A35" s="2"/>
    </row>
    <row r="36" spans="1:1" ht="17.25" x14ac:dyDescent="0.25">
      <c r="A36" t="s">
        <v>366</v>
      </c>
    </row>
  </sheetData>
  <sheetProtection algorithmName="SHA-512" hashValue="f7V5FY53eInpefap213KwO2usSY2cnpAw+zchn0JMvqnl1sNMe1DsklVKtj905iZGHYWug2vgMkdmk8rPq4nrg==" saltValue="MizNsWt+/c6uiSBPHRmx4Q==" spinCount="100000" sheet="1" objects="1" scenarios="1" formatColumns="0" formatRows="0" sort="0"/>
  <printOptions horizontalCentered="1"/>
  <pageMargins left="0.45" right="0.45" top="0.5" bottom="0.5" header="0.3" footer="0.05"/>
  <pageSetup scale="79" orientation="portrait" r:id="rId1"/>
  <headerFooter>
    <oddFooter xml:space="preserve">&amp;L1/11/2022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C8" sqref="C8"/>
    </sheetView>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General Insurance Company</v>
      </c>
    </row>
    <row r="2" spans="1:10" x14ac:dyDescent="0.25">
      <c r="A2" s="21" t="s">
        <v>69</v>
      </c>
      <c r="C2" s="37" t="s">
        <v>71</v>
      </c>
      <c r="F2" s="36" t="str">
        <f>General_Line</f>
        <v>Homeowners</v>
      </c>
    </row>
    <row r="3" spans="1:10" x14ac:dyDescent="0.25">
      <c r="B3" s="167"/>
    </row>
    <row r="4" spans="1:10" ht="23.25" x14ac:dyDescent="0.25">
      <c r="A4" s="5" t="s">
        <v>294</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f>E8-1</f>
        <v>2018</v>
      </c>
      <c r="E8" s="256">
        <f>F8-1</f>
        <v>2019</v>
      </c>
      <c r="F8" s="255" t="s">
        <v>537</v>
      </c>
    </row>
    <row r="9" spans="1:10" ht="30" customHeight="1" x14ac:dyDescent="0.25">
      <c r="A9" s="62">
        <v>-1</v>
      </c>
      <c r="B9" s="279" t="s">
        <v>516</v>
      </c>
      <c r="C9" s="280" t="s">
        <v>517</v>
      </c>
      <c r="D9" s="281">
        <v>1050738291.9400002</v>
      </c>
      <c r="E9" s="281">
        <v>1162150388.3099999</v>
      </c>
      <c r="F9" s="282">
        <v>1267599160.26</v>
      </c>
      <c r="J9" s="332"/>
    </row>
    <row r="10" spans="1:10" ht="30" customHeight="1" x14ac:dyDescent="0.25">
      <c r="A10" s="63">
        <v>-2</v>
      </c>
      <c r="B10" s="283" t="s">
        <v>527</v>
      </c>
      <c r="C10" s="284" t="s">
        <v>526</v>
      </c>
      <c r="D10" s="285">
        <v>79181248.810000002</v>
      </c>
      <c r="E10" s="285">
        <v>81596364.00999999</v>
      </c>
      <c r="F10" s="286">
        <v>81604298.659999996</v>
      </c>
    </row>
    <row r="11" spans="1:10" ht="30" customHeight="1" x14ac:dyDescent="0.25">
      <c r="A11" s="63">
        <v>-3</v>
      </c>
      <c r="B11" s="283" t="s">
        <v>528</v>
      </c>
      <c r="C11" s="284" t="s">
        <v>526</v>
      </c>
      <c r="D11" s="285">
        <v>73590344.120000005</v>
      </c>
      <c r="E11" s="285">
        <v>80058886.449999988</v>
      </c>
      <c r="F11" s="286">
        <v>84373887.930000007</v>
      </c>
    </row>
    <row r="12" spans="1:10" ht="30" customHeight="1" x14ac:dyDescent="0.25">
      <c r="A12" s="63">
        <v>-4</v>
      </c>
      <c r="B12" s="283" t="s">
        <v>529</v>
      </c>
      <c r="C12" s="284" t="s">
        <v>530</v>
      </c>
      <c r="D12" s="285">
        <v>17280753.41</v>
      </c>
      <c r="E12" s="285">
        <v>17629597.98</v>
      </c>
      <c r="F12" s="286">
        <v>18553806.140000001</v>
      </c>
    </row>
    <row r="13" spans="1:10" ht="30" customHeight="1" x14ac:dyDescent="0.25">
      <c r="A13" s="63">
        <v>-5</v>
      </c>
      <c r="B13" s="283" t="s">
        <v>531</v>
      </c>
      <c r="C13" s="284" t="s">
        <v>532</v>
      </c>
      <c r="D13" s="285">
        <v>154802795.07000002</v>
      </c>
      <c r="E13" s="285">
        <v>168943907.45999998</v>
      </c>
      <c r="F13" s="286">
        <v>182599412.01000002</v>
      </c>
    </row>
    <row r="14" spans="1:10" ht="30" customHeight="1" x14ac:dyDescent="0.25">
      <c r="A14" s="63">
        <v>-6</v>
      </c>
      <c r="B14" s="283" t="s">
        <v>533</v>
      </c>
      <c r="C14" s="284" t="s">
        <v>534</v>
      </c>
      <c r="D14" s="285">
        <v>26376317.25</v>
      </c>
      <c r="E14" s="285">
        <v>28768700.680000003</v>
      </c>
      <c r="F14" s="286">
        <v>30764351.109999996</v>
      </c>
    </row>
    <row r="15" spans="1:10" ht="30" customHeight="1" x14ac:dyDescent="0.25">
      <c r="A15" s="63">
        <v>-7</v>
      </c>
      <c r="B15" s="283" t="s">
        <v>535</v>
      </c>
      <c r="C15" s="284" t="s">
        <v>536</v>
      </c>
      <c r="D15" s="285">
        <v>3914781.3000000003</v>
      </c>
      <c r="E15" s="285">
        <v>3872044.2500000005</v>
      </c>
      <c r="F15" s="286">
        <v>3858817.88</v>
      </c>
    </row>
    <row r="16" spans="1:10" ht="30" customHeight="1" x14ac:dyDescent="0.25">
      <c r="A16" s="63">
        <v>-8</v>
      </c>
      <c r="B16" s="283"/>
      <c r="C16" s="284"/>
      <c r="D16" s="285"/>
      <c r="E16" s="285"/>
      <c r="F16" s="286"/>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1405884531.9000003</v>
      </c>
      <c r="E19" s="81">
        <f>SUM(E$9:E$18)</f>
        <v>1543019889.1400001</v>
      </c>
      <c r="F19" s="82">
        <f>SUM(F$9:F$18)</f>
        <v>1669353733.9900002</v>
      </c>
    </row>
    <row r="20" spans="1:7" ht="24.95" customHeight="1" x14ac:dyDescent="0.25">
      <c r="A20" s="235" t="s">
        <v>123</v>
      </c>
      <c r="B20" s="236"/>
      <c r="C20" s="237"/>
      <c r="D20" s="291">
        <v>1405884532</v>
      </c>
      <c r="E20" s="292">
        <v>1543019889</v>
      </c>
      <c r="F20" s="293">
        <v>1669353734</v>
      </c>
      <c r="G20" s="335" t="str">
        <f>IF(COUNTA(D20:F20)&lt;3,"←ERROR! Enter Statutory Page 14 Data."," ")</f>
        <v xml:space="preserve"> </v>
      </c>
    </row>
    <row r="21" spans="1:7" ht="24.95" customHeight="1" thickBot="1" x14ac:dyDescent="0.3">
      <c r="A21" s="238" t="s">
        <v>124</v>
      </c>
      <c r="B21" s="239"/>
      <c r="C21" s="240"/>
      <c r="D21" s="241">
        <f>D19-D20</f>
        <v>-9.9999666213989258E-2</v>
      </c>
      <c r="E21" s="241">
        <f t="shared" ref="E21:F21" si="0">E19-E20</f>
        <v>0.1400001049041748</v>
      </c>
      <c r="F21" s="258">
        <f t="shared" si="0"/>
        <v>-9.9997520446777344E-3</v>
      </c>
    </row>
    <row r="23" spans="1:7" ht="15.75" thickBot="1" x14ac:dyDescent="0.3">
      <c r="A23" t="s">
        <v>125</v>
      </c>
    </row>
    <row r="24" spans="1:7" ht="136.5" customHeight="1" thickBot="1" x14ac:dyDescent="0.3">
      <c r="A24" s="576"/>
      <c r="B24" s="577"/>
      <c r="C24" s="577"/>
      <c r="D24" s="577"/>
      <c r="E24" s="577"/>
      <c r="F24" s="578"/>
      <c r="G24" s="335" t="str">
        <f>IF(AND(ISBLANK(A24),OR(ROUND(D21,0)&lt;&gt;0,ROUND(E21,0)&lt;&gt;0,ROUND(F21,0)&lt;&gt;0)),"← WARNING! Explain any differences.","")</f>
        <v/>
      </c>
    </row>
    <row r="25" spans="1:7" ht="5.0999999999999996" customHeight="1" x14ac:dyDescent="0.25"/>
    <row r="26" spans="1:7" ht="17.25" x14ac:dyDescent="0.25">
      <c r="A26" s="331" t="s">
        <v>360</v>
      </c>
    </row>
    <row r="27" spans="1:7" x14ac:dyDescent="0.25">
      <c r="A27" s="331" t="s">
        <v>377</v>
      </c>
    </row>
    <row r="28" spans="1:7" x14ac:dyDescent="0.25">
      <c r="A28" s="331" t="s">
        <v>378</v>
      </c>
    </row>
    <row r="29" spans="1:7" ht="17.25" x14ac:dyDescent="0.25">
      <c r="A29" t="s">
        <v>128</v>
      </c>
    </row>
  </sheetData>
  <sheetProtection algorithmName="SHA-512" hashValue="AWDuRnNi6IvjYpyHovHbgNaZ7iVmdyVgoJwieT71U9Fg35sSVSpvDN27WHkK5v3JasLM0ekbkuZPDUcGO8/EOg==" saltValue="XlskrHjk5cHJO4JsaprfI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topLeftCell="A46" zoomScaleNormal="100" zoomScaleSheetLayoutView="100" workbookViewId="0">
      <selection activeCell="C8" sqref="C8"/>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General Insurance Company</v>
      </c>
    </row>
    <row r="2" spans="1:10" x14ac:dyDescent="0.25">
      <c r="A2" s="21" t="s">
        <v>69</v>
      </c>
      <c r="G2" s="37" t="s">
        <v>71</v>
      </c>
      <c r="J2" s="36" t="str">
        <f>General_Line</f>
        <v>Homeowners</v>
      </c>
    </row>
    <row r="3" spans="1:10" x14ac:dyDescent="0.25">
      <c r="B3" s="232"/>
    </row>
    <row r="4" spans="1:10" ht="24" thickBot="1" x14ac:dyDescent="0.4">
      <c r="B4" s="303" t="str">
        <f>CONCATENATE("ANNUAL STATEMENT LINE - ", J2,)</f>
        <v>ANNUAL STATEMENT LINE - Homeowners</v>
      </c>
      <c r="C4" s="208"/>
      <c r="D4" s="208"/>
      <c r="E4" s="208"/>
      <c r="F4" s="208"/>
      <c r="G4" s="208"/>
      <c r="H4" s="208"/>
      <c r="I4" s="208"/>
      <c r="J4" s="208"/>
    </row>
    <row r="5" spans="1:10" ht="30.75" thickBot="1" x14ac:dyDescent="0.3">
      <c r="B5" s="209" t="s">
        <v>110</v>
      </c>
      <c r="C5" s="209" t="s">
        <v>258</v>
      </c>
      <c r="D5" s="209" t="s">
        <v>259</v>
      </c>
      <c r="E5" s="209" t="s">
        <v>116</v>
      </c>
      <c r="F5" s="209" t="s">
        <v>260</v>
      </c>
      <c r="G5" s="209" t="s">
        <v>117</v>
      </c>
      <c r="H5" s="209" t="s">
        <v>261</v>
      </c>
      <c r="I5" s="209" t="s">
        <v>262</v>
      </c>
      <c r="J5" s="209" t="s">
        <v>263</v>
      </c>
    </row>
    <row r="6" spans="1:10" x14ac:dyDescent="0.25">
      <c r="A6" s="210" t="s">
        <v>214</v>
      </c>
      <c r="B6" s="261">
        <v>2020</v>
      </c>
      <c r="C6" s="313">
        <v>1765531281.9200001</v>
      </c>
      <c r="D6" s="304">
        <v>1669353733.9900002</v>
      </c>
      <c r="E6" s="305">
        <v>479136525.18000013</v>
      </c>
      <c r="F6" s="219">
        <f>E6/$D6</f>
        <v>0.2870191712063288</v>
      </c>
      <c r="G6" s="310">
        <v>46659802.499999993</v>
      </c>
      <c r="H6" s="219">
        <f>G6/$D6</f>
        <v>2.7950818062074969E-2</v>
      </c>
      <c r="I6" s="218">
        <f>E6+G6</f>
        <v>525796327.68000013</v>
      </c>
      <c r="J6" s="219">
        <f>I6/$D6</f>
        <v>0.31496998926840375</v>
      </c>
    </row>
    <row r="7" spans="1:10" x14ac:dyDescent="0.25">
      <c r="A7" s="210" t="s">
        <v>215</v>
      </c>
      <c r="B7" s="262">
        <f>B6-1</f>
        <v>2019</v>
      </c>
      <c r="C7" s="314">
        <v>1604186824.2600002</v>
      </c>
      <c r="D7" s="306">
        <v>1543019889.1400001</v>
      </c>
      <c r="E7" s="307">
        <v>885714097.71000004</v>
      </c>
      <c r="F7" s="219">
        <f>E7/$D7</f>
        <v>0.57401340316076643</v>
      </c>
      <c r="G7" s="311">
        <v>49403866.899999999</v>
      </c>
      <c r="H7" s="219">
        <f>G7/$D7</f>
        <v>3.201764750260943E-2</v>
      </c>
      <c r="I7" s="218">
        <f>E7+G7</f>
        <v>935117964.61000001</v>
      </c>
      <c r="J7" s="219">
        <f>I7/$D7</f>
        <v>0.60603105066337581</v>
      </c>
    </row>
    <row r="8" spans="1:10" x14ac:dyDescent="0.25">
      <c r="A8" s="210" t="s">
        <v>217</v>
      </c>
      <c r="B8" s="263">
        <f>B7-1</f>
        <v>2018</v>
      </c>
      <c r="C8" s="315">
        <v>1469169092.3399999</v>
      </c>
      <c r="D8" s="308">
        <v>1405884531.9000003</v>
      </c>
      <c r="E8" s="309">
        <v>1256438157.9200001</v>
      </c>
      <c r="F8" s="220">
        <f>E8/$D8</f>
        <v>0.89369939665099729</v>
      </c>
      <c r="G8" s="312">
        <v>40646905.370000005</v>
      </c>
      <c r="H8" s="220">
        <f>G8/$D8</f>
        <v>2.8911979929864676E-2</v>
      </c>
      <c r="I8" s="227">
        <f>E8+G8</f>
        <v>1297085063.29</v>
      </c>
      <c r="J8" s="220">
        <f>I8/$D8</f>
        <v>0.9226113765808619</v>
      </c>
    </row>
    <row r="9" spans="1:10" x14ac:dyDescent="0.25">
      <c r="A9" s="210" t="s">
        <v>216</v>
      </c>
      <c r="B9" s="264" t="s">
        <v>264</v>
      </c>
      <c r="C9" s="218">
        <f>AVERAGE(C6:C8)</f>
        <v>1612962399.5066669</v>
      </c>
      <c r="D9" s="218">
        <f>AVERAGE(D6:D8)</f>
        <v>1539419385.0100002</v>
      </c>
      <c r="E9" s="218">
        <f>AVERAGE(E6:E8)</f>
        <v>873762926.93666685</v>
      </c>
      <c r="F9" s="219">
        <f>E9/$D9</f>
        <v>0.56759251926075416</v>
      </c>
      <c r="G9" s="218">
        <f>AVERAGE(G6:G8)</f>
        <v>45570191.589999996</v>
      </c>
      <c r="H9" s="219">
        <f>G9/$D9</f>
        <v>2.9602194199798235E-2</v>
      </c>
      <c r="I9" s="218">
        <f>AVERAGE(I6:I8)</f>
        <v>919333118.52666664</v>
      </c>
      <c r="J9" s="219">
        <f>I9/$D9</f>
        <v>0.5971947134605522</v>
      </c>
    </row>
    <row r="10" spans="1:10" ht="5.0999999999999996" customHeight="1" x14ac:dyDescent="0.25">
      <c r="A10" s="210"/>
      <c r="B10" s="4"/>
      <c r="C10" s="212"/>
      <c r="D10" s="212"/>
      <c r="E10" s="212"/>
      <c r="F10" s="211"/>
      <c r="G10" s="212"/>
      <c r="H10" s="211"/>
      <c r="I10" s="212"/>
      <c r="J10" s="211"/>
    </row>
    <row r="11" spans="1:10" x14ac:dyDescent="0.25">
      <c r="A11" s="148"/>
      <c r="B11" s="213" t="str">
        <f>"Source: Annual Statement for "&amp;B8&amp;", "&amp;B7&amp;" &amp; "&amp;B6</f>
        <v>Source: Annual Statement for 2018, 2019 &amp; 2020</v>
      </c>
      <c r="F11" s="214"/>
    </row>
    <row r="12" spans="1:10" x14ac:dyDescent="0.25">
      <c r="B12" s="329" t="s">
        <v>346</v>
      </c>
      <c r="F12" s="214"/>
    </row>
    <row r="13" spans="1:10" x14ac:dyDescent="0.25">
      <c r="A13" s="148"/>
      <c r="B13" s="213" t="s">
        <v>265</v>
      </c>
    </row>
    <row r="14" spans="1:10" x14ac:dyDescent="0.25">
      <c r="A14" s="148"/>
    </row>
    <row r="15" spans="1:10" x14ac:dyDescent="0.25">
      <c r="A15" s="148"/>
      <c r="B15" s="214" t="s">
        <v>347</v>
      </c>
    </row>
    <row r="16" spans="1:10" ht="30.75" thickBot="1" x14ac:dyDescent="0.3">
      <c r="A16" s="148"/>
      <c r="B16" s="209" t="s">
        <v>110</v>
      </c>
      <c r="C16" s="209" t="s">
        <v>258</v>
      </c>
      <c r="D16" s="209" t="s">
        <v>259</v>
      </c>
      <c r="E16" s="209" t="s">
        <v>116</v>
      </c>
      <c r="F16" s="209" t="s">
        <v>260</v>
      </c>
      <c r="G16" s="209" t="s">
        <v>117</v>
      </c>
      <c r="H16" s="209" t="s">
        <v>261</v>
      </c>
      <c r="I16" s="209" t="s">
        <v>262</v>
      </c>
      <c r="J16" s="209" t="s">
        <v>263</v>
      </c>
    </row>
    <row r="17" spans="1:10" x14ac:dyDescent="0.25">
      <c r="A17" s="210" t="s">
        <v>218</v>
      </c>
      <c r="B17" s="217">
        <f>$B$6</f>
        <v>2020</v>
      </c>
      <c r="C17" s="221">
        <f t="shared" ref="C17:E18" si="0">C26+C33+C40+C47+C54+C61+C68+C75+C82+C89+C96+C103+C110+C117+C124+C131+C138+C145+C152+C159+C166+C173+C180+C187+C194+C201+C208+C215+C222+C229</f>
        <v>1765531281.9200001</v>
      </c>
      <c r="D17" s="221">
        <f t="shared" si="0"/>
        <v>1669353733.9900002</v>
      </c>
      <c r="E17" s="221">
        <f t="shared" si="0"/>
        <v>479136525.18000013</v>
      </c>
      <c r="F17" s="222">
        <f>E17/$D17</f>
        <v>0.2870191712063288</v>
      </c>
      <c r="G17" s="221">
        <f>G26+G33+G40+G47+G54+G61+G68+G75+G82+G89+G96+G103+G110+G117+G124+G131+G138+G145+G152+G159+G166+G173+G180+G187+G194+G201+G208+G215+G222+G229</f>
        <v>46659802.499999993</v>
      </c>
      <c r="H17" s="222">
        <f>G17/$D17</f>
        <v>2.7950818062074969E-2</v>
      </c>
      <c r="I17" s="221">
        <f>I26+I33+I40+I47+I54+I61+I68+I75+I82+I89+I96+I103+I110+I117+I124+I131+I138+I145+I152+I159+I166+I173+I180+I187+I194+I201+I208+I215+I222+I229</f>
        <v>525796327.68000007</v>
      </c>
      <c r="J17" s="222">
        <f>I17/$D17</f>
        <v>0.31496998926840375</v>
      </c>
    </row>
    <row r="18" spans="1:10" x14ac:dyDescent="0.25">
      <c r="A18" s="210" t="s">
        <v>219</v>
      </c>
      <c r="B18" s="217">
        <f>$B$7</f>
        <v>2019</v>
      </c>
      <c r="C18" s="221">
        <f t="shared" si="0"/>
        <v>1604186824.2600002</v>
      </c>
      <c r="D18" s="221">
        <f t="shared" si="0"/>
        <v>1543019889.1400001</v>
      </c>
      <c r="E18" s="221">
        <f t="shared" si="0"/>
        <v>885714097.71000004</v>
      </c>
      <c r="F18" s="222">
        <f>E18/$D18</f>
        <v>0.57401340316076643</v>
      </c>
      <c r="G18" s="221">
        <f>G27+G34+G41+G48+G55+G62+G69+G76+G83+G90+G97+G104+G111+G118+G125+G132+G139+G146+G153+G160+G167+G174+G181+G188+G195+G202+G209+G216+G223+G230</f>
        <v>49403866.899999999</v>
      </c>
      <c r="H18" s="222">
        <f>G18/$D18</f>
        <v>3.201764750260943E-2</v>
      </c>
      <c r="I18" s="221">
        <f>I27+I34+I41+I48+I55+I62+I69+I76+I83+I90+I97+I104+I111+I118+I125+I132+I139+I146+I153+I160+I167+I174+I181+I188+I195+I1202+I209+I216+I223+I230</f>
        <v>935117964.61000001</v>
      </c>
      <c r="J18" s="222">
        <f>I18/$D18</f>
        <v>0.60603105066337581</v>
      </c>
    </row>
    <row r="19" spans="1:10" x14ac:dyDescent="0.25">
      <c r="A19" s="210" t="s">
        <v>220</v>
      </c>
      <c r="B19" s="223">
        <f>$B$8</f>
        <v>2018</v>
      </c>
      <c r="C19" s="224">
        <f>C28+C35+C42+C49+C56+C63+C70+C77+C84+C91+C98+C105+C112+C119+C126+C133+C140+C147+C154+C161+C168+C175+C182+C189+C196+C203+C210+C217+C224+C231</f>
        <v>1469169092.3399999</v>
      </c>
      <c r="D19" s="224">
        <f>D28+D35+D42+D49+D56+D63+D70+D77+D84+D91+D98+D105+D112+D119+D126+D133+D140+D147+D154+D161+D168+D175+D182+D189+D196+D203+D210+D217+D224+D231</f>
        <v>1405884531.9000003</v>
      </c>
      <c r="E19" s="224">
        <f>E28+E35+E42+E49+E56+E63+E70+E77+E84+E91+E98+E105+E112+E119+E126+E133+E140+E147+E154+E161+E168+E175+E182+E189+E196+E203+E210+E217+E224+E231</f>
        <v>1256438157.9200001</v>
      </c>
      <c r="F19" s="225">
        <f>E19/$D19</f>
        <v>0.89369939665099729</v>
      </c>
      <c r="G19" s="224">
        <f>G28+G35+G42+G49+G56+G63+G70+G77+G84+G91+G98+G105+G112+G119+G126+G133+G140+G147+G154+G161+G168+G175+G181+G189+G196+G203+G210+G217+G224+G231</f>
        <v>40646905.370000005</v>
      </c>
      <c r="H19" s="225">
        <f>G19/$D19</f>
        <v>2.8911979929864676E-2</v>
      </c>
      <c r="I19" s="224">
        <f>I28+I35+I42+I49+I56+I63+I70+I77+I84+I91+I98+I105+I112+I119+I126+I133+I140+I147+I154+I161+I168+I175+I182+I189+I196+I203+I210+I217+I224+I231</f>
        <v>1297085063.29</v>
      </c>
      <c r="J19" s="225">
        <f>I19/$D19</f>
        <v>0.9226113765808619</v>
      </c>
    </row>
    <row r="20" spans="1:10" x14ac:dyDescent="0.25">
      <c r="A20" s="210" t="s">
        <v>221</v>
      </c>
      <c r="B20" s="217" t="s">
        <v>264</v>
      </c>
      <c r="C20" s="221">
        <f>AVERAGE(C17:C19)</f>
        <v>1612962399.5066669</v>
      </c>
      <c r="D20" s="221">
        <f>AVERAGE(D17:D19)</f>
        <v>1539419385.0100002</v>
      </c>
      <c r="E20" s="221">
        <f>AVERAGE(E17:E19)</f>
        <v>873762926.93666685</v>
      </c>
      <c r="F20" s="222">
        <f>E20/$D20</f>
        <v>0.56759251926075416</v>
      </c>
      <c r="G20" s="221">
        <f>AVERAGE(G17:G19)</f>
        <v>45570191.589999996</v>
      </c>
      <c r="H20" s="222">
        <f>G20/$D20</f>
        <v>2.9602194199798235E-2</v>
      </c>
      <c r="I20" s="221">
        <f>AVERAGE(I17:I19)</f>
        <v>919333118.52666664</v>
      </c>
      <c r="J20" s="222">
        <f>I20/$D20</f>
        <v>0.5971947134605522</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v>
      </c>
      <c r="F22" s="226">
        <f t="shared" si="1"/>
        <v>0</v>
      </c>
      <c r="G22" s="226">
        <f t="shared" si="1"/>
        <v>0</v>
      </c>
      <c r="H22" s="226">
        <f t="shared" si="1"/>
        <v>0</v>
      </c>
      <c r="I22" s="226">
        <f>I20-I9</f>
        <v>0</v>
      </c>
      <c r="J22" s="226">
        <f t="shared" si="1"/>
        <v>0</v>
      </c>
    </row>
    <row r="23" spans="1:10" x14ac:dyDescent="0.25">
      <c r="A23" s="148"/>
      <c r="B23" s="216" t="str">
        <f>IF(OR(C20&lt;&gt;C9,D20&lt;&gt;D9,E20&lt;&gt;E9,G20&lt;&gt;G9,I20&lt;&gt;I9),"ERROR! Total of all forms [Line (8)] must match Annual Statement in [Line (4)] above.  (Round-off will be ignored.)","")</f>
        <v/>
      </c>
    </row>
    <row r="24" spans="1:10" x14ac:dyDescent="0.25">
      <c r="A24" s="148"/>
      <c r="B24" s="579" t="s">
        <v>516</v>
      </c>
      <c r="C24" s="579"/>
    </row>
    <row r="25" spans="1:10" ht="30.75" thickBot="1" x14ac:dyDescent="0.3">
      <c r="A25" s="148"/>
      <c r="B25" s="209" t="s">
        <v>110</v>
      </c>
      <c r="C25" s="209" t="s">
        <v>258</v>
      </c>
      <c r="D25" s="209" t="s">
        <v>259</v>
      </c>
      <c r="E25" s="209" t="s">
        <v>116</v>
      </c>
      <c r="F25" s="209" t="s">
        <v>260</v>
      </c>
      <c r="G25" s="209" t="s">
        <v>117</v>
      </c>
      <c r="H25" s="209" t="s">
        <v>261</v>
      </c>
      <c r="I25" s="209" t="s">
        <v>262</v>
      </c>
      <c r="J25" s="209" t="s">
        <v>263</v>
      </c>
    </row>
    <row r="26" spans="1:10" x14ac:dyDescent="0.25">
      <c r="A26" s="148"/>
      <c r="B26" s="217">
        <f>$B$6</f>
        <v>2020</v>
      </c>
      <c r="C26" s="313">
        <v>1351696593.8799999</v>
      </c>
      <c r="D26" s="304">
        <v>1267599160.26</v>
      </c>
      <c r="E26" s="305">
        <v>345666351.97000009</v>
      </c>
      <c r="F26" s="219">
        <f>E26/$D26</f>
        <v>0.2726937369531704</v>
      </c>
      <c r="G26" s="310">
        <v>33629067.689999998</v>
      </c>
      <c r="H26" s="219">
        <f>G26/$D26</f>
        <v>2.6529733329187649E-2</v>
      </c>
      <c r="I26" s="218">
        <f>E26+G26</f>
        <v>379295419.66000009</v>
      </c>
      <c r="J26" s="219">
        <f>I26/$D26</f>
        <v>0.29922347028235802</v>
      </c>
    </row>
    <row r="27" spans="1:10" x14ac:dyDescent="0.25">
      <c r="A27" s="148"/>
      <c r="B27" s="217">
        <f>$B$7</f>
        <v>2019</v>
      </c>
      <c r="C27" s="314">
        <v>1210449261.6500001</v>
      </c>
      <c r="D27" s="306">
        <v>1162150388.3099999</v>
      </c>
      <c r="E27" s="307">
        <v>737305568.38999999</v>
      </c>
      <c r="F27" s="219">
        <f>E27/$D27</f>
        <v>0.63443214906307466</v>
      </c>
      <c r="G27" s="311">
        <v>34199424.469999999</v>
      </c>
      <c r="H27" s="219">
        <f>G27/$D27</f>
        <v>2.9427709885063009E-2</v>
      </c>
      <c r="I27" s="218">
        <f>E27+G27</f>
        <v>771504992.86000001</v>
      </c>
      <c r="J27" s="219">
        <f>I27/$D27</f>
        <v>0.6638598589481377</v>
      </c>
    </row>
    <row r="28" spans="1:10" x14ac:dyDescent="0.25">
      <c r="A28" s="148"/>
      <c r="B28" s="223">
        <f>$B$8</f>
        <v>2018</v>
      </c>
      <c r="C28" s="315">
        <v>1104643272.5799999</v>
      </c>
      <c r="D28" s="308">
        <v>1050738291.9400002</v>
      </c>
      <c r="E28" s="309">
        <v>1028140260.2</v>
      </c>
      <c r="F28" s="220">
        <f>E28/$D28</f>
        <v>0.97849318720622913</v>
      </c>
      <c r="G28" s="312">
        <v>26997964.260000005</v>
      </c>
      <c r="H28" s="220">
        <f>G28/$D28</f>
        <v>2.5694280361814068E-2</v>
      </c>
      <c r="I28" s="227">
        <f>E28+G28</f>
        <v>1055138224.46</v>
      </c>
      <c r="J28" s="220">
        <f>I28/$D28</f>
        <v>1.0041874675680431</v>
      </c>
    </row>
    <row r="29" spans="1:10" x14ac:dyDescent="0.25">
      <c r="A29" s="148"/>
      <c r="B29" s="217" t="s">
        <v>264</v>
      </c>
      <c r="C29" s="218">
        <f>AVERAGE(C26:C28)</f>
        <v>1222263042.7033331</v>
      </c>
      <c r="D29" s="218">
        <f>AVERAGE(D26:D28)</f>
        <v>1160162613.5033333</v>
      </c>
      <c r="E29" s="218">
        <f>AVERAGE(E26:E28)</f>
        <v>703704060.18666673</v>
      </c>
      <c r="F29" s="219">
        <f>E29/$D29</f>
        <v>0.6065564016596755</v>
      </c>
      <c r="G29" s="218">
        <f>AVERAGE(G26:G28)</f>
        <v>31608818.806666669</v>
      </c>
      <c r="H29" s="219">
        <f>G29/$D29</f>
        <v>2.7245162392552699E-2</v>
      </c>
      <c r="I29" s="218">
        <f>AVERAGE(I26:I28)</f>
        <v>735312878.99333334</v>
      </c>
      <c r="J29" s="219">
        <f>I29/$D29</f>
        <v>0.63380156405222821</v>
      </c>
    </row>
    <row r="30" spans="1:10" x14ac:dyDescent="0.25">
      <c r="A30" s="148"/>
    </row>
    <row r="31" spans="1:10" x14ac:dyDescent="0.25">
      <c r="A31" s="148"/>
      <c r="B31" s="579" t="s">
        <v>527</v>
      </c>
      <c r="C31" s="579"/>
    </row>
    <row r="32" spans="1:10" ht="30.75" thickBot="1" x14ac:dyDescent="0.3">
      <c r="A32" s="148"/>
      <c r="B32" s="209" t="s">
        <v>110</v>
      </c>
      <c r="C32" s="209" t="s">
        <v>258</v>
      </c>
      <c r="D32" s="209" t="s">
        <v>259</v>
      </c>
      <c r="E32" s="209" t="s">
        <v>116</v>
      </c>
      <c r="F32" s="209" t="s">
        <v>260</v>
      </c>
      <c r="G32" s="209" t="s">
        <v>117</v>
      </c>
      <c r="H32" s="209" t="s">
        <v>261</v>
      </c>
      <c r="I32" s="209" t="s">
        <v>262</v>
      </c>
      <c r="J32" s="209" t="s">
        <v>263</v>
      </c>
    </row>
    <row r="33" spans="1:10" x14ac:dyDescent="0.25">
      <c r="A33" s="148"/>
      <c r="B33" s="217">
        <f>$B$6</f>
        <v>2020</v>
      </c>
      <c r="C33" s="313">
        <v>83305331.419999987</v>
      </c>
      <c r="D33" s="304">
        <v>81604298.659999996</v>
      </c>
      <c r="E33" s="305">
        <v>41787786.63000001</v>
      </c>
      <c r="F33" s="219">
        <f>E33/$D33</f>
        <v>0.51207825220221082</v>
      </c>
      <c r="G33" s="310">
        <v>944987.21000000008</v>
      </c>
      <c r="H33" s="219">
        <f>G33/$D33</f>
        <v>1.1580115576230112E-2</v>
      </c>
      <c r="I33" s="218">
        <f>E33+G33</f>
        <v>42732773.840000011</v>
      </c>
      <c r="J33" s="219">
        <f>I33/$D33</f>
        <v>0.52365836777844088</v>
      </c>
    </row>
    <row r="34" spans="1:10" x14ac:dyDescent="0.25">
      <c r="A34" s="148"/>
      <c r="B34" s="217">
        <f>$B$7</f>
        <v>2019</v>
      </c>
      <c r="C34" s="314">
        <v>81289451.140000001</v>
      </c>
      <c r="D34" s="306">
        <v>81596364.00999999</v>
      </c>
      <c r="E34" s="307">
        <v>39527553.460000001</v>
      </c>
      <c r="F34" s="219">
        <f>E34/$D34</f>
        <v>0.48442787787891783</v>
      </c>
      <c r="G34" s="311">
        <v>2142129.66</v>
      </c>
      <c r="H34" s="219">
        <f>G34/$D34</f>
        <v>2.6252758759415712E-2</v>
      </c>
      <c r="I34" s="218">
        <f>E34+G34</f>
        <v>41669683.120000005</v>
      </c>
      <c r="J34" s="219">
        <f>I34/$D34</f>
        <v>0.51068063663833363</v>
      </c>
    </row>
    <row r="35" spans="1:10" x14ac:dyDescent="0.25">
      <c r="A35" s="148"/>
      <c r="B35" s="223">
        <f>$B$8</f>
        <v>2018</v>
      </c>
      <c r="C35" s="315">
        <v>80526280.230000019</v>
      </c>
      <c r="D35" s="308">
        <v>79181248.810000002</v>
      </c>
      <c r="E35" s="309">
        <v>20475959.719999995</v>
      </c>
      <c r="F35" s="220">
        <f>E35/$D35</f>
        <v>0.25859606949535802</v>
      </c>
      <c r="G35" s="312">
        <v>267656.24000000005</v>
      </c>
      <c r="H35" s="220">
        <f>G35/$D35</f>
        <v>3.380298290599795E-3</v>
      </c>
      <c r="I35" s="227">
        <f>E35+G35</f>
        <v>20743615.959999993</v>
      </c>
      <c r="J35" s="220">
        <f>I35/$D35</f>
        <v>0.26197636778595779</v>
      </c>
    </row>
    <row r="36" spans="1:10" x14ac:dyDescent="0.25">
      <c r="A36" s="148"/>
      <c r="B36" s="217" t="s">
        <v>264</v>
      </c>
      <c r="C36" s="218">
        <f>AVERAGE(C33:C35)</f>
        <v>81707020.930000007</v>
      </c>
      <c r="D36" s="218">
        <f>AVERAGE(D33:D35)</f>
        <v>80793970.493333325</v>
      </c>
      <c r="E36" s="218">
        <f>AVERAGE(E33:E35)</f>
        <v>33930433.270000003</v>
      </c>
      <c r="F36" s="219">
        <f>E36/$D36</f>
        <v>0.41996244351921974</v>
      </c>
      <c r="G36" s="218">
        <f>AVERAGE(G33:G35)</f>
        <v>1118257.7033333334</v>
      </c>
      <c r="H36" s="219">
        <f>G36/$D36</f>
        <v>1.3840855901810221E-2</v>
      </c>
      <c r="I36" s="218">
        <f>AVERAGE(I33:I35)</f>
        <v>35048690.973333336</v>
      </c>
      <c r="J36" s="219">
        <f>I36/$D36</f>
        <v>0.43380329942102996</v>
      </c>
    </row>
    <row r="37" spans="1:10" x14ac:dyDescent="0.25">
      <c r="A37" s="148"/>
    </row>
    <row r="38" spans="1:10" x14ac:dyDescent="0.25">
      <c r="A38" s="148"/>
      <c r="B38" s="579" t="s">
        <v>528</v>
      </c>
      <c r="C38" s="579"/>
    </row>
    <row r="39" spans="1:10" ht="30.75" thickBot="1" x14ac:dyDescent="0.3">
      <c r="A39" s="148"/>
      <c r="B39" s="209" t="s">
        <v>110</v>
      </c>
      <c r="C39" s="209" t="s">
        <v>258</v>
      </c>
      <c r="D39" s="209" t="s">
        <v>259</v>
      </c>
      <c r="E39" s="209" t="s">
        <v>116</v>
      </c>
      <c r="F39" s="209" t="s">
        <v>260</v>
      </c>
      <c r="G39" s="209" t="s">
        <v>117</v>
      </c>
      <c r="H39" s="209" t="s">
        <v>261</v>
      </c>
      <c r="I39" s="209" t="s">
        <v>262</v>
      </c>
      <c r="J39" s="209" t="s">
        <v>263</v>
      </c>
    </row>
    <row r="40" spans="1:10" x14ac:dyDescent="0.25">
      <c r="A40" s="148"/>
      <c r="B40" s="217">
        <f>$B$6</f>
        <v>2020</v>
      </c>
      <c r="C40" s="313">
        <v>87498755.980000004</v>
      </c>
      <c r="D40" s="304">
        <v>84373887.930000007</v>
      </c>
      <c r="E40" s="305">
        <v>56604176.470000006</v>
      </c>
      <c r="F40" s="219">
        <f>E40/$D40</f>
        <v>0.67087315588634633</v>
      </c>
      <c r="G40" s="310">
        <v>1233585.51</v>
      </c>
      <c r="H40" s="219">
        <f>G40/$D40</f>
        <v>1.4620465410144813E-2</v>
      </c>
      <c r="I40" s="218">
        <f>E40+G40</f>
        <v>57837761.980000004</v>
      </c>
      <c r="J40" s="219">
        <f>I40/$D40</f>
        <v>0.68549362129649105</v>
      </c>
    </row>
    <row r="41" spans="1:10" x14ac:dyDescent="0.25">
      <c r="A41" s="148"/>
      <c r="B41" s="217">
        <f>$B$7</f>
        <v>2019</v>
      </c>
      <c r="C41" s="314">
        <v>82348591.510000005</v>
      </c>
      <c r="D41" s="306">
        <v>80058886.449999988</v>
      </c>
      <c r="E41" s="307">
        <v>59760322.360000007</v>
      </c>
      <c r="F41" s="219">
        <f>E41/$D41</f>
        <v>0.74645457874714194</v>
      </c>
      <c r="G41" s="311">
        <v>3412847.65</v>
      </c>
      <c r="H41" s="219">
        <f>G41/$D41</f>
        <v>4.2629217084245372E-2</v>
      </c>
      <c r="I41" s="218">
        <f>E41+G41</f>
        <v>63173170.010000005</v>
      </c>
      <c r="J41" s="219">
        <f>I41/$D41</f>
        <v>0.78908379583138721</v>
      </c>
    </row>
    <row r="42" spans="1:10" x14ac:dyDescent="0.25">
      <c r="A42" s="148"/>
      <c r="B42" s="223">
        <f>$B$8</f>
        <v>2018</v>
      </c>
      <c r="C42" s="315">
        <v>76701936.439999998</v>
      </c>
      <c r="D42" s="308">
        <v>73590344.120000005</v>
      </c>
      <c r="E42" s="309">
        <v>47586510.489999995</v>
      </c>
      <c r="F42" s="220">
        <f>E42/$D42</f>
        <v>0.64664068444092493</v>
      </c>
      <c r="G42" s="312">
        <v>1382442.8599999999</v>
      </c>
      <c r="H42" s="220">
        <f>G42/$D42</f>
        <v>1.8785655598317644E-2</v>
      </c>
      <c r="I42" s="227">
        <f>E42+G42</f>
        <v>48968953.349999994</v>
      </c>
      <c r="J42" s="220">
        <f>I42/$D42</f>
        <v>0.6654263400392425</v>
      </c>
    </row>
    <row r="43" spans="1:10" x14ac:dyDescent="0.25">
      <c r="A43" s="148"/>
      <c r="B43" s="217" t="s">
        <v>264</v>
      </c>
      <c r="C43" s="218">
        <f>AVERAGE(C40:C42)</f>
        <v>82183094.643333331</v>
      </c>
      <c r="D43" s="218">
        <f>AVERAGE(D40:D42)</f>
        <v>79341039.5</v>
      </c>
      <c r="E43" s="218">
        <f>AVERAGE(E40:E42)</f>
        <v>54650336.439999998</v>
      </c>
      <c r="F43" s="219">
        <f>E43/$D43</f>
        <v>0.68880287912033211</v>
      </c>
      <c r="G43" s="218">
        <f>AVERAGE(G40:G42)</f>
        <v>2009625.3399999999</v>
      </c>
      <c r="H43" s="219">
        <f>G43/$D43</f>
        <v>2.5328951481660381E-2</v>
      </c>
      <c r="I43" s="218">
        <f>AVERAGE(I40:I42)</f>
        <v>56659961.780000001</v>
      </c>
      <c r="J43" s="219">
        <f>I43/$D43</f>
        <v>0.71413183060199259</v>
      </c>
    </row>
    <row r="44" spans="1:10" x14ac:dyDescent="0.25">
      <c r="A44" s="148"/>
    </row>
    <row r="45" spans="1:10" x14ac:dyDescent="0.25">
      <c r="A45" s="148"/>
      <c r="B45" s="579" t="s">
        <v>529</v>
      </c>
      <c r="C45" s="579"/>
    </row>
    <row r="46" spans="1:10" ht="30.75" thickBot="1" x14ac:dyDescent="0.3">
      <c r="A46" s="148"/>
      <c r="B46" s="209" t="s">
        <v>110</v>
      </c>
      <c r="C46" s="209" t="s">
        <v>258</v>
      </c>
      <c r="D46" s="209" t="s">
        <v>259</v>
      </c>
      <c r="E46" s="209" t="s">
        <v>116</v>
      </c>
      <c r="F46" s="209" t="s">
        <v>260</v>
      </c>
      <c r="G46" s="209" t="s">
        <v>117</v>
      </c>
      <c r="H46" s="209" t="s">
        <v>261</v>
      </c>
      <c r="I46" s="209" t="s">
        <v>262</v>
      </c>
      <c r="J46" s="209" t="s">
        <v>263</v>
      </c>
    </row>
    <row r="47" spans="1:10" x14ac:dyDescent="0.25">
      <c r="A47" s="148"/>
      <c r="B47" s="217">
        <f>$B$6</f>
        <v>2020</v>
      </c>
      <c r="C47" s="313">
        <v>18975387.710000001</v>
      </c>
      <c r="D47" s="304">
        <v>18553806.140000001</v>
      </c>
      <c r="E47" s="305">
        <v>-24949723.870000005</v>
      </c>
      <c r="F47" s="219">
        <f>E47/$D47</f>
        <v>-1.344722677478617</v>
      </c>
      <c r="G47" s="310">
        <v>726088.51</v>
      </c>
      <c r="H47" s="219">
        <f>G47/$D47</f>
        <v>3.9134208071444257E-2</v>
      </c>
      <c r="I47" s="218">
        <f>E47+G47</f>
        <v>-24223635.360000003</v>
      </c>
      <c r="J47" s="219">
        <f>I47/$D47</f>
        <v>-1.3055884694071727</v>
      </c>
    </row>
    <row r="48" spans="1:10" x14ac:dyDescent="0.25">
      <c r="A48" s="148"/>
      <c r="B48" s="217">
        <f>$B$7</f>
        <v>2019</v>
      </c>
      <c r="C48" s="314">
        <v>18086307.98</v>
      </c>
      <c r="D48" s="306">
        <v>17629597.98</v>
      </c>
      <c r="E48" s="307">
        <v>-35305379.32</v>
      </c>
      <c r="F48" s="219">
        <f>E48/$D48</f>
        <v>-2.0026196490726784</v>
      </c>
      <c r="G48" s="311">
        <v>245586.09000000003</v>
      </c>
      <c r="H48" s="219">
        <f>G48/$D48</f>
        <v>1.3930328432821134E-2</v>
      </c>
      <c r="I48" s="218">
        <f>E48+G48</f>
        <v>-35059793.229999997</v>
      </c>
      <c r="J48" s="219">
        <f>I48/$D48</f>
        <v>-1.988689320639857</v>
      </c>
    </row>
    <row r="49" spans="1:10" x14ac:dyDescent="0.25">
      <c r="A49" s="148"/>
      <c r="B49" s="223">
        <f>$B$8</f>
        <v>2018</v>
      </c>
      <c r="C49" s="315">
        <v>17165763</v>
      </c>
      <c r="D49" s="308">
        <v>17280753.41</v>
      </c>
      <c r="E49" s="309">
        <v>72338271.709999993</v>
      </c>
      <c r="F49" s="220">
        <f>E49/$D49</f>
        <v>4.186060063106936</v>
      </c>
      <c r="G49" s="312">
        <v>705059.55999999994</v>
      </c>
      <c r="H49" s="220">
        <f>G49/$D49</f>
        <v>4.0800278973484871E-2</v>
      </c>
      <c r="I49" s="227">
        <f>E49+G49</f>
        <v>73043331.269999996</v>
      </c>
      <c r="J49" s="220">
        <f>I49/$D49</f>
        <v>4.2268603420804203</v>
      </c>
    </row>
    <row r="50" spans="1:10" x14ac:dyDescent="0.25">
      <c r="A50" s="148"/>
      <c r="B50" s="217" t="s">
        <v>264</v>
      </c>
      <c r="C50" s="218">
        <f>AVERAGE(C47:C49)</f>
        <v>18075819.563333333</v>
      </c>
      <c r="D50" s="218">
        <f>AVERAGE(D47:D49)</f>
        <v>17821385.843333334</v>
      </c>
      <c r="E50" s="218">
        <f>AVERAGE(E47:E49)</f>
        <v>4027722.8399999961</v>
      </c>
      <c r="F50" s="219">
        <f>E50/$D50</f>
        <v>0.22600502987856561</v>
      </c>
      <c r="G50" s="218">
        <f>AVERAGE(G47:G49)</f>
        <v>558911.38666666672</v>
      </c>
      <c r="H50" s="219">
        <f>G50/$D50</f>
        <v>3.1361836367834753E-2</v>
      </c>
      <c r="I50" s="218">
        <f>AVERAGE(I47:I49)</f>
        <v>4586634.2266666638</v>
      </c>
      <c r="J50" s="219">
        <f>I50/$D50</f>
        <v>0.25736686624640043</v>
      </c>
    </row>
    <row r="51" spans="1:10" x14ac:dyDescent="0.25">
      <c r="A51" s="148"/>
    </row>
    <row r="52" spans="1:10" x14ac:dyDescent="0.25">
      <c r="A52" s="148"/>
      <c r="B52" s="579" t="s">
        <v>531</v>
      </c>
      <c r="C52" s="579"/>
    </row>
    <row r="53" spans="1:10" ht="30.75" thickBot="1" x14ac:dyDescent="0.3">
      <c r="A53" s="148"/>
      <c r="B53" s="209" t="s">
        <v>110</v>
      </c>
      <c r="C53" s="209" t="s">
        <v>258</v>
      </c>
      <c r="D53" s="209" t="s">
        <v>259</v>
      </c>
      <c r="E53" s="209" t="s">
        <v>116</v>
      </c>
      <c r="F53" s="209" t="s">
        <v>260</v>
      </c>
      <c r="G53" s="209" t="s">
        <v>117</v>
      </c>
      <c r="H53" s="209" t="s">
        <v>261</v>
      </c>
      <c r="I53" s="209" t="s">
        <v>262</v>
      </c>
      <c r="J53" s="209" t="s">
        <v>263</v>
      </c>
    </row>
    <row r="54" spans="1:10" x14ac:dyDescent="0.25">
      <c r="A54" s="148"/>
      <c r="B54" s="217">
        <f>$B$6</f>
        <v>2020</v>
      </c>
      <c r="C54" s="313">
        <v>188441548.06</v>
      </c>
      <c r="D54" s="304">
        <v>182599412.01000002</v>
      </c>
      <c r="E54" s="305">
        <v>39166572.100000001</v>
      </c>
      <c r="F54" s="219">
        <f>E54/$D54</f>
        <v>0.21449451380410278</v>
      </c>
      <c r="G54" s="310">
        <v>8712072.6799999978</v>
      </c>
      <c r="H54" s="219">
        <f>G54/$D54</f>
        <v>4.7711395037366731E-2</v>
      </c>
      <c r="I54" s="218">
        <f>E54+G54</f>
        <v>47878644.780000001</v>
      </c>
      <c r="J54" s="219">
        <f>I54/$D54</f>
        <v>0.26220590884146955</v>
      </c>
    </row>
    <row r="55" spans="1:10" x14ac:dyDescent="0.25">
      <c r="A55" s="148"/>
      <c r="B55" s="217">
        <f>$B$7</f>
        <v>2019</v>
      </c>
      <c r="C55" s="314">
        <v>178152215.19999999</v>
      </c>
      <c r="D55" s="306">
        <v>168943907.45999998</v>
      </c>
      <c r="E55" s="307">
        <v>65331909.070000008</v>
      </c>
      <c r="F55" s="219">
        <f>E55/$D55</f>
        <v>0.38670769518852477</v>
      </c>
      <c r="G55" s="311">
        <v>7722938.669999999</v>
      </c>
      <c r="H55" s="219">
        <f>G55/$D55</f>
        <v>4.5713034498320225E-2</v>
      </c>
      <c r="I55" s="218">
        <f>E55+G55</f>
        <v>73054847.74000001</v>
      </c>
      <c r="J55" s="219">
        <f>I55/$D55</f>
        <v>0.43242072968684503</v>
      </c>
    </row>
    <row r="56" spans="1:10" x14ac:dyDescent="0.25">
      <c r="A56" s="148"/>
      <c r="B56" s="223">
        <f>$B$8</f>
        <v>2018</v>
      </c>
      <c r="C56" s="315">
        <v>158969383.89000002</v>
      </c>
      <c r="D56" s="308">
        <v>154802795.07000002</v>
      </c>
      <c r="E56" s="309">
        <v>70932189.379999951</v>
      </c>
      <c r="F56" s="220">
        <f>E56/$D56</f>
        <v>0.45821000420519048</v>
      </c>
      <c r="G56" s="312">
        <v>10378490.48</v>
      </c>
      <c r="H56" s="220">
        <f>G56/$D56</f>
        <v>6.7043301610329245E-2</v>
      </c>
      <c r="I56" s="227">
        <f>E56+G56</f>
        <v>81310679.859999955</v>
      </c>
      <c r="J56" s="220">
        <f>I56/$D56</f>
        <v>0.52525330581551977</v>
      </c>
    </row>
    <row r="57" spans="1:10" x14ac:dyDescent="0.25">
      <c r="A57" s="148"/>
      <c r="B57" s="217" t="s">
        <v>264</v>
      </c>
      <c r="C57" s="218">
        <f>AVERAGE(C54:C56)</f>
        <v>175187715.71666667</v>
      </c>
      <c r="D57" s="218">
        <f>AVERAGE(D54:D56)</f>
        <v>168782038.18000004</v>
      </c>
      <c r="E57" s="218">
        <f>AVERAGE(E54:E56)</f>
        <v>58476890.183333315</v>
      </c>
      <c r="F57" s="219">
        <f>E57/$D57</f>
        <v>0.34646394138794434</v>
      </c>
      <c r="G57" s="218">
        <f>AVERAGE(G54:G56)</f>
        <v>8937833.9433333334</v>
      </c>
      <c r="H57" s="219">
        <f>G57/$D57</f>
        <v>5.2954888089462762E-2</v>
      </c>
      <c r="I57" s="218">
        <f>AVERAGE(I54:I56)</f>
        <v>67414724.12666665</v>
      </c>
      <c r="J57" s="219">
        <f>I57/$D57</f>
        <v>0.39941882947740709</v>
      </c>
    </row>
    <row r="58" spans="1:10" x14ac:dyDescent="0.25">
      <c r="A58" s="148"/>
    </row>
    <row r="59" spans="1:10" x14ac:dyDescent="0.25">
      <c r="A59" s="148"/>
      <c r="B59" s="579" t="s">
        <v>533</v>
      </c>
      <c r="C59" s="579"/>
    </row>
    <row r="60" spans="1:10" ht="30.75" thickBot="1" x14ac:dyDescent="0.3">
      <c r="A60" s="148"/>
      <c r="B60" s="209" t="s">
        <v>110</v>
      </c>
      <c r="C60" s="209" t="s">
        <v>258</v>
      </c>
      <c r="D60" s="209" t="s">
        <v>259</v>
      </c>
      <c r="E60" s="209" t="s">
        <v>116</v>
      </c>
      <c r="F60" s="209" t="s">
        <v>260</v>
      </c>
      <c r="G60" s="209" t="s">
        <v>117</v>
      </c>
      <c r="H60" s="209" t="s">
        <v>261</v>
      </c>
      <c r="I60" s="209" t="s">
        <v>262</v>
      </c>
      <c r="J60" s="209" t="s">
        <v>263</v>
      </c>
    </row>
    <row r="61" spans="1:10" x14ac:dyDescent="0.25">
      <c r="A61" s="148"/>
      <c r="B61" s="217">
        <f>$B$6</f>
        <v>2020</v>
      </c>
      <c r="C61" s="313">
        <v>31740863.939999998</v>
      </c>
      <c r="D61" s="304">
        <v>30764351.109999996</v>
      </c>
      <c r="E61" s="305">
        <v>20859807.98</v>
      </c>
      <c r="F61" s="219">
        <f>E61/$D61</f>
        <v>0.67805129077529902</v>
      </c>
      <c r="G61" s="310">
        <v>1414000.9000000001</v>
      </c>
      <c r="H61" s="219">
        <f>G61/$D61</f>
        <v>4.5962318364659971E-2</v>
      </c>
      <c r="I61" s="218">
        <f>E61+G61</f>
        <v>22273808.879999999</v>
      </c>
      <c r="J61" s="219">
        <f>I61/$D61</f>
        <v>0.72401360913995894</v>
      </c>
    </row>
    <row r="62" spans="1:10" x14ac:dyDescent="0.25">
      <c r="A62" s="148"/>
      <c r="B62" s="217">
        <f>$B$7</f>
        <v>2019</v>
      </c>
      <c r="C62" s="314">
        <v>30007109.809999999</v>
      </c>
      <c r="D62" s="306">
        <v>28768700.680000003</v>
      </c>
      <c r="E62" s="307">
        <v>19090712.349999998</v>
      </c>
      <c r="F62" s="219">
        <f>E62/$D62</f>
        <v>0.66359313763766392</v>
      </c>
      <c r="G62" s="311">
        <v>1680940.3599999999</v>
      </c>
      <c r="H62" s="219">
        <f>G62/$D62</f>
        <v>5.8429484831360123E-2</v>
      </c>
      <c r="I62" s="218">
        <f>E62+G62</f>
        <v>20771652.709999997</v>
      </c>
      <c r="J62" s="219">
        <f>I62/$D62</f>
        <v>0.72202262246902404</v>
      </c>
    </row>
    <row r="63" spans="1:10" x14ac:dyDescent="0.25">
      <c r="A63" s="148"/>
      <c r="B63" s="223">
        <f>$B$8</f>
        <v>2018</v>
      </c>
      <c r="C63" s="315">
        <v>27261880.09</v>
      </c>
      <c r="D63" s="308">
        <v>26376317.25</v>
      </c>
      <c r="E63" s="309">
        <v>16964171.729999997</v>
      </c>
      <c r="F63" s="220">
        <f>E63/$D63</f>
        <v>0.64315922382985424</v>
      </c>
      <c r="G63" s="312">
        <v>915291.97</v>
      </c>
      <c r="H63" s="220">
        <f>G63/$D63</f>
        <v>3.4701279990101724E-2</v>
      </c>
      <c r="I63" s="227">
        <f>E63+G63</f>
        <v>17879463.699999996</v>
      </c>
      <c r="J63" s="220">
        <f>I63/$D63</f>
        <v>0.677860503819956</v>
      </c>
    </row>
    <row r="64" spans="1:10" x14ac:dyDescent="0.25">
      <c r="A64" s="148"/>
      <c r="B64" s="217" t="s">
        <v>264</v>
      </c>
      <c r="C64" s="218">
        <f>AVERAGE(C61:C63)</f>
        <v>29669951.280000001</v>
      </c>
      <c r="D64" s="218">
        <f>AVERAGE(D61:D63)</f>
        <v>28636456.346666664</v>
      </c>
      <c r="E64" s="218">
        <f>AVERAGE(E61:E63)</f>
        <v>18971564.02</v>
      </c>
      <c r="F64" s="219">
        <f>E64/$D64</f>
        <v>0.66249691618035433</v>
      </c>
      <c r="G64" s="218">
        <f>AVERAGE(G61:G63)</f>
        <v>1336744.4099999999</v>
      </c>
      <c r="H64" s="219">
        <f>G64/$D64</f>
        <v>4.6679812397793397E-2</v>
      </c>
      <c r="I64" s="218">
        <f>AVERAGE(I61:I63)</f>
        <v>20308308.429999996</v>
      </c>
      <c r="J64" s="219">
        <f>I64/$D64</f>
        <v>0.70917672857814762</v>
      </c>
    </row>
    <row r="65" spans="1:10" x14ac:dyDescent="0.25">
      <c r="A65" s="148"/>
    </row>
    <row r="66" spans="1:10" x14ac:dyDescent="0.25">
      <c r="A66" s="148"/>
      <c r="B66" s="579" t="s">
        <v>535</v>
      </c>
      <c r="C66" s="579"/>
    </row>
    <row r="67" spans="1:10" ht="30.75" thickBot="1" x14ac:dyDescent="0.3">
      <c r="A67" s="148"/>
      <c r="B67" s="209" t="s">
        <v>110</v>
      </c>
      <c r="C67" s="209" t="s">
        <v>258</v>
      </c>
      <c r="D67" s="209" t="s">
        <v>259</v>
      </c>
      <c r="E67" s="209" t="s">
        <v>116</v>
      </c>
      <c r="F67" s="209" t="s">
        <v>260</v>
      </c>
      <c r="G67" s="209" t="s">
        <v>117</v>
      </c>
      <c r="H67" s="209" t="s">
        <v>261</v>
      </c>
      <c r="I67" s="209" t="s">
        <v>262</v>
      </c>
      <c r="J67" s="209" t="s">
        <v>263</v>
      </c>
    </row>
    <row r="68" spans="1:10" x14ac:dyDescent="0.25">
      <c r="A68" s="148"/>
      <c r="B68" s="217">
        <f>$B$6</f>
        <v>2020</v>
      </c>
      <c r="C68" s="313">
        <v>3872800.9300000006</v>
      </c>
      <c r="D68" s="304">
        <v>3858817.88</v>
      </c>
      <c r="E68" s="305">
        <v>1553.8999999999996</v>
      </c>
      <c r="F68" s="219">
        <f>E68/$D68</f>
        <v>4.0268808954518469E-4</v>
      </c>
      <c r="G68" s="310">
        <v>0</v>
      </c>
      <c r="H68" s="219">
        <f>G68/$D68</f>
        <v>0</v>
      </c>
      <c r="I68" s="218">
        <f>E68+G68</f>
        <v>1553.8999999999996</v>
      </c>
      <c r="J68" s="219">
        <f>I68/$D68</f>
        <v>4.0268808954518469E-4</v>
      </c>
    </row>
    <row r="69" spans="1:10" x14ac:dyDescent="0.25">
      <c r="A69" s="148"/>
      <c r="B69" s="217">
        <f>$B$7</f>
        <v>2019</v>
      </c>
      <c r="C69" s="314">
        <v>3853886.9699999997</v>
      </c>
      <c r="D69" s="306">
        <v>3872044.2500000005</v>
      </c>
      <c r="E69" s="307">
        <v>3411.4000000000005</v>
      </c>
      <c r="F69" s="219">
        <f>E69/$D69</f>
        <v>8.8103331980258234E-4</v>
      </c>
      <c r="G69" s="311">
        <v>0</v>
      </c>
      <c r="H69" s="219">
        <f>G69/$D69</f>
        <v>0</v>
      </c>
      <c r="I69" s="218">
        <f>E69+G69</f>
        <v>3411.4000000000005</v>
      </c>
      <c r="J69" s="219">
        <f>I69/$D69</f>
        <v>8.8103331980258234E-4</v>
      </c>
    </row>
    <row r="70" spans="1:10" x14ac:dyDescent="0.25">
      <c r="A70" s="148"/>
      <c r="B70" s="223">
        <f>$B$8</f>
        <v>2018</v>
      </c>
      <c r="C70" s="315">
        <v>3900576.1099999994</v>
      </c>
      <c r="D70" s="308">
        <v>3914781.3000000003</v>
      </c>
      <c r="E70" s="309">
        <v>794.69000000000142</v>
      </c>
      <c r="F70" s="220">
        <f>E70/$D70</f>
        <v>2.0299729131739781E-4</v>
      </c>
      <c r="G70" s="312">
        <v>0</v>
      </c>
      <c r="H70" s="220">
        <f>G70/$D70</f>
        <v>0</v>
      </c>
      <c r="I70" s="227">
        <f>E70+G70</f>
        <v>794.69000000000142</v>
      </c>
      <c r="J70" s="220">
        <f>I70/$D70</f>
        <v>2.0299729131739781E-4</v>
      </c>
    </row>
    <row r="71" spans="1:10" x14ac:dyDescent="0.25">
      <c r="A71" s="148"/>
      <c r="B71" s="217" t="s">
        <v>264</v>
      </c>
      <c r="C71" s="218">
        <f>AVERAGE(C68:C70)</f>
        <v>3875754.67</v>
      </c>
      <c r="D71" s="218">
        <f>AVERAGE(D68:D70)</f>
        <v>3881881.143333334</v>
      </c>
      <c r="E71" s="218">
        <f>AVERAGE(E68:E70)</f>
        <v>1919.9966666666671</v>
      </c>
      <c r="F71" s="219">
        <f>E71/$D71</f>
        <v>4.9460470214654343E-4</v>
      </c>
      <c r="G71" s="218">
        <f>AVERAGE(G68:G70)</f>
        <v>0</v>
      </c>
      <c r="H71" s="219">
        <f>G71/$D71</f>
        <v>0</v>
      </c>
      <c r="I71" s="218">
        <f>AVERAGE(I68:I70)</f>
        <v>1919.9966666666671</v>
      </c>
      <c r="J71" s="219">
        <f>I71/$D71</f>
        <v>4.9460470214654343E-4</v>
      </c>
    </row>
    <row r="72" spans="1:10" x14ac:dyDescent="0.25">
      <c r="A72" s="148"/>
    </row>
    <row r="73" spans="1:10" x14ac:dyDescent="0.25">
      <c r="A73" s="148"/>
      <c r="B73" s="579" t="s">
        <v>348</v>
      </c>
      <c r="C73" s="579"/>
    </row>
    <row r="74" spans="1:10" ht="30.75" thickBot="1" x14ac:dyDescent="0.3">
      <c r="A74" s="148"/>
      <c r="B74" s="209" t="s">
        <v>110</v>
      </c>
      <c r="C74" s="209" t="s">
        <v>258</v>
      </c>
      <c r="D74" s="209" t="s">
        <v>259</v>
      </c>
      <c r="E74" s="209" t="s">
        <v>116</v>
      </c>
      <c r="F74" s="209" t="s">
        <v>260</v>
      </c>
      <c r="G74" s="209" t="s">
        <v>117</v>
      </c>
      <c r="H74" s="209" t="s">
        <v>261</v>
      </c>
      <c r="I74" s="209" t="s">
        <v>262</v>
      </c>
      <c r="J74" s="209" t="s">
        <v>263</v>
      </c>
    </row>
    <row r="75" spans="1:10" x14ac:dyDescent="0.25">
      <c r="A75" s="148"/>
      <c r="B75" s="217">
        <f>$B$6</f>
        <v>2020</v>
      </c>
      <c r="C75" s="313">
        <v>0</v>
      </c>
      <c r="D75" s="304">
        <v>0</v>
      </c>
      <c r="E75" s="305">
        <v>0</v>
      </c>
      <c r="F75" s="219" t="e">
        <f>E75/$D75</f>
        <v>#DIV/0!</v>
      </c>
      <c r="G75" s="310">
        <v>0</v>
      </c>
      <c r="H75" s="219" t="e">
        <f>G75/$D75</f>
        <v>#DIV/0!</v>
      </c>
      <c r="I75" s="218">
        <f>E75+G75</f>
        <v>0</v>
      </c>
      <c r="J75" s="219" t="e">
        <f>I75/$D75</f>
        <v>#DIV/0!</v>
      </c>
    </row>
    <row r="76" spans="1:10" x14ac:dyDescent="0.25">
      <c r="A76" s="148"/>
      <c r="B76" s="217">
        <f>$B$7</f>
        <v>2019</v>
      </c>
      <c r="C76" s="314">
        <v>0</v>
      </c>
      <c r="D76" s="306">
        <v>0</v>
      </c>
      <c r="E76" s="307">
        <v>0</v>
      </c>
      <c r="F76" s="219" t="e">
        <f>E76/$D76</f>
        <v>#DIV/0!</v>
      </c>
      <c r="G76" s="311">
        <v>0</v>
      </c>
      <c r="H76" s="219" t="e">
        <f>G76/$D76</f>
        <v>#DIV/0!</v>
      </c>
      <c r="I76" s="218">
        <f>E76+G76</f>
        <v>0</v>
      </c>
      <c r="J76" s="219" t="e">
        <f>I76/$D76</f>
        <v>#DIV/0!</v>
      </c>
    </row>
    <row r="77" spans="1:10" x14ac:dyDescent="0.25">
      <c r="A77" s="148"/>
      <c r="B77" s="223">
        <f>$B$8</f>
        <v>2018</v>
      </c>
      <c r="C77" s="315">
        <v>0</v>
      </c>
      <c r="D77" s="308">
        <v>0</v>
      </c>
      <c r="E77" s="309">
        <v>0</v>
      </c>
      <c r="F77" s="220" t="e">
        <f>E77/$D77</f>
        <v>#DIV/0!</v>
      </c>
      <c r="G77" s="312">
        <v>0</v>
      </c>
      <c r="H77" s="220" t="e">
        <f>G77/$D77</f>
        <v>#DIV/0!</v>
      </c>
      <c r="I77" s="227">
        <f>E77+G77</f>
        <v>0</v>
      </c>
      <c r="J77" s="220" t="e">
        <f>I77/$D77</f>
        <v>#DIV/0!</v>
      </c>
    </row>
    <row r="78" spans="1:10" x14ac:dyDescent="0.25">
      <c r="A78" s="148"/>
      <c r="B78" s="217" t="s">
        <v>264</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x14ac:dyDescent="0.25">
      <c r="A79" s="148"/>
    </row>
    <row r="80" spans="1:10" x14ac:dyDescent="0.25">
      <c r="A80" s="148"/>
      <c r="B80" s="579" t="s">
        <v>348</v>
      </c>
      <c r="C80" s="579"/>
    </row>
    <row r="81" spans="1:10" ht="30.75" thickBot="1" x14ac:dyDescent="0.3">
      <c r="A81" s="148"/>
      <c r="B81" s="209" t="s">
        <v>110</v>
      </c>
      <c r="C81" s="209" t="s">
        <v>258</v>
      </c>
      <c r="D81" s="209" t="s">
        <v>259</v>
      </c>
      <c r="E81" s="209" t="s">
        <v>116</v>
      </c>
      <c r="F81" s="209" t="s">
        <v>260</v>
      </c>
      <c r="G81" s="209" t="s">
        <v>117</v>
      </c>
      <c r="H81" s="209" t="s">
        <v>261</v>
      </c>
      <c r="I81" s="209" t="s">
        <v>262</v>
      </c>
      <c r="J81" s="209" t="s">
        <v>263</v>
      </c>
    </row>
    <row r="82" spans="1:10" x14ac:dyDescent="0.25">
      <c r="A82" s="148"/>
      <c r="B82" s="217">
        <f>$B$6</f>
        <v>2020</v>
      </c>
      <c r="C82" s="313">
        <v>0</v>
      </c>
      <c r="D82" s="304">
        <v>0</v>
      </c>
      <c r="E82" s="305">
        <v>0</v>
      </c>
      <c r="F82" s="219" t="e">
        <f>E82/$D82</f>
        <v>#DIV/0!</v>
      </c>
      <c r="G82" s="310">
        <v>0</v>
      </c>
      <c r="H82" s="219" t="e">
        <f>G82/$D82</f>
        <v>#DIV/0!</v>
      </c>
      <c r="I82" s="218">
        <f>E82+G82</f>
        <v>0</v>
      </c>
      <c r="J82" s="219" t="e">
        <f>I82/$D82</f>
        <v>#DIV/0!</v>
      </c>
    </row>
    <row r="83" spans="1:10" x14ac:dyDescent="0.25">
      <c r="A83" s="148"/>
      <c r="B83" s="217">
        <f>$B$7</f>
        <v>2019</v>
      </c>
      <c r="C83" s="314">
        <v>0</v>
      </c>
      <c r="D83" s="306">
        <v>0</v>
      </c>
      <c r="E83" s="307">
        <v>0</v>
      </c>
      <c r="F83" s="219" t="e">
        <f>E83/$D83</f>
        <v>#DIV/0!</v>
      </c>
      <c r="G83" s="311">
        <v>0</v>
      </c>
      <c r="H83" s="219" t="e">
        <f>G83/$D83</f>
        <v>#DIV/0!</v>
      </c>
      <c r="I83" s="218">
        <f>E83+G83</f>
        <v>0</v>
      </c>
      <c r="J83" s="219" t="e">
        <f>I83/$D83</f>
        <v>#DIV/0!</v>
      </c>
    </row>
    <row r="84" spans="1:10" x14ac:dyDescent="0.25">
      <c r="A84" s="148"/>
      <c r="B84" s="223">
        <f>$B$8</f>
        <v>2018</v>
      </c>
      <c r="C84" s="315">
        <v>0</v>
      </c>
      <c r="D84" s="308">
        <v>0</v>
      </c>
      <c r="E84" s="309">
        <v>0</v>
      </c>
      <c r="F84" s="220" t="e">
        <f>E84/$D84</f>
        <v>#DIV/0!</v>
      </c>
      <c r="G84" s="312">
        <v>0</v>
      </c>
      <c r="H84" s="220" t="e">
        <f>G84/$D84</f>
        <v>#DIV/0!</v>
      </c>
      <c r="I84" s="227">
        <f>E84+G84</f>
        <v>0</v>
      </c>
      <c r="J84" s="220" t="e">
        <f>I84/$D84</f>
        <v>#DIV/0!</v>
      </c>
    </row>
    <row r="85" spans="1:10" x14ac:dyDescent="0.25">
      <c r="A85" s="148"/>
      <c r="B85" s="217" t="s">
        <v>264</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x14ac:dyDescent="0.25">
      <c r="A86" s="148"/>
    </row>
    <row r="87" spans="1:10" x14ac:dyDescent="0.25">
      <c r="A87" s="148"/>
      <c r="B87" s="579" t="s">
        <v>348</v>
      </c>
      <c r="C87" s="579"/>
    </row>
    <row r="88" spans="1:10" ht="30.75" thickBot="1" x14ac:dyDescent="0.3">
      <c r="A88" s="148"/>
      <c r="B88" s="209" t="s">
        <v>110</v>
      </c>
      <c r="C88" s="209" t="s">
        <v>258</v>
      </c>
      <c r="D88" s="209" t="s">
        <v>259</v>
      </c>
      <c r="E88" s="209" t="s">
        <v>116</v>
      </c>
      <c r="F88" s="209" t="s">
        <v>260</v>
      </c>
      <c r="G88" s="209" t="s">
        <v>117</v>
      </c>
      <c r="H88" s="209" t="s">
        <v>261</v>
      </c>
      <c r="I88" s="209" t="s">
        <v>262</v>
      </c>
      <c r="J88" s="209" t="s">
        <v>263</v>
      </c>
    </row>
    <row r="89" spans="1:10" x14ac:dyDescent="0.25">
      <c r="A89" s="148"/>
      <c r="B89" s="217">
        <f>$B$6</f>
        <v>2020</v>
      </c>
      <c r="C89" s="313">
        <v>0</v>
      </c>
      <c r="D89" s="304">
        <v>0</v>
      </c>
      <c r="E89" s="305">
        <v>0</v>
      </c>
      <c r="F89" s="219" t="e">
        <f>E89/$D89</f>
        <v>#DIV/0!</v>
      </c>
      <c r="G89" s="310">
        <v>0</v>
      </c>
      <c r="H89" s="219" t="e">
        <f>G89/$D89</f>
        <v>#DIV/0!</v>
      </c>
      <c r="I89" s="218">
        <f>E89+G89</f>
        <v>0</v>
      </c>
      <c r="J89" s="219" t="e">
        <f>I89/$D89</f>
        <v>#DIV/0!</v>
      </c>
    </row>
    <row r="90" spans="1:10" x14ac:dyDescent="0.25">
      <c r="A90" s="148"/>
      <c r="B90" s="217">
        <f>$B$7</f>
        <v>2019</v>
      </c>
      <c r="C90" s="314">
        <v>0</v>
      </c>
      <c r="D90" s="306">
        <v>0</v>
      </c>
      <c r="E90" s="307">
        <v>0</v>
      </c>
      <c r="F90" s="219" t="e">
        <f>E90/$D90</f>
        <v>#DIV/0!</v>
      </c>
      <c r="G90" s="311">
        <v>0</v>
      </c>
      <c r="H90" s="219" t="e">
        <f>G90/$D90</f>
        <v>#DIV/0!</v>
      </c>
      <c r="I90" s="218">
        <f>E90+G90</f>
        <v>0</v>
      </c>
      <c r="J90" s="219" t="e">
        <f>I90/$D90</f>
        <v>#DIV/0!</v>
      </c>
    </row>
    <row r="91" spans="1:10" x14ac:dyDescent="0.25">
      <c r="A91" s="148"/>
      <c r="B91" s="223">
        <f>$B$8</f>
        <v>2018</v>
      </c>
      <c r="C91" s="315">
        <v>0</v>
      </c>
      <c r="D91" s="308">
        <v>0</v>
      </c>
      <c r="E91" s="309">
        <v>0</v>
      </c>
      <c r="F91" s="220" t="e">
        <f>E91/$D91</f>
        <v>#DIV/0!</v>
      </c>
      <c r="G91" s="312">
        <v>0</v>
      </c>
      <c r="H91" s="220" t="e">
        <f>G91/$D91</f>
        <v>#DIV/0!</v>
      </c>
      <c r="I91" s="227">
        <f>E91+G91</f>
        <v>0</v>
      </c>
      <c r="J91" s="220" t="e">
        <f>I91/$D91</f>
        <v>#DIV/0!</v>
      </c>
    </row>
    <row r="92" spans="1:10" x14ac:dyDescent="0.25">
      <c r="A92" s="148"/>
      <c r="B92" s="217" t="s">
        <v>264</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x14ac:dyDescent="0.25">
      <c r="A93" s="148"/>
    </row>
    <row r="94" spans="1:10" x14ac:dyDescent="0.25">
      <c r="A94" s="148"/>
      <c r="B94" s="579" t="s">
        <v>348</v>
      </c>
      <c r="C94" s="579"/>
    </row>
    <row r="95" spans="1:10" ht="30.75" thickBot="1" x14ac:dyDescent="0.3">
      <c r="A95" s="148"/>
      <c r="B95" s="209" t="s">
        <v>110</v>
      </c>
      <c r="C95" s="209" t="s">
        <v>258</v>
      </c>
      <c r="D95" s="209" t="s">
        <v>259</v>
      </c>
      <c r="E95" s="209" t="s">
        <v>116</v>
      </c>
      <c r="F95" s="209" t="s">
        <v>260</v>
      </c>
      <c r="G95" s="209" t="s">
        <v>117</v>
      </c>
      <c r="H95" s="209" t="s">
        <v>261</v>
      </c>
      <c r="I95" s="209" t="s">
        <v>262</v>
      </c>
      <c r="J95" s="209" t="s">
        <v>263</v>
      </c>
    </row>
    <row r="96" spans="1:10" x14ac:dyDescent="0.25">
      <c r="A96" s="148"/>
      <c r="B96" s="217">
        <f>$B$6</f>
        <v>2020</v>
      </c>
      <c r="C96" s="313">
        <v>0</v>
      </c>
      <c r="D96" s="304">
        <v>0</v>
      </c>
      <c r="E96" s="305">
        <v>0</v>
      </c>
      <c r="F96" s="219" t="e">
        <f>E96/$D96</f>
        <v>#DIV/0!</v>
      </c>
      <c r="G96" s="310">
        <v>0</v>
      </c>
      <c r="H96" s="219" t="e">
        <f>G96/$D96</f>
        <v>#DIV/0!</v>
      </c>
      <c r="I96" s="218">
        <f>E96+G96</f>
        <v>0</v>
      </c>
      <c r="J96" s="219" t="e">
        <f>I96/$D96</f>
        <v>#DIV/0!</v>
      </c>
    </row>
    <row r="97" spans="1:10" x14ac:dyDescent="0.25">
      <c r="A97" s="148"/>
      <c r="B97" s="217">
        <f>$B$7</f>
        <v>2019</v>
      </c>
      <c r="C97" s="314">
        <v>0</v>
      </c>
      <c r="D97" s="306">
        <v>0</v>
      </c>
      <c r="E97" s="307">
        <v>0</v>
      </c>
      <c r="F97" s="219" t="e">
        <f>E97/$D97</f>
        <v>#DIV/0!</v>
      </c>
      <c r="G97" s="311">
        <v>0</v>
      </c>
      <c r="H97" s="219" t="e">
        <f>G97/$D97</f>
        <v>#DIV/0!</v>
      </c>
      <c r="I97" s="218">
        <f>E97+G97</f>
        <v>0</v>
      </c>
      <c r="J97" s="219" t="e">
        <f>I97/$D97</f>
        <v>#DIV/0!</v>
      </c>
    </row>
    <row r="98" spans="1:10" x14ac:dyDescent="0.25">
      <c r="A98" s="148"/>
      <c r="B98" s="223">
        <f>$B$8</f>
        <v>2018</v>
      </c>
      <c r="C98" s="315">
        <v>0</v>
      </c>
      <c r="D98" s="308">
        <v>0</v>
      </c>
      <c r="E98" s="309">
        <v>0</v>
      </c>
      <c r="F98" s="220" t="e">
        <f>E98/$D98</f>
        <v>#DIV/0!</v>
      </c>
      <c r="G98" s="312">
        <v>0</v>
      </c>
      <c r="H98" s="220" t="e">
        <f>G98/$D98</f>
        <v>#DIV/0!</v>
      </c>
      <c r="I98" s="227">
        <f>E98+G98</f>
        <v>0</v>
      </c>
      <c r="J98" s="220" t="e">
        <f>I98/$D98</f>
        <v>#DIV/0!</v>
      </c>
    </row>
    <row r="99" spans="1:10" x14ac:dyDescent="0.25">
      <c r="A99" s="148"/>
      <c r="B99" s="217" t="s">
        <v>264</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x14ac:dyDescent="0.25">
      <c r="A100" s="148"/>
    </row>
    <row r="101" spans="1:10" x14ac:dyDescent="0.25">
      <c r="A101" s="148"/>
      <c r="B101" s="579" t="s">
        <v>348</v>
      </c>
      <c r="C101" s="579"/>
    </row>
    <row r="102" spans="1:10" ht="30.75" thickBot="1" x14ac:dyDescent="0.3">
      <c r="A102" s="148"/>
      <c r="B102" s="209" t="s">
        <v>110</v>
      </c>
      <c r="C102" s="209" t="s">
        <v>258</v>
      </c>
      <c r="D102" s="209" t="s">
        <v>259</v>
      </c>
      <c r="E102" s="209" t="s">
        <v>116</v>
      </c>
      <c r="F102" s="209" t="s">
        <v>260</v>
      </c>
      <c r="G102" s="209" t="s">
        <v>117</v>
      </c>
      <c r="H102" s="209" t="s">
        <v>261</v>
      </c>
      <c r="I102" s="209" t="s">
        <v>262</v>
      </c>
      <c r="J102" s="209" t="s">
        <v>263</v>
      </c>
    </row>
    <row r="103" spans="1:10" x14ac:dyDescent="0.25">
      <c r="A103" s="148"/>
      <c r="B103" s="217">
        <f>$B$6</f>
        <v>2020</v>
      </c>
      <c r="C103" s="313">
        <v>0</v>
      </c>
      <c r="D103" s="304">
        <v>0</v>
      </c>
      <c r="E103" s="305">
        <v>0</v>
      </c>
      <c r="F103" s="219" t="e">
        <f>E103/$D103</f>
        <v>#DIV/0!</v>
      </c>
      <c r="G103" s="310">
        <v>0</v>
      </c>
      <c r="H103" s="219" t="e">
        <f>G103/$D103</f>
        <v>#DIV/0!</v>
      </c>
      <c r="I103" s="218">
        <f>E103+G103</f>
        <v>0</v>
      </c>
      <c r="J103" s="219" t="e">
        <f>I103/$D103</f>
        <v>#DIV/0!</v>
      </c>
    </row>
    <row r="104" spans="1:10" x14ac:dyDescent="0.25">
      <c r="A104" s="148"/>
      <c r="B104" s="217">
        <f>$B$7</f>
        <v>2019</v>
      </c>
      <c r="C104" s="314">
        <v>0</v>
      </c>
      <c r="D104" s="306">
        <v>0</v>
      </c>
      <c r="E104" s="307">
        <v>0</v>
      </c>
      <c r="F104" s="219" t="e">
        <f>E104/$D104</f>
        <v>#DIV/0!</v>
      </c>
      <c r="G104" s="311">
        <v>0</v>
      </c>
      <c r="H104" s="219" t="e">
        <f>G104/$D104</f>
        <v>#DIV/0!</v>
      </c>
      <c r="I104" s="218">
        <f>E104+G104</f>
        <v>0</v>
      </c>
      <c r="J104" s="219" t="e">
        <f>I104/$D104</f>
        <v>#DIV/0!</v>
      </c>
    </row>
    <row r="105" spans="1:10" x14ac:dyDescent="0.25">
      <c r="A105" s="148"/>
      <c r="B105" s="223">
        <f>$B$8</f>
        <v>2018</v>
      </c>
      <c r="C105" s="315">
        <v>0</v>
      </c>
      <c r="D105" s="308">
        <v>0</v>
      </c>
      <c r="E105" s="309">
        <v>0</v>
      </c>
      <c r="F105" s="220" t="e">
        <f>E105/$D105</f>
        <v>#DIV/0!</v>
      </c>
      <c r="G105" s="312">
        <v>0</v>
      </c>
      <c r="H105" s="220" t="e">
        <f>G105/$D105</f>
        <v>#DIV/0!</v>
      </c>
      <c r="I105" s="227">
        <f>E105+G105</f>
        <v>0</v>
      </c>
      <c r="J105" s="220" t="e">
        <f>I105/$D105</f>
        <v>#DIV/0!</v>
      </c>
    </row>
    <row r="106" spans="1:10" x14ac:dyDescent="0.25">
      <c r="A106" s="148"/>
      <c r="B106" s="217" t="s">
        <v>264</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x14ac:dyDescent="0.25">
      <c r="A107" s="148"/>
    </row>
    <row r="108" spans="1:10" x14ac:dyDescent="0.25">
      <c r="A108" s="148"/>
      <c r="B108" s="579" t="s">
        <v>348</v>
      </c>
      <c r="C108" s="579"/>
    </row>
    <row r="109" spans="1:10" ht="30.75" thickBot="1" x14ac:dyDescent="0.3">
      <c r="A109" s="148"/>
      <c r="B109" s="209" t="s">
        <v>110</v>
      </c>
      <c r="C109" s="209" t="s">
        <v>258</v>
      </c>
      <c r="D109" s="209" t="s">
        <v>259</v>
      </c>
      <c r="E109" s="209" t="s">
        <v>116</v>
      </c>
      <c r="F109" s="209" t="s">
        <v>260</v>
      </c>
      <c r="G109" s="209" t="s">
        <v>117</v>
      </c>
      <c r="H109" s="209" t="s">
        <v>261</v>
      </c>
      <c r="I109" s="209" t="s">
        <v>262</v>
      </c>
      <c r="J109" s="209" t="s">
        <v>263</v>
      </c>
    </row>
    <row r="110" spans="1:10" x14ac:dyDescent="0.25">
      <c r="A110" s="148"/>
      <c r="B110" s="217">
        <f>$B$6</f>
        <v>2020</v>
      </c>
      <c r="C110" s="313">
        <v>0</v>
      </c>
      <c r="D110" s="304">
        <v>0</v>
      </c>
      <c r="E110" s="305">
        <v>0</v>
      </c>
      <c r="F110" s="219" t="e">
        <f>E110/$D110</f>
        <v>#DIV/0!</v>
      </c>
      <c r="G110" s="310">
        <v>0</v>
      </c>
      <c r="H110" s="219" t="e">
        <f>G110/$D110</f>
        <v>#DIV/0!</v>
      </c>
      <c r="I110" s="218">
        <f>E110+G110</f>
        <v>0</v>
      </c>
      <c r="J110" s="219" t="e">
        <f>I110/$D110</f>
        <v>#DIV/0!</v>
      </c>
    </row>
    <row r="111" spans="1:10" x14ac:dyDescent="0.25">
      <c r="A111" s="148"/>
      <c r="B111" s="217">
        <f>$B$7</f>
        <v>2019</v>
      </c>
      <c r="C111" s="314">
        <v>0</v>
      </c>
      <c r="D111" s="306">
        <v>0</v>
      </c>
      <c r="E111" s="307">
        <v>0</v>
      </c>
      <c r="F111" s="219" t="e">
        <f>E111/$D111</f>
        <v>#DIV/0!</v>
      </c>
      <c r="G111" s="311">
        <v>0</v>
      </c>
      <c r="H111" s="219" t="e">
        <f>G111/$D111</f>
        <v>#DIV/0!</v>
      </c>
      <c r="I111" s="218">
        <f>E111+G111</f>
        <v>0</v>
      </c>
      <c r="J111" s="219" t="e">
        <f>I111/$D111</f>
        <v>#DIV/0!</v>
      </c>
    </row>
    <row r="112" spans="1:10" x14ac:dyDescent="0.25">
      <c r="A112" s="148"/>
      <c r="B112" s="223">
        <f>$B$8</f>
        <v>2018</v>
      </c>
      <c r="C112" s="315">
        <v>0</v>
      </c>
      <c r="D112" s="308">
        <v>0</v>
      </c>
      <c r="E112" s="309">
        <v>0</v>
      </c>
      <c r="F112" s="220" t="e">
        <f>E112/$D112</f>
        <v>#DIV/0!</v>
      </c>
      <c r="G112" s="312">
        <v>0</v>
      </c>
      <c r="H112" s="220" t="e">
        <f>G112/$D112</f>
        <v>#DIV/0!</v>
      </c>
      <c r="I112" s="227">
        <f>E112+G112</f>
        <v>0</v>
      </c>
      <c r="J112" s="220" t="e">
        <f>I112/$D112</f>
        <v>#DIV/0!</v>
      </c>
    </row>
    <row r="113" spans="1:10" x14ac:dyDescent="0.25">
      <c r="A113" s="148"/>
      <c r="B113" s="217" t="s">
        <v>264</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x14ac:dyDescent="0.25">
      <c r="A114" s="148"/>
    </row>
    <row r="115" spans="1:10" x14ac:dyDescent="0.25">
      <c r="A115" s="148"/>
      <c r="B115" s="579" t="s">
        <v>348</v>
      </c>
      <c r="C115" s="579"/>
    </row>
    <row r="116" spans="1:10" ht="30.75" thickBot="1" x14ac:dyDescent="0.3">
      <c r="A116" s="148"/>
      <c r="B116" s="209" t="s">
        <v>110</v>
      </c>
      <c r="C116" s="209" t="s">
        <v>258</v>
      </c>
      <c r="D116" s="209" t="s">
        <v>259</v>
      </c>
      <c r="E116" s="209" t="s">
        <v>116</v>
      </c>
      <c r="F116" s="209" t="s">
        <v>260</v>
      </c>
      <c r="G116" s="209" t="s">
        <v>117</v>
      </c>
      <c r="H116" s="209" t="s">
        <v>261</v>
      </c>
      <c r="I116" s="209" t="s">
        <v>262</v>
      </c>
      <c r="J116" s="209" t="s">
        <v>263</v>
      </c>
    </row>
    <row r="117" spans="1:10" x14ac:dyDescent="0.25">
      <c r="A117" s="148"/>
      <c r="B117" s="217">
        <f>$B$6</f>
        <v>2020</v>
      </c>
      <c r="C117" s="313">
        <v>0</v>
      </c>
      <c r="D117" s="304">
        <v>0</v>
      </c>
      <c r="E117" s="305">
        <v>0</v>
      </c>
      <c r="F117" s="219" t="e">
        <f>E117/$D117</f>
        <v>#DIV/0!</v>
      </c>
      <c r="G117" s="310">
        <v>0</v>
      </c>
      <c r="H117" s="219" t="e">
        <f>G117/$D117</f>
        <v>#DIV/0!</v>
      </c>
      <c r="I117" s="218">
        <f>E117+G117</f>
        <v>0</v>
      </c>
      <c r="J117" s="219" t="e">
        <f>I117/$D117</f>
        <v>#DIV/0!</v>
      </c>
    </row>
    <row r="118" spans="1:10" x14ac:dyDescent="0.25">
      <c r="A118" s="148"/>
      <c r="B118" s="217">
        <f>$B$7</f>
        <v>2019</v>
      </c>
      <c r="C118" s="314">
        <v>0</v>
      </c>
      <c r="D118" s="306">
        <v>0</v>
      </c>
      <c r="E118" s="307">
        <v>0</v>
      </c>
      <c r="F118" s="219" t="e">
        <f>E118/$D118</f>
        <v>#DIV/0!</v>
      </c>
      <c r="G118" s="311">
        <v>0</v>
      </c>
      <c r="H118" s="219" t="e">
        <f>G118/$D118</f>
        <v>#DIV/0!</v>
      </c>
      <c r="I118" s="218">
        <f>E118+G118</f>
        <v>0</v>
      </c>
      <c r="J118" s="219" t="e">
        <f>I118/$D118</f>
        <v>#DIV/0!</v>
      </c>
    </row>
    <row r="119" spans="1:10" x14ac:dyDescent="0.25">
      <c r="A119" s="148"/>
      <c r="B119" s="223">
        <f>$B$8</f>
        <v>2018</v>
      </c>
      <c r="C119" s="315">
        <v>0</v>
      </c>
      <c r="D119" s="308">
        <v>0</v>
      </c>
      <c r="E119" s="309">
        <v>0</v>
      </c>
      <c r="F119" s="220" t="e">
        <f>E119/$D119</f>
        <v>#DIV/0!</v>
      </c>
      <c r="G119" s="312">
        <v>0</v>
      </c>
      <c r="H119" s="220" t="e">
        <f>G119/$D119</f>
        <v>#DIV/0!</v>
      </c>
      <c r="I119" s="227">
        <f>E119+G119</f>
        <v>0</v>
      </c>
      <c r="J119" s="220" t="e">
        <f>I119/$D119</f>
        <v>#DIV/0!</v>
      </c>
    </row>
    <row r="120" spans="1:10" x14ac:dyDescent="0.25">
      <c r="A120" s="148"/>
      <c r="B120" s="217" t="s">
        <v>264</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x14ac:dyDescent="0.25">
      <c r="A121" s="148"/>
    </row>
    <row r="122" spans="1:10" x14ac:dyDescent="0.25">
      <c r="A122" s="148"/>
      <c r="B122" s="579" t="s">
        <v>348</v>
      </c>
      <c r="C122" s="579"/>
    </row>
    <row r="123" spans="1:10" ht="30.75" thickBot="1" x14ac:dyDescent="0.3">
      <c r="A123" s="148"/>
      <c r="B123" s="209" t="s">
        <v>110</v>
      </c>
      <c r="C123" s="209" t="s">
        <v>258</v>
      </c>
      <c r="D123" s="209" t="s">
        <v>259</v>
      </c>
      <c r="E123" s="209" t="s">
        <v>116</v>
      </c>
      <c r="F123" s="209" t="s">
        <v>260</v>
      </c>
      <c r="G123" s="209" t="s">
        <v>117</v>
      </c>
      <c r="H123" s="209" t="s">
        <v>261</v>
      </c>
      <c r="I123" s="209" t="s">
        <v>262</v>
      </c>
      <c r="J123" s="209" t="s">
        <v>263</v>
      </c>
    </row>
    <row r="124" spans="1:10" x14ac:dyDescent="0.25">
      <c r="A124" s="148"/>
      <c r="B124" s="217">
        <f>$B$6</f>
        <v>2020</v>
      </c>
      <c r="C124" s="313">
        <v>0</v>
      </c>
      <c r="D124" s="304">
        <v>0</v>
      </c>
      <c r="E124" s="305">
        <v>0</v>
      </c>
      <c r="F124" s="219" t="e">
        <f>E124/$D124</f>
        <v>#DIV/0!</v>
      </c>
      <c r="G124" s="310">
        <v>0</v>
      </c>
      <c r="H124" s="219" t="e">
        <f>G124/$D124</f>
        <v>#DIV/0!</v>
      </c>
      <c r="I124" s="218">
        <f>E124+G124</f>
        <v>0</v>
      </c>
      <c r="J124" s="219" t="e">
        <f>I124/$D124</f>
        <v>#DIV/0!</v>
      </c>
    </row>
    <row r="125" spans="1:10" x14ac:dyDescent="0.25">
      <c r="A125" s="148"/>
      <c r="B125" s="217">
        <f>$B$7</f>
        <v>2019</v>
      </c>
      <c r="C125" s="314">
        <v>0</v>
      </c>
      <c r="D125" s="306">
        <v>0</v>
      </c>
      <c r="E125" s="307">
        <v>0</v>
      </c>
      <c r="F125" s="219" t="e">
        <f>E125/$D125</f>
        <v>#DIV/0!</v>
      </c>
      <c r="G125" s="311">
        <v>0</v>
      </c>
      <c r="H125" s="219" t="e">
        <f>G125/$D125</f>
        <v>#DIV/0!</v>
      </c>
      <c r="I125" s="218">
        <f>E125+G125</f>
        <v>0</v>
      </c>
      <c r="J125" s="219" t="e">
        <f>I125/$D125</f>
        <v>#DIV/0!</v>
      </c>
    </row>
    <row r="126" spans="1:10" x14ac:dyDescent="0.25">
      <c r="A126" s="148"/>
      <c r="B126" s="223">
        <f>$B$8</f>
        <v>2018</v>
      </c>
      <c r="C126" s="315">
        <v>0</v>
      </c>
      <c r="D126" s="308">
        <v>0</v>
      </c>
      <c r="E126" s="309">
        <v>0</v>
      </c>
      <c r="F126" s="220" t="e">
        <f>E126/$D126</f>
        <v>#DIV/0!</v>
      </c>
      <c r="G126" s="312">
        <v>0</v>
      </c>
      <c r="H126" s="220" t="e">
        <f>G126/$D126</f>
        <v>#DIV/0!</v>
      </c>
      <c r="I126" s="227">
        <f>E126+G126</f>
        <v>0</v>
      </c>
      <c r="J126" s="220" t="e">
        <f>I126/$D126</f>
        <v>#DIV/0!</v>
      </c>
    </row>
    <row r="127" spans="1:10" x14ac:dyDescent="0.25">
      <c r="A127" s="148"/>
      <c r="B127" s="217" t="s">
        <v>264</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x14ac:dyDescent="0.25">
      <c r="A128" s="148"/>
    </row>
    <row r="129" spans="1:10" x14ac:dyDescent="0.25">
      <c r="A129" s="148"/>
      <c r="B129" s="579" t="s">
        <v>348</v>
      </c>
      <c r="C129" s="579"/>
    </row>
    <row r="130" spans="1:10" ht="30.75" thickBot="1" x14ac:dyDescent="0.3">
      <c r="A130" s="148"/>
      <c r="B130" s="209" t="s">
        <v>110</v>
      </c>
      <c r="C130" s="209" t="s">
        <v>258</v>
      </c>
      <c r="D130" s="209" t="s">
        <v>259</v>
      </c>
      <c r="E130" s="209" t="s">
        <v>116</v>
      </c>
      <c r="F130" s="209" t="s">
        <v>260</v>
      </c>
      <c r="G130" s="209" t="s">
        <v>117</v>
      </c>
      <c r="H130" s="209" t="s">
        <v>261</v>
      </c>
      <c r="I130" s="209" t="s">
        <v>262</v>
      </c>
      <c r="J130" s="209" t="s">
        <v>263</v>
      </c>
    </row>
    <row r="131" spans="1:10" x14ac:dyDescent="0.25">
      <c r="A131" s="148"/>
      <c r="B131" s="217">
        <f>$B$6</f>
        <v>2020</v>
      </c>
      <c r="C131" s="313">
        <v>0</v>
      </c>
      <c r="D131" s="304">
        <v>0</v>
      </c>
      <c r="E131" s="305">
        <v>0</v>
      </c>
      <c r="F131" s="219" t="e">
        <f>E131/$D131</f>
        <v>#DIV/0!</v>
      </c>
      <c r="G131" s="310">
        <v>0</v>
      </c>
      <c r="H131" s="219" t="e">
        <f>G131/$D131</f>
        <v>#DIV/0!</v>
      </c>
      <c r="I131" s="218">
        <f>E131+G131</f>
        <v>0</v>
      </c>
      <c r="J131" s="219" t="e">
        <f>I131/$D131</f>
        <v>#DIV/0!</v>
      </c>
    </row>
    <row r="132" spans="1:10" x14ac:dyDescent="0.25">
      <c r="A132" s="148"/>
      <c r="B132" s="217">
        <f>$B$7</f>
        <v>2019</v>
      </c>
      <c r="C132" s="314">
        <v>0</v>
      </c>
      <c r="D132" s="306">
        <v>0</v>
      </c>
      <c r="E132" s="307">
        <v>0</v>
      </c>
      <c r="F132" s="219" t="e">
        <f>E132/$D132</f>
        <v>#DIV/0!</v>
      </c>
      <c r="G132" s="311">
        <v>0</v>
      </c>
      <c r="H132" s="219" t="e">
        <f>G132/$D132</f>
        <v>#DIV/0!</v>
      </c>
      <c r="I132" s="218">
        <f>E132+G132</f>
        <v>0</v>
      </c>
      <c r="J132" s="219" t="e">
        <f>I132/$D132</f>
        <v>#DIV/0!</v>
      </c>
    </row>
    <row r="133" spans="1:10" x14ac:dyDescent="0.25">
      <c r="A133" s="148"/>
      <c r="B133" s="223">
        <f>$B$8</f>
        <v>2018</v>
      </c>
      <c r="C133" s="315">
        <v>0</v>
      </c>
      <c r="D133" s="308">
        <v>0</v>
      </c>
      <c r="E133" s="309">
        <v>0</v>
      </c>
      <c r="F133" s="220" t="e">
        <f>E133/$D133</f>
        <v>#DIV/0!</v>
      </c>
      <c r="G133" s="312">
        <v>0</v>
      </c>
      <c r="H133" s="220" t="e">
        <f>G133/$D133</f>
        <v>#DIV/0!</v>
      </c>
      <c r="I133" s="227">
        <f>E133+G133</f>
        <v>0</v>
      </c>
      <c r="J133" s="220" t="e">
        <f>I133/$D133</f>
        <v>#DIV/0!</v>
      </c>
    </row>
    <row r="134" spans="1:10" x14ac:dyDescent="0.25">
      <c r="A134" s="148"/>
      <c r="B134" s="217" t="s">
        <v>264</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x14ac:dyDescent="0.25">
      <c r="A135" s="148"/>
    </row>
    <row r="136" spans="1:10" x14ac:dyDescent="0.25">
      <c r="A136" s="148"/>
      <c r="B136" s="579" t="s">
        <v>348</v>
      </c>
      <c r="C136" s="579"/>
    </row>
    <row r="137" spans="1:10" ht="30.75" thickBot="1" x14ac:dyDescent="0.3">
      <c r="A137" s="148"/>
      <c r="B137" s="209" t="s">
        <v>110</v>
      </c>
      <c r="C137" s="209" t="s">
        <v>258</v>
      </c>
      <c r="D137" s="209" t="s">
        <v>259</v>
      </c>
      <c r="E137" s="209" t="s">
        <v>116</v>
      </c>
      <c r="F137" s="209" t="s">
        <v>260</v>
      </c>
      <c r="G137" s="209" t="s">
        <v>117</v>
      </c>
      <c r="H137" s="209" t="s">
        <v>261</v>
      </c>
      <c r="I137" s="209" t="s">
        <v>262</v>
      </c>
      <c r="J137" s="209" t="s">
        <v>263</v>
      </c>
    </row>
    <row r="138" spans="1:10" x14ac:dyDescent="0.25">
      <c r="A138" s="148"/>
      <c r="B138" s="217">
        <f>$B$6</f>
        <v>2020</v>
      </c>
      <c r="C138" s="313">
        <v>0</v>
      </c>
      <c r="D138" s="304">
        <v>0</v>
      </c>
      <c r="E138" s="305">
        <v>0</v>
      </c>
      <c r="F138" s="219" t="e">
        <f>E138/$D138</f>
        <v>#DIV/0!</v>
      </c>
      <c r="G138" s="310">
        <v>0</v>
      </c>
      <c r="H138" s="219" t="e">
        <f>G138/$D138</f>
        <v>#DIV/0!</v>
      </c>
      <c r="I138" s="218">
        <f>E138+G138</f>
        <v>0</v>
      </c>
      <c r="J138" s="219" t="e">
        <f>I138/$D138</f>
        <v>#DIV/0!</v>
      </c>
    </row>
    <row r="139" spans="1:10" x14ac:dyDescent="0.25">
      <c r="A139" s="148"/>
      <c r="B139" s="217">
        <f>$B$7</f>
        <v>2019</v>
      </c>
      <c r="C139" s="314">
        <v>0</v>
      </c>
      <c r="D139" s="306">
        <v>0</v>
      </c>
      <c r="E139" s="307">
        <v>0</v>
      </c>
      <c r="F139" s="219" t="e">
        <f>E139/$D139</f>
        <v>#DIV/0!</v>
      </c>
      <c r="G139" s="311">
        <v>0</v>
      </c>
      <c r="H139" s="219" t="e">
        <f>G139/$D139</f>
        <v>#DIV/0!</v>
      </c>
      <c r="I139" s="218">
        <f>E139+G139</f>
        <v>0</v>
      </c>
      <c r="J139" s="219" t="e">
        <f>I139/$D139</f>
        <v>#DIV/0!</v>
      </c>
    </row>
    <row r="140" spans="1:10" x14ac:dyDescent="0.25">
      <c r="A140" s="148"/>
      <c r="B140" s="223">
        <f>$B$8</f>
        <v>2018</v>
      </c>
      <c r="C140" s="315">
        <v>0</v>
      </c>
      <c r="D140" s="308">
        <v>0</v>
      </c>
      <c r="E140" s="309">
        <v>0</v>
      </c>
      <c r="F140" s="220" t="e">
        <f>E140/$D140</f>
        <v>#DIV/0!</v>
      </c>
      <c r="G140" s="312">
        <v>0</v>
      </c>
      <c r="H140" s="220" t="e">
        <f>G140/$D140</f>
        <v>#DIV/0!</v>
      </c>
      <c r="I140" s="227">
        <f>E140+G140</f>
        <v>0</v>
      </c>
      <c r="J140" s="220" t="e">
        <f>I140/$D140</f>
        <v>#DIV/0!</v>
      </c>
    </row>
    <row r="141" spans="1:10" x14ac:dyDescent="0.25">
      <c r="A141" s="148"/>
      <c r="B141" s="217" t="s">
        <v>264</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x14ac:dyDescent="0.25">
      <c r="A142" s="148"/>
    </row>
    <row r="143" spans="1:10" x14ac:dyDescent="0.25">
      <c r="A143" s="148"/>
      <c r="B143" s="579" t="s">
        <v>348</v>
      </c>
      <c r="C143" s="579"/>
    </row>
    <row r="144" spans="1:10" ht="30.75" thickBot="1" x14ac:dyDescent="0.3">
      <c r="A144" s="148"/>
      <c r="B144" s="209" t="s">
        <v>110</v>
      </c>
      <c r="C144" s="209" t="s">
        <v>258</v>
      </c>
      <c r="D144" s="209" t="s">
        <v>259</v>
      </c>
      <c r="E144" s="209" t="s">
        <v>116</v>
      </c>
      <c r="F144" s="209" t="s">
        <v>260</v>
      </c>
      <c r="G144" s="209" t="s">
        <v>117</v>
      </c>
      <c r="H144" s="209" t="s">
        <v>261</v>
      </c>
      <c r="I144" s="209" t="s">
        <v>262</v>
      </c>
      <c r="J144" s="209" t="s">
        <v>263</v>
      </c>
    </row>
    <row r="145" spans="1:10" x14ac:dyDescent="0.25">
      <c r="A145" s="148"/>
      <c r="B145" s="217">
        <f>$B$6</f>
        <v>2020</v>
      </c>
      <c r="C145" s="313">
        <v>0</v>
      </c>
      <c r="D145" s="304">
        <v>0</v>
      </c>
      <c r="E145" s="305">
        <v>0</v>
      </c>
      <c r="F145" s="219" t="e">
        <f>E145/$D145</f>
        <v>#DIV/0!</v>
      </c>
      <c r="G145" s="310">
        <v>0</v>
      </c>
      <c r="H145" s="219" t="e">
        <f>G145/$D145</f>
        <v>#DIV/0!</v>
      </c>
      <c r="I145" s="218">
        <f>E145+G145</f>
        <v>0</v>
      </c>
      <c r="J145" s="219" t="e">
        <f>I145/$D145</f>
        <v>#DIV/0!</v>
      </c>
    </row>
    <row r="146" spans="1:10" x14ac:dyDescent="0.25">
      <c r="A146" s="148"/>
      <c r="B146" s="217">
        <f>$B$7</f>
        <v>2019</v>
      </c>
      <c r="C146" s="314">
        <v>0</v>
      </c>
      <c r="D146" s="306">
        <v>0</v>
      </c>
      <c r="E146" s="307">
        <v>0</v>
      </c>
      <c r="F146" s="219" t="e">
        <f>E146/$D146</f>
        <v>#DIV/0!</v>
      </c>
      <c r="G146" s="311">
        <v>0</v>
      </c>
      <c r="H146" s="219" t="e">
        <f>G146/$D146</f>
        <v>#DIV/0!</v>
      </c>
      <c r="I146" s="218">
        <f>E146+G146</f>
        <v>0</v>
      </c>
      <c r="J146" s="219" t="e">
        <f>I146/$D146</f>
        <v>#DIV/0!</v>
      </c>
    </row>
    <row r="147" spans="1:10" x14ac:dyDescent="0.25">
      <c r="A147" s="148"/>
      <c r="B147" s="223">
        <f>$B$8</f>
        <v>2018</v>
      </c>
      <c r="C147" s="315">
        <v>0</v>
      </c>
      <c r="D147" s="308">
        <v>0</v>
      </c>
      <c r="E147" s="309">
        <v>0</v>
      </c>
      <c r="F147" s="220" t="e">
        <f>E147/$D147</f>
        <v>#DIV/0!</v>
      </c>
      <c r="G147" s="312">
        <v>0</v>
      </c>
      <c r="H147" s="220" t="e">
        <f>G147/$D147</f>
        <v>#DIV/0!</v>
      </c>
      <c r="I147" s="227">
        <f>E147+G147</f>
        <v>0</v>
      </c>
      <c r="J147" s="220" t="e">
        <f>I147/$D147</f>
        <v>#DIV/0!</v>
      </c>
    </row>
    <row r="148" spans="1:10" x14ac:dyDescent="0.25">
      <c r="A148" s="148"/>
      <c r="B148" s="217" t="s">
        <v>264</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x14ac:dyDescent="0.25">
      <c r="A149" s="148"/>
    </row>
    <row r="150" spans="1:10" x14ac:dyDescent="0.25">
      <c r="A150" s="148"/>
      <c r="B150" s="579" t="s">
        <v>348</v>
      </c>
      <c r="C150" s="579"/>
    </row>
    <row r="151" spans="1:10" ht="30.75" thickBot="1" x14ac:dyDescent="0.3">
      <c r="A151" s="148"/>
      <c r="B151" s="209" t="s">
        <v>110</v>
      </c>
      <c r="C151" s="209" t="s">
        <v>258</v>
      </c>
      <c r="D151" s="209" t="s">
        <v>259</v>
      </c>
      <c r="E151" s="209" t="s">
        <v>116</v>
      </c>
      <c r="F151" s="209" t="s">
        <v>260</v>
      </c>
      <c r="G151" s="209" t="s">
        <v>117</v>
      </c>
      <c r="H151" s="209" t="s">
        <v>261</v>
      </c>
      <c r="I151" s="209" t="s">
        <v>262</v>
      </c>
      <c r="J151" s="209" t="s">
        <v>263</v>
      </c>
    </row>
    <row r="152" spans="1:10" x14ac:dyDescent="0.25">
      <c r="A152" s="148"/>
      <c r="B152" s="217">
        <f>$B$6</f>
        <v>2020</v>
      </c>
      <c r="C152" s="313">
        <v>0</v>
      </c>
      <c r="D152" s="304">
        <v>0</v>
      </c>
      <c r="E152" s="305">
        <v>0</v>
      </c>
      <c r="F152" s="219" t="e">
        <f>E152/$D152</f>
        <v>#DIV/0!</v>
      </c>
      <c r="G152" s="310">
        <v>0</v>
      </c>
      <c r="H152" s="219" t="e">
        <f>G152/$D152</f>
        <v>#DIV/0!</v>
      </c>
      <c r="I152" s="218">
        <f>E152+G152</f>
        <v>0</v>
      </c>
      <c r="J152" s="219" t="e">
        <f>I152/$D152</f>
        <v>#DIV/0!</v>
      </c>
    </row>
    <row r="153" spans="1:10" x14ac:dyDescent="0.25">
      <c r="A153" s="148"/>
      <c r="B153" s="217">
        <f>$B$7</f>
        <v>2019</v>
      </c>
      <c r="C153" s="314">
        <v>0</v>
      </c>
      <c r="D153" s="306">
        <v>0</v>
      </c>
      <c r="E153" s="307">
        <v>0</v>
      </c>
      <c r="F153" s="219" t="e">
        <f>E153/$D153</f>
        <v>#DIV/0!</v>
      </c>
      <c r="G153" s="311">
        <v>0</v>
      </c>
      <c r="H153" s="219" t="e">
        <f>G153/$D153</f>
        <v>#DIV/0!</v>
      </c>
      <c r="I153" s="218">
        <f>E153+G153</f>
        <v>0</v>
      </c>
      <c r="J153" s="219" t="e">
        <f>I153/$D153</f>
        <v>#DIV/0!</v>
      </c>
    </row>
    <row r="154" spans="1:10" x14ac:dyDescent="0.25">
      <c r="A154" s="148"/>
      <c r="B154" s="223">
        <f>$B$8</f>
        <v>2018</v>
      </c>
      <c r="C154" s="315">
        <v>0</v>
      </c>
      <c r="D154" s="308">
        <v>0</v>
      </c>
      <c r="E154" s="309">
        <v>0</v>
      </c>
      <c r="F154" s="220" t="e">
        <f>E154/$D154</f>
        <v>#DIV/0!</v>
      </c>
      <c r="G154" s="312">
        <v>0</v>
      </c>
      <c r="H154" s="220" t="e">
        <f>G154/$D154</f>
        <v>#DIV/0!</v>
      </c>
      <c r="I154" s="227">
        <f>E154+G154</f>
        <v>0</v>
      </c>
      <c r="J154" s="220" t="e">
        <f>I154/$D154</f>
        <v>#DIV/0!</v>
      </c>
    </row>
    <row r="155" spans="1:10" x14ac:dyDescent="0.25">
      <c r="A155" s="148"/>
      <c r="B155" s="217" t="s">
        <v>264</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x14ac:dyDescent="0.25">
      <c r="A156" s="148"/>
    </row>
    <row r="157" spans="1:10" x14ac:dyDescent="0.25">
      <c r="A157" s="148"/>
      <c r="B157" s="579" t="s">
        <v>348</v>
      </c>
      <c r="C157" s="579"/>
    </row>
    <row r="158" spans="1:10" ht="30.75" thickBot="1" x14ac:dyDescent="0.3">
      <c r="A158" s="148"/>
      <c r="B158" s="209" t="s">
        <v>110</v>
      </c>
      <c r="C158" s="209" t="s">
        <v>258</v>
      </c>
      <c r="D158" s="209" t="s">
        <v>259</v>
      </c>
      <c r="E158" s="209" t="s">
        <v>116</v>
      </c>
      <c r="F158" s="209" t="s">
        <v>260</v>
      </c>
      <c r="G158" s="209" t="s">
        <v>117</v>
      </c>
      <c r="H158" s="209" t="s">
        <v>261</v>
      </c>
      <c r="I158" s="209" t="s">
        <v>262</v>
      </c>
      <c r="J158" s="209" t="s">
        <v>263</v>
      </c>
    </row>
    <row r="159" spans="1:10" x14ac:dyDescent="0.25">
      <c r="A159" s="148"/>
      <c r="B159" s="217">
        <f>$B$6</f>
        <v>2020</v>
      </c>
      <c r="C159" s="313">
        <v>0</v>
      </c>
      <c r="D159" s="304">
        <v>0</v>
      </c>
      <c r="E159" s="305">
        <v>0</v>
      </c>
      <c r="F159" s="219" t="e">
        <f>E159/$D159</f>
        <v>#DIV/0!</v>
      </c>
      <c r="G159" s="310">
        <v>0</v>
      </c>
      <c r="H159" s="219" t="e">
        <f>G159/$D159</f>
        <v>#DIV/0!</v>
      </c>
      <c r="I159" s="218">
        <f>E159+G159</f>
        <v>0</v>
      </c>
      <c r="J159" s="219" t="e">
        <f>I159/$D159</f>
        <v>#DIV/0!</v>
      </c>
    </row>
    <row r="160" spans="1:10" x14ac:dyDescent="0.25">
      <c r="A160" s="148"/>
      <c r="B160" s="217">
        <f>$B$7</f>
        <v>2019</v>
      </c>
      <c r="C160" s="314">
        <v>0</v>
      </c>
      <c r="D160" s="306">
        <v>0</v>
      </c>
      <c r="E160" s="307">
        <v>0</v>
      </c>
      <c r="F160" s="219" t="e">
        <f>E160/$D160</f>
        <v>#DIV/0!</v>
      </c>
      <c r="G160" s="311">
        <v>0</v>
      </c>
      <c r="H160" s="219" t="e">
        <f>G160/$D160</f>
        <v>#DIV/0!</v>
      </c>
      <c r="I160" s="218">
        <f>E160+G160</f>
        <v>0</v>
      </c>
      <c r="J160" s="219" t="e">
        <f>I160/$D160</f>
        <v>#DIV/0!</v>
      </c>
    </row>
    <row r="161" spans="1:10" x14ac:dyDescent="0.25">
      <c r="A161" s="148"/>
      <c r="B161" s="223">
        <f>$B$8</f>
        <v>2018</v>
      </c>
      <c r="C161" s="315">
        <v>0</v>
      </c>
      <c r="D161" s="308">
        <v>0</v>
      </c>
      <c r="E161" s="309">
        <v>0</v>
      </c>
      <c r="F161" s="220" t="e">
        <f>E161/$D161</f>
        <v>#DIV/0!</v>
      </c>
      <c r="G161" s="312">
        <v>0</v>
      </c>
      <c r="H161" s="220" t="e">
        <f>G161/$D161</f>
        <v>#DIV/0!</v>
      </c>
      <c r="I161" s="227">
        <f>E161+G161</f>
        <v>0</v>
      </c>
      <c r="J161" s="220" t="e">
        <f>I161/$D161</f>
        <v>#DIV/0!</v>
      </c>
    </row>
    <row r="162" spans="1:10" x14ac:dyDescent="0.25">
      <c r="A162" s="148"/>
      <c r="B162" s="217" t="s">
        <v>264</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x14ac:dyDescent="0.25">
      <c r="A163" s="148"/>
    </row>
    <row r="164" spans="1:10" x14ac:dyDescent="0.25">
      <c r="A164" s="148"/>
      <c r="B164" s="579" t="s">
        <v>348</v>
      </c>
      <c r="C164" s="579"/>
    </row>
    <row r="165" spans="1:10" ht="30.75" thickBot="1" x14ac:dyDescent="0.3">
      <c r="A165" s="148"/>
      <c r="B165" s="209" t="s">
        <v>110</v>
      </c>
      <c r="C165" s="209" t="s">
        <v>258</v>
      </c>
      <c r="D165" s="209" t="s">
        <v>259</v>
      </c>
      <c r="E165" s="209" t="s">
        <v>116</v>
      </c>
      <c r="F165" s="209" t="s">
        <v>260</v>
      </c>
      <c r="G165" s="209" t="s">
        <v>117</v>
      </c>
      <c r="H165" s="209" t="s">
        <v>261</v>
      </c>
      <c r="I165" s="209" t="s">
        <v>262</v>
      </c>
      <c r="J165" s="209" t="s">
        <v>263</v>
      </c>
    </row>
    <row r="166" spans="1:10" x14ac:dyDescent="0.25">
      <c r="A166" s="148"/>
      <c r="B166" s="217">
        <f>$B$6</f>
        <v>2020</v>
      </c>
      <c r="C166" s="313">
        <v>0</v>
      </c>
      <c r="D166" s="304">
        <v>0</v>
      </c>
      <c r="E166" s="305">
        <v>0</v>
      </c>
      <c r="F166" s="219" t="e">
        <f>E166/$D166</f>
        <v>#DIV/0!</v>
      </c>
      <c r="G166" s="310">
        <v>0</v>
      </c>
      <c r="H166" s="219" t="e">
        <f>G166/$D166</f>
        <v>#DIV/0!</v>
      </c>
      <c r="I166" s="218">
        <f>E166+G166</f>
        <v>0</v>
      </c>
      <c r="J166" s="219" t="e">
        <f>I166/$D166</f>
        <v>#DIV/0!</v>
      </c>
    </row>
    <row r="167" spans="1:10" x14ac:dyDescent="0.25">
      <c r="A167" s="148"/>
      <c r="B167" s="217">
        <f>$B$7</f>
        <v>2019</v>
      </c>
      <c r="C167" s="314">
        <v>0</v>
      </c>
      <c r="D167" s="306">
        <v>0</v>
      </c>
      <c r="E167" s="307">
        <v>0</v>
      </c>
      <c r="F167" s="219" t="e">
        <f>E167/$D167</f>
        <v>#DIV/0!</v>
      </c>
      <c r="G167" s="311">
        <v>0</v>
      </c>
      <c r="H167" s="219" t="e">
        <f>G167/$D167</f>
        <v>#DIV/0!</v>
      </c>
      <c r="I167" s="218">
        <f>E167+G167</f>
        <v>0</v>
      </c>
      <c r="J167" s="219" t="e">
        <f>I167/$D167</f>
        <v>#DIV/0!</v>
      </c>
    </row>
    <row r="168" spans="1:10" x14ac:dyDescent="0.25">
      <c r="A168" s="148"/>
      <c r="B168" s="223">
        <f>$B$8</f>
        <v>2018</v>
      </c>
      <c r="C168" s="315">
        <v>0</v>
      </c>
      <c r="D168" s="308">
        <v>0</v>
      </c>
      <c r="E168" s="309">
        <v>0</v>
      </c>
      <c r="F168" s="220" t="e">
        <f>E168/$D168</f>
        <v>#DIV/0!</v>
      </c>
      <c r="G168" s="312">
        <v>0</v>
      </c>
      <c r="H168" s="220" t="e">
        <f>G168/$D168</f>
        <v>#DIV/0!</v>
      </c>
      <c r="I168" s="227">
        <f>E168+G168</f>
        <v>0</v>
      </c>
      <c r="J168" s="220" t="e">
        <f>I168/$D168</f>
        <v>#DIV/0!</v>
      </c>
    </row>
    <row r="169" spans="1:10" x14ac:dyDescent="0.25">
      <c r="A169" s="148"/>
      <c r="B169" s="217" t="s">
        <v>264</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x14ac:dyDescent="0.25">
      <c r="A170" s="148"/>
    </row>
    <row r="171" spans="1:10" x14ac:dyDescent="0.25">
      <c r="A171" s="148"/>
      <c r="B171" s="579" t="s">
        <v>348</v>
      </c>
      <c r="C171" s="579"/>
    </row>
    <row r="172" spans="1:10" ht="30.75" thickBot="1" x14ac:dyDescent="0.3">
      <c r="A172" s="148"/>
      <c r="B172" s="209" t="s">
        <v>110</v>
      </c>
      <c r="C172" s="209" t="s">
        <v>258</v>
      </c>
      <c r="D172" s="209" t="s">
        <v>259</v>
      </c>
      <c r="E172" s="209" t="s">
        <v>116</v>
      </c>
      <c r="F172" s="209" t="s">
        <v>260</v>
      </c>
      <c r="G172" s="209" t="s">
        <v>117</v>
      </c>
      <c r="H172" s="209" t="s">
        <v>261</v>
      </c>
      <c r="I172" s="209" t="s">
        <v>262</v>
      </c>
      <c r="J172" s="209" t="s">
        <v>263</v>
      </c>
    </row>
    <row r="173" spans="1:10" x14ac:dyDescent="0.25">
      <c r="A173" s="148"/>
      <c r="B173" s="217">
        <f>$B$6</f>
        <v>2020</v>
      </c>
      <c r="C173" s="313">
        <v>0</v>
      </c>
      <c r="D173" s="304">
        <v>0</v>
      </c>
      <c r="E173" s="305">
        <v>0</v>
      </c>
      <c r="F173" s="219" t="e">
        <f>E173/$D173</f>
        <v>#DIV/0!</v>
      </c>
      <c r="G173" s="310">
        <v>0</v>
      </c>
      <c r="H173" s="219" t="e">
        <f>G173/$D173</f>
        <v>#DIV/0!</v>
      </c>
      <c r="I173" s="218">
        <f>E173+G173</f>
        <v>0</v>
      </c>
      <c r="J173" s="219" t="e">
        <f>I173/$D173</f>
        <v>#DIV/0!</v>
      </c>
    </row>
    <row r="174" spans="1:10" x14ac:dyDescent="0.25">
      <c r="A174" s="148"/>
      <c r="B174" s="217">
        <f>$B$7</f>
        <v>2019</v>
      </c>
      <c r="C174" s="314">
        <v>0</v>
      </c>
      <c r="D174" s="306">
        <v>0</v>
      </c>
      <c r="E174" s="307">
        <v>0</v>
      </c>
      <c r="F174" s="219" t="e">
        <f>E174/$D174</f>
        <v>#DIV/0!</v>
      </c>
      <c r="G174" s="311">
        <v>0</v>
      </c>
      <c r="H174" s="219" t="e">
        <f>G174/$D174</f>
        <v>#DIV/0!</v>
      </c>
      <c r="I174" s="218">
        <f>E174+G174</f>
        <v>0</v>
      </c>
      <c r="J174" s="219" t="e">
        <f>I174/$D174</f>
        <v>#DIV/0!</v>
      </c>
    </row>
    <row r="175" spans="1:10" x14ac:dyDescent="0.25">
      <c r="A175" s="148"/>
      <c r="B175" s="223">
        <f>$B$8</f>
        <v>2018</v>
      </c>
      <c r="C175" s="315">
        <v>0</v>
      </c>
      <c r="D175" s="308">
        <v>0</v>
      </c>
      <c r="E175" s="309">
        <v>0</v>
      </c>
      <c r="F175" s="220" t="e">
        <f>E175/$D175</f>
        <v>#DIV/0!</v>
      </c>
      <c r="G175" s="312">
        <v>0</v>
      </c>
      <c r="H175" s="220" t="e">
        <f>G175/$D175</f>
        <v>#DIV/0!</v>
      </c>
      <c r="I175" s="227">
        <f>E175+G175</f>
        <v>0</v>
      </c>
      <c r="J175" s="220" t="e">
        <f>I175/$D175</f>
        <v>#DIV/0!</v>
      </c>
    </row>
    <row r="176" spans="1:10" x14ac:dyDescent="0.25">
      <c r="A176" s="148"/>
      <c r="B176" s="217" t="s">
        <v>264</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x14ac:dyDescent="0.25">
      <c r="A177" s="148"/>
    </row>
    <row r="178" spans="1:10" x14ac:dyDescent="0.25">
      <c r="A178" s="148"/>
      <c r="B178" s="579" t="s">
        <v>348</v>
      </c>
      <c r="C178" s="579"/>
    </row>
    <row r="179" spans="1:10" ht="30.75" thickBot="1" x14ac:dyDescent="0.3">
      <c r="A179" s="148"/>
      <c r="B179" s="209" t="s">
        <v>110</v>
      </c>
      <c r="C179" s="209" t="s">
        <v>258</v>
      </c>
      <c r="D179" s="209" t="s">
        <v>259</v>
      </c>
      <c r="E179" s="209" t="s">
        <v>116</v>
      </c>
      <c r="F179" s="209" t="s">
        <v>260</v>
      </c>
      <c r="G179" s="209" t="s">
        <v>117</v>
      </c>
      <c r="H179" s="209" t="s">
        <v>261</v>
      </c>
      <c r="I179" s="209" t="s">
        <v>262</v>
      </c>
      <c r="J179" s="209" t="s">
        <v>263</v>
      </c>
    </row>
    <row r="180" spans="1:10" x14ac:dyDescent="0.25">
      <c r="A180" s="148"/>
      <c r="B180" s="217">
        <f>$B$6</f>
        <v>2020</v>
      </c>
      <c r="C180" s="313">
        <v>0</v>
      </c>
      <c r="D180" s="304">
        <v>0</v>
      </c>
      <c r="E180" s="305">
        <v>0</v>
      </c>
      <c r="F180" s="219" t="e">
        <f>E180/$D180</f>
        <v>#DIV/0!</v>
      </c>
      <c r="G180" s="310">
        <v>0</v>
      </c>
      <c r="H180" s="219" t="e">
        <f>G180/$D180</f>
        <v>#DIV/0!</v>
      </c>
      <c r="I180" s="218">
        <f>E180+G180</f>
        <v>0</v>
      </c>
      <c r="J180" s="219" t="e">
        <f>I180/$D180</f>
        <v>#DIV/0!</v>
      </c>
    </row>
    <row r="181" spans="1:10" x14ac:dyDescent="0.25">
      <c r="A181" s="148"/>
      <c r="B181" s="217">
        <f>$B$7</f>
        <v>2019</v>
      </c>
      <c r="C181" s="314">
        <v>0</v>
      </c>
      <c r="D181" s="306">
        <v>0</v>
      </c>
      <c r="E181" s="307">
        <v>0</v>
      </c>
      <c r="F181" s="219" t="e">
        <f>E181/$D181</f>
        <v>#DIV/0!</v>
      </c>
      <c r="G181" s="311">
        <v>0</v>
      </c>
      <c r="H181" s="219" t="e">
        <f>G181/$D181</f>
        <v>#DIV/0!</v>
      </c>
      <c r="I181" s="218">
        <f>E181+G181</f>
        <v>0</v>
      </c>
      <c r="J181" s="219" t="e">
        <f>I181/$D181</f>
        <v>#DIV/0!</v>
      </c>
    </row>
    <row r="182" spans="1:10" x14ac:dyDescent="0.25">
      <c r="A182" s="148"/>
      <c r="B182" s="223">
        <f>$B$8</f>
        <v>2018</v>
      </c>
      <c r="C182" s="315">
        <v>0</v>
      </c>
      <c r="D182" s="308">
        <v>0</v>
      </c>
      <c r="E182" s="309">
        <v>0</v>
      </c>
      <c r="F182" s="220" t="e">
        <f>E182/$D182</f>
        <v>#DIV/0!</v>
      </c>
      <c r="G182" s="312">
        <v>0</v>
      </c>
      <c r="H182" s="220" t="e">
        <f>G182/$D182</f>
        <v>#DIV/0!</v>
      </c>
      <c r="I182" s="227">
        <f>E182+G182</f>
        <v>0</v>
      </c>
      <c r="J182" s="220" t="e">
        <f>I182/$D182</f>
        <v>#DIV/0!</v>
      </c>
    </row>
    <row r="183" spans="1:10" x14ac:dyDescent="0.25">
      <c r="A183" s="148"/>
      <c r="B183" s="217" t="s">
        <v>264</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x14ac:dyDescent="0.25">
      <c r="A184" s="148"/>
    </row>
    <row r="185" spans="1:10" x14ac:dyDescent="0.25">
      <c r="A185" s="148"/>
      <c r="B185" s="579" t="s">
        <v>348</v>
      </c>
      <c r="C185" s="579"/>
    </row>
    <row r="186" spans="1:10" ht="30.75" thickBot="1" x14ac:dyDescent="0.3">
      <c r="A186" s="148"/>
      <c r="B186" s="209" t="s">
        <v>110</v>
      </c>
      <c r="C186" s="209" t="s">
        <v>258</v>
      </c>
      <c r="D186" s="209" t="s">
        <v>259</v>
      </c>
      <c r="E186" s="209" t="s">
        <v>116</v>
      </c>
      <c r="F186" s="209" t="s">
        <v>260</v>
      </c>
      <c r="G186" s="209" t="s">
        <v>117</v>
      </c>
      <c r="H186" s="209" t="s">
        <v>261</v>
      </c>
      <c r="I186" s="209" t="s">
        <v>262</v>
      </c>
      <c r="J186" s="209" t="s">
        <v>263</v>
      </c>
    </row>
    <row r="187" spans="1:10" x14ac:dyDescent="0.25">
      <c r="A187" s="148"/>
      <c r="B187" s="217">
        <f>$B$6</f>
        <v>2020</v>
      </c>
      <c r="C187" s="313">
        <v>0</v>
      </c>
      <c r="D187" s="304">
        <v>0</v>
      </c>
      <c r="E187" s="305">
        <v>0</v>
      </c>
      <c r="F187" s="219" t="e">
        <f>E187/$D187</f>
        <v>#DIV/0!</v>
      </c>
      <c r="G187" s="310">
        <v>0</v>
      </c>
      <c r="H187" s="219" t="e">
        <f>G187/$D187</f>
        <v>#DIV/0!</v>
      </c>
      <c r="I187" s="218">
        <f>E187+G187</f>
        <v>0</v>
      </c>
      <c r="J187" s="219" t="e">
        <f>I187/$D187</f>
        <v>#DIV/0!</v>
      </c>
    </row>
    <row r="188" spans="1:10" x14ac:dyDescent="0.25">
      <c r="A188" s="148"/>
      <c r="B188" s="217">
        <f>$B$7</f>
        <v>2019</v>
      </c>
      <c r="C188" s="314">
        <v>0</v>
      </c>
      <c r="D188" s="306">
        <v>0</v>
      </c>
      <c r="E188" s="307">
        <v>0</v>
      </c>
      <c r="F188" s="219" t="e">
        <f>E188/$D188</f>
        <v>#DIV/0!</v>
      </c>
      <c r="G188" s="311">
        <v>0</v>
      </c>
      <c r="H188" s="219" t="e">
        <f>G188/$D188</f>
        <v>#DIV/0!</v>
      </c>
      <c r="I188" s="218">
        <f>E188+G188</f>
        <v>0</v>
      </c>
      <c r="J188" s="219" t="e">
        <f>I188/$D188</f>
        <v>#DIV/0!</v>
      </c>
    </row>
    <row r="189" spans="1:10" x14ac:dyDescent="0.25">
      <c r="A189" s="148"/>
      <c r="B189" s="223">
        <f>$B$8</f>
        <v>2018</v>
      </c>
      <c r="C189" s="315">
        <v>0</v>
      </c>
      <c r="D189" s="308">
        <v>0</v>
      </c>
      <c r="E189" s="309">
        <v>0</v>
      </c>
      <c r="F189" s="220" t="e">
        <f>E189/$D189</f>
        <v>#DIV/0!</v>
      </c>
      <c r="G189" s="312">
        <v>0</v>
      </c>
      <c r="H189" s="220" t="e">
        <f>G189/$D189</f>
        <v>#DIV/0!</v>
      </c>
      <c r="I189" s="227">
        <f>E189+G189</f>
        <v>0</v>
      </c>
      <c r="J189" s="220" t="e">
        <f>I189/$D189</f>
        <v>#DIV/0!</v>
      </c>
    </row>
    <row r="190" spans="1:10" x14ac:dyDescent="0.25">
      <c r="A190" s="148"/>
      <c r="B190" s="217" t="s">
        <v>264</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x14ac:dyDescent="0.25">
      <c r="A191" s="148"/>
    </row>
    <row r="192" spans="1:10" x14ac:dyDescent="0.25">
      <c r="A192" s="148"/>
      <c r="B192" s="579" t="s">
        <v>348</v>
      </c>
      <c r="C192" s="579"/>
    </row>
    <row r="193" spans="1:10" ht="30.75" thickBot="1" x14ac:dyDescent="0.3">
      <c r="A193" s="148"/>
      <c r="B193" s="209" t="s">
        <v>110</v>
      </c>
      <c r="C193" s="209" t="s">
        <v>258</v>
      </c>
      <c r="D193" s="209" t="s">
        <v>259</v>
      </c>
      <c r="E193" s="209" t="s">
        <v>116</v>
      </c>
      <c r="F193" s="209" t="s">
        <v>260</v>
      </c>
      <c r="G193" s="209" t="s">
        <v>117</v>
      </c>
      <c r="H193" s="209" t="s">
        <v>261</v>
      </c>
      <c r="I193" s="209" t="s">
        <v>262</v>
      </c>
      <c r="J193" s="209" t="s">
        <v>263</v>
      </c>
    </row>
    <row r="194" spans="1:10" x14ac:dyDescent="0.25">
      <c r="A194" s="148"/>
      <c r="B194" s="217">
        <f>$B$6</f>
        <v>2020</v>
      </c>
      <c r="C194" s="313">
        <v>0</v>
      </c>
      <c r="D194" s="304">
        <v>0</v>
      </c>
      <c r="E194" s="305">
        <v>0</v>
      </c>
      <c r="F194" s="219" t="e">
        <f>E194/$D194</f>
        <v>#DIV/0!</v>
      </c>
      <c r="G194" s="310">
        <v>0</v>
      </c>
      <c r="H194" s="219" t="e">
        <f>G194/$D194</f>
        <v>#DIV/0!</v>
      </c>
      <c r="I194" s="218">
        <f>E194+G194</f>
        <v>0</v>
      </c>
      <c r="J194" s="219" t="e">
        <f>I194/$D194</f>
        <v>#DIV/0!</v>
      </c>
    </row>
    <row r="195" spans="1:10" x14ac:dyDescent="0.25">
      <c r="A195" s="148"/>
      <c r="B195" s="217">
        <f>$B$7</f>
        <v>2019</v>
      </c>
      <c r="C195" s="314">
        <v>0</v>
      </c>
      <c r="D195" s="306">
        <v>0</v>
      </c>
      <c r="E195" s="307">
        <v>0</v>
      </c>
      <c r="F195" s="219" t="e">
        <f>E195/$D195</f>
        <v>#DIV/0!</v>
      </c>
      <c r="G195" s="311">
        <v>0</v>
      </c>
      <c r="H195" s="219" t="e">
        <f>G195/$D195</f>
        <v>#DIV/0!</v>
      </c>
      <c r="I195" s="218">
        <f>E195+G195</f>
        <v>0</v>
      </c>
      <c r="J195" s="219" t="e">
        <f>I195/$D195</f>
        <v>#DIV/0!</v>
      </c>
    </row>
    <row r="196" spans="1:10" x14ac:dyDescent="0.25">
      <c r="A196" s="148"/>
      <c r="B196" s="223">
        <f>$B$8</f>
        <v>2018</v>
      </c>
      <c r="C196" s="315">
        <v>0</v>
      </c>
      <c r="D196" s="308">
        <v>0</v>
      </c>
      <c r="E196" s="309">
        <v>0</v>
      </c>
      <c r="F196" s="220" t="e">
        <f>E196/$D196</f>
        <v>#DIV/0!</v>
      </c>
      <c r="G196" s="312">
        <v>0</v>
      </c>
      <c r="H196" s="220" t="e">
        <f>G196/$D196</f>
        <v>#DIV/0!</v>
      </c>
      <c r="I196" s="227">
        <f>E196+G196</f>
        <v>0</v>
      </c>
      <c r="J196" s="220" t="e">
        <f>I196/$D196</f>
        <v>#DIV/0!</v>
      </c>
    </row>
    <row r="197" spans="1:10" x14ac:dyDescent="0.25">
      <c r="A197" s="148"/>
      <c r="B197" s="217" t="s">
        <v>264</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x14ac:dyDescent="0.25">
      <c r="A198" s="148"/>
    </row>
    <row r="199" spans="1:10" x14ac:dyDescent="0.25">
      <c r="A199" s="148"/>
      <c r="B199" s="579" t="s">
        <v>348</v>
      </c>
      <c r="C199" s="579"/>
    </row>
    <row r="200" spans="1:10" ht="30.75" thickBot="1" x14ac:dyDescent="0.3">
      <c r="A200" s="148"/>
      <c r="B200" s="209" t="s">
        <v>110</v>
      </c>
      <c r="C200" s="209" t="s">
        <v>258</v>
      </c>
      <c r="D200" s="209" t="s">
        <v>259</v>
      </c>
      <c r="E200" s="209" t="s">
        <v>116</v>
      </c>
      <c r="F200" s="209" t="s">
        <v>260</v>
      </c>
      <c r="G200" s="209" t="s">
        <v>117</v>
      </c>
      <c r="H200" s="209" t="s">
        <v>261</v>
      </c>
      <c r="I200" s="209" t="s">
        <v>262</v>
      </c>
      <c r="J200" s="209" t="s">
        <v>263</v>
      </c>
    </row>
    <row r="201" spans="1:10" x14ac:dyDescent="0.25">
      <c r="A201" s="148"/>
      <c r="B201" s="217">
        <f>$B$6</f>
        <v>2020</v>
      </c>
      <c r="C201" s="313">
        <v>0</v>
      </c>
      <c r="D201" s="304">
        <v>0</v>
      </c>
      <c r="E201" s="305">
        <v>0</v>
      </c>
      <c r="F201" s="219" t="e">
        <f>E201/$D201</f>
        <v>#DIV/0!</v>
      </c>
      <c r="G201" s="310">
        <v>0</v>
      </c>
      <c r="H201" s="219" t="e">
        <f>G201/$D201</f>
        <v>#DIV/0!</v>
      </c>
      <c r="I201" s="218">
        <f>E201+G201</f>
        <v>0</v>
      </c>
      <c r="J201" s="219" t="e">
        <f>I201/$D201</f>
        <v>#DIV/0!</v>
      </c>
    </row>
    <row r="202" spans="1:10" x14ac:dyDescent="0.25">
      <c r="A202" s="148"/>
      <c r="B202" s="217">
        <f>$B$7</f>
        <v>2019</v>
      </c>
      <c r="C202" s="314">
        <v>0</v>
      </c>
      <c r="D202" s="306">
        <v>0</v>
      </c>
      <c r="E202" s="307">
        <v>0</v>
      </c>
      <c r="F202" s="219" t="e">
        <f>E202/$D202</f>
        <v>#DIV/0!</v>
      </c>
      <c r="G202" s="311">
        <v>0</v>
      </c>
      <c r="H202" s="219" t="e">
        <f>G202/$D202</f>
        <v>#DIV/0!</v>
      </c>
      <c r="I202" s="218">
        <f>E202+G202</f>
        <v>0</v>
      </c>
      <c r="J202" s="219" t="e">
        <f>I202/$D202</f>
        <v>#DIV/0!</v>
      </c>
    </row>
    <row r="203" spans="1:10" x14ac:dyDescent="0.25">
      <c r="A203" s="148"/>
      <c r="B203" s="223">
        <f>$B$8</f>
        <v>2018</v>
      </c>
      <c r="C203" s="315">
        <v>0</v>
      </c>
      <c r="D203" s="308">
        <v>0</v>
      </c>
      <c r="E203" s="309">
        <v>0</v>
      </c>
      <c r="F203" s="220" t="e">
        <f>E203/$D203</f>
        <v>#DIV/0!</v>
      </c>
      <c r="G203" s="312">
        <v>0</v>
      </c>
      <c r="H203" s="220" t="e">
        <f>G203/$D203</f>
        <v>#DIV/0!</v>
      </c>
      <c r="I203" s="227">
        <f>E203+G203</f>
        <v>0</v>
      </c>
      <c r="J203" s="220" t="e">
        <f>I203/$D203</f>
        <v>#DIV/0!</v>
      </c>
    </row>
    <row r="204" spans="1:10" x14ac:dyDescent="0.25">
      <c r="A204" s="148"/>
      <c r="B204" s="217" t="s">
        <v>264</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x14ac:dyDescent="0.25">
      <c r="A205" s="148"/>
    </row>
    <row r="206" spans="1:10" x14ac:dyDescent="0.25">
      <c r="A206" s="148"/>
      <c r="B206" s="579" t="s">
        <v>348</v>
      </c>
      <c r="C206" s="579"/>
    </row>
    <row r="207" spans="1:10" ht="30.75" thickBot="1" x14ac:dyDescent="0.3">
      <c r="A207" s="148"/>
      <c r="B207" s="209" t="s">
        <v>110</v>
      </c>
      <c r="C207" s="209" t="s">
        <v>258</v>
      </c>
      <c r="D207" s="209" t="s">
        <v>259</v>
      </c>
      <c r="E207" s="209" t="s">
        <v>116</v>
      </c>
      <c r="F207" s="209" t="s">
        <v>260</v>
      </c>
      <c r="G207" s="209" t="s">
        <v>117</v>
      </c>
      <c r="H207" s="209" t="s">
        <v>261</v>
      </c>
      <c r="I207" s="209" t="s">
        <v>262</v>
      </c>
      <c r="J207" s="209" t="s">
        <v>263</v>
      </c>
    </row>
    <row r="208" spans="1:10" x14ac:dyDescent="0.25">
      <c r="A208" s="148"/>
      <c r="B208" s="217">
        <f>$B$6</f>
        <v>2020</v>
      </c>
      <c r="C208" s="313">
        <v>0</v>
      </c>
      <c r="D208" s="304">
        <v>0</v>
      </c>
      <c r="E208" s="305">
        <v>0</v>
      </c>
      <c r="F208" s="219" t="e">
        <f>E208/$D208</f>
        <v>#DIV/0!</v>
      </c>
      <c r="G208" s="310">
        <v>0</v>
      </c>
      <c r="H208" s="219" t="e">
        <f>G208/$D208</f>
        <v>#DIV/0!</v>
      </c>
      <c r="I208" s="218">
        <f>E208+G208</f>
        <v>0</v>
      </c>
      <c r="J208" s="219" t="e">
        <f>I208/$D208</f>
        <v>#DIV/0!</v>
      </c>
    </row>
    <row r="209" spans="1:10" x14ac:dyDescent="0.25">
      <c r="A209" s="148"/>
      <c r="B209" s="217">
        <f>$B$7</f>
        <v>2019</v>
      </c>
      <c r="C209" s="314">
        <v>0</v>
      </c>
      <c r="D209" s="306">
        <v>0</v>
      </c>
      <c r="E209" s="307">
        <v>0</v>
      </c>
      <c r="F209" s="219" t="e">
        <f>E209/$D209</f>
        <v>#DIV/0!</v>
      </c>
      <c r="G209" s="311">
        <v>0</v>
      </c>
      <c r="H209" s="219" t="e">
        <f>G209/$D209</f>
        <v>#DIV/0!</v>
      </c>
      <c r="I209" s="218">
        <f>E209+G209</f>
        <v>0</v>
      </c>
      <c r="J209" s="219" t="e">
        <f>I209/$D209</f>
        <v>#DIV/0!</v>
      </c>
    </row>
    <row r="210" spans="1:10" x14ac:dyDescent="0.25">
      <c r="A210" s="148"/>
      <c r="B210" s="223">
        <f>$B$8</f>
        <v>2018</v>
      </c>
      <c r="C210" s="315">
        <v>0</v>
      </c>
      <c r="D210" s="308">
        <v>0</v>
      </c>
      <c r="E210" s="309">
        <v>0</v>
      </c>
      <c r="F210" s="220" t="e">
        <f>E210/$D210</f>
        <v>#DIV/0!</v>
      </c>
      <c r="G210" s="312">
        <v>0</v>
      </c>
      <c r="H210" s="220" t="e">
        <f>G210/$D210</f>
        <v>#DIV/0!</v>
      </c>
      <c r="I210" s="227">
        <f>E210+G210</f>
        <v>0</v>
      </c>
      <c r="J210" s="220" t="e">
        <f>I210/$D210</f>
        <v>#DIV/0!</v>
      </c>
    </row>
    <row r="211" spans="1:10" x14ac:dyDescent="0.25">
      <c r="A211" s="148"/>
      <c r="B211" s="217" t="s">
        <v>264</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x14ac:dyDescent="0.25">
      <c r="A212" s="148"/>
    </row>
    <row r="213" spans="1:10" x14ac:dyDescent="0.25">
      <c r="A213" s="148"/>
      <c r="B213" s="579" t="s">
        <v>348</v>
      </c>
      <c r="C213" s="579"/>
    </row>
    <row r="214" spans="1:10" ht="30.75" thickBot="1" x14ac:dyDescent="0.3">
      <c r="A214" s="148"/>
      <c r="B214" s="209" t="s">
        <v>110</v>
      </c>
      <c r="C214" s="209" t="s">
        <v>258</v>
      </c>
      <c r="D214" s="209" t="s">
        <v>259</v>
      </c>
      <c r="E214" s="209" t="s">
        <v>116</v>
      </c>
      <c r="F214" s="209" t="s">
        <v>260</v>
      </c>
      <c r="G214" s="209" t="s">
        <v>117</v>
      </c>
      <c r="H214" s="209" t="s">
        <v>261</v>
      </c>
      <c r="I214" s="209" t="s">
        <v>262</v>
      </c>
      <c r="J214" s="209" t="s">
        <v>263</v>
      </c>
    </row>
    <row r="215" spans="1:10" x14ac:dyDescent="0.25">
      <c r="A215" s="148"/>
      <c r="B215" s="217">
        <f>$B$6</f>
        <v>2020</v>
      </c>
      <c r="C215" s="313">
        <v>0</v>
      </c>
      <c r="D215" s="304">
        <v>0</v>
      </c>
      <c r="E215" s="305">
        <v>0</v>
      </c>
      <c r="F215" s="219" t="e">
        <f>E215/$D215</f>
        <v>#DIV/0!</v>
      </c>
      <c r="G215" s="310">
        <v>0</v>
      </c>
      <c r="H215" s="219" t="e">
        <f>G215/$D215</f>
        <v>#DIV/0!</v>
      </c>
      <c r="I215" s="218">
        <f>E215+G215</f>
        <v>0</v>
      </c>
      <c r="J215" s="219" t="e">
        <f>I215/$D215</f>
        <v>#DIV/0!</v>
      </c>
    </row>
    <row r="216" spans="1:10" x14ac:dyDescent="0.25">
      <c r="A216" s="148"/>
      <c r="B216" s="217">
        <f>$B$7</f>
        <v>2019</v>
      </c>
      <c r="C216" s="314">
        <v>0</v>
      </c>
      <c r="D216" s="306">
        <v>0</v>
      </c>
      <c r="E216" s="307">
        <v>0</v>
      </c>
      <c r="F216" s="219" t="e">
        <f>E216/$D216</f>
        <v>#DIV/0!</v>
      </c>
      <c r="G216" s="311">
        <v>0</v>
      </c>
      <c r="H216" s="219" t="e">
        <f>G216/$D216</f>
        <v>#DIV/0!</v>
      </c>
      <c r="I216" s="218">
        <f>E216+G216</f>
        <v>0</v>
      </c>
      <c r="J216" s="219" t="e">
        <f>I216/$D216</f>
        <v>#DIV/0!</v>
      </c>
    </row>
    <row r="217" spans="1:10" x14ac:dyDescent="0.25">
      <c r="A217" s="148"/>
      <c r="B217" s="223">
        <f>$B$8</f>
        <v>2018</v>
      </c>
      <c r="C217" s="315">
        <v>0</v>
      </c>
      <c r="D217" s="308">
        <v>0</v>
      </c>
      <c r="E217" s="309">
        <v>0</v>
      </c>
      <c r="F217" s="220" t="e">
        <f>E217/$D217</f>
        <v>#DIV/0!</v>
      </c>
      <c r="G217" s="312">
        <v>0</v>
      </c>
      <c r="H217" s="220" t="e">
        <f>G217/$D217</f>
        <v>#DIV/0!</v>
      </c>
      <c r="I217" s="227">
        <f>E217+G217</f>
        <v>0</v>
      </c>
      <c r="J217" s="220" t="e">
        <f>I217/$D217</f>
        <v>#DIV/0!</v>
      </c>
    </row>
    <row r="218" spans="1:10" x14ac:dyDescent="0.25">
      <c r="A218" s="148"/>
      <c r="B218" s="217" t="s">
        <v>264</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x14ac:dyDescent="0.25">
      <c r="A219" s="148"/>
    </row>
    <row r="220" spans="1:10" x14ac:dyDescent="0.25">
      <c r="A220" s="148"/>
      <c r="B220" s="579" t="s">
        <v>348</v>
      </c>
      <c r="C220" s="579"/>
    </row>
    <row r="221" spans="1:10" ht="30.75" thickBot="1" x14ac:dyDescent="0.3">
      <c r="A221" s="148"/>
      <c r="B221" s="209" t="s">
        <v>110</v>
      </c>
      <c r="C221" s="209" t="s">
        <v>258</v>
      </c>
      <c r="D221" s="209" t="s">
        <v>259</v>
      </c>
      <c r="E221" s="209" t="s">
        <v>116</v>
      </c>
      <c r="F221" s="209" t="s">
        <v>260</v>
      </c>
      <c r="G221" s="209" t="s">
        <v>117</v>
      </c>
      <c r="H221" s="209" t="s">
        <v>261</v>
      </c>
      <c r="I221" s="209" t="s">
        <v>262</v>
      </c>
      <c r="J221" s="209" t="s">
        <v>263</v>
      </c>
    </row>
    <row r="222" spans="1:10" x14ac:dyDescent="0.25">
      <c r="A222" s="148"/>
      <c r="B222" s="217">
        <f>$B$6</f>
        <v>2020</v>
      </c>
      <c r="C222" s="313">
        <v>0</v>
      </c>
      <c r="D222" s="304">
        <v>0</v>
      </c>
      <c r="E222" s="305">
        <v>0</v>
      </c>
      <c r="F222" s="219" t="e">
        <f>E222/$D222</f>
        <v>#DIV/0!</v>
      </c>
      <c r="G222" s="310">
        <v>0</v>
      </c>
      <c r="H222" s="219" t="e">
        <f>G222/$D222</f>
        <v>#DIV/0!</v>
      </c>
      <c r="I222" s="218">
        <f>E222+G222</f>
        <v>0</v>
      </c>
      <c r="J222" s="219" t="e">
        <f>I222/$D222</f>
        <v>#DIV/0!</v>
      </c>
    </row>
    <row r="223" spans="1:10" x14ac:dyDescent="0.25">
      <c r="A223" s="148"/>
      <c r="B223" s="217">
        <f>$B$7</f>
        <v>2019</v>
      </c>
      <c r="C223" s="314">
        <v>0</v>
      </c>
      <c r="D223" s="306">
        <v>0</v>
      </c>
      <c r="E223" s="307">
        <v>0</v>
      </c>
      <c r="F223" s="219" t="e">
        <f>E223/$D223</f>
        <v>#DIV/0!</v>
      </c>
      <c r="G223" s="311">
        <v>0</v>
      </c>
      <c r="H223" s="219" t="e">
        <f>G223/$D223</f>
        <v>#DIV/0!</v>
      </c>
      <c r="I223" s="218">
        <f>E223+G223</f>
        <v>0</v>
      </c>
      <c r="J223" s="219" t="e">
        <f>I223/$D223</f>
        <v>#DIV/0!</v>
      </c>
    </row>
    <row r="224" spans="1:10" x14ac:dyDescent="0.25">
      <c r="A224" s="148"/>
      <c r="B224" s="223">
        <f>$B$8</f>
        <v>2018</v>
      </c>
      <c r="C224" s="315">
        <v>0</v>
      </c>
      <c r="D224" s="308">
        <v>0</v>
      </c>
      <c r="E224" s="309">
        <v>0</v>
      </c>
      <c r="F224" s="220" t="e">
        <f>E224/$D224</f>
        <v>#DIV/0!</v>
      </c>
      <c r="G224" s="312">
        <v>0</v>
      </c>
      <c r="H224" s="220" t="e">
        <f>G224/$D224</f>
        <v>#DIV/0!</v>
      </c>
      <c r="I224" s="227">
        <f>E224+G224</f>
        <v>0</v>
      </c>
      <c r="J224" s="220" t="e">
        <f>I224/$D224</f>
        <v>#DIV/0!</v>
      </c>
    </row>
    <row r="225" spans="1:10" x14ac:dyDescent="0.25">
      <c r="A225" s="148"/>
      <c r="B225" s="217" t="s">
        <v>264</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x14ac:dyDescent="0.25">
      <c r="A226" s="148"/>
    </row>
    <row r="227" spans="1:10" x14ac:dyDescent="0.25">
      <c r="A227" s="148"/>
      <c r="B227" s="579" t="s">
        <v>348</v>
      </c>
      <c r="C227" s="579"/>
    </row>
    <row r="228" spans="1:10" ht="30.75" thickBot="1" x14ac:dyDescent="0.3">
      <c r="A228" s="148"/>
      <c r="B228" s="209" t="s">
        <v>110</v>
      </c>
      <c r="C228" s="209" t="s">
        <v>258</v>
      </c>
      <c r="D228" s="209" t="s">
        <v>259</v>
      </c>
      <c r="E228" s="209" t="s">
        <v>116</v>
      </c>
      <c r="F228" s="209" t="s">
        <v>260</v>
      </c>
      <c r="G228" s="209" t="s">
        <v>117</v>
      </c>
      <c r="H228" s="209" t="s">
        <v>261</v>
      </c>
      <c r="I228" s="209" t="s">
        <v>262</v>
      </c>
      <c r="J228" s="209" t="s">
        <v>263</v>
      </c>
    </row>
    <row r="229" spans="1:10" x14ac:dyDescent="0.25">
      <c r="A229" s="148"/>
      <c r="B229" s="217">
        <f>$B$6</f>
        <v>2020</v>
      </c>
      <c r="C229" s="313">
        <v>0</v>
      </c>
      <c r="D229" s="304">
        <v>0</v>
      </c>
      <c r="E229" s="305">
        <v>0</v>
      </c>
      <c r="F229" s="219" t="e">
        <f>E229/$D229</f>
        <v>#DIV/0!</v>
      </c>
      <c r="G229" s="310">
        <v>0</v>
      </c>
      <c r="H229" s="219" t="e">
        <f>G229/$D229</f>
        <v>#DIV/0!</v>
      </c>
      <c r="I229" s="218">
        <f>E229+G229</f>
        <v>0</v>
      </c>
      <c r="J229" s="219" t="e">
        <f>I229/$D229</f>
        <v>#DIV/0!</v>
      </c>
    </row>
    <row r="230" spans="1:10" x14ac:dyDescent="0.25">
      <c r="A230" s="148"/>
      <c r="B230" s="217">
        <f>$B$7</f>
        <v>2019</v>
      </c>
      <c r="C230" s="314">
        <v>0</v>
      </c>
      <c r="D230" s="306">
        <v>0</v>
      </c>
      <c r="E230" s="307">
        <v>0</v>
      </c>
      <c r="F230" s="219" t="e">
        <f>E230/$D230</f>
        <v>#DIV/0!</v>
      </c>
      <c r="G230" s="311">
        <v>0</v>
      </c>
      <c r="H230" s="219" t="e">
        <f>G230/$D230</f>
        <v>#DIV/0!</v>
      </c>
      <c r="I230" s="218">
        <f>E230+G230</f>
        <v>0</v>
      </c>
      <c r="J230" s="219" t="e">
        <f>I230/$D230</f>
        <v>#DIV/0!</v>
      </c>
    </row>
    <row r="231" spans="1:10" x14ac:dyDescent="0.25">
      <c r="A231" s="148"/>
      <c r="B231" s="223">
        <f>$B$8</f>
        <v>2018</v>
      </c>
      <c r="C231" s="315">
        <v>0</v>
      </c>
      <c r="D231" s="308">
        <v>0</v>
      </c>
      <c r="E231" s="309">
        <v>0</v>
      </c>
      <c r="F231" s="220" t="e">
        <f>E231/$D231</f>
        <v>#DIV/0!</v>
      </c>
      <c r="G231" s="312">
        <v>0</v>
      </c>
      <c r="H231" s="220" t="e">
        <f>G231/$D231</f>
        <v>#DIV/0!</v>
      </c>
      <c r="I231" s="227">
        <f>E231+G231</f>
        <v>0</v>
      </c>
      <c r="J231" s="220" t="e">
        <f>I231/$D231</f>
        <v>#DIV/0!</v>
      </c>
    </row>
    <row r="232" spans="1:10" x14ac:dyDescent="0.25">
      <c r="A232" s="148"/>
      <c r="B232" s="217" t="s">
        <v>264</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WMqCiFJTsOmJA8FmybeN3qPoYTv65k4t2CMv7R6JmAdP8bKVS2Fm4IfToy7w02pjw96lZijwNTW/WhN3OaGyMw==" saltValue="yeDfAAFw9opWBOBkAVJ8PA=="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59" orientation="portrait" r:id="rId1"/>
  <headerFooter>
    <oddFooter xml:space="preserve">&amp;L1/11/2022 Edition
&amp;CPrior Approval Rate Application
Portions of the material contained in this document are protected by copyright owned by the State Farm Mutual Automobile Insurance Company, 2022&amp;RPage 6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election activeCell="C8" sqref="C8"/>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General Insurance Company</v>
      </c>
    </row>
    <row r="2" spans="1:5" x14ac:dyDescent="0.25">
      <c r="A2" s="21" t="s">
        <v>69</v>
      </c>
      <c r="C2" s="37" t="s">
        <v>71</v>
      </c>
      <c r="E2" s="36" t="str">
        <f>General_Line</f>
        <v>Homeowners</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565</v>
      </c>
    </row>
    <row r="10" spans="1:5" ht="18" customHeight="1" x14ac:dyDescent="0.25">
      <c r="A10" s="62">
        <v>-1</v>
      </c>
      <c r="B10" s="169" t="s">
        <v>130</v>
      </c>
      <c r="C10" s="95"/>
      <c r="D10" s="89"/>
      <c r="E10" s="294">
        <v>12878</v>
      </c>
    </row>
    <row r="11" spans="1:5" ht="18" customHeight="1" x14ac:dyDescent="0.25">
      <c r="A11" s="63">
        <v>-2</v>
      </c>
      <c r="B11" s="170" t="s">
        <v>131</v>
      </c>
      <c r="C11" s="96"/>
      <c r="D11" s="68"/>
      <c r="E11" s="295">
        <v>69520</v>
      </c>
    </row>
    <row r="12" spans="1:5" ht="18" customHeight="1" x14ac:dyDescent="0.25">
      <c r="A12" s="63">
        <v>-3</v>
      </c>
      <c r="B12" s="170" t="s">
        <v>132</v>
      </c>
      <c r="C12" s="96"/>
      <c r="D12" s="69"/>
      <c r="E12" s="296">
        <v>69339</v>
      </c>
    </row>
    <row r="13" spans="1:5" ht="18" customHeight="1" x14ac:dyDescent="0.25">
      <c r="A13" s="63">
        <v>-4</v>
      </c>
      <c r="B13" s="170" t="s">
        <v>133</v>
      </c>
      <c r="C13" s="96"/>
      <c r="D13" s="69"/>
      <c r="E13" s="185">
        <f>E10+E11-E12</f>
        <v>13059</v>
      </c>
    </row>
    <row r="14" spans="1:5" ht="18" customHeight="1" x14ac:dyDescent="0.25">
      <c r="A14" s="63">
        <v>-5</v>
      </c>
      <c r="B14" s="170" t="s">
        <v>134</v>
      </c>
      <c r="C14" s="96"/>
      <c r="D14" s="68"/>
      <c r="E14" s="297">
        <v>997340354.19000006</v>
      </c>
    </row>
    <row r="15" spans="1:5" ht="18" customHeight="1" x14ac:dyDescent="0.25">
      <c r="A15" s="63">
        <v>-6</v>
      </c>
      <c r="B15" s="170" t="s">
        <v>135</v>
      </c>
      <c r="C15" s="96"/>
      <c r="D15" s="68"/>
      <c r="E15" s="298">
        <v>966126870.31000018</v>
      </c>
    </row>
    <row r="16" spans="1:5" ht="18" customHeight="1" x14ac:dyDescent="0.25">
      <c r="A16" s="63">
        <v>-7</v>
      </c>
      <c r="B16" s="170" t="s">
        <v>138</v>
      </c>
      <c r="C16" s="96"/>
      <c r="D16" s="68"/>
      <c r="E16" s="298">
        <v>400907231</v>
      </c>
    </row>
    <row r="17" spans="1:5" ht="18" customHeight="1" x14ac:dyDescent="0.25">
      <c r="A17" s="63">
        <v>-8</v>
      </c>
      <c r="B17" s="170" t="s">
        <v>137</v>
      </c>
      <c r="C17" s="96"/>
      <c r="D17" s="68"/>
      <c r="E17" s="298">
        <v>436891788</v>
      </c>
    </row>
    <row r="18" spans="1:5" ht="18" customHeight="1" x14ac:dyDescent="0.25">
      <c r="A18" s="63">
        <v>-9</v>
      </c>
      <c r="B18" s="170" t="s">
        <v>139</v>
      </c>
      <c r="C18" s="96"/>
      <c r="D18" s="69"/>
      <c r="E18" s="299">
        <v>1.6027345309417922</v>
      </c>
    </row>
    <row r="19" spans="1:5" ht="18" customHeight="1" x14ac:dyDescent="0.25">
      <c r="A19" s="63">
        <v>-10</v>
      </c>
      <c r="B19" s="170" t="s">
        <v>140</v>
      </c>
      <c r="C19" s="96"/>
      <c r="D19" s="69"/>
      <c r="E19" s="300">
        <v>118998764.61219779</v>
      </c>
    </row>
    <row r="20" spans="1:5" ht="18" customHeight="1" x14ac:dyDescent="0.25">
      <c r="A20" s="63">
        <v>-11</v>
      </c>
      <c r="B20" s="170" t="s">
        <v>249</v>
      </c>
      <c r="C20" s="96"/>
      <c r="D20" s="69"/>
      <c r="E20" s="184">
        <f>E19+E24</f>
        <v>436303321.08219802</v>
      </c>
    </row>
    <row r="21" spans="1:5" ht="18" customHeight="1" x14ac:dyDescent="0.25">
      <c r="A21" s="63">
        <v>-12</v>
      </c>
      <c r="B21" s="170" t="s">
        <v>141</v>
      </c>
      <c r="C21" s="96"/>
      <c r="D21" s="69"/>
      <c r="E21" s="301">
        <v>1905682</v>
      </c>
    </row>
    <row r="22" spans="1:5" ht="18" customHeight="1" x14ac:dyDescent="0.25">
      <c r="A22" s="63">
        <v>-13</v>
      </c>
      <c r="B22" s="170" t="s">
        <v>142</v>
      </c>
      <c r="C22" s="96"/>
      <c r="D22" s="69"/>
      <c r="E22" s="295">
        <v>220444</v>
      </c>
    </row>
    <row r="23" spans="1:5" ht="18" customHeight="1" x14ac:dyDescent="0.25">
      <c r="A23" s="63">
        <v>-14</v>
      </c>
      <c r="B23" s="170" t="s">
        <v>143</v>
      </c>
      <c r="C23" s="96"/>
      <c r="D23" s="69"/>
      <c r="E23" s="295">
        <v>33662</v>
      </c>
    </row>
    <row r="24" spans="1:5" ht="18" customHeight="1" x14ac:dyDescent="0.25">
      <c r="A24" s="63">
        <v>-15</v>
      </c>
      <c r="B24" s="170" t="s">
        <v>250</v>
      </c>
      <c r="C24" s="96"/>
      <c r="D24" s="69"/>
      <c r="E24" s="300">
        <v>317304556.47000021</v>
      </c>
    </row>
    <row r="25" spans="1:5" ht="18" customHeight="1" x14ac:dyDescent="0.25">
      <c r="A25" s="63">
        <v>-16</v>
      </c>
      <c r="B25" s="170" t="s">
        <v>144</v>
      </c>
      <c r="C25" s="96"/>
      <c r="D25" s="69"/>
      <c r="E25" s="183"/>
    </row>
    <row r="26" spans="1:5" ht="18" customHeight="1" x14ac:dyDescent="0.25">
      <c r="A26" s="63">
        <v>-17</v>
      </c>
      <c r="B26" s="171" t="s">
        <v>150</v>
      </c>
      <c r="C26" s="97"/>
      <c r="D26" s="69"/>
      <c r="E26" s="297">
        <v>215674100.77000001</v>
      </c>
    </row>
    <row r="27" spans="1:5" ht="18" customHeight="1" x14ac:dyDescent="0.25">
      <c r="A27" s="63">
        <v>-18</v>
      </c>
      <c r="B27" s="171" t="s">
        <v>149</v>
      </c>
      <c r="C27" s="97"/>
      <c r="D27" s="69"/>
      <c r="E27" s="298">
        <v>177983796.22000003</v>
      </c>
    </row>
    <row r="28" spans="1:5" ht="18" customHeight="1" x14ac:dyDescent="0.25">
      <c r="A28" s="63">
        <v>-19</v>
      </c>
      <c r="B28" s="171" t="s">
        <v>148</v>
      </c>
      <c r="C28" s="97"/>
      <c r="D28" s="69"/>
      <c r="E28" s="298">
        <v>33581979.82</v>
      </c>
    </row>
    <row r="29" spans="1:5" ht="18" customHeight="1" x14ac:dyDescent="0.25">
      <c r="A29" s="63">
        <v>-20</v>
      </c>
      <c r="B29" s="171" t="s">
        <v>147</v>
      </c>
      <c r="C29" s="97"/>
      <c r="D29" s="69"/>
      <c r="E29" s="298">
        <v>45744024.869999997</v>
      </c>
    </row>
    <row r="30" spans="1:5" ht="18" customHeight="1" x14ac:dyDescent="0.25">
      <c r="A30" s="63">
        <v>-21</v>
      </c>
      <c r="B30" s="171" t="s">
        <v>146</v>
      </c>
      <c r="C30" s="97"/>
      <c r="D30" s="69"/>
      <c r="E30" s="298">
        <v>123069329.3</v>
      </c>
    </row>
    <row r="31" spans="1:5" ht="18" customHeight="1" thickBot="1" x14ac:dyDescent="0.3">
      <c r="A31" s="91">
        <v>-22</v>
      </c>
      <c r="B31" s="172" t="s">
        <v>145</v>
      </c>
      <c r="C31" s="98"/>
      <c r="D31" s="92"/>
      <c r="E31" s="302">
        <v>0</v>
      </c>
    </row>
  </sheetData>
  <sheetProtection algorithmName="SHA-512" hashValue="wdKI+AeUg+/dAenHEtSIBCpTnVhp58nhinslEXfgPfeGbJSf9Of0ex4qKzXGcQSnqRFqtoJ/VvVarV6HXozqbQ==" saltValue="ptbh81yHjFKHYTbfAUtS1g==" spinCount="100000" sheet="1" objects="1" scenarios="1" formatColumns="0" formatRows="0" sort="0"/>
  <printOptions horizontalCentered="1"/>
  <pageMargins left="0.45" right="0.45" top="0.5" bottom="0.5" header="0.3" footer="0.05"/>
  <pageSetup scale="95" orientation="landscape" r:id="rId1"/>
  <headerFooter>
    <oddFooter xml:space="preserve">&amp;L1/11/2022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election activeCell="C8" sqref="C8"/>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General Insurance Company</v>
      </c>
      <c r="G1" s="346" t="s">
        <v>281</v>
      </c>
    </row>
    <row r="2" spans="1:7" x14ac:dyDescent="0.25">
      <c r="A2" s="21" t="s">
        <v>69</v>
      </c>
      <c r="C2" s="37" t="s">
        <v>71</v>
      </c>
      <c r="F2" s="36" t="str">
        <f>General_Line</f>
        <v>Homeowners</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422</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418</v>
      </c>
      <c r="C8" s="70"/>
      <c r="G8" s="259" t="str">
        <f>IF(AND(No_Fees=TRUE,OR(COUNTA(D12:D25)&lt;&gt;0,COUNTA(F12:F25)&lt;&gt;0,COUNTA(D29:D37)&lt;&gt;0,COUNTA(F29:F37)&lt;&gt;0)),"no fees apply.","")</f>
        <v/>
      </c>
    </row>
    <row r="9" spans="1:7" ht="18" customHeight="1" x14ac:dyDescent="0.25">
      <c r="A9" t="s">
        <v>419</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417</v>
      </c>
      <c r="B12" s="104"/>
      <c r="C12" s="104"/>
      <c r="D12" s="198"/>
      <c r="E12" s="100"/>
      <c r="F12" s="198"/>
      <c r="G12" s="403"/>
    </row>
    <row r="13" spans="1:7" ht="18" customHeight="1" x14ac:dyDescent="0.25">
      <c r="A13" t="s">
        <v>155</v>
      </c>
      <c r="C13" s="70"/>
      <c r="D13" s="198"/>
      <c r="E13" s="70"/>
      <c r="F13" s="198"/>
      <c r="G13" s="352"/>
    </row>
    <row r="14" spans="1:7" ht="18" customHeight="1" x14ac:dyDescent="0.25">
      <c r="A14" t="s">
        <v>336</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226</v>
      </c>
      <c r="C20" s="70"/>
      <c r="D20" s="198"/>
      <c r="E20" s="70"/>
      <c r="F20" s="198"/>
      <c r="G20" s="350"/>
    </row>
    <row r="21" spans="1:7" ht="18" customHeight="1" x14ac:dyDescent="0.25">
      <c r="A21" t="s">
        <v>167</v>
      </c>
      <c r="B21" s="8"/>
      <c r="C21" s="8"/>
      <c r="D21" s="8"/>
      <c r="E21" s="8"/>
      <c r="F21" s="8"/>
      <c r="G21" s="350"/>
    </row>
    <row r="22" spans="1:7" ht="18" customHeight="1" x14ac:dyDescent="0.25">
      <c r="A22" s="326" t="s">
        <v>338</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337</v>
      </c>
      <c r="C32" s="70"/>
      <c r="D32" s="198"/>
      <c r="E32" s="70"/>
      <c r="F32" s="198"/>
      <c r="G32" s="350"/>
    </row>
    <row r="33" spans="1:7" ht="18" customHeight="1" x14ac:dyDescent="0.25">
      <c r="A33" t="s">
        <v>167</v>
      </c>
      <c r="B33" s="8"/>
      <c r="C33" s="8"/>
      <c r="D33" s="8"/>
      <c r="E33" s="8"/>
      <c r="F33" s="8"/>
      <c r="G33" s="350"/>
    </row>
    <row r="34" spans="1:7" ht="18" customHeight="1" x14ac:dyDescent="0.25">
      <c r="A34" s="326" t="s">
        <v>338</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Rr/IdG+ciwxzRmKoXLfUxwrGbHrnPQDV+1JGcTmcUSbdcgiLCo682Bx1ebKnxpuWN9MmbiG9wG+1umAyQEhf9w==" saltValue="s1gI/T4JL4JKYq6dWDALcQ==" spinCount="100000" sheet="1" objects="1" scenarios="1" formatColumns="0" formatRows="0" sort="0"/>
  <printOptions horizontalCentered="1"/>
  <pageMargins left="0.45" right="0.45" top="0.5" bottom="0.5" header="0.3" footer="0.05"/>
  <pageSetup scale="80" orientation="portrait" r:id="rId1"/>
  <headerFooter>
    <oddFooter xml:space="preserve">&amp;L1/11/2022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5"/>
  <sheetViews>
    <sheetView showGridLines="0" zoomScale="90" zoomScaleNormal="90" zoomScaleSheetLayoutView="100" workbookViewId="0">
      <pane ySplit="32" topLeftCell="A33" activePane="bottomLeft" state="frozen"/>
      <selection activeCell="C8" sqref="C8"/>
      <selection pane="bottomLeft" activeCell="C8" sqref="C8"/>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8.7109375" customWidth="1"/>
    <col min="9" max="12" width="16.28515625" customWidth="1"/>
    <col min="13" max="13" width="74" style="335" customWidth="1"/>
  </cols>
  <sheetData>
    <row r="1" spans="1:12" x14ac:dyDescent="0.25">
      <c r="A1" s="21" t="s">
        <v>68</v>
      </c>
      <c r="B1" s="21"/>
      <c r="G1"/>
      <c r="J1" s="37" t="s">
        <v>70</v>
      </c>
      <c r="L1" t="str">
        <f>Co_Name</f>
        <v>State Farm General Insurance Company</v>
      </c>
    </row>
    <row r="2" spans="1:12" x14ac:dyDescent="0.25">
      <c r="A2" s="21" t="s">
        <v>69</v>
      </c>
      <c r="B2" s="21"/>
      <c r="G2"/>
      <c r="J2" s="37" t="s">
        <v>71</v>
      </c>
      <c r="L2" t="str">
        <f>General_Line</f>
        <v>Homeowners</v>
      </c>
    </row>
    <row r="3" spans="1:12" ht="5.0999999999999996" customHeight="1" x14ac:dyDescent="0.25">
      <c r="B3" s="167"/>
      <c r="G3" s="214"/>
    </row>
    <row r="4" spans="1:12" ht="23.25" x14ac:dyDescent="0.25">
      <c r="A4" s="5" t="s">
        <v>185</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8"/>
      <c r="B6" s="5"/>
      <c r="C6" s="3"/>
      <c r="D6" s="3"/>
      <c r="E6" s="3"/>
      <c r="F6" s="3"/>
      <c r="G6" s="3"/>
      <c r="H6" s="3"/>
      <c r="I6" s="3"/>
      <c r="J6" s="3"/>
      <c r="K6" s="3"/>
      <c r="L6" s="3"/>
    </row>
    <row r="7" spans="1:12" ht="15.75" thickBot="1" x14ac:dyDescent="0.3">
      <c r="A7" s="527"/>
      <c r="B7" s="550" t="s">
        <v>511</v>
      </c>
      <c r="C7" s="113"/>
      <c r="D7" s="113"/>
      <c r="E7" s="551"/>
      <c r="F7" s="113"/>
      <c r="G7" s="113"/>
      <c r="H7" s="113"/>
      <c r="I7" s="113"/>
      <c r="J7" s="113"/>
      <c r="K7" s="113"/>
      <c r="L7" s="113"/>
    </row>
    <row r="8" spans="1:12" x14ac:dyDescent="0.25">
      <c r="A8" s="501"/>
      <c r="B8" s="480" t="s">
        <v>199</v>
      </c>
      <c r="C8" s="483"/>
      <c r="D8" s="481" t="s">
        <v>200</v>
      </c>
      <c r="E8" s="502" t="s">
        <v>201</v>
      </c>
      <c r="F8" s="491"/>
      <c r="G8" s="491"/>
      <c r="H8" s="491"/>
      <c r="I8" s="491"/>
      <c r="J8" s="485"/>
      <c r="K8" s="488"/>
      <c r="L8" s="500"/>
    </row>
    <row r="9" spans="1:12" x14ac:dyDescent="0.25">
      <c r="A9" s="484"/>
      <c r="B9" s="51" t="s">
        <v>504</v>
      </c>
      <c r="C9" s="484"/>
      <c r="D9" s="482" t="s">
        <v>500</v>
      </c>
      <c r="E9" s="492" t="s">
        <v>490</v>
      </c>
      <c r="F9" s="492"/>
      <c r="G9" s="492"/>
      <c r="H9" s="492" t="s">
        <v>493</v>
      </c>
      <c r="I9" s="492"/>
      <c r="J9" s="486"/>
      <c r="K9" s="489" t="s">
        <v>496</v>
      </c>
      <c r="L9" s="494"/>
    </row>
    <row r="10" spans="1:12" x14ac:dyDescent="0.25">
      <c r="A10" s="484"/>
      <c r="B10" s="51" t="s">
        <v>505</v>
      </c>
      <c r="C10" s="484"/>
      <c r="D10" s="482" t="s">
        <v>501</v>
      </c>
      <c r="E10" s="492" t="s">
        <v>491</v>
      </c>
      <c r="F10" s="492"/>
      <c r="G10" s="492"/>
      <c r="H10" s="492" t="s">
        <v>494</v>
      </c>
      <c r="I10" s="492"/>
      <c r="J10" s="486"/>
      <c r="K10" s="489" t="s">
        <v>497</v>
      </c>
      <c r="L10" s="494"/>
    </row>
    <row r="11" spans="1:12" x14ac:dyDescent="0.25">
      <c r="A11" s="484"/>
      <c r="B11" s="51" t="s">
        <v>506</v>
      </c>
      <c r="C11" s="484"/>
      <c r="D11" s="482" t="s">
        <v>502</v>
      </c>
      <c r="E11" s="492" t="s">
        <v>492</v>
      </c>
      <c r="F11" s="492"/>
      <c r="G11" s="492"/>
      <c r="H11" s="492" t="s">
        <v>495</v>
      </c>
      <c r="I11" s="492"/>
      <c r="J11" s="486"/>
      <c r="K11" s="489" t="s">
        <v>498</v>
      </c>
      <c r="L11" s="494"/>
    </row>
    <row r="12" spans="1:12" x14ac:dyDescent="0.25">
      <c r="A12" s="541">
        <v>1</v>
      </c>
      <c r="B12" s="51" t="s">
        <v>507</v>
      </c>
      <c r="C12" s="484"/>
      <c r="D12" s="482" t="s">
        <v>503</v>
      </c>
      <c r="E12" s="492"/>
      <c r="F12" s="492"/>
      <c r="G12" s="492"/>
      <c r="H12" s="492"/>
      <c r="I12" s="492"/>
      <c r="J12" s="486"/>
      <c r="K12" s="489" t="s">
        <v>499</v>
      </c>
      <c r="L12" s="494"/>
    </row>
    <row r="13" spans="1:12" x14ac:dyDescent="0.25">
      <c r="A13" s="496"/>
      <c r="B13" s="51"/>
      <c r="C13" s="496"/>
      <c r="D13" s="498"/>
      <c r="E13" s="492" t="s">
        <v>508</v>
      </c>
      <c r="F13" s="492"/>
      <c r="G13" s="492"/>
      <c r="H13" s="492"/>
      <c r="I13" s="492"/>
      <c r="J13" s="486"/>
      <c r="K13" s="489"/>
      <c r="L13" s="494"/>
    </row>
    <row r="14" spans="1:12" x14ac:dyDescent="0.25">
      <c r="A14" s="496"/>
      <c r="B14" s="51"/>
      <c r="C14" s="496"/>
      <c r="D14" s="498"/>
      <c r="E14" s="492" t="s">
        <v>509</v>
      </c>
      <c r="F14" s="492"/>
      <c r="G14" s="492"/>
      <c r="H14" s="492"/>
      <c r="I14" s="492"/>
      <c r="J14" s="486"/>
      <c r="K14" s="489"/>
      <c r="L14" s="494"/>
    </row>
    <row r="15" spans="1:12" ht="15.75" thickBot="1" x14ac:dyDescent="0.3">
      <c r="A15" s="496"/>
      <c r="B15" s="113"/>
      <c r="C15" s="497"/>
      <c r="D15" s="499"/>
      <c r="E15" s="493" t="s">
        <v>510</v>
      </c>
      <c r="F15" s="493"/>
      <c r="G15" s="493"/>
      <c r="H15" s="493"/>
      <c r="I15" s="493"/>
      <c r="J15" s="487"/>
      <c r="K15" s="490"/>
      <c r="L15" s="495"/>
    </row>
    <row r="16" spans="1:12" ht="5.0999999999999996" customHeight="1" thickBot="1" x14ac:dyDescent="0.3">
      <c r="A16" s="268"/>
      <c r="B16" s="552"/>
      <c r="C16" s="552"/>
      <c r="D16" s="552"/>
      <c r="E16" s="552"/>
      <c r="F16" s="552"/>
      <c r="G16" s="552"/>
      <c r="H16" s="552"/>
      <c r="I16" s="552"/>
      <c r="J16" s="552"/>
      <c r="K16" s="552"/>
      <c r="L16" s="552"/>
    </row>
    <row r="17" spans="1:15" x14ac:dyDescent="0.25">
      <c r="A17" s="153"/>
      <c r="B17" s="151"/>
      <c r="C17" s="154" t="s">
        <v>187</v>
      </c>
      <c r="D17" s="150"/>
      <c r="E17" s="152"/>
      <c r="F17" s="154" t="s">
        <v>191</v>
      </c>
      <c r="G17" s="152"/>
      <c r="H17" s="156"/>
      <c r="I17" s="154" t="s">
        <v>194</v>
      </c>
      <c r="J17" s="152"/>
      <c r="K17" s="154" t="s">
        <v>195</v>
      </c>
      <c r="L17" s="152"/>
    </row>
    <row r="18" spans="1:15" ht="18" thickBot="1" x14ac:dyDescent="0.3">
      <c r="A18" s="158"/>
      <c r="B18" s="157"/>
      <c r="C18" s="155" t="s">
        <v>188</v>
      </c>
      <c r="D18" s="470" t="s">
        <v>189</v>
      </c>
      <c r="E18" s="471" t="s">
        <v>190</v>
      </c>
      <c r="F18" s="155" t="s">
        <v>81</v>
      </c>
      <c r="G18" s="471" t="s">
        <v>332</v>
      </c>
      <c r="H18" s="477" t="s">
        <v>192</v>
      </c>
      <c r="I18" s="155" t="s">
        <v>278</v>
      </c>
      <c r="J18" s="471" t="s">
        <v>196</v>
      </c>
      <c r="K18" s="155" t="s">
        <v>197</v>
      </c>
      <c r="L18" s="471" t="s">
        <v>193</v>
      </c>
      <c r="N18" s="70"/>
      <c r="O18" s="70"/>
    </row>
    <row r="19" spans="1:15" ht="18" hidden="1" customHeight="1" x14ac:dyDescent="0.25">
      <c r="A19" s="467">
        <f>A12-1</f>
        <v>0</v>
      </c>
      <c r="B19" s="546" t="s">
        <v>198</v>
      </c>
      <c r="C19" s="524"/>
      <c r="D19" s="515"/>
      <c r="E19" s="516"/>
      <c r="F19" s="516"/>
      <c r="G19" s="517"/>
      <c r="H19" s="516"/>
      <c r="I19" s="516"/>
      <c r="J19" s="516"/>
      <c r="K19" s="516"/>
      <c r="L19" s="518"/>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9"/>
      <c r="B20" s="547" t="s">
        <v>267</v>
      </c>
      <c r="C20" s="525"/>
      <c r="D20" s="520"/>
      <c r="E20" s="521"/>
      <c r="F20" s="521"/>
      <c r="G20" s="519"/>
      <c r="H20" s="521"/>
      <c r="I20" s="522"/>
      <c r="J20" s="522"/>
      <c r="K20" s="522"/>
      <c r="L20" s="523"/>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9"/>
      <c r="B21" s="612" t="s">
        <v>484</v>
      </c>
      <c r="C21" s="613"/>
      <c r="D21" s="614"/>
      <c r="E21" s="614"/>
      <c r="F21" s="614"/>
      <c r="G21" s="614"/>
      <c r="H21" s="614"/>
      <c r="I21" s="614"/>
      <c r="J21" s="614"/>
      <c r="K21" s="614"/>
      <c r="L21" s="615"/>
      <c r="M21" s="335" t="str">
        <f>IF(LEN(TRIM(CLEAN(D21)))=0,"←ERROR! Detailed explanation was not provided.","")</f>
        <v>←ERROR! Detailed explanation was not provided.</v>
      </c>
      <c r="N21" s="70"/>
      <c r="O21" s="70"/>
    </row>
    <row r="22" spans="1:15" ht="120" hidden="1" customHeight="1" x14ac:dyDescent="0.25">
      <c r="A22" s="467"/>
      <c r="B22" s="612" t="s">
        <v>482</v>
      </c>
      <c r="C22" s="613"/>
      <c r="D22" s="582"/>
      <c r="E22" s="582"/>
      <c r="F22" s="582"/>
      <c r="G22" s="582"/>
      <c r="H22" s="582"/>
      <c r="I22" s="582"/>
      <c r="J22" s="582"/>
      <c r="K22" s="582"/>
      <c r="L22" s="583"/>
      <c r="N22" s="70"/>
      <c r="O22" s="70"/>
    </row>
    <row r="23" spans="1:15" ht="45.95" hidden="1" customHeight="1" x14ac:dyDescent="0.25">
      <c r="A23" s="459"/>
      <c r="B23" s="612" t="s">
        <v>483</v>
      </c>
      <c r="C23" s="613"/>
      <c r="D23" s="582"/>
      <c r="E23" s="582"/>
      <c r="F23" s="582"/>
      <c r="G23" s="582"/>
      <c r="H23" s="582"/>
      <c r="I23" s="582"/>
      <c r="J23" s="582"/>
      <c r="K23" s="582"/>
      <c r="L23" s="583"/>
      <c r="N23" s="70"/>
      <c r="O23" s="70"/>
    </row>
    <row r="24" spans="1:15" ht="60.95" hidden="1" customHeight="1" x14ac:dyDescent="0.25">
      <c r="A24" s="459"/>
      <c r="B24" s="612" t="s">
        <v>512</v>
      </c>
      <c r="C24" s="613"/>
      <c r="D24" s="582"/>
      <c r="E24" s="582"/>
      <c r="F24" s="582"/>
      <c r="G24" s="582"/>
      <c r="H24" s="582"/>
      <c r="I24" s="582"/>
      <c r="J24" s="582"/>
      <c r="K24" s="582"/>
      <c r="L24" s="583"/>
      <c r="N24" s="70"/>
      <c r="O24" s="70"/>
    </row>
    <row r="25" spans="1:15" ht="9" hidden="1" customHeight="1" thickBot="1" x14ac:dyDescent="0.3">
      <c r="A25" s="459"/>
      <c r="B25" s="616"/>
      <c r="C25" s="616"/>
      <c r="D25" s="591"/>
      <c r="E25" s="591"/>
      <c r="F25" s="591"/>
      <c r="G25" s="591"/>
      <c r="H25" s="591"/>
      <c r="I25" s="591"/>
      <c r="J25" s="591"/>
      <c r="K25" s="591"/>
      <c r="L25" s="591"/>
      <c r="N25" s="70"/>
      <c r="O25" s="70"/>
    </row>
    <row r="26" spans="1:15" ht="18" hidden="1" customHeight="1" x14ac:dyDescent="0.25">
      <c r="A26" s="528">
        <f>A19-1</f>
        <v>-1</v>
      </c>
      <c r="B26" s="548" t="s">
        <v>198</v>
      </c>
      <c r="C26" s="529"/>
      <c r="D26" s="530"/>
      <c r="E26" s="531"/>
      <c r="F26" s="531"/>
      <c r="G26" s="532"/>
      <c r="H26" s="533"/>
      <c r="I26" s="534"/>
      <c r="J26" s="533"/>
      <c r="K26" s="535"/>
      <c r="L26" s="536"/>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60"/>
      <c r="B27" s="549" t="s">
        <v>267</v>
      </c>
      <c r="C27" s="461"/>
      <c r="D27" s="462"/>
      <c r="E27" s="463"/>
      <c r="F27" s="463"/>
      <c r="G27" s="464"/>
      <c r="H27" s="465"/>
      <c r="I27" s="478"/>
      <c r="J27" s="475"/>
      <c r="K27" s="479"/>
      <c r="L27" s="475"/>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60"/>
      <c r="B28" s="617" t="s">
        <v>484</v>
      </c>
      <c r="C28" s="618"/>
      <c r="D28" s="592"/>
      <c r="E28" s="593"/>
      <c r="F28" s="593"/>
      <c r="G28" s="593"/>
      <c r="H28" s="593"/>
      <c r="I28" s="593"/>
      <c r="J28" s="593"/>
      <c r="K28" s="593"/>
      <c r="L28" s="594"/>
      <c r="M28" s="335" t="str">
        <f>IF(LEN(TRIM(CLEAN(D28)))=0,"←ERROR! Detailed explanation was not provided.","")</f>
        <v>←ERROR! Detailed explanation was not provided.</v>
      </c>
      <c r="N28" s="70"/>
      <c r="O28" s="70"/>
    </row>
    <row r="29" spans="1:15" ht="120" hidden="1" customHeight="1" x14ac:dyDescent="0.25">
      <c r="A29" s="468"/>
      <c r="B29" s="619" t="s">
        <v>482</v>
      </c>
      <c r="C29" s="620"/>
      <c r="D29" s="592"/>
      <c r="E29" s="593"/>
      <c r="F29" s="593"/>
      <c r="G29" s="593"/>
      <c r="H29" s="593"/>
      <c r="I29" s="593"/>
      <c r="J29" s="593"/>
      <c r="K29" s="593"/>
      <c r="L29" s="594"/>
      <c r="N29" s="70"/>
      <c r="O29" s="70"/>
    </row>
    <row r="30" spans="1:15" ht="45.95" hidden="1" customHeight="1" x14ac:dyDescent="0.25">
      <c r="A30" s="460"/>
      <c r="B30" s="619" t="s">
        <v>483</v>
      </c>
      <c r="C30" s="620"/>
      <c r="D30" s="592"/>
      <c r="E30" s="593"/>
      <c r="F30" s="593"/>
      <c r="G30" s="593"/>
      <c r="H30" s="593"/>
      <c r="I30" s="593"/>
      <c r="J30" s="593"/>
      <c r="K30" s="593"/>
      <c r="L30" s="594"/>
      <c r="N30" s="70"/>
      <c r="O30" s="70"/>
    </row>
    <row r="31" spans="1:15" ht="60.95" hidden="1" customHeight="1" x14ac:dyDescent="0.25">
      <c r="A31" s="460"/>
      <c r="B31" s="619" t="s">
        <v>512</v>
      </c>
      <c r="C31" s="620"/>
      <c r="D31" s="592"/>
      <c r="E31" s="593"/>
      <c r="F31" s="593"/>
      <c r="G31" s="593"/>
      <c r="H31" s="593"/>
      <c r="I31" s="593"/>
      <c r="J31" s="593"/>
      <c r="K31" s="593"/>
      <c r="L31" s="594"/>
      <c r="N31" s="70"/>
      <c r="O31" s="70"/>
    </row>
    <row r="32" spans="1:15" ht="9" hidden="1" customHeight="1" thickBot="1" x14ac:dyDescent="0.3">
      <c r="A32" s="503"/>
      <c r="B32" s="622"/>
      <c r="C32" s="622"/>
      <c r="D32" s="609"/>
      <c r="E32" s="609"/>
      <c r="F32" s="609"/>
      <c r="G32" s="609"/>
      <c r="H32" s="609"/>
      <c r="I32" s="609"/>
      <c r="J32" s="609"/>
      <c r="K32" s="609"/>
      <c r="L32" s="609"/>
      <c r="N32" s="70"/>
      <c r="O32" s="70"/>
    </row>
    <row r="33" spans="1:15" ht="18" customHeight="1" x14ac:dyDescent="0.25">
      <c r="A33" s="528">
        <f>A19-1</f>
        <v>-1</v>
      </c>
      <c r="B33" s="542" t="s">
        <v>198</v>
      </c>
      <c r="C33" s="508" t="s">
        <v>538</v>
      </c>
      <c r="D33" s="504" t="s">
        <v>539</v>
      </c>
      <c r="E33" s="505">
        <v>2</v>
      </c>
      <c r="F33" s="505">
        <v>3</v>
      </c>
      <c r="G33" s="506"/>
      <c r="H33" s="505">
        <v>3</v>
      </c>
      <c r="I33" s="505" t="s">
        <v>6</v>
      </c>
      <c r="J33" s="505" t="s">
        <v>6</v>
      </c>
      <c r="K33" s="505" t="s">
        <v>6</v>
      </c>
      <c r="L33" s="507"/>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
      </c>
      <c r="N33" s="70"/>
      <c r="O33" s="70"/>
    </row>
    <row r="34" spans="1:15" ht="18" customHeight="1" x14ac:dyDescent="0.25">
      <c r="A34" s="459"/>
      <c r="B34" s="543" t="s">
        <v>267</v>
      </c>
      <c r="C34" s="514"/>
      <c r="D34" s="510"/>
      <c r="E34" s="511"/>
      <c r="F34" s="511"/>
      <c r="G34" s="509"/>
      <c r="H34" s="511"/>
      <c r="I34" s="512"/>
      <c r="J34" s="512"/>
      <c r="K34" s="512"/>
      <c r="L34" s="475"/>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9"/>
      <c r="B35" s="580" t="s">
        <v>484</v>
      </c>
      <c r="C35" s="581"/>
      <c r="D35" s="582" t="s">
        <v>540</v>
      </c>
      <c r="E35" s="582"/>
      <c r="F35" s="582"/>
      <c r="G35" s="582"/>
      <c r="H35" s="582"/>
      <c r="I35" s="582"/>
      <c r="J35" s="582"/>
      <c r="K35" s="582"/>
      <c r="L35" s="583"/>
      <c r="M35" s="335" t="str">
        <f>IF(LEN(TRIM(CLEAN(D35)))=0,"←ERROR! Detailed explanation was not provided.","")</f>
        <v/>
      </c>
      <c r="N35" s="70"/>
      <c r="O35" s="70"/>
    </row>
    <row r="36" spans="1:15" ht="105" customHeight="1" x14ac:dyDescent="0.25">
      <c r="A36" s="467"/>
      <c r="B36" s="580" t="s">
        <v>482</v>
      </c>
      <c r="C36" s="581"/>
      <c r="D36" s="582" t="s">
        <v>561</v>
      </c>
      <c r="E36" s="582"/>
      <c r="F36" s="582"/>
      <c r="G36" s="582"/>
      <c r="H36" s="582"/>
      <c r="I36" s="582"/>
      <c r="J36" s="582"/>
      <c r="K36" s="582"/>
      <c r="L36" s="583"/>
      <c r="N36" s="70"/>
      <c r="O36" s="70"/>
    </row>
    <row r="37" spans="1:15" ht="45.95" customHeight="1" x14ac:dyDescent="0.25">
      <c r="A37" s="459"/>
      <c r="B37" s="580" t="s">
        <v>483</v>
      </c>
      <c r="C37" s="581"/>
      <c r="D37" s="582" t="s">
        <v>559</v>
      </c>
      <c r="E37" s="582"/>
      <c r="F37" s="582"/>
      <c r="G37" s="582"/>
      <c r="H37" s="582"/>
      <c r="I37" s="582"/>
      <c r="J37" s="582"/>
      <c r="K37" s="582"/>
      <c r="L37" s="583"/>
      <c r="N37" s="70"/>
      <c r="O37" s="70"/>
    </row>
    <row r="38" spans="1:15" ht="45.95" customHeight="1" x14ac:dyDescent="0.25">
      <c r="A38" s="459"/>
      <c r="B38" s="580" t="s">
        <v>512</v>
      </c>
      <c r="C38" s="581"/>
      <c r="D38" s="582" t="s">
        <v>564</v>
      </c>
      <c r="E38" s="582"/>
      <c r="F38" s="582"/>
      <c r="G38" s="582"/>
      <c r="H38" s="582"/>
      <c r="I38" s="582"/>
      <c r="J38" s="582"/>
      <c r="K38" s="582"/>
      <c r="L38" s="583"/>
      <c r="N38" s="70"/>
      <c r="O38" s="70"/>
    </row>
    <row r="39" spans="1:15" ht="9" customHeight="1" thickBot="1" x14ac:dyDescent="0.3">
      <c r="A39" s="459"/>
      <c r="B39" s="621"/>
      <c r="C39" s="621"/>
      <c r="D39" s="591"/>
      <c r="E39" s="591"/>
      <c r="F39" s="591"/>
      <c r="G39" s="591"/>
      <c r="H39" s="591"/>
      <c r="I39" s="591"/>
      <c r="J39" s="591"/>
      <c r="K39" s="591"/>
      <c r="L39" s="591"/>
      <c r="N39" s="70"/>
      <c r="O39" s="70"/>
    </row>
    <row r="40" spans="1:15" ht="18" customHeight="1" x14ac:dyDescent="0.25">
      <c r="A40" s="537">
        <f>A33-1</f>
        <v>-2</v>
      </c>
      <c r="B40" s="544" t="s">
        <v>198</v>
      </c>
      <c r="C40" s="529"/>
      <c r="D40" s="530"/>
      <c r="E40" s="531"/>
      <c r="F40" s="531"/>
      <c r="G40" s="539"/>
      <c r="H40" s="533"/>
      <c r="I40" s="534"/>
      <c r="J40" s="533"/>
      <c r="K40" s="535"/>
      <c r="L40" s="536"/>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6"/>
      <c r="B41" s="545" t="s">
        <v>267</v>
      </c>
      <c r="C41" s="461"/>
      <c r="D41" s="462"/>
      <c r="E41" s="463"/>
      <c r="F41" s="463"/>
      <c r="G41" s="464"/>
      <c r="H41" s="465"/>
      <c r="I41" s="472"/>
      <c r="J41" s="473"/>
      <c r="K41" s="474"/>
      <c r="L41" s="475"/>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6"/>
      <c r="B42" s="587" t="s">
        <v>484</v>
      </c>
      <c r="C42" s="588"/>
      <c r="D42" s="584"/>
      <c r="E42" s="584"/>
      <c r="F42" s="584"/>
      <c r="G42" s="584"/>
      <c r="H42" s="584"/>
      <c r="I42" s="584"/>
      <c r="J42" s="584"/>
      <c r="K42" s="584"/>
      <c r="L42" s="585"/>
      <c r="M42" s="335" t="str">
        <f>IF(LEN(TRIM(CLEAN(D42)))=0,"←ERROR! Detailed explanation was not provided.","")</f>
        <v>←ERROR! Detailed explanation was not provided.</v>
      </c>
      <c r="N42" s="70"/>
      <c r="O42" s="70"/>
    </row>
    <row r="43" spans="1:15" ht="120" customHeight="1" x14ac:dyDescent="0.25">
      <c r="A43" s="469"/>
      <c r="B43" s="587" t="s">
        <v>482</v>
      </c>
      <c r="C43" s="588"/>
      <c r="D43" s="584"/>
      <c r="E43" s="584"/>
      <c r="F43" s="584"/>
      <c r="G43" s="584"/>
      <c r="H43" s="584"/>
      <c r="I43" s="584"/>
      <c r="J43" s="584"/>
      <c r="K43" s="584"/>
      <c r="L43" s="585"/>
      <c r="N43" s="70"/>
      <c r="O43" s="70"/>
    </row>
    <row r="44" spans="1:15" ht="45.95" customHeight="1" x14ac:dyDescent="0.25">
      <c r="A44" s="466"/>
      <c r="B44" s="587" t="s">
        <v>483</v>
      </c>
      <c r="C44" s="588"/>
      <c r="D44" s="584"/>
      <c r="E44" s="584"/>
      <c r="F44" s="584"/>
      <c r="G44" s="584"/>
      <c r="H44" s="584"/>
      <c r="I44" s="584"/>
      <c r="J44" s="584"/>
      <c r="K44" s="584"/>
      <c r="L44" s="585"/>
      <c r="N44" s="70"/>
      <c r="O44" s="70"/>
    </row>
    <row r="45" spans="1:15" ht="60.95" customHeight="1" x14ac:dyDescent="0.25">
      <c r="A45" s="466"/>
      <c r="B45" s="587" t="s">
        <v>512</v>
      </c>
      <c r="C45" s="588"/>
      <c r="D45" s="584"/>
      <c r="E45" s="584"/>
      <c r="F45" s="584"/>
      <c r="G45" s="584"/>
      <c r="H45" s="584"/>
      <c r="I45" s="584"/>
      <c r="J45" s="584"/>
      <c r="K45" s="584"/>
      <c r="L45" s="585"/>
      <c r="N45" s="70"/>
      <c r="O45" s="70"/>
    </row>
    <row r="46" spans="1:15" ht="9" customHeight="1" thickBot="1" x14ac:dyDescent="0.3">
      <c r="A46" s="466"/>
      <c r="B46" s="589"/>
      <c r="C46" s="590"/>
      <c r="D46" s="586"/>
      <c r="E46" s="586"/>
      <c r="F46" s="586"/>
      <c r="G46" s="586"/>
      <c r="H46" s="586"/>
      <c r="I46" s="586"/>
      <c r="J46" s="586"/>
      <c r="K46" s="586"/>
      <c r="L46" s="586"/>
      <c r="N46" s="70"/>
      <c r="O46" s="70"/>
    </row>
    <row r="47" spans="1:15" ht="18" customHeight="1" x14ac:dyDescent="0.25">
      <c r="A47" s="528">
        <f>A40-1</f>
        <v>-3</v>
      </c>
      <c r="B47" s="542" t="s">
        <v>198</v>
      </c>
      <c r="C47" s="508"/>
      <c r="D47" s="504"/>
      <c r="E47" s="505"/>
      <c r="F47" s="505"/>
      <c r="G47" s="506"/>
      <c r="H47" s="505"/>
      <c r="I47" s="505"/>
      <c r="J47" s="505"/>
      <c r="K47" s="505"/>
      <c r="L47" s="507"/>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9"/>
      <c r="B48" s="543" t="s">
        <v>267</v>
      </c>
      <c r="C48" s="513"/>
      <c r="D48" s="510"/>
      <c r="E48" s="511"/>
      <c r="F48" s="511"/>
      <c r="G48" s="509"/>
      <c r="H48" s="511"/>
      <c r="I48" s="512"/>
      <c r="J48" s="512"/>
      <c r="K48" s="512"/>
      <c r="L48" s="475"/>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9"/>
      <c r="B49" s="580" t="s">
        <v>484</v>
      </c>
      <c r="C49" s="581"/>
      <c r="D49" s="582"/>
      <c r="E49" s="582"/>
      <c r="F49" s="582"/>
      <c r="G49" s="582"/>
      <c r="H49" s="582"/>
      <c r="I49" s="582"/>
      <c r="J49" s="582"/>
      <c r="K49" s="582"/>
      <c r="L49" s="583"/>
      <c r="M49" s="335" t="str">
        <f>IF(LEN(TRIM(CLEAN(D49)))=0,"←ERROR! Detailed explanation was not provided.","")</f>
        <v>←ERROR! Detailed explanation was not provided.</v>
      </c>
      <c r="N49" s="70"/>
      <c r="O49" s="70"/>
    </row>
    <row r="50" spans="1:15" ht="120" customHeight="1" x14ac:dyDescent="0.25">
      <c r="A50" s="467"/>
      <c r="B50" s="580" t="s">
        <v>482</v>
      </c>
      <c r="C50" s="581"/>
      <c r="D50" s="582"/>
      <c r="E50" s="582"/>
      <c r="F50" s="582"/>
      <c r="G50" s="582"/>
      <c r="H50" s="582"/>
      <c r="I50" s="582"/>
      <c r="J50" s="582"/>
      <c r="K50" s="582"/>
      <c r="L50" s="583"/>
      <c r="N50" s="70"/>
      <c r="O50" s="70"/>
    </row>
    <row r="51" spans="1:15" ht="45.95" customHeight="1" x14ac:dyDescent="0.25">
      <c r="A51" s="459"/>
      <c r="B51" s="580" t="s">
        <v>483</v>
      </c>
      <c r="C51" s="581"/>
      <c r="D51" s="582"/>
      <c r="E51" s="582"/>
      <c r="F51" s="582"/>
      <c r="G51" s="582"/>
      <c r="H51" s="582"/>
      <c r="I51" s="582"/>
      <c r="J51" s="582"/>
      <c r="K51" s="582"/>
      <c r="L51" s="583"/>
      <c r="N51" s="70"/>
      <c r="O51" s="70"/>
    </row>
    <row r="52" spans="1:15" ht="60.95" customHeight="1" x14ac:dyDescent="0.25">
      <c r="A52" s="459"/>
      <c r="B52" s="580" t="s">
        <v>512</v>
      </c>
      <c r="C52" s="581"/>
      <c r="D52" s="582"/>
      <c r="E52" s="582"/>
      <c r="F52" s="582"/>
      <c r="G52" s="582"/>
      <c r="H52" s="582"/>
      <c r="I52" s="582"/>
      <c r="J52" s="582"/>
      <c r="K52" s="582"/>
      <c r="L52" s="583"/>
      <c r="N52" s="70"/>
      <c r="O52" s="70"/>
    </row>
    <row r="53" spans="1:15" ht="9" customHeight="1" thickBot="1" x14ac:dyDescent="0.3">
      <c r="A53" s="459"/>
      <c r="B53" s="605"/>
      <c r="C53" s="606"/>
      <c r="D53" s="604"/>
      <c r="E53" s="604"/>
      <c r="F53" s="604"/>
      <c r="G53" s="604"/>
      <c r="H53" s="604"/>
      <c r="I53" s="604"/>
      <c r="J53" s="604"/>
      <c r="K53" s="604"/>
      <c r="L53" s="604"/>
      <c r="N53" s="70"/>
      <c r="O53" s="70"/>
    </row>
    <row r="54" spans="1:15" ht="18" customHeight="1" x14ac:dyDescent="0.25">
      <c r="A54" s="537">
        <f>A47-1</f>
        <v>-4</v>
      </c>
      <c r="B54" s="538" t="s">
        <v>198</v>
      </c>
      <c r="C54" s="529"/>
      <c r="D54" s="530"/>
      <c r="E54" s="531"/>
      <c r="F54" s="531"/>
      <c r="G54" s="539"/>
      <c r="H54" s="533"/>
      <c r="I54" s="534"/>
      <c r="J54" s="533"/>
      <c r="K54" s="535"/>
      <c r="L54" s="536"/>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6"/>
      <c r="B55" s="526" t="s">
        <v>267</v>
      </c>
      <c r="C55" s="461"/>
      <c r="D55" s="462"/>
      <c r="E55" s="463"/>
      <c r="F55" s="463"/>
      <c r="G55" s="464"/>
      <c r="H55" s="465"/>
      <c r="I55" s="472"/>
      <c r="J55" s="473"/>
      <c r="K55" s="474"/>
      <c r="L55" s="475"/>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6"/>
      <c r="B56" s="607" t="s">
        <v>484</v>
      </c>
      <c r="C56" s="608"/>
      <c r="D56" s="584"/>
      <c r="E56" s="584"/>
      <c r="F56" s="584"/>
      <c r="G56" s="584"/>
      <c r="H56" s="584"/>
      <c r="I56" s="584"/>
      <c r="J56" s="584"/>
      <c r="K56" s="584"/>
      <c r="L56" s="585"/>
      <c r="M56" s="335" t="str">
        <f>IF(LEN(TRIM(CLEAN(D56)))=0,"←ERROR! Detailed explanation was not provided.","")</f>
        <v>←ERROR! Detailed explanation was not provided.</v>
      </c>
      <c r="N56" s="70"/>
      <c r="O56" s="70"/>
    </row>
    <row r="57" spans="1:15" ht="120" customHeight="1" x14ac:dyDescent="0.25">
      <c r="A57" s="469"/>
      <c r="B57" s="607" t="s">
        <v>482</v>
      </c>
      <c r="C57" s="608"/>
      <c r="D57" s="584"/>
      <c r="E57" s="584"/>
      <c r="F57" s="584"/>
      <c r="G57" s="584"/>
      <c r="H57" s="584"/>
      <c r="I57" s="584"/>
      <c r="J57" s="584"/>
      <c r="K57" s="584"/>
      <c r="L57" s="585"/>
      <c r="N57" s="70"/>
      <c r="O57" s="70"/>
    </row>
    <row r="58" spans="1:15" ht="45.95" customHeight="1" x14ac:dyDescent="0.25">
      <c r="A58" s="466"/>
      <c r="B58" s="607" t="s">
        <v>483</v>
      </c>
      <c r="C58" s="608"/>
      <c r="D58" s="584"/>
      <c r="E58" s="584"/>
      <c r="F58" s="584"/>
      <c r="G58" s="584"/>
      <c r="H58" s="584"/>
      <c r="I58" s="584"/>
      <c r="J58" s="584"/>
      <c r="K58" s="584"/>
      <c r="L58" s="585"/>
      <c r="N58" s="70"/>
      <c r="O58" s="70"/>
    </row>
    <row r="59" spans="1:15" ht="60.95" customHeight="1" x14ac:dyDescent="0.25">
      <c r="A59" s="466"/>
      <c r="B59" s="607" t="s">
        <v>512</v>
      </c>
      <c r="C59" s="608"/>
      <c r="D59" s="584"/>
      <c r="E59" s="584"/>
      <c r="F59" s="584"/>
      <c r="G59" s="584"/>
      <c r="H59" s="584"/>
      <c r="I59" s="584"/>
      <c r="J59" s="584"/>
      <c r="K59" s="584"/>
      <c r="L59" s="585"/>
      <c r="N59" s="70"/>
      <c r="O59" s="70"/>
    </row>
    <row r="60" spans="1:15" ht="9" customHeight="1" thickBot="1" x14ac:dyDescent="0.3">
      <c r="A60" s="540"/>
      <c r="B60" s="610"/>
      <c r="C60" s="611"/>
      <c r="D60" s="609"/>
      <c r="E60" s="609"/>
      <c r="F60" s="609"/>
      <c r="G60" s="609"/>
      <c r="H60" s="609"/>
      <c r="I60" s="609"/>
      <c r="J60" s="609"/>
      <c r="K60" s="609"/>
      <c r="L60" s="609"/>
      <c r="N60" s="70"/>
      <c r="O60" s="70"/>
    </row>
    <row r="61" spans="1:15" ht="3.75" customHeight="1" x14ac:dyDescent="0.25"/>
    <row r="62" spans="1:15" ht="17.25" x14ac:dyDescent="0.25">
      <c r="B62" s="49" t="s">
        <v>480</v>
      </c>
    </row>
    <row r="63" spans="1:15" x14ac:dyDescent="0.25">
      <c r="B63" s="457" t="s">
        <v>481</v>
      </c>
    </row>
    <row r="64" spans="1:15" ht="17.25" customHeight="1" x14ac:dyDescent="0.25">
      <c r="B64" s="49" t="s">
        <v>279</v>
      </c>
    </row>
    <row r="66" spans="2:12" ht="15.75" thickBot="1" x14ac:dyDescent="0.3">
      <c r="B66" s="1" t="s">
        <v>489</v>
      </c>
      <c r="F66" s="149"/>
      <c r="G66"/>
    </row>
    <row r="67" spans="2:12" ht="15" customHeight="1" x14ac:dyDescent="0.25">
      <c r="B67" s="595"/>
      <c r="C67" s="596"/>
      <c r="D67" s="596"/>
      <c r="E67" s="596"/>
      <c r="F67" s="596"/>
      <c r="G67" s="596"/>
      <c r="H67" s="596"/>
      <c r="I67" s="596"/>
      <c r="J67" s="596"/>
      <c r="K67" s="596"/>
      <c r="L67" s="597"/>
    </row>
    <row r="68" spans="2:12" x14ac:dyDescent="0.25">
      <c r="B68" s="598"/>
      <c r="C68" s="599"/>
      <c r="D68" s="599"/>
      <c r="E68" s="599"/>
      <c r="F68" s="599"/>
      <c r="G68" s="599"/>
      <c r="H68" s="599"/>
      <c r="I68" s="599"/>
      <c r="J68" s="599"/>
      <c r="K68" s="599"/>
      <c r="L68" s="600"/>
    </row>
    <row r="69" spans="2:12" x14ac:dyDescent="0.25">
      <c r="B69" s="598"/>
      <c r="C69" s="599"/>
      <c r="D69" s="599"/>
      <c r="E69" s="599"/>
      <c r="F69" s="599"/>
      <c r="G69" s="599"/>
      <c r="H69" s="599"/>
      <c r="I69" s="599"/>
      <c r="J69" s="599"/>
      <c r="K69" s="599"/>
      <c r="L69" s="600"/>
    </row>
    <row r="70" spans="2:12" x14ac:dyDescent="0.25">
      <c r="B70" s="598"/>
      <c r="C70" s="599"/>
      <c r="D70" s="599"/>
      <c r="E70" s="599"/>
      <c r="F70" s="599"/>
      <c r="G70" s="599"/>
      <c r="H70" s="599"/>
      <c r="I70" s="599"/>
      <c r="J70" s="599"/>
      <c r="K70" s="599"/>
      <c r="L70" s="600"/>
    </row>
    <row r="71" spans="2:12" x14ac:dyDescent="0.25">
      <c r="B71" s="598"/>
      <c r="C71" s="599"/>
      <c r="D71" s="599"/>
      <c r="E71" s="599"/>
      <c r="F71" s="599"/>
      <c r="G71" s="599"/>
      <c r="H71" s="599"/>
      <c r="I71" s="599"/>
      <c r="J71" s="599"/>
      <c r="K71" s="599"/>
      <c r="L71" s="600"/>
    </row>
    <row r="72" spans="2:12" x14ac:dyDescent="0.25">
      <c r="B72" s="598"/>
      <c r="C72" s="599"/>
      <c r="D72" s="599"/>
      <c r="E72" s="599"/>
      <c r="F72" s="599"/>
      <c r="G72" s="599"/>
      <c r="H72" s="599"/>
      <c r="I72" s="599"/>
      <c r="J72" s="599"/>
      <c r="K72" s="599"/>
      <c r="L72" s="600"/>
    </row>
    <row r="73" spans="2:12" x14ac:dyDescent="0.25">
      <c r="B73" s="598"/>
      <c r="C73" s="599"/>
      <c r="D73" s="599"/>
      <c r="E73" s="599"/>
      <c r="F73" s="599"/>
      <c r="G73" s="599"/>
      <c r="H73" s="599"/>
      <c r="I73" s="599"/>
      <c r="J73" s="599"/>
      <c r="K73" s="599"/>
      <c r="L73" s="600"/>
    </row>
    <row r="74" spans="2:12" x14ac:dyDescent="0.25">
      <c r="B74" s="598"/>
      <c r="C74" s="599"/>
      <c r="D74" s="599"/>
      <c r="E74" s="599"/>
      <c r="F74" s="599"/>
      <c r="G74" s="599"/>
      <c r="H74" s="599"/>
      <c r="I74" s="599"/>
      <c r="J74" s="599"/>
      <c r="K74" s="599"/>
      <c r="L74" s="600"/>
    </row>
    <row r="75" spans="2:12" ht="15.75" thickBot="1" x14ac:dyDescent="0.3">
      <c r="B75" s="601"/>
      <c r="C75" s="602"/>
      <c r="D75" s="602"/>
      <c r="E75" s="602"/>
      <c r="F75" s="602"/>
      <c r="G75" s="602"/>
      <c r="H75" s="602"/>
      <c r="I75" s="602"/>
      <c r="J75" s="602"/>
      <c r="K75" s="602"/>
      <c r="L75" s="603"/>
    </row>
  </sheetData>
  <sheetProtection algorithmName="SHA-512" hashValue="Vaeu7VggIla7UkkDmLd3g2gCeFsgjSAPafB+kLIZAMMQUXbp1OfNrkUfmcXQJX6Gnl+WExSOmiV3OSAY5KcBdg==" saltValue="j77HhIrJ9cIESF3cEyYdfg=="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7:L75"/>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19:H20 H47:H48 H54:H55 H40:H41 H26:H27 H33:H34" xr:uid="{00000000-0002-0000-0B00-000002000000}">
      <formula1>"1,2,3,4,5,6,7,8,9,10"</formula1>
    </dataValidation>
    <dataValidation type="list" allowBlank="1" showInputMessage="1" showErrorMessage="1" sqref="I19:J19 I26:J26 I54:J54 I40:J40 I47:J47 I33:K33" xr:uid="{00000000-0002-0000-0B00-000003000000}">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&amp;L1/11/2022 Edition
&amp;CPrior Approval Rate Application
Portions of the material contained in this document are protected by copyright owned by the State Farm Mutual Automobile Insurance Company, 2022&amp;RPage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18" zoomScaleNormal="100" zoomScaleSheetLayoutView="100" workbookViewId="0">
      <selection activeCell="C8" sqref="C8"/>
    </sheetView>
  </sheetViews>
  <sheetFormatPr defaultColWidth="9.140625"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General Insurance Company</v>
      </c>
      <c r="H1" s="160"/>
      <c r="I1" s="159"/>
    </row>
    <row r="2" spans="1:14" x14ac:dyDescent="0.25">
      <c r="A2" s="10" t="s">
        <v>69</v>
      </c>
      <c r="B2" s="10"/>
      <c r="C2" s="159" t="s">
        <v>71</v>
      </c>
      <c r="D2" s="160" t="str">
        <f>General_Line</f>
        <v>Homeowners</v>
      </c>
      <c r="H2" s="160"/>
      <c r="I2" s="159"/>
    </row>
    <row r="3" spans="1:14" x14ac:dyDescent="0.25">
      <c r="B3" s="166"/>
    </row>
    <row r="4" spans="1:14" ht="23.25" x14ac:dyDescent="0.25">
      <c r="A4" s="5" t="s">
        <v>416</v>
      </c>
      <c r="B4" s="5"/>
      <c r="C4" s="147"/>
      <c r="D4" s="147"/>
      <c r="F4" s="147"/>
      <c r="G4" s="147"/>
      <c r="H4" s="147"/>
      <c r="I4" s="147"/>
      <c r="J4" s="147"/>
      <c r="K4" s="147"/>
      <c r="L4" s="147"/>
      <c r="M4" s="147"/>
      <c r="N4" s="147"/>
    </row>
    <row r="6" spans="1:14" x14ac:dyDescent="0.25">
      <c r="A6" s="49" t="s">
        <v>253</v>
      </c>
    </row>
    <row r="7" spans="1:14" x14ac:dyDescent="0.25">
      <c r="A7" s="49" t="s">
        <v>316</v>
      </c>
    </row>
    <row r="9" spans="1:14" ht="18" customHeight="1" x14ac:dyDescent="0.25">
      <c r="A9" s="49" t="s">
        <v>202</v>
      </c>
    </row>
    <row r="10" spans="1:14" ht="24.95" customHeight="1" x14ac:dyDescent="0.25">
      <c r="B10" s="49" t="s">
        <v>204</v>
      </c>
    </row>
    <row r="11" spans="1:14" ht="24.95" customHeight="1" x14ac:dyDescent="0.25">
      <c r="B11" s="49" t="s">
        <v>203</v>
      </c>
    </row>
    <row r="12" spans="1:14" ht="24.95" customHeight="1" x14ac:dyDescent="0.25">
      <c r="B12" s="49" t="s">
        <v>274</v>
      </c>
      <c r="E12" s="23" t="b">
        <v>0</v>
      </c>
    </row>
    <row r="13" spans="1:14" ht="24.95" customHeight="1" x14ac:dyDescent="0.25">
      <c r="B13" s="49" t="s">
        <v>207</v>
      </c>
    </row>
    <row r="14" spans="1:14" ht="24.75" customHeight="1" x14ac:dyDescent="0.25">
      <c r="B14" s="49" t="s">
        <v>271</v>
      </c>
    </row>
    <row r="15" spans="1:14" ht="9.75" customHeight="1" x14ac:dyDescent="0.25"/>
    <row r="16" spans="1:14" ht="18" customHeight="1" x14ac:dyDescent="0.25">
      <c r="A16" s="233" t="s">
        <v>268</v>
      </c>
    </row>
    <row r="17" spans="1:6" ht="24.95" customHeight="1" x14ac:dyDescent="0.25">
      <c r="B17" s="49" t="s">
        <v>273</v>
      </c>
    </row>
    <row r="18" spans="1:6" ht="24.95" customHeight="1" x14ac:dyDescent="0.25">
      <c r="B18" s="29" t="s">
        <v>317</v>
      </c>
    </row>
    <row r="19" spans="1:6" ht="24.95" customHeight="1" x14ac:dyDescent="0.25">
      <c r="B19" s="49" t="s">
        <v>269</v>
      </c>
    </row>
    <row r="20" spans="1:6" ht="24.95" customHeight="1" x14ac:dyDescent="0.25">
      <c r="B20" s="49" t="s">
        <v>212</v>
      </c>
    </row>
    <row r="21" spans="1:6" ht="24.95" customHeight="1" x14ac:dyDescent="0.25">
      <c r="B21" s="29" t="s">
        <v>318</v>
      </c>
    </row>
    <row r="22" spans="1:6" ht="24.95" customHeight="1" x14ac:dyDescent="0.25">
      <c r="B22" s="49" t="s">
        <v>275</v>
      </c>
    </row>
    <row r="23" spans="1:6" ht="24.95" customHeight="1" x14ac:dyDescent="0.25">
      <c r="B23" s="29" t="s">
        <v>319</v>
      </c>
    </row>
    <row r="24" spans="1:6" ht="24.95" customHeight="1" x14ac:dyDescent="0.25">
      <c r="B24" s="49" t="s">
        <v>208</v>
      </c>
    </row>
    <row r="25" spans="1:6" ht="18" customHeight="1" x14ac:dyDescent="0.25">
      <c r="B25" s="29" t="s">
        <v>205</v>
      </c>
    </row>
    <row r="26" spans="1:6" ht="18" customHeight="1" x14ac:dyDescent="0.25">
      <c r="B26" s="29" t="s">
        <v>206</v>
      </c>
    </row>
    <row r="27" spans="1:6" ht="9.9499999999999993" customHeight="1" x14ac:dyDescent="0.25"/>
    <row r="28" spans="1:6" ht="18" customHeight="1" x14ac:dyDescent="0.25">
      <c r="A28" s="49" t="s">
        <v>211</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209</v>
      </c>
    </row>
    <row r="31" spans="1:6" ht="24.95" customHeight="1" x14ac:dyDescent="0.25">
      <c r="B31" s="49" t="s">
        <v>320</v>
      </c>
    </row>
    <row r="32" spans="1:6" ht="24.95" customHeight="1" x14ac:dyDescent="0.25">
      <c r="B32" s="49" t="s">
        <v>210</v>
      </c>
    </row>
    <row r="33" spans="1:2" ht="24.95" customHeight="1" x14ac:dyDescent="0.25">
      <c r="B33" s="49" t="s">
        <v>213</v>
      </c>
    </row>
    <row r="34" spans="1:2" ht="24.95" customHeight="1" x14ac:dyDescent="0.25">
      <c r="B34" s="29" t="s">
        <v>319</v>
      </c>
    </row>
    <row r="36" spans="1:2" ht="18" customHeight="1" x14ac:dyDescent="0.25">
      <c r="A36" s="49" t="s">
        <v>277</v>
      </c>
    </row>
    <row r="37" spans="1:2" ht="18" customHeight="1" x14ac:dyDescent="0.25">
      <c r="A37" s="49" t="s">
        <v>321</v>
      </c>
    </row>
    <row r="39" spans="1:2" ht="17.25" x14ac:dyDescent="0.25">
      <c r="A39" s="49" t="s">
        <v>272</v>
      </c>
    </row>
    <row r="40" spans="1:2" x14ac:dyDescent="0.25">
      <c r="A40" s="64" t="s">
        <v>270</v>
      </c>
    </row>
  </sheetData>
  <sheetProtection algorithmName="SHA-512" hashValue="iQGDvvjNRA2p8//JhxHt9e0WjYzvMzAyXX9h2eld8ngZ+YJF4SM3rEjHhVZmZiD/XoN2rxn0BsYvZGMBKNIVdg==" saltValue="FP5+XEP6FoVkZ9wfWw7vNA==" spinCount="100000" sheet="1" objects="1" scenarios="1" formatColumns="0" formatRows="0" sort="0"/>
  <pageMargins left="0.7" right="0.7" top="0.75" bottom="0.75" header="0.3" footer="0.05"/>
  <pageSetup scale="75" orientation="portrait" r:id="rId1"/>
  <headerFooter>
    <oddFooter xml:space="preserve">&amp;L1/11/2022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topLeftCell="A7" zoomScaleNormal="100" zoomScaleSheetLayoutView="100" workbookViewId="0">
      <selection activeCell="C8" sqref="C8"/>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General Insurance Company</v>
      </c>
      <c r="I1" s="50"/>
    </row>
    <row r="2" spans="1:10" x14ac:dyDescent="0.25">
      <c r="A2" s="21" t="s">
        <v>69</v>
      </c>
      <c r="E2" s="37" t="s">
        <v>71</v>
      </c>
      <c r="G2" s="36" t="str">
        <f>General_Line</f>
        <v>Homeowners</v>
      </c>
      <c r="I2" s="50"/>
    </row>
    <row r="3" spans="1:10" x14ac:dyDescent="0.25">
      <c r="B3" s="167"/>
      <c r="I3" s="50"/>
    </row>
    <row r="4" spans="1:10" ht="23.25" x14ac:dyDescent="0.25">
      <c r="A4" s="5" t="s">
        <v>328</v>
      </c>
      <c r="B4" s="3"/>
      <c r="C4" s="3"/>
      <c r="D4" s="3"/>
      <c r="E4" s="3"/>
      <c r="F4" s="3"/>
      <c r="G4" s="3"/>
      <c r="I4" s="234"/>
    </row>
    <row r="5" spans="1:10" x14ac:dyDescent="0.25">
      <c r="I5" s="50"/>
    </row>
    <row r="6" spans="1:10" x14ac:dyDescent="0.25">
      <c r="A6" t="s">
        <v>245</v>
      </c>
      <c r="I6" s="50"/>
    </row>
    <row r="7" spans="1:10" x14ac:dyDescent="0.25">
      <c r="A7" s="2" t="s">
        <v>244</v>
      </c>
      <c r="I7" s="50"/>
    </row>
    <row r="8" spans="1:10" ht="5.0999999999999996" customHeight="1" x14ac:dyDescent="0.25">
      <c r="A8" s="2"/>
      <c r="I8" s="50"/>
    </row>
    <row r="9" spans="1:10" x14ac:dyDescent="0.25">
      <c r="A9" t="s">
        <v>246</v>
      </c>
      <c r="I9" s="50"/>
    </row>
    <row r="10" spans="1:10" x14ac:dyDescent="0.25">
      <c r="A10" s="2" t="s">
        <v>252</v>
      </c>
      <c r="I10" s="50"/>
    </row>
    <row r="11" spans="1:10" ht="15.75" thickBot="1" x14ac:dyDescent="0.3">
      <c r="I11" s="50"/>
    </row>
    <row r="12" spans="1:10" ht="195" x14ac:dyDescent="0.25">
      <c r="A12" s="109"/>
      <c r="B12" s="110"/>
      <c r="C12" s="110"/>
      <c r="D12" s="229" t="s">
        <v>172</v>
      </c>
      <c r="E12" s="229" t="s">
        <v>179</v>
      </c>
      <c r="F12" s="229" t="s">
        <v>173</v>
      </c>
      <c r="G12" s="111" t="s">
        <v>180</v>
      </c>
      <c r="H12" s="107" t="s">
        <v>178</v>
      </c>
      <c r="I12" s="50"/>
    </row>
    <row r="13" spans="1:10" ht="5.0999999999999996" customHeight="1" thickBot="1" x14ac:dyDescent="0.3">
      <c r="A13" s="115"/>
      <c r="B13" s="113"/>
      <c r="C13" s="113"/>
      <c r="D13" s="228"/>
      <c r="E13" s="228"/>
      <c r="F13" s="228"/>
      <c r="G13" s="116"/>
      <c r="H13" s="4"/>
      <c r="I13" s="50"/>
    </row>
    <row r="14" spans="1:10" ht="18" customHeight="1" x14ac:dyDescent="0.25">
      <c r="A14" s="117" t="s">
        <v>339</v>
      </c>
      <c r="B14" s="118"/>
      <c r="C14" s="118"/>
      <c r="D14" s="197">
        <v>-5.759361726665245E-2</v>
      </c>
      <c r="E14" s="119"/>
      <c r="F14" s="197">
        <v>0.22183215060361358</v>
      </c>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181</v>
      </c>
      <c r="B16" s="127" t="s">
        <v>107</v>
      </c>
      <c r="C16" s="127"/>
      <c r="D16" s="197">
        <v>-5.7044535867331013E-2</v>
      </c>
      <c r="E16" s="125">
        <f>IF(ISBLANK(D16),"",D16-D$14)</f>
        <v>5.490813993214369E-4</v>
      </c>
      <c r="F16" s="197">
        <v>0.22254403596356159</v>
      </c>
      <c r="G16" s="126">
        <f>IF(ISBLANK(F16),"",F16-F$14)</f>
        <v>7.1188535994801128E-4</v>
      </c>
      <c r="H16" s="180">
        <v>13</v>
      </c>
      <c r="I16" s="50"/>
    </row>
    <row r="17" spans="1:9" ht="5.0999999999999996" customHeight="1" x14ac:dyDescent="0.25">
      <c r="A17" s="112"/>
      <c r="B17" s="164"/>
      <c r="C17" s="164"/>
      <c r="D17" s="108"/>
      <c r="E17" s="173"/>
      <c r="F17" s="108"/>
      <c r="G17" s="174"/>
      <c r="H17" s="4"/>
      <c r="I17" s="50"/>
    </row>
    <row r="18" spans="1:9" ht="24.95" customHeight="1" x14ac:dyDescent="0.25">
      <c r="A18" s="623" t="str">
        <f>INDEX(List_Variances,$H16,2)</f>
        <v>CCR §2644.27(f)(7)(D): The loss development formula in CCR §2644.6 does not produce an actuarially sound result because there are changes in coverage or other policy terms that significantly affect the data.</v>
      </c>
      <c r="B18" s="624"/>
      <c r="C18" s="624"/>
      <c r="D18" s="624"/>
      <c r="E18" s="624"/>
      <c r="F18" s="624"/>
      <c r="G18" s="625"/>
      <c r="H18" s="4"/>
      <c r="I18" s="50"/>
    </row>
    <row r="19" spans="1:9" ht="24.95" customHeight="1" thickBot="1" x14ac:dyDescent="0.3">
      <c r="A19" s="626"/>
      <c r="B19" s="627"/>
      <c r="C19" s="627"/>
      <c r="D19" s="627"/>
      <c r="E19" s="627"/>
      <c r="F19" s="627"/>
      <c r="G19" s="628"/>
      <c r="H19" s="4"/>
      <c r="I19" s="50"/>
    </row>
    <row r="20" spans="1:9" ht="18" customHeight="1" x14ac:dyDescent="0.25">
      <c r="A20" s="117" t="s">
        <v>174</v>
      </c>
      <c r="B20" s="127" t="s">
        <v>107</v>
      </c>
      <c r="C20" s="118"/>
      <c r="D20" s="197">
        <v>-5.2341081145194229E-2</v>
      </c>
      <c r="E20" s="125">
        <f>IF(ISBLANK(D20),"",D20-D$14)</f>
        <v>5.2525361214582206E-3</v>
      </c>
      <c r="F20" s="197">
        <v>0.22864207636705186</v>
      </c>
      <c r="G20" s="126">
        <f>IF(ISBLANK(F20),"",F20-F$14)</f>
        <v>6.8099257634382793E-3</v>
      </c>
      <c r="H20" s="180">
        <v>21</v>
      </c>
      <c r="I20" s="50"/>
    </row>
    <row r="21" spans="1:9" ht="24.75" customHeight="1" x14ac:dyDescent="0.25">
      <c r="A21" s="623" t="str">
        <f>INDEX(List_Variances,$H20,2)</f>
        <v>CCR §2644.27(f)(8)(F): The trend formula in CCR §2644.7 does not produce the most actuarially sound result because there are changes in coverage or other policy terms that significantly affect the data.</v>
      </c>
      <c r="B21" s="624"/>
      <c r="C21" s="624"/>
      <c r="D21" s="624"/>
      <c r="E21" s="624"/>
      <c r="F21" s="624"/>
      <c r="G21" s="625"/>
      <c r="H21" s="4"/>
      <c r="I21" s="50"/>
    </row>
    <row r="22" spans="1:9" ht="24.75" customHeight="1" thickBot="1" x14ac:dyDescent="0.3">
      <c r="A22" s="626"/>
      <c r="B22" s="627"/>
      <c r="C22" s="627"/>
      <c r="D22" s="627"/>
      <c r="E22" s="627"/>
      <c r="F22" s="627"/>
      <c r="G22" s="628"/>
      <c r="H22" s="4"/>
      <c r="I22" s="50"/>
    </row>
    <row r="23" spans="1:9" ht="18" customHeight="1" x14ac:dyDescent="0.25">
      <c r="A23" s="117" t="s">
        <v>175</v>
      </c>
      <c r="B23" s="127" t="s">
        <v>107</v>
      </c>
      <c r="C23" s="118"/>
      <c r="D23" s="197"/>
      <c r="E23" s="125" t="str">
        <f>IF(ISBLANK(D23),"",D23-D$14)</f>
        <v/>
      </c>
      <c r="F23" s="197"/>
      <c r="G23" s="126" t="str">
        <f>IF(ISBLANK(F23),"",F23-F$14)</f>
        <v/>
      </c>
      <c r="H23" s="180">
        <v>23</v>
      </c>
      <c r="I23" s="50"/>
    </row>
    <row r="24" spans="1:9" ht="24.75" customHeight="1" x14ac:dyDescent="0.25">
      <c r="A24" s="623" t="str">
        <f>INDEX(List_Variances,$H23,2)</f>
        <v/>
      </c>
      <c r="B24" s="624"/>
      <c r="C24" s="624"/>
      <c r="D24" s="624"/>
      <c r="E24" s="624"/>
      <c r="F24" s="624"/>
      <c r="G24" s="625"/>
      <c r="H24" s="4"/>
      <c r="I24" s="50"/>
    </row>
    <row r="25" spans="1:9" ht="24.75" customHeight="1" thickBot="1" x14ac:dyDescent="0.3">
      <c r="A25" s="626"/>
      <c r="B25" s="627"/>
      <c r="C25" s="627"/>
      <c r="D25" s="627"/>
      <c r="E25" s="627"/>
      <c r="F25" s="627"/>
      <c r="G25" s="628"/>
      <c r="H25" s="4"/>
      <c r="I25" s="50"/>
    </row>
    <row r="26" spans="1:9" ht="18" customHeight="1" x14ac:dyDescent="0.25">
      <c r="A26" s="117" t="s">
        <v>176</v>
      </c>
      <c r="B26" s="127" t="s">
        <v>107</v>
      </c>
      <c r="C26" s="118"/>
      <c r="D26" s="197"/>
      <c r="E26" s="125" t="str">
        <f>IF(ISBLANK(D26),"",D26-D$14)</f>
        <v/>
      </c>
      <c r="F26" s="197"/>
      <c r="G26" s="126" t="str">
        <f>IF(ISBLANK(F26),"",F26-F$14)</f>
        <v/>
      </c>
      <c r="H26" s="180">
        <v>23</v>
      </c>
      <c r="I26" s="50"/>
    </row>
    <row r="27" spans="1:9" ht="24.75" customHeight="1" x14ac:dyDescent="0.25">
      <c r="A27" s="623" t="str">
        <f>INDEX(List_Variances,$H26,2)</f>
        <v/>
      </c>
      <c r="B27" s="624"/>
      <c r="C27" s="624"/>
      <c r="D27" s="624"/>
      <c r="E27" s="624"/>
      <c r="F27" s="624"/>
      <c r="G27" s="625"/>
      <c r="H27" s="4"/>
      <c r="I27" s="50"/>
    </row>
    <row r="28" spans="1:9" ht="24.75" customHeight="1" thickBot="1" x14ac:dyDescent="0.3">
      <c r="A28" s="626"/>
      <c r="B28" s="627"/>
      <c r="C28" s="627"/>
      <c r="D28" s="627"/>
      <c r="E28" s="627"/>
      <c r="F28" s="627"/>
      <c r="G28" s="628"/>
      <c r="H28" s="4"/>
      <c r="I28" s="50"/>
    </row>
    <row r="29" spans="1:9" ht="18" customHeight="1" x14ac:dyDescent="0.25">
      <c r="A29" s="117" t="s">
        <v>177</v>
      </c>
      <c r="B29" s="127" t="s">
        <v>107</v>
      </c>
      <c r="C29" s="118"/>
      <c r="D29" s="197"/>
      <c r="E29" s="125" t="str">
        <f>IF(ISBLANK(D29),"",D29-D$14)</f>
        <v/>
      </c>
      <c r="F29" s="197"/>
      <c r="G29" s="126" t="str">
        <f>IF(ISBLANK(F29),"",F29-F$14)</f>
        <v/>
      </c>
      <c r="H29" s="180">
        <v>23</v>
      </c>
      <c r="I29" s="50"/>
    </row>
    <row r="30" spans="1:9" ht="24.75" customHeight="1" x14ac:dyDescent="0.25">
      <c r="A30" s="623" t="str">
        <f>INDEX(List_Variances,$H29,2)</f>
        <v/>
      </c>
      <c r="B30" s="624"/>
      <c r="C30" s="624"/>
      <c r="D30" s="624"/>
      <c r="E30" s="624"/>
      <c r="F30" s="624"/>
      <c r="G30" s="625"/>
      <c r="H30" s="4"/>
      <c r="I30" s="50"/>
    </row>
    <row r="31" spans="1:9" ht="24.75" customHeight="1" thickBot="1" x14ac:dyDescent="0.3">
      <c r="A31" s="626"/>
      <c r="B31" s="627"/>
      <c r="C31" s="627"/>
      <c r="D31" s="627"/>
      <c r="E31" s="627"/>
      <c r="F31" s="627"/>
      <c r="G31" s="628"/>
      <c r="H31" s="4"/>
      <c r="I31" s="50"/>
    </row>
    <row r="32" spans="1:9" ht="18" customHeight="1" x14ac:dyDescent="0.25">
      <c r="A32" s="117" t="s">
        <v>340</v>
      </c>
      <c r="B32" s="127" t="s">
        <v>107</v>
      </c>
      <c r="C32" s="118"/>
      <c r="D32" s="197"/>
      <c r="E32" s="125" t="str">
        <f>IF(ISBLANK(D32),"",D32-D$14)</f>
        <v/>
      </c>
      <c r="F32" s="197"/>
      <c r="G32" s="126" t="str">
        <f>IF(ISBLANK(F32),"",F32-F$14)</f>
        <v/>
      </c>
      <c r="H32" s="180">
        <v>23</v>
      </c>
      <c r="I32" s="50"/>
    </row>
    <row r="33" spans="1:9" ht="24.75" customHeight="1" x14ac:dyDescent="0.25">
      <c r="A33" s="623" t="str">
        <f>INDEX(List_Variances,$H32,2)</f>
        <v/>
      </c>
      <c r="B33" s="624"/>
      <c r="C33" s="624"/>
      <c r="D33" s="624"/>
      <c r="E33" s="624"/>
      <c r="F33" s="624"/>
      <c r="G33" s="625"/>
      <c r="I33" s="50"/>
    </row>
    <row r="34" spans="1:9" ht="15.75" thickBot="1" x14ac:dyDescent="0.3">
      <c r="A34" s="626"/>
      <c r="B34" s="627"/>
      <c r="C34" s="627"/>
      <c r="D34" s="627"/>
      <c r="E34" s="627"/>
      <c r="F34" s="627"/>
      <c r="G34" s="628"/>
      <c r="I34" s="50"/>
    </row>
    <row r="35" spans="1:9" ht="18" customHeight="1" x14ac:dyDescent="0.25">
      <c r="A35" s="117" t="s">
        <v>341</v>
      </c>
      <c r="B35" s="127" t="s">
        <v>107</v>
      </c>
      <c r="C35" s="118"/>
      <c r="D35" s="197"/>
      <c r="E35" s="125" t="str">
        <f>IF(ISBLANK(D35),"",D35-D$14)</f>
        <v/>
      </c>
      <c r="F35" s="197"/>
      <c r="G35" s="126" t="str">
        <f>IF(ISBLANK(F35),"",F35-F$14)</f>
        <v/>
      </c>
      <c r="H35" s="180">
        <v>23</v>
      </c>
      <c r="I35" s="50"/>
    </row>
    <row r="36" spans="1:9" ht="24.75" customHeight="1" x14ac:dyDescent="0.25">
      <c r="A36" s="623" t="str">
        <f>INDEX(List_Variances,$H35,2)</f>
        <v/>
      </c>
      <c r="B36" s="624"/>
      <c r="C36" s="624"/>
      <c r="D36" s="624"/>
      <c r="E36" s="624"/>
      <c r="F36" s="624"/>
      <c r="G36" s="625"/>
      <c r="I36" s="50"/>
    </row>
    <row r="37" spans="1:9" ht="15.75" thickBot="1" x14ac:dyDescent="0.3">
      <c r="A37" s="626"/>
      <c r="B37" s="627"/>
      <c r="C37" s="627"/>
      <c r="D37" s="627"/>
      <c r="E37" s="627"/>
      <c r="F37" s="627"/>
      <c r="G37" s="628"/>
      <c r="I37" s="50"/>
    </row>
    <row r="38" spans="1:9" ht="18" customHeight="1" x14ac:dyDescent="0.25">
      <c r="A38" s="117" t="s">
        <v>342</v>
      </c>
      <c r="B38" s="127" t="s">
        <v>107</v>
      </c>
      <c r="C38" s="118"/>
      <c r="D38" s="197"/>
      <c r="E38" s="125" t="str">
        <f>IF(ISBLANK(D38),"",D38-D$14)</f>
        <v/>
      </c>
      <c r="F38" s="197"/>
      <c r="G38" s="126" t="str">
        <f>IF(ISBLANK(F38),"",F38-F$14)</f>
        <v/>
      </c>
      <c r="H38" s="180">
        <v>23</v>
      </c>
      <c r="I38" s="50"/>
    </row>
    <row r="39" spans="1:9" ht="24.75" customHeight="1" x14ac:dyDescent="0.25">
      <c r="A39" s="623" t="str">
        <f>INDEX(List_Variances,$H38,2)</f>
        <v/>
      </c>
      <c r="B39" s="624"/>
      <c r="C39" s="624"/>
      <c r="D39" s="624"/>
      <c r="E39" s="624"/>
      <c r="F39" s="624"/>
      <c r="G39" s="625"/>
      <c r="I39" s="50"/>
    </row>
    <row r="40" spans="1:9" ht="15.75" thickBot="1" x14ac:dyDescent="0.3">
      <c r="A40" s="626"/>
      <c r="B40" s="627"/>
      <c r="C40" s="627"/>
      <c r="D40" s="627"/>
      <c r="E40" s="627"/>
      <c r="F40" s="627"/>
      <c r="G40" s="628"/>
      <c r="I40" s="50"/>
    </row>
    <row r="41" spans="1:9" ht="18" customHeight="1" x14ac:dyDescent="0.25">
      <c r="A41" s="117" t="s">
        <v>343</v>
      </c>
      <c r="B41" s="127" t="s">
        <v>107</v>
      </c>
      <c r="C41" s="118"/>
      <c r="D41" s="197"/>
      <c r="E41" s="125" t="str">
        <f>IF(ISBLANK(D41),"",D41-D$14)</f>
        <v/>
      </c>
      <c r="F41" s="197"/>
      <c r="G41" s="126" t="str">
        <f>IF(ISBLANK(F41),"",F41-F$14)</f>
        <v/>
      </c>
      <c r="H41" s="180">
        <v>23</v>
      </c>
      <c r="I41" s="50"/>
    </row>
    <row r="42" spans="1:9" ht="24.75" customHeight="1" x14ac:dyDescent="0.25">
      <c r="A42" s="623" t="str">
        <f>INDEX(List_Variances,$H41,2)</f>
        <v/>
      </c>
      <c r="B42" s="624"/>
      <c r="C42" s="624"/>
      <c r="D42" s="624"/>
      <c r="E42" s="624"/>
      <c r="F42" s="624"/>
      <c r="G42" s="625"/>
      <c r="I42" s="50"/>
    </row>
    <row r="43" spans="1:9" ht="15.75" thickBot="1" x14ac:dyDescent="0.3">
      <c r="A43" s="626"/>
      <c r="B43" s="627"/>
      <c r="C43" s="627"/>
      <c r="D43" s="627"/>
      <c r="E43" s="627"/>
      <c r="F43" s="627"/>
      <c r="G43" s="628"/>
      <c r="I43" s="50"/>
    </row>
    <row r="44" spans="1:9" ht="18" customHeight="1" x14ac:dyDescent="0.25">
      <c r="A44" s="117" t="s">
        <v>344</v>
      </c>
      <c r="B44" s="127" t="s">
        <v>107</v>
      </c>
      <c r="C44" s="118"/>
      <c r="D44" s="197"/>
      <c r="E44" s="125" t="str">
        <f>IF(ISBLANK(D44),"",D44-D$14)</f>
        <v/>
      </c>
      <c r="F44" s="197"/>
      <c r="G44" s="126" t="str">
        <f>IF(ISBLANK(F44),"",F44-F$14)</f>
        <v/>
      </c>
      <c r="H44" s="180">
        <v>23</v>
      </c>
      <c r="I44" s="50"/>
    </row>
    <row r="45" spans="1:9" ht="24.75" customHeight="1" x14ac:dyDescent="0.25">
      <c r="A45" s="623" t="str">
        <f>INDEX(List_Variances,$H44,2)</f>
        <v/>
      </c>
      <c r="B45" s="624"/>
      <c r="C45" s="624"/>
      <c r="D45" s="624"/>
      <c r="E45" s="624"/>
      <c r="F45" s="624"/>
      <c r="G45" s="625"/>
      <c r="I45" s="50"/>
    </row>
    <row r="46" spans="1:9" ht="15.75" thickBot="1" x14ac:dyDescent="0.3">
      <c r="A46" s="626"/>
      <c r="B46" s="627"/>
      <c r="C46" s="627"/>
      <c r="D46" s="627"/>
      <c r="E46" s="627"/>
      <c r="F46" s="627"/>
      <c r="G46" s="628"/>
      <c r="I46" s="50"/>
    </row>
    <row r="47" spans="1:9" x14ac:dyDescent="0.25">
      <c r="A47" s="117" t="s">
        <v>251</v>
      </c>
      <c r="B47" s="127"/>
      <c r="C47" s="110"/>
      <c r="D47" s="197">
        <v>-5.1999999999999998E-2</v>
      </c>
      <c r="E47" s="125">
        <f>IF(ISBLANK(D47),"",D47-D$14)</f>
        <v>5.5936172666524522E-3</v>
      </c>
      <c r="F47" s="197">
        <v>0.22900000000000001</v>
      </c>
      <c r="G47" s="126">
        <f>IF(ISBLANK(F47),"",F47-F$14)</f>
        <v>7.1678493963864276E-3</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IQAyMJCGWDmdc4zAy9y1QnR0TeG+Y0rIpGvmO6hgdVaDodH8eEW3sRq8vry0gJbq9fFOWYREdLSD7A8CnikChA==" saltValue="kdXRGbK5KmQgoWNFc7xDbA=="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05"/>
  <pageSetup scale="69" orientation="portrait" r:id="rId1"/>
  <headerFooter>
    <oddFooter xml:space="preserve">&amp;L1/11/2022 Edition
&amp;CPrior Approval Rate Application
Portions of the material contained in this document are protected by copyright owned by the State Farm Mutual Automobile Insurance Company, 2022&amp;RPage 11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555</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0</v>
      </c>
      <c r="C12" t="s">
        <v>466</v>
      </c>
      <c r="G12" s="70" t="b">
        <v>0</v>
      </c>
      <c r="H12" t="s">
        <v>465</v>
      </c>
    </row>
    <row r="13" spans="1:17" x14ac:dyDescent="0.25">
      <c r="B13" s="70" t="b">
        <v>1</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488</v>
      </c>
    </row>
    <row r="17" spans="1:16" x14ac:dyDescent="0.25">
      <c r="B17" s="70" t="b">
        <v>0</v>
      </c>
      <c r="C17" t="s">
        <v>463</v>
      </c>
      <c r="G17" s="70" t="b">
        <v>1</v>
      </c>
      <c r="H17" t="s">
        <v>456</v>
      </c>
      <c r="L17" s="70" t="b">
        <v>0</v>
      </c>
      <c r="M17" t="s">
        <v>462</v>
      </c>
    </row>
    <row r="18" spans="1:16" x14ac:dyDescent="0.25">
      <c r="B18" s="70" t="b">
        <v>0</v>
      </c>
      <c r="C18" t="s">
        <v>472</v>
      </c>
      <c r="D18" s="555"/>
      <c r="E18" s="557"/>
      <c r="G18" s="70"/>
      <c r="L18" s="70"/>
      <c r="N18" s="476"/>
      <c r="O18" s="476"/>
    </row>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1</v>
      </c>
      <c r="H34" s="629" t="s">
        <v>445</v>
      </c>
      <c r="I34" s="629"/>
      <c r="J34" s="629"/>
      <c r="L34" s="70" t="b">
        <v>0</v>
      </c>
      <c r="M34" s="50" t="s">
        <v>444</v>
      </c>
      <c r="N34" s="50"/>
      <c r="O34" s="50"/>
      <c r="P34" s="50"/>
    </row>
    <row r="35" spans="1:16" x14ac:dyDescent="0.25">
      <c r="B35" s="70" t="b">
        <v>0</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545</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tNK6YStHoWgz1IMjSUMSVhRGbs8/EyZniJSApttYvCSZCZ4LBfqXckbYTlcAPK6+pZC73IejHr81OOckDFzSdA==" saltValue="lhzQrJ0mVuTdxfczqHeUOw==" spinCount="100000" sheet="1" objects="1" scenarios="1" formatColumns="0" formatRows="0" sort="0"/>
  <mergeCells count="11">
    <mergeCell ref="I31:K31"/>
    <mergeCell ref="M30:P30"/>
    <mergeCell ref="E6:J6"/>
    <mergeCell ref="I13:K13"/>
    <mergeCell ref="N25:O25"/>
    <mergeCell ref="D18:E18"/>
    <mergeCell ref="C35:E35"/>
    <mergeCell ref="M36:N36"/>
    <mergeCell ref="M37:N37"/>
    <mergeCell ref="M40:O40"/>
    <mergeCell ref="H34:J34"/>
  </mergeCells>
  <conditionalFormatting sqref="M40:O40">
    <cfRule type="expression" dxfId="12"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556</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0</v>
      </c>
      <c r="C12" t="s">
        <v>466</v>
      </c>
      <c r="G12" s="70" t="b">
        <v>0</v>
      </c>
      <c r="H12" t="s">
        <v>465</v>
      </c>
    </row>
    <row r="13" spans="1:17" x14ac:dyDescent="0.25">
      <c r="B13" s="70" t="b">
        <v>1</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463</v>
      </c>
    </row>
    <row r="17" spans="1:16" x14ac:dyDescent="0.25">
      <c r="B17" s="70" t="b">
        <v>1</v>
      </c>
      <c r="C17" t="s">
        <v>456</v>
      </c>
      <c r="G17" s="70" t="b">
        <v>0</v>
      </c>
      <c r="H17" t="s">
        <v>462</v>
      </c>
      <c r="L17" s="70" t="b">
        <v>0</v>
      </c>
      <c r="M17" t="s">
        <v>472</v>
      </c>
      <c r="N17" s="555"/>
      <c r="O17" s="557"/>
    </row>
    <row r="18" spans="1:16" x14ac:dyDescent="0.25">
      <c r="B18" s="70" t="b">
        <v>0</v>
      </c>
      <c r="C18" t="s">
        <v>472</v>
      </c>
      <c r="D18" s="555"/>
      <c r="E18" s="557"/>
      <c r="G18" s="70"/>
      <c r="L18" s="70"/>
      <c r="N18" s="476"/>
      <c r="O18" s="476"/>
    </row>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1</v>
      </c>
      <c r="H34" s="629" t="s">
        <v>445</v>
      </c>
      <c r="I34" s="629"/>
      <c r="J34" s="629"/>
      <c r="L34" s="70" t="b">
        <v>0</v>
      </c>
      <c r="M34" s="50" t="s">
        <v>444</v>
      </c>
      <c r="N34" s="50"/>
      <c r="O34" s="50"/>
      <c r="P34" s="50"/>
    </row>
    <row r="35" spans="1:16" x14ac:dyDescent="0.25">
      <c r="B35" s="70" t="b">
        <v>0</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547</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d3buGv0OO7D9YBzwa7ceUIKk/djibZXpzVrjnNl3lOXTTdmOxWw0fwOs3C9BTx5MVDRljZkVSA4e0zPmg7Y32w==" saltValue="DI0F1Vez1L5rYjli6lLrfg=="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11"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557</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0</v>
      </c>
      <c r="C12" t="s">
        <v>466</v>
      </c>
      <c r="G12" s="70" t="b">
        <v>0</v>
      </c>
      <c r="H12" t="s">
        <v>465</v>
      </c>
    </row>
    <row r="13" spans="1:17" x14ac:dyDescent="0.25">
      <c r="B13" s="70" t="b">
        <v>1</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463</v>
      </c>
    </row>
    <row r="17" spans="1:16" x14ac:dyDescent="0.25">
      <c r="B17" s="70" t="b">
        <v>1</v>
      </c>
      <c r="C17" t="s">
        <v>456</v>
      </c>
      <c r="G17" s="70" t="b">
        <v>0</v>
      </c>
      <c r="H17" t="s">
        <v>462</v>
      </c>
      <c r="L17" s="70" t="b">
        <v>0</v>
      </c>
      <c r="M17" t="s">
        <v>472</v>
      </c>
      <c r="N17" s="555"/>
      <c r="O17" s="557"/>
    </row>
    <row r="18" spans="1:16" x14ac:dyDescent="0.25">
      <c r="B18" s="70" t="b">
        <v>0</v>
      </c>
      <c r="C18" t="s">
        <v>472</v>
      </c>
      <c r="D18" s="555"/>
      <c r="E18" s="557"/>
      <c r="G18" s="70"/>
      <c r="L18" s="70"/>
      <c r="N18" s="476"/>
      <c r="O18" s="476"/>
    </row>
    <row r="20" spans="1:16" hidden="1" x14ac:dyDescent="0.25">
      <c r="A20" s="1" t="s">
        <v>461</v>
      </c>
    </row>
    <row r="21" spans="1:16" hidden="1" x14ac:dyDescent="0.25">
      <c r="B21" s="70" t="b">
        <v>0</v>
      </c>
      <c r="C21" t="s">
        <v>40</v>
      </c>
      <c r="G21" s="70" t="b">
        <v>1</v>
      </c>
      <c r="H21" t="s">
        <v>459</v>
      </c>
    </row>
    <row r="22" spans="1:16" hidden="1"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1</v>
      </c>
      <c r="C34" t="s">
        <v>446</v>
      </c>
      <c r="G34" s="70" t="b">
        <v>0</v>
      </c>
      <c r="H34" s="629" t="s">
        <v>445</v>
      </c>
      <c r="I34" s="629"/>
      <c r="J34" s="629"/>
      <c r="L34" s="70" t="b">
        <v>0</v>
      </c>
      <c r="M34" s="50" t="s">
        <v>444</v>
      </c>
      <c r="N34" s="50"/>
      <c r="O34" s="50"/>
      <c r="P34" s="50"/>
    </row>
    <row r="35" spans="1:16" x14ac:dyDescent="0.25">
      <c r="B35" s="70" t="b">
        <v>0</v>
      </c>
      <c r="C35" s="629" t="s">
        <v>487</v>
      </c>
      <c r="D35" s="629"/>
      <c r="E35" s="629"/>
      <c r="G35" s="70" t="b">
        <v>0</v>
      </c>
      <c r="L35" s="70"/>
      <c r="M35" s="50"/>
      <c r="N35" s="50"/>
      <c r="O35" s="50"/>
      <c r="P35" s="50"/>
    </row>
    <row r="36" spans="1:16" x14ac:dyDescent="0.25">
      <c r="I36" s="51"/>
      <c r="K36" s="449" t="s">
        <v>443</v>
      </c>
      <c r="L36" s="51"/>
      <c r="M36" s="555"/>
      <c r="N36" s="557"/>
    </row>
    <row r="37" spans="1:16" x14ac:dyDescent="0.25">
      <c r="I37" s="51"/>
      <c r="K37" s="449" t="s">
        <v>442</v>
      </c>
      <c r="L37" s="51"/>
      <c r="M37" s="555"/>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560</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El+GsKFP5D8mvv8LEG1iuSIEFFsqsmX1ubthh4yrW1dpcNlhotRCfPHJXQc4+iO9SF3pf5hR1oZMoG1BOnWD0w==" saltValue="Psl9trC6BemAuAaqNT5WM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10"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0000FF"/>
  </sheetPr>
  <dimension ref="A1:Q44"/>
  <sheetViews>
    <sheetView showGridLines="0" view="pageBreakPreview" topLeftCell="A2"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548</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0</v>
      </c>
      <c r="C12" t="s">
        <v>466</v>
      </c>
      <c r="G12" s="70" t="b">
        <v>1</v>
      </c>
      <c r="H12" t="s">
        <v>465</v>
      </c>
    </row>
    <row r="13" spans="1:17" x14ac:dyDescent="0.25">
      <c r="B13" s="70" t="b">
        <v>0</v>
      </c>
      <c r="C13" t="s">
        <v>464</v>
      </c>
      <c r="G13" s="70" t="b">
        <v>0</v>
      </c>
      <c r="H13" t="s">
        <v>472</v>
      </c>
      <c r="I13" s="555"/>
      <c r="J13" s="556"/>
      <c r="K13" s="557"/>
    </row>
    <row r="14" spans="1:17" x14ac:dyDescent="0.25">
      <c r="I14" s="51"/>
      <c r="J14" s="51"/>
      <c r="K14" s="51"/>
    </row>
    <row r="15" spans="1:17" hidden="1" x14ac:dyDescent="0.25">
      <c r="A15" s="1" t="s">
        <v>461</v>
      </c>
    </row>
    <row r="16" spans="1:17" hidden="1" x14ac:dyDescent="0.25">
      <c r="B16" s="70" t="b">
        <v>0</v>
      </c>
      <c r="C16" t="s">
        <v>44</v>
      </c>
      <c r="G16" s="70" t="b">
        <v>0</v>
      </c>
      <c r="H16" t="s">
        <v>40</v>
      </c>
      <c r="L16" s="70" t="b">
        <v>0</v>
      </c>
      <c r="M16" t="s">
        <v>463</v>
      </c>
    </row>
    <row r="17" spans="1:16" hidden="1" x14ac:dyDescent="0.25">
      <c r="B17" s="70" t="b">
        <v>0</v>
      </c>
      <c r="C17" t="s">
        <v>456</v>
      </c>
      <c r="G17" s="70" t="b">
        <v>0</v>
      </c>
      <c r="H17" t="s">
        <v>462</v>
      </c>
      <c r="L17" s="70" t="b">
        <v>0</v>
      </c>
      <c r="M17" t="s">
        <v>472</v>
      </c>
      <c r="N17" s="555"/>
      <c r="O17" s="557"/>
    </row>
    <row r="18" spans="1:16" hidden="1" x14ac:dyDescent="0.25">
      <c r="B18" s="70" t="b">
        <v>0</v>
      </c>
      <c r="C18" t="s">
        <v>472</v>
      </c>
      <c r="D18" s="555"/>
      <c r="E18" s="557"/>
      <c r="G18" s="70"/>
      <c r="L18" s="70"/>
      <c r="N18" s="476"/>
      <c r="O18" s="476"/>
    </row>
    <row r="19" spans="1:16" hidden="1" x14ac:dyDescent="0.25"/>
    <row r="20" spans="1:16" x14ac:dyDescent="0.25">
      <c r="A20" s="1" t="s">
        <v>461</v>
      </c>
    </row>
    <row r="21" spans="1:16" x14ac:dyDescent="0.25">
      <c r="B21" s="70" t="b">
        <v>0</v>
      </c>
      <c r="C21" t="s">
        <v>40</v>
      </c>
      <c r="G21" s="70" t="b">
        <v>1</v>
      </c>
      <c r="H21" t="s">
        <v>459</v>
      </c>
    </row>
    <row r="22" spans="1:16"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0</v>
      </c>
      <c r="H34" s="629" t="s">
        <v>445</v>
      </c>
      <c r="I34" s="629"/>
      <c r="J34" s="629"/>
      <c r="L34" s="70" t="b">
        <v>1</v>
      </c>
      <c r="M34" s="50" t="s">
        <v>444</v>
      </c>
      <c r="N34" s="50"/>
      <c r="O34" s="50"/>
      <c r="P34" s="50"/>
    </row>
    <row r="35" spans="1:16" x14ac:dyDescent="0.25">
      <c r="B35" s="70" t="b">
        <v>0</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549</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hT/srV4E1i1bdMG200RqpBI3cV/wQgXfIezej09+AZs7s2MMTqLn9b4CZRTR1tDCQ5UgcVj/BcwTb15uGeSZWg==" saltValue="bQpl/3oKOiXXqKPJZbnli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9"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0000FF"/>
  </sheetPr>
  <dimension ref="A1:Q44"/>
  <sheetViews>
    <sheetView showGridLines="0" view="pageBreakPreview"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555</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0</v>
      </c>
      <c r="C12" t="s">
        <v>466</v>
      </c>
      <c r="G12" s="70" t="b">
        <v>1</v>
      </c>
      <c r="H12" t="s">
        <v>465</v>
      </c>
    </row>
    <row r="13" spans="1:17" x14ac:dyDescent="0.25">
      <c r="B13" s="70" t="b">
        <v>0</v>
      </c>
      <c r="C13" t="s">
        <v>464</v>
      </c>
      <c r="G13" s="70" t="b">
        <v>0</v>
      </c>
      <c r="H13" t="s">
        <v>472</v>
      </c>
      <c r="I13" s="555"/>
      <c r="J13" s="556"/>
      <c r="K13" s="557"/>
    </row>
    <row r="14" spans="1:17" x14ac:dyDescent="0.25">
      <c r="I14" s="51"/>
      <c r="J14" s="51"/>
      <c r="K14" s="51"/>
    </row>
    <row r="15" spans="1:17" hidden="1" x14ac:dyDescent="0.25">
      <c r="A15" s="1" t="s">
        <v>461</v>
      </c>
    </row>
    <row r="16" spans="1:17" hidden="1" x14ac:dyDescent="0.25">
      <c r="B16" s="70" t="b">
        <v>0</v>
      </c>
      <c r="C16" t="s">
        <v>44</v>
      </c>
      <c r="G16" s="70" t="b">
        <v>0</v>
      </c>
      <c r="H16" t="s">
        <v>40</v>
      </c>
      <c r="L16" s="70" t="b">
        <v>0</v>
      </c>
      <c r="M16" t="s">
        <v>463</v>
      </c>
    </row>
    <row r="17" spans="1:16" hidden="1" x14ac:dyDescent="0.25">
      <c r="B17" s="70" t="b">
        <v>0</v>
      </c>
      <c r="C17" t="s">
        <v>456</v>
      </c>
      <c r="G17" s="70" t="b">
        <v>0</v>
      </c>
      <c r="H17" t="s">
        <v>462</v>
      </c>
      <c r="L17" s="70" t="b">
        <v>0</v>
      </c>
      <c r="M17" t="s">
        <v>472</v>
      </c>
      <c r="N17" s="555"/>
      <c r="O17" s="557"/>
    </row>
    <row r="18" spans="1:16" hidden="1" x14ac:dyDescent="0.25">
      <c r="B18" s="70" t="b">
        <v>0</v>
      </c>
      <c r="C18" t="s">
        <v>472</v>
      </c>
      <c r="D18" s="555"/>
      <c r="E18" s="557"/>
      <c r="G18" s="70"/>
      <c r="L18" s="70"/>
      <c r="N18" s="476"/>
      <c r="O18" s="476"/>
    </row>
    <row r="19" spans="1:16" hidden="1" x14ac:dyDescent="0.25"/>
    <row r="20" spans="1:16" x14ac:dyDescent="0.25">
      <c r="A20" s="1" t="s">
        <v>461</v>
      </c>
    </row>
    <row r="21" spans="1:16" x14ac:dyDescent="0.25">
      <c r="B21" s="70" t="b">
        <v>0</v>
      </c>
      <c r="C21" t="s">
        <v>40</v>
      </c>
      <c r="G21" s="70" t="b">
        <v>1</v>
      </c>
      <c r="H21" t="s">
        <v>459</v>
      </c>
    </row>
    <row r="22" spans="1:16"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1</v>
      </c>
      <c r="H34" s="629" t="s">
        <v>445</v>
      </c>
      <c r="I34" s="629"/>
      <c r="J34" s="629"/>
      <c r="L34" s="70" t="b">
        <v>1</v>
      </c>
      <c r="M34" s="50" t="s">
        <v>444</v>
      </c>
      <c r="N34" s="50"/>
      <c r="O34" s="50"/>
      <c r="P34" s="50"/>
    </row>
    <row r="35" spans="1:16" x14ac:dyDescent="0.25">
      <c r="B35" s="70" t="b">
        <v>0</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545</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u8xt47ozrcmb+alGZDVG/bSRvRdCBC441k1xQA3CKsmk+rsyp8jqiEJSJJZmvwH2fucqUxW78uEBCXwMHGYkUg==" saltValue="TEpxQCCosc9PdFCkHTej+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8"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0000FF"/>
  </sheetPr>
  <dimension ref="A1:Q44"/>
  <sheetViews>
    <sheetView showGridLines="0" view="pageBreakPreview"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558</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0</v>
      </c>
      <c r="C12" t="s">
        <v>466</v>
      </c>
      <c r="G12" s="70" t="b">
        <v>1</v>
      </c>
      <c r="H12" t="s">
        <v>465</v>
      </c>
    </row>
    <row r="13" spans="1:17" x14ac:dyDescent="0.25">
      <c r="B13" s="70" t="b">
        <v>0</v>
      </c>
      <c r="C13" t="s">
        <v>464</v>
      </c>
      <c r="G13" s="70" t="b">
        <v>0</v>
      </c>
      <c r="H13" t="s">
        <v>472</v>
      </c>
      <c r="I13" s="555"/>
      <c r="J13" s="556"/>
      <c r="K13" s="557"/>
    </row>
    <row r="14" spans="1:17" x14ac:dyDescent="0.25">
      <c r="I14" s="51"/>
      <c r="J14" s="51"/>
      <c r="K14" s="51"/>
    </row>
    <row r="15" spans="1:17" hidden="1" x14ac:dyDescent="0.25">
      <c r="A15" s="1" t="s">
        <v>461</v>
      </c>
    </row>
    <row r="16" spans="1:17" hidden="1" x14ac:dyDescent="0.25">
      <c r="B16" s="70" t="b">
        <v>0</v>
      </c>
      <c r="C16" t="s">
        <v>44</v>
      </c>
      <c r="G16" s="70" t="b">
        <v>0</v>
      </c>
      <c r="H16" t="s">
        <v>40</v>
      </c>
      <c r="L16" s="70" t="b">
        <v>0</v>
      </c>
      <c r="M16" t="s">
        <v>463</v>
      </c>
    </row>
    <row r="17" spans="1:16" hidden="1" x14ac:dyDescent="0.25">
      <c r="B17" s="70" t="b">
        <v>0</v>
      </c>
      <c r="C17" t="s">
        <v>456</v>
      </c>
      <c r="G17" s="70" t="b">
        <v>0</v>
      </c>
      <c r="H17" t="s">
        <v>462</v>
      </c>
      <c r="L17" s="70" t="b">
        <v>0</v>
      </c>
      <c r="M17" t="s">
        <v>472</v>
      </c>
      <c r="N17" s="555"/>
      <c r="O17" s="557"/>
    </row>
    <row r="18" spans="1:16" hidden="1" x14ac:dyDescent="0.25">
      <c r="B18" s="70" t="b">
        <v>1</v>
      </c>
      <c r="C18" t="s">
        <v>472</v>
      </c>
      <c r="D18" s="555" t="s">
        <v>551</v>
      </c>
      <c r="E18" s="557"/>
      <c r="G18" s="70"/>
      <c r="L18" s="70"/>
      <c r="N18" s="476"/>
      <c r="O18" s="476"/>
    </row>
    <row r="19" spans="1:16" hidden="1" x14ac:dyDescent="0.25"/>
    <row r="20" spans="1:16" x14ac:dyDescent="0.25">
      <c r="A20" s="1" t="s">
        <v>461</v>
      </c>
    </row>
    <row r="21" spans="1:16" x14ac:dyDescent="0.25">
      <c r="B21" s="70" t="b">
        <v>0</v>
      </c>
      <c r="C21" t="s">
        <v>40</v>
      </c>
      <c r="G21" s="70" t="b">
        <v>1</v>
      </c>
      <c r="H21" t="s">
        <v>459</v>
      </c>
    </row>
    <row r="22" spans="1:16"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1</v>
      </c>
      <c r="H34" s="629" t="s">
        <v>445</v>
      </c>
      <c r="I34" s="629"/>
      <c r="J34" s="629"/>
      <c r="L34" s="70" t="b">
        <v>1</v>
      </c>
      <c r="M34" s="50" t="s">
        <v>444</v>
      </c>
      <c r="N34" s="50"/>
      <c r="O34" s="50"/>
      <c r="P34" s="50"/>
    </row>
    <row r="35" spans="1:16" x14ac:dyDescent="0.25">
      <c r="B35" s="70" t="b">
        <v>0</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547</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kYxXQrwIePz+CG2NKWpg1MJBw+ZbetEOeOg55Mf7p7wpXBjPNlIRpQU6joHKNUVWFbw5TPrQzm0Fg/AfkpmU0A==" saltValue="R23LDeiXdf9At/f0c/H9R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7"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550</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1</v>
      </c>
      <c r="C12" t="s">
        <v>466</v>
      </c>
      <c r="G12" s="70" t="b">
        <v>0</v>
      </c>
      <c r="H12" t="s">
        <v>465</v>
      </c>
    </row>
    <row r="13" spans="1:17" x14ac:dyDescent="0.25">
      <c r="B13" s="70" t="b">
        <v>1</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463</v>
      </c>
    </row>
    <row r="17" spans="1:16" x14ac:dyDescent="0.25">
      <c r="B17" s="70" t="b">
        <v>0</v>
      </c>
      <c r="C17" t="s">
        <v>456</v>
      </c>
      <c r="G17" s="70" t="b">
        <v>0</v>
      </c>
      <c r="H17" t="s">
        <v>462</v>
      </c>
      <c r="L17" s="70" t="b">
        <v>0</v>
      </c>
      <c r="M17" t="s">
        <v>472</v>
      </c>
      <c r="N17" s="555"/>
      <c r="O17" s="557"/>
    </row>
    <row r="18" spans="1:16" x14ac:dyDescent="0.25">
      <c r="B18" s="70" t="b">
        <v>1</v>
      </c>
      <c r="C18" t="s">
        <v>472</v>
      </c>
      <c r="D18" s="555" t="s">
        <v>459</v>
      </c>
      <c r="E18" s="557"/>
      <c r="G18" s="70"/>
      <c r="L18" s="70"/>
      <c r="N18" s="476"/>
      <c r="O18" s="476"/>
    </row>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0</v>
      </c>
      <c r="H34" s="629" t="s">
        <v>445</v>
      </c>
      <c r="I34" s="629"/>
      <c r="J34" s="629"/>
      <c r="L34" s="70" t="b">
        <v>0</v>
      </c>
      <c r="M34" s="50" t="s">
        <v>444</v>
      </c>
      <c r="N34" s="50"/>
      <c r="O34" s="50"/>
      <c r="P34" s="50"/>
    </row>
    <row r="35" spans="1:16" x14ac:dyDescent="0.25">
      <c r="B35" s="70" t="b">
        <v>1</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549</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56Ilr08OAD0JiAK4Y1p5+pj96dnyhFB0g1kcfwZn6jeqVjk3iyq+bpe1oSmPpk6p5J8ObaAtAnTlals2oSr3mQ==" saltValue="V+D6yLHAl7UI79LGlSlgN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tabColor rgb="FF0000FF"/>
  </sheetPr>
  <dimension ref="A1:Q44"/>
  <sheetViews>
    <sheetView showGridLines="0" view="pageBreakPreview" topLeftCell="A3"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552</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1</v>
      </c>
      <c r="C12" t="s">
        <v>466</v>
      </c>
      <c r="G12" s="70" t="b">
        <v>0</v>
      </c>
      <c r="H12" t="s">
        <v>465</v>
      </c>
    </row>
    <row r="13" spans="1:17" x14ac:dyDescent="0.25">
      <c r="B13" s="70" t="b">
        <v>1</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463</v>
      </c>
    </row>
    <row r="17" spans="1:16" x14ac:dyDescent="0.25">
      <c r="B17" s="70" t="b">
        <v>0</v>
      </c>
      <c r="C17" t="s">
        <v>456</v>
      </c>
      <c r="G17" s="70" t="b">
        <v>0</v>
      </c>
      <c r="H17" t="s">
        <v>462</v>
      </c>
      <c r="L17" s="70" t="b">
        <v>0</v>
      </c>
      <c r="M17" t="s">
        <v>472</v>
      </c>
      <c r="N17" s="555"/>
      <c r="O17" s="557"/>
    </row>
    <row r="18" spans="1:16" x14ac:dyDescent="0.25">
      <c r="B18" s="70" t="b">
        <v>1</v>
      </c>
      <c r="C18" t="s">
        <v>472</v>
      </c>
      <c r="D18" s="555" t="s">
        <v>459</v>
      </c>
      <c r="E18" s="557"/>
      <c r="G18" s="70"/>
      <c r="L18" s="70"/>
      <c r="N18" s="476"/>
      <c r="O18" s="476"/>
    </row>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0</v>
      </c>
      <c r="H34" s="629" t="s">
        <v>445</v>
      </c>
      <c r="I34" s="629"/>
      <c r="J34" s="629"/>
      <c r="L34" s="70" t="b">
        <v>0</v>
      </c>
      <c r="M34" s="50" t="s">
        <v>444</v>
      </c>
      <c r="N34" s="50"/>
      <c r="O34" s="50"/>
      <c r="P34" s="50"/>
    </row>
    <row r="35" spans="1:16" x14ac:dyDescent="0.25">
      <c r="B35" s="70" t="b">
        <v>1</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545</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uGwMy9BtHinf7V1LSz+CeCQ0sTvP1kxUgVquF3t2zOdCA8KxlWPl+NKiXZU0H79XenIZoN49r1Jacabn5RP58g==" saltValue="+3ZayNQ3w/zb76TC+uWfB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553</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1</v>
      </c>
      <c r="C12" t="s">
        <v>466</v>
      </c>
      <c r="G12" s="70" t="b">
        <v>0</v>
      </c>
      <c r="H12" t="s">
        <v>465</v>
      </c>
    </row>
    <row r="13" spans="1:17" x14ac:dyDescent="0.25">
      <c r="B13" s="70" t="b">
        <v>1</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463</v>
      </c>
    </row>
    <row r="17" spans="1:16" x14ac:dyDescent="0.25">
      <c r="B17" s="70" t="b">
        <v>0</v>
      </c>
      <c r="C17" t="s">
        <v>456</v>
      </c>
      <c r="G17" s="70" t="b">
        <v>0</v>
      </c>
      <c r="H17" t="s">
        <v>462</v>
      </c>
      <c r="L17" s="70" t="b">
        <v>0</v>
      </c>
      <c r="M17" t="s">
        <v>472</v>
      </c>
      <c r="N17" s="555"/>
      <c r="O17" s="557"/>
    </row>
    <row r="18" spans="1:16" x14ac:dyDescent="0.25">
      <c r="B18" s="70" t="b">
        <v>1</v>
      </c>
      <c r="C18" t="s">
        <v>472</v>
      </c>
      <c r="D18" s="555" t="s">
        <v>459</v>
      </c>
      <c r="E18" s="557"/>
      <c r="G18" s="70"/>
      <c r="L18" s="70"/>
      <c r="N18" s="476"/>
      <c r="O18" s="476"/>
    </row>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hidden="1" x14ac:dyDescent="0.25">
      <c r="A24" s="1" t="s">
        <v>460</v>
      </c>
    </row>
    <row r="25" spans="1:16" hidden="1" x14ac:dyDescent="0.25">
      <c r="B25" s="70" t="b">
        <v>1</v>
      </c>
      <c r="C25" t="s">
        <v>458</v>
      </c>
      <c r="G25" s="70" t="b">
        <v>1</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0</v>
      </c>
      <c r="H34" s="629" t="s">
        <v>445</v>
      </c>
      <c r="I34" s="629"/>
      <c r="J34" s="629"/>
      <c r="L34" s="70" t="b">
        <v>0</v>
      </c>
      <c r="M34" s="50" t="s">
        <v>444</v>
      </c>
      <c r="N34" s="50"/>
      <c r="O34" s="50"/>
      <c r="P34" s="50"/>
    </row>
    <row r="35" spans="1:16" x14ac:dyDescent="0.25">
      <c r="B35" s="70" t="b">
        <v>1</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547</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2I/j1HHsLeiin2u/iIwPcfHEKi4fAPUfBvYnADqqwm+FhARyPCi/nGZHu8LTcBzAZyESA+xlw3xkIWdaAj0cZQ==" saltValue="a8wm5WaNyMoeYyBTR/6Pa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ht="15" customHeight="1" x14ac:dyDescent="0.25">
      <c r="A6" s="1" t="s">
        <v>471</v>
      </c>
      <c r="E6" s="555" t="s">
        <v>554</v>
      </c>
      <c r="F6" s="556"/>
      <c r="G6" s="556"/>
      <c r="H6" s="556"/>
      <c r="I6" s="556"/>
      <c r="J6" s="557"/>
      <c r="Q6" s="452"/>
    </row>
    <row r="8" spans="1:17" x14ac:dyDescent="0.25">
      <c r="A8" s="1" t="s">
        <v>470</v>
      </c>
    </row>
    <row r="9" spans="1:17" x14ac:dyDescent="0.25">
      <c r="B9" s="70" t="b">
        <v>0</v>
      </c>
      <c r="C9" t="s">
        <v>469</v>
      </c>
      <c r="G9" s="70" t="b">
        <v>1</v>
      </c>
      <c r="H9" t="s">
        <v>468</v>
      </c>
    </row>
    <row r="11" spans="1:17" x14ac:dyDescent="0.25">
      <c r="A11" s="1" t="s">
        <v>467</v>
      </c>
    </row>
    <row r="12" spans="1:17" x14ac:dyDescent="0.25">
      <c r="B12" s="70" t="b">
        <v>0</v>
      </c>
      <c r="C12" t="s">
        <v>466</v>
      </c>
      <c r="G12" s="70" t="b">
        <v>0</v>
      </c>
      <c r="H12" t="s">
        <v>465</v>
      </c>
    </row>
    <row r="13" spans="1:17" x14ac:dyDescent="0.25">
      <c r="B13" s="70" t="b">
        <v>1</v>
      </c>
      <c r="C13" t="s">
        <v>464</v>
      </c>
      <c r="G13" s="70" t="b">
        <v>0</v>
      </c>
      <c r="H13" t="s">
        <v>472</v>
      </c>
      <c r="I13" s="555"/>
      <c r="J13" s="556"/>
      <c r="K13" s="557"/>
    </row>
    <row r="14" spans="1:17" x14ac:dyDescent="0.25">
      <c r="I14" s="51"/>
      <c r="J14" s="51"/>
      <c r="K14" s="51"/>
    </row>
    <row r="15" spans="1:17" hidden="1" x14ac:dyDescent="0.25">
      <c r="A15" s="1" t="s">
        <v>461</v>
      </c>
    </row>
    <row r="16" spans="1:17" hidden="1" x14ac:dyDescent="0.25">
      <c r="B16" s="70" t="b">
        <v>0</v>
      </c>
      <c r="C16" t="s">
        <v>44</v>
      </c>
      <c r="G16" s="70" t="b">
        <v>0</v>
      </c>
      <c r="H16" t="s">
        <v>40</v>
      </c>
      <c r="L16" s="70" t="b">
        <v>0</v>
      </c>
      <c r="M16" t="s">
        <v>463</v>
      </c>
    </row>
    <row r="17" spans="1:16" hidden="1" x14ac:dyDescent="0.25">
      <c r="B17" s="70" t="b">
        <v>0</v>
      </c>
      <c r="C17" t="s">
        <v>456</v>
      </c>
      <c r="G17" s="70" t="b">
        <v>0</v>
      </c>
      <c r="H17" t="s">
        <v>462</v>
      </c>
      <c r="L17" s="70" t="b">
        <v>0</v>
      </c>
      <c r="M17" t="s">
        <v>472</v>
      </c>
      <c r="N17" s="555"/>
      <c r="O17" s="557"/>
    </row>
    <row r="18" spans="1:16" hidden="1" x14ac:dyDescent="0.25">
      <c r="B18" s="70" t="b">
        <v>0</v>
      </c>
      <c r="C18" t="s">
        <v>472</v>
      </c>
      <c r="D18" s="555"/>
      <c r="E18" s="557"/>
      <c r="G18" s="70"/>
      <c r="L18" s="70"/>
      <c r="N18" s="476"/>
      <c r="O18" s="476"/>
    </row>
    <row r="19" spans="1:16" hidden="1" x14ac:dyDescent="0.25"/>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x14ac:dyDescent="0.25">
      <c r="A24" s="1" t="s">
        <v>460</v>
      </c>
    </row>
    <row r="25" spans="1:16" x14ac:dyDescent="0.25">
      <c r="B25" s="70" t="b">
        <v>1</v>
      </c>
      <c r="C25" t="s">
        <v>458</v>
      </c>
      <c r="G25" s="70" t="b">
        <v>1</v>
      </c>
      <c r="H25" t="s">
        <v>457</v>
      </c>
      <c r="L25" s="70" t="b">
        <v>0</v>
      </c>
      <c r="M25" t="s">
        <v>472</v>
      </c>
      <c r="N25" s="555"/>
      <c r="O25" s="557"/>
    </row>
    <row r="26" spans="1:16"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1</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0</v>
      </c>
      <c r="H31" t="s">
        <v>472</v>
      </c>
      <c r="I31" s="630"/>
      <c r="J31" s="556"/>
      <c r="K31" s="557"/>
    </row>
    <row r="33" spans="1:16" x14ac:dyDescent="0.25">
      <c r="A33" s="1" t="s">
        <v>447</v>
      </c>
    </row>
    <row r="34" spans="1:16" x14ac:dyDescent="0.25">
      <c r="B34" s="70" t="b">
        <v>0</v>
      </c>
      <c r="C34" t="s">
        <v>446</v>
      </c>
      <c r="G34" s="70" t="b">
        <v>0</v>
      </c>
      <c r="H34" s="629" t="s">
        <v>445</v>
      </c>
      <c r="I34" s="629"/>
      <c r="J34" s="629"/>
      <c r="L34" s="70" t="b">
        <v>0</v>
      </c>
      <c r="M34" s="50" t="s">
        <v>444</v>
      </c>
      <c r="N34" s="50"/>
      <c r="O34" s="50"/>
      <c r="P34" s="50"/>
    </row>
    <row r="35" spans="1:16" x14ac:dyDescent="0.25">
      <c r="B35" s="70" t="b">
        <v>1</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1</v>
      </c>
      <c r="C40" t="s">
        <v>440</v>
      </c>
      <c r="G40" s="70" t="b">
        <v>0</v>
      </c>
      <c r="H40" t="s">
        <v>439</v>
      </c>
      <c r="K40" s="449" t="str">
        <f>IF(G40=TRUE,"Name of Outside Firm:","")</f>
        <v/>
      </c>
      <c r="M40" s="555"/>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6DMbNwplL0gmm/xN59AqtUInHYw7V7jmUPDcIAF49fc2A9BVn+VdqZS0StSf0Ld/XjNhjBbeZESTWTkxt8C0TQ==" saltValue="j6BOPPw4tbfsP33HZLV6e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3"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AB60F-502D-4962-9AB7-3B740C05FC86}">
  <sheetPr codeName="Sheet23">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ht="15" customHeight="1" x14ac:dyDescent="0.25">
      <c r="A6" s="1" t="s">
        <v>471</v>
      </c>
      <c r="E6" s="630" t="s">
        <v>562</v>
      </c>
      <c r="F6" s="556"/>
      <c r="G6" s="556"/>
      <c r="H6" s="556"/>
      <c r="I6" s="556"/>
      <c r="J6" s="557"/>
      <c r="Q6" s="452"/>
    </row>
    <row r="8" spans="1:17" x14ac:dyDescent="0.25">
      <c r="A8" s="1" t="s">
        <v>470</v>
      </c>
    </row>
    <row r="9" spans="1:17" x14ac:dyDescent="0.25">
      <c r="B9" s="70" t="b">
        <v>0</v>
      </c>
      <c r="C9" t="s">
        <v>469</v>
      </c>
      <c r="G9" s="70" t="b">
        <v>1</v>
      </c>
      <c r="H9" t="s">
        <v>468</v>
      </c>
    </row>
    <row r="11" spans="1:17" x14ac:dyDescent="0.25">
      <c r="A11" s="1" t="s">
        <v>467</v>
      </c>
    </row>
    <row r="12" spans="1:17" x14ac:dyDescent="0.25">
      <c r="B12" s="70" t="b">
        <v>1</v>
      </c>
      <c r="C12" t="s">
        <v>466</v>
      </c>
      <c r="G12" s="70" t="b">
        <v>0</v>
      </c>
      <c r="H12" t="s">
        <v>465</v>
      </c>
    </row>
    <row r="13" spans="1:17" x14ac:dyDescent="0.25">
      <c r="B13" s="70" t="b">
        <v>0</v>
      </c>
      <c r="C13" t="s">
        <v>464</v>
      </c>
      <c r="G13" s="70" t="b">
        <v>0</v>
      </c>
      <c r="H13" t="s">
        <v>472</v>
      </c>
      <c r="I13" s="555"/>
      <c r="J13" s="556"/>
      <c r="K13" s="557"/>
    </row>
    <row r="14" spans="1:17" x14ac:dyDescent="0.25">
      <c r="I14" s="51"/>
      <c r="J14" s="51"/>
      <c r="K14" s="51"/>
    </row>
    <row r="15" spans="1:17" hidden="1" x14ac:dyDescent="0.25">
      <c r="A15" s="1" t="s">
        <v>461</v>
      </c>
    </row>
    <row r="16" spans="1:17" hidden="1" x14ac:dyDescent="0.25">
      <c r="B16" s="70" t="b">
        <v>0</v>
      </c>
      <c r="C16" t="s">
        <v>44</v>
      </c>
      <c r="G16" s="70" t="b">
        <v>0</v>
      </c>
      <c r="H16" t="s">
        <v>40</v>
      </c>
      <c r="L16" s="70" t="b">
        <v>0</v>
      </c>
      <c r="M16" t="s">
        <v>463</v>
      </c>
    </row>
    <row r="17" spans="1:16" hidden="1" x14ac:dyDescent="0.25">
      <c r="B17" s="70" t="b">
        <v>0</v>
      </c>
      <c r="C17" t="s">
        <v>456</v>
      </c>
      <c r="G17" s="70" t="b">
        <v>0</v>
      </c>
      <c r="H17" t="s">
        <v>462</v>
      </c>
      <c r="L17" s="70" t="b">
        <v>0</v>
      </c>
      <c r="M17" t="s">
        <v>472</v>
      </c>
      <c r="N17" s="555"/>
      <c r="O17" s="557"/>
    </row>
    <row r="18" spans="1:16" hidden="1" x14ac:dyDescent="0.25">
      <c r="B18" s="70" t="b">
        <v>0</v>
      </c>
      <c r="C18" t="s">
        <v>472</v>
      </c>
      <c r="D18" s="555"/>
      <c r="E18" s="557"/>
      <c r="G18" s="70"/>
      <c r="L18" s="70"/>
      <c r="N18" s="476"/>
      <c r="O18" s="476"/>
    </row>
    <row r="19" spans="1:16" hidden="1" x14ac:dyDescent="0.25"/>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x14ac:dyDescent="0.25">
      <c r="A24" s="1" t="s">
        <v>460</v>
      </c>
    </row>
    <row r="25" spans="1:16" x14ac:dyDescent="0.25">
      <c r="B25" s="70" t="b">
        <v>0</v>
      </c>
      <c r="C25" t="s">
        <v>458</v>
      </c>
      <c r="G25" s="70" t="b">
        <v>0</v>
      </c>
      <c r="H25" t="s">
        <v>457</v>
      </c>
      <c r="L25" s="70" t="b">
        <v>0</v>
      </c>
      <c r="M25" t="s">
        <v>472</v>
      </c>
      <c r="N25" s="555"/>
      <c r="O25" s="557"/>
    </row>
    <row r="26" spans="1:16"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630" t="s">
        <v>563</v>
      </c>
      <c r="J31" s="556"/>
      <c r="K31" s="557"/>
    </row>
    <row r="33" spans="1:16" x14ac:dyDescent="0.25">
      <c r="A33" s="1" t="s">
        <v>447</v>
      </c>
    </row>
    <row r="34" spans="1:16" x14ac:dyDescent="0.25">
      <c r="B34" s="70" t="b">
        <v>0</v>
      </c>
      <c r="C34" t="s">
        <v>446</v>
      </c>
      <c r="G34" s="70" t="b">
        <v>0</v>
      </c>
      <c r="H34" s="629" t="s">
        <v>445</v>
      </c>
      <c r="I34" s="629"/>
      <c r="J34" s="629"/>
      <c r="L34" s="70" t="b">
        <v>1</v>
      </c>
      <c r="M34" s="50" t="s">
        <v>444</v>
      </c>
      <c r="N34" s="50"/>
      <c r="O34" s="50"/>
      <c r="P34" s="50"/>
    </row>
    <row r="35" spans="1:16" x14ac:dyDescent="0.25">
      <c r="B35" s="70" t="b">
        <v>0</v>
      </c>
      <c r="C35" s="629" t="s">
        <v>487</v>
      </c>
      <c r="D35" s="629"/>
      <c r="E35" s="629"/>
      <c r="G35" s="70" t="b">
        <v>0</v>
      </c>
      <c r="L35" s="70"/>
      <c r="M35" s="50"/>
      <c r="N35" s="50"/>
      <c r="O35" s="50"/>
      <c r="P35" s="50"/>
    </row>
    <row r="36" spans="1:16" x14ac:dyDescent="0.25">
      <c r="I36" s="51"/>
      <c r="K36" s="449" t="s">
        <v>443</v>
      </c>
      <c r="L36" s="51"/>
      <c r="M36" s="555" t="s">
        <v>546</v>
      </c>
      <c r="N36" s="557"/>
    </row>
    <row r="37" spans="1:16" x14ac:dyDescent="0.25">
      <c r="I37" s="51"/>
      <c r="K37" s="449" t="s">
        <v>442</v>
      </c>
      <c r="L37" s="51"/>
      <c r="M37" s="555" t="s">
        <v>546</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545</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fJCv9Xk7a2m25fjrQCDWJK1+je0T4Iq8r9pHk3sbKuDMl7KbMSlHV3Eh3jWwUNC/qdD/Yn3SGU3E/LhzX/X7iA==" saltValue="ACveU7EFMcdhatMbZyTDc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0342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0342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034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034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034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034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034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034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034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034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0343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034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034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034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034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034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034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034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1034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1034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034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1034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1034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034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1034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03451"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03452"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1034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1034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103455"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1034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DF2B3-CD18-41B2-B647-3972AC8E1940}">
  <sheetPr codeName="Sheet24">
    <tabColor rgb="FF0000FF"/>
  </sheetPr>
  <dimension ref="A1:Q44"/>
  <sheetViews>
    <sheetView showGridLines="0" view="pageBreakPreview" topLeftCell="A4"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567</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1</v>
      </c>
      <c r="C12" t="s">
        <v>466</v>
      </c>
      <c r="G12" s="70" t="b">
        <v>0</v>
      </c>
      <c r="H12" t="s">
        <v>465</v>
      </c>
    </row>
    <row r="13" spans="1:17" x14ac:dyDescent="0.25">
      <c r="B13" s="70" t="b">
        <v>0</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488</v>
      </c>
    </row>
    <row r="17" spans="1:16" x14ac:dyDescent="0.25">
      <c r="B17" s="70" t="b">
        <v>0</v>
      </c>
      <c r="C17" t="s">
        <v>463</v>
      </c>
      <c r="G17" s="70" t="b">
        <v>1</v>
      </c>
      <c r="H17" t="s">
        <v>456</v>
      </c>
      <c r="L17" s="70" t="b">
        <v>0</v>
      </c>
      <c r="M17" t="s">
        <v>462</v>
      </c>
    </row>
    <row r="18" spans="1:16" x14ac:dyDescent="0.25">
      <c r="B18" s="70" t="b">
        <v>0</v>
      </c>
      <c r="C18" t="s">
        <v>472</v>
      </c>
      <c r="D18" s="555"/>
      <c r="E18" s="557"/>
      <c r="G18" s="70"/>
      <c r="L18" s="70"/>
      <c r="N18" s="476"/>
      <c r="O18" s="476"/>
    </row>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0</v>
      </c>
      <c r="H34" s="629" t="s">
        <v>445</v>
      </c>
      <c r="I34" s="629"/>
      <c r="J34" s="629"/>
      <c r="L34" s="70" t="b">
        <v>0</v>
      </c>
      <c r="M34" s="50" t="s">
        <v>444</v>
      </c>
      <c r="N34" s="50"/>
      <c r="O34" s="50"/>
      <c r="P34" s="50"/>
    </row>
    <row r="35" spans="1:16" x14ac:dyDescent="0.25">
      <c r="B35" s="70" t="b">
        <v>1</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545</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o2TaJMciNzQNsDJ/9Zt08JZKp023CBxgbjOeAthxsd7HG904qBPHtdlZARXQdzT+848Vwcsiw50IWtdfnfa33w==" saltValue="nBLTVFf+IPP2aL69mIc2aA==" spinCount="100000" sheet="1" objects="1" scenarios="1" formatColumns="0" formatRows="0" sort="0"/>
  <mergeCells count="11">
    <mergeCell ref="I31:K31"/>
    <mergeCell ref="E6:J6"/>
    <mergeCell ref="I13:K13"/>
    <mergeCell ref="D18:E18"/>
    <mergeCell ref="N25:O25"/>
    <mergeCell ref="M30:P30"/>
    <mergeCell ref="H34:J34"/>
    <mergeCell ref="C35:E35"/>
    <mergeCell ref="M36:N36"/>
    <mergeCell ref="M37:N37"/>
    <mergeCell ref="M40:O40"/>
  </mergeCells>
  <conditionalFormatting sqref="M40:O40">
    <cfRule type="expression" dxfId="1"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04450"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04451"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044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044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044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044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044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044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044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044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04460"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044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044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044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044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044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044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044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1044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1044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044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1044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1044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044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1044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04475" r:id="rId30" name="Check Box 27">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04476" r:id="rId31" name="Check Box 28">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1044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1044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104479" r:id="rId34" name="Check Box 31">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1044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FF758-1E61-4A1E-B230-C2150AFF0EB2}">
  <sheetPr codeName="Sheet25">
    <tabColor rgb="FF0000FF"/>
  </sheetPr>
  <dimension ref="A1:Q44"/>
  <sheetViews>
    <sheetView showGridLines="0" view="pageBreakPreview" zoomScaleNormal="115" zoomScaleSheetLayoutView="100" workbookViewId="0">
      <selection activeCell="C8" sqref="C8"/>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473</v>
      </c>
      <c r="B4" s="3"/>
      <c r="C4" s="3"/>
      <c r="D4" s="3"/>
      <c r="E4" s="3"/>
      <c r="F4" s="3"/>
      <c r="G4" s="3"/>
      <c r="H4" s="3"/>
      <c r="I4" s="3"/>
      <c r="J4" s="3"/>
      <c r="K4" s="3"/>
      <c r="L4" s="3"/>
      <c r="M4" s="3"/>
      <c r="N4" s="3"/>
      <c r="O4" s="3"/>
    </row>
    <row r="6" spans="1:17" x14ac:dyDescent="0.25">
      <c r="A6" s="1" t="s">
        <v>471</v>
      </c>
      <c r="E6" s="555" t="s">
        <v>566</v>
      </c>
      <c r="F6" s="556"/>
      <c r="G6" s="556"/>
      <c r="H6" s="556"/>
      <c r="I6" s="556"/>
      <c r="J6" s="557"/>
      <c r="Q6" s="452"/>
    </row>
    <row r="8" spans="1:17" x14ac:dyDescent="0.25">
      <c r="A8" s="1" t="s">
        <v>470</v>
      </c>
    </row>
    <row r="9" spans="1:17" x14ac:dyDescent="0.25">
      <c r="B9" s="70" t="b">
        <v>1</v>
      </c>
      <c r="C9" t="s">
        <v>469</v>
      </c>
      <c r="G9" s="70" t="b">
        <v>0</v>
      </c>
      <c r="H9" t="s">
        <v>468</v>
      </c>
    </row>
    <row r="11" spans="1:17" x14ac:dyDescent="0.25">
      <c r="A11" s="1" t="s">
        <v>467</v>
      </c>
    </row>
    <row r="12" spans="1:17" x14ac:dyDescent="0.25">
      <c r="B12" s="70" t="b">
        <v>1</v>
      </c>
      <c r="C12" t="s">
        <v>466</v>
      </c>
      <c r="G12" s="70" t="b">
        <v>0</v>
      </c>
      <c r="H12" t="s">
        <v>465</v>
      </c>
    </row>
    <row r="13" spans="1:17" x14ac:dyDescent="0.25">
      <c r="B13" s="70" t="b">
        <v>0</v>
      </c>
      <c r="C13" t="s">
        <v>464</v>
      </c>
      <c r="G13" s="70" t="b">
        <v>0</v>
      </c>
      <c r="H13" t="s">
        <v>472</v>
      </c>
      <c r="I13" s="555"/>
      <c r="J13" s="556"/>
      <c r="K13" s="557"/>
    </row>
    <row r="14" spans="1:17" x14ac:dyDescent="0.25">
      <c r="I14" s="51"/>
      <c r="J14" s="51"/>
      <c r="K14" s="51"/>
    </row>
    <row r="15" spans="1:17" x14ac:dyDescent="0.25">
      <c r="A15" s="1" t="s">
        <v>461</v>
      </c>
    </row>
    <row r="16" spans="1:17" x14ac:dyDescent="0.25">
      <c r="B16" s="70" t="b">
        <v>0</v>
      </c>
      <c r="C16" t="s">
        <v>44</v>
      </c>
      <c r="G16" s="70" t="b">
        <v>0</v>
      </c>
      <c r="H16" t="s">
        <v>40</v>
      </c>
      <c r="L16" s="70" t="b">
        <v>0</v>
      </c>
      <c r="M16" t="s">
        <v>463</v>
      </c>
    </row>
    <row r="17" spans="1:16" x14ac:dyDescent="0.25">
      <c r="B17" s="70" t="b">
        <v>1</v>
      </c>
      <c r="C17" t="s">
        <v>456</v>
      </c>
      <c r="G17" s="70" t="b">
        <v>0</v>
      </c>
      <c r="H17" t="s">
        <v>462</v>
      </c>
      <c r="L17" s="70" t="b">
        <v>0</v>
      </c>
      <c r="M17" t="s">
        <v>472</v>
      </c>
      <c r="N17" s="555"/>
      <c r="O17" s="557"/>
    </row>
    <row r="18" spans="1:16" x14ac:dyDescent="0.25">
      <c r="B18" s="70" t="b">
        <v>0</v>
      </c>
      <c r="C18" t="s">
        <v>472</v>
      </c>
      <c r="D18" s="555"/>
      <c r="E18" s="557"/>
      <c r="G18" s="70"/>
      <c r="L18" s="70"/>
      <c r="N18" s="476"/>
      <c r="O18" s="476"/>
    </row>
    <row r="20" spans="1:16" hidden="1" x14ac:dyDescent="0.25">
      <c r="A20" s="1" t="s">
        <v>461</v>
      </c>
    </row>
    <row r="21" spans="1:16" hidden="1" x14ac:dyDescent="0.25">
      <c r="B21" s="70" t="b">
        <v>0</v>
      </c>
      <c r="C21" t="s">
        <v>40</v>
      </c>
      <c r="G21" s="70" t="b">
        <v>0</v>
      </c>
      <c r="H21" t="s">
        <v>459</v>
      </c>
    </row>
    <row r="22" spans="1:16" hidden="1" x14ac:dyDescent="0.25">
      <c r="B22" s="70"/>
      <c r="G22" s="70"/>
    </row>
    <row r="23" spans="1:16" hidden="1" x14ac:dyDescent="0.25"/>
    <row r="24" spans="1:16" hidden="1" x14ac:dyDescent="0.25">
      <c r="A24" s="1" t="s">
        <v>460</v>
      </c>
    </row>
    <row r="25" spans="1:16" hidden="1" x14ac:dyDescent="0.25">
      <c r="B25" s="70" t="b">
        <v>0</v>
      </c>
      <c r="C25" t="s">
        <v>458</v>
      </c>
      <c r="G25" s="70" t="b">
        <v>0</v>
      </c>
      <c r="H25" t="s">
        <v>457</v>
      </c>
      <c r="L25" s="70" t="b">
        <v>0</v>
      </c>
      <c r="M25" t="s">
        <v>472</v>
      </c>
      <c r="N25" s="555"/>
      <c r="O25" s="557"/>
    </row>
    <row r="26" spans="1:16" hidden="1" x14ac:dyDescent="0.25">
      <c r="B26" s="70"/>
      <c r="G26" s="70"/>
      <c r="K26" s="51"/>
    </row>
    <row r="27" spans="1:16" hidden="1" x14ac:dyDescent="0.25"/>
    <row r="28" spans="1:16" x14ac:dyDescent="0.25">
      <c r="A28" s="1" t="s">
        <v>455</v>
      </c>
    </row>
    <row r="29" spans="1:16" x14ac:dyDescent="0.25">
      <c r="B29" s="70" t="b">
        <v>0</v>
      </c>
      <c r="C29" t="s">
        <v>454</v>
      </c>
      <c r="G29" s="70" t="b">
        <v>0</v>
      </c>
      <c r="H29" t="s">
        <v>453</v>
      </c>
      <c r="L29" s="70" t="b">
        <v>0</v>
      </c>
      <c r="M29" t="s">
        <v>452</v>
      </c>
    </row>
    <row r="30" spans="1:16" x14ac:dyDescent="0.25">
      <c r="B30" s="70" t="b">
        <v>0</v>
      </c>
      <c r="C30" t="s">
        <v>451</v>
      </c>
      <c r="G30" s="70" t="b">
        <v>0</v>
      </c>
      <c r="H30" t="s">
        <v>450</v>
      </c>
      <c r="L30" s="70" t="b">
        <v>0</v>
      </c>
      <c r="M30" s="629" t="s">
        <v>449</v>
      </c>
      <c r="N30" s="629"/>
      <c r="O30" s="629"/>
      <c r="P30" s="629"/>
    </row>
    <row r="31" spans="1:16" x14ac:dyDescent="0.25">
      <c r="B31" s="70" t="b">
        <v>0</v>
      </c>
      <c r="C31" t="s">
        <v>448</v>
      </c>
      <c r="G31" s="70" t="b">
        <v>1</v>
      </c>
      <c r="H31" t="s">
        <v>472</v>
      </c>
      <c r="I31" s="555" t="s">
        <v>543</v>
      </c>
      <c r="J31" s="556"/>
      <c r="K31" s="557"/>
    </row>
    <row r="33" spans="1:16" x14ac:dyDescent="0.25">
      <c r="A33" s="1" t="s">
        <v>447</v>
      </c>
    </row>
    <row r="34" spans="1:16" x14ac:dyDescent="0.25">
      <c r="B34" s="70" t="b">
        <v>0</v>
      </c>
      <c r="C34" t="s">
        <v>446</v>
      </c>
      <c r="G34" s="70" t="b">
        <v>0</v>
      </c>
      <c r="H34" s="629" t="s">
        <v>445</v>
      </c>
      <c r="I34" s="629"/>
      <c r="J34" s="629"/>
      <c r="L34" s="70" t="b">
        <v>0</v>
      </c>
      <c r="M34" s="50" t="s">
        <v>444</v>
      </c>
      <c r="N34" s="50"/>
      <c r="O34" s="50"/>
      <c r="P34" s="50"/>
    </row>
    <row r="35" spans="1:16" x14ac:dyDescent="0.25">
      <c r="B35" s="70" t="b">
        <v>1</v>
      </c>
      <c r="C35" s="629" t="s">
        <v>487</v>
      </c>
      <c r="D35" s="629"/>
      <c r="E35" s="629"/>
      <c r="G35" s="70" t="b">
        <v>0</v>
      </c>
      <c r="L35" s="70"/>
      <c r="M35" s="50"/>
      <c r="N35" s="50"/>
      <c r="O35" s="50"/>
      <c r="P35" s="50"/>
    </row>
    <row r="36" spans="1:16" x14ac:dyDescent="0.25">
      <c r="I36" s="51"/>
      <c r="K36" s="449" t="s">
        <v>443</v>
      </c>
      <c r="L36" s="51"/>
      <c r="M36" s="555" t="s">
        <v>517</v>
      </c>
      <c r="N36" s="557"/>
    </row>
    <row r="37" spans="1:16" x14ac:dyDescent="0.25">
      <c r="I37" s="51"/>
      <c r="K37" s="449" t="s">
        <v>442</v>
      </c>
      <c r="L37" s="51"/>
      <c r="M37" s="555" t="s">
        <v>544</v>
      </c>
      <c r="N37" s="557"/>
    </row>
    <row r="38" spans="1:16" x14ac:dyDescent="0.25">
      <c r="I38" s="51"/>
      <c r="K38" s="51"/>
      <c r="L38" s="51"/>
      <c r="M38" s="51"/>
    </row>
    <row r="39" spans="1:16" x14ac:dyDescent="0.25">
      <c r="A39" s="1" t="s">
        <v>441</v>
      </c>
      <c r="N39" s="51"/>
    </row>
    <row r="40" spans="1:16" x14ac:dyDescent="0.25">
      <c r="B40" s="70" t="b">
        <v>0</v>
      </c>
      <c r="C40" t="s">
        <v>440</v>
      </c>
      <c r="G40" s="70" t="b">
        <v>1</v>
      </c>
      <c r="H40" t="s">
        <v>439</v>
      </c>
      <c r="K40" s="449" t="str">
        <f>IF(G40=TRUE,"Name of Outside Firm:","")</f>
        <v>Name of Outside Firm:</v>
      </c>
      <c r="M40" s="555" t="s">
        <v>547</v>
      </c>
      <c r="N40" s="556"/>
      <c r="O40" s="557"/>
    </row>
    <row r="41" spans="1:16" x14ac:dyDescent="0.25">
      <c r="N41" s="51"/>
    </row>
    <row r="43" spans="1:16" ht="15.75" x14ac:dyDescent="0.25">
      <c r="A43" s="50"/>
      <c r="B43" s="50"/>
      <c r="C43" s="50"/>
      <c r="D43" s="50"/>
      <c r="E43" s="50"/>
      <c r="H43" s="451" t="s">
        <v>474</v>
      </c>
      <c r="I43" s="453">
        <f>'4.Proposed Impact'!D6</f>
        <v>6.9000000000000006E-2</v>
      </c>
    </row>
    <row r="44" spans="1:16" x14ac:dyDescent="0.25">
      <c r="H44" s="451" t="s">
        <v>485</v>
      </c>
      <c r="I44" s="200" t="s">
        <v>546</v>
      </c>
    </row>
  </sheetData>
  <sheetProtection algorithmName="SHA-512" hashValue="/wPWRxgqfbsKwaFMpj1vHHFC/S3UrCxQqhwnqqHnllmz+ZQm7M8bjwa+Uc2l7ZQ91X1zgUNX5LAhPpS4Lcw+qw==" saltValue="575X6/V/jtMMarwt1fRof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05"/>
  <pageSetup scale="71" orientation="portrait"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05474"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05475"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054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054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054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054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054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054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054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054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05484"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054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054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054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054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054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054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054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1054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1054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054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1054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1054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054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1054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05499" r:id="rId30" name="Check Box 27">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05500" r:id="rId31" name="Check Box 28">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1055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1055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105503" r:id="rId34" name="Check Box 31">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1055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142</vt:i4>
      </vt:variant>
    </vt:vector>
  </HeadingPairs>
  <TitlesOfParts>
    <vt:vector size="167"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'12.11Model Disclosure'!Model_OverallRateLevel</vt:lpstr>
      <vt:lpstr>'12.12Model Disclosure'!Model_OverallRateLevel</vt:lpstr>
      <vt:lpstr>'12.13Model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2022-12-05T18:49:34Z</cp:lastPrinted>
  <dcterms:created xsi:type="dcterms:W3CDTF">2014-04-24T17:59:28Z</dcterms:created>
  <dcterms:modified xsi:type="dcterms:W3CDTF">2022-12-05T18:50:10Z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2022-01-20T15:44:32Z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bbbb5c56-e877-4cdf-adfb-eb89ed66e7a9</vt:lpwstr>
  </property>
  <property fmtid="{D5CDD505-2E9C-101B-9397-08002B2CF9AE}" pid="8" name="MSIP_Label_261ecbe3-7ba9-4124-b9d7-ffd820687beb_ContentBits">
    <vt:lpwstr>0</vt:lpwstr>
  </property>
</Properties>
</file>